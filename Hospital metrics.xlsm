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fritts/Documents/"/>
    </mc:Choice>
  </mc:AlternateContent>
  <xr:revisionPtr revIDLastSave="0" documentId="13_ncr:1_{9148DF56-8711-2E43-9C9A-3BB18E16218C}" xr6:coauthVersionLast="45" xr6:coauthVersionMax="45" xr10:uidLastSave="{00000000-0000-0000-0000-000000000000}"/>
  <bookViews>
    <workbookView xWindow="160" yWindow="520" windowWidth="25440" windowHeight="13880" firstSheet="40" activeTab="53" xr2:uid="{AA5297A0-8400-F94F-A798-469E2187138E}"/>
  </bookViews>
  <sheets>
    <sheet name="Sheet1" sheetId="1" r:id="rId1"/>
    <sheet name="AK" sheetId="2" r:id="rId2"/>
    <sheet name="AL" sheetId="3" r:id="rId3"/>
    <sheet name="AR" sheetId="4" r:id="rId4"/>
    <sheet name="AZ" sheetId="5" r:id="rId5"/>
    <sheet name="CA" sheetId="6" r:id="rId6"/>
    <sheet name="CO" sheetId="7" r:id="rId7"/>
    <sheet name="CT" sheetId="8" r:id="rId8"/>
    <sheet name="DC" sheetId="9" r:id="rId9"/>
    <sheet name="DE" sheetId="10" r:id="rId10"/>
    <sheet name="FL" sheetId="11" r:id="rId11"/>
    <sheet name="GA" sheetId="12" r:id="rId12"/>
    <sheet name="HI" sheetId="13" r:id="rId13"/>
    <sheet name="IA" sheetId="14" r:id="rId14"/>
    <sheet name="ID" sheetId="15" r:id="rId15"/>
    <sheet name="IL" sheetId="16" r:id="rId16"/>
    <sheet name="IN" sheetId="17" r:id="rId17"/>
    <sheet name="KS" sheetId="18" r:id="rId18"/>
    <sheet name="KY" sheetId="19" r:id="rId19"/>
    <sheet name="LA" sheetId="20" r:id="rId20"/>
    <sheet name="MA" sheetId="21" r:id="rId21"/>
    <sheet name="MD" sheetId="22" r:id="rId22"/>
    <sheet name="ME" sheetId="23" r:id="rId23"/>
    <sheet name="MI" sheetId="24" r:id="rId24"/>
    <sheet name="MN" sheetId="25" r:id="rId25"/>
    <sheet name="MO" sheetId="26" r:id="rId26"/>
    <sheet name="MS" sheetId="27" r:id="rId27"/>
    <sheet name="MT" sheetId="28" r:id="rId28"/>
    <sheet name="NC" sheetId="29" r:id="rId29"/>
    <sheet name="ND" sheetId="30" r:id="rId30"/>
    <sheet name="NE" sheetId="31" r:id="rId31"/>
    <sheet name="NH" sheetId="32" r:id="rId32"/>
    <sheet name="NJ" sheetId="33" r:id="rId33"/>
    <sheet name="NM" sheetId="34" r:id="rId34"/>
    <sheet name="NV" sheetId="35" r:id="rId35"/>
    <sheet name="NY" sheetId="36" r:id="rId36"/>
    <sheet name="OH" sheetId="37" r:id="rId37"/>
    <sheet name="OK" sheetId="38" r:id="rId38"/>
    <sheet name="OR" sheetId="39" r:id="rId39"/>
    <sheet name="PA" sheetId="40" r:id="rId40"/>
    <sheet name="RI" sheetId="41" r:id="rId41"/>
    <sheet name="SC" sheetId="42" r:id="rId42"/>
    <sheet name="SD" sheetId="43" r:id="rId43"/>
    <sheet name="TN" sheetId="44" r:id="rId44"/>
    <sheet name="TX" sheetId="45" r:id="rId45"/>
    <sheet name="UT" sheetId="46" r:id="rId46"/>
    <sheet name="VA" sheetId="47" r:id="rId47"/>
    <sheet name="VT" sheetId="48" r:id="rId48"/>
    <sheet name="WA" sheetId="49" r:id="rId49"/>
    <sheet name="WI" sheetId="50" r:id="rId50"/>
    <sheet name="WV" sheetId="51" r:id="rId51"/>
    <sheet name="WY" sheetId="52" r:id="rId52"/>
    <sheet name="CBSA" sheetId="53" r:id="rId53"/>
    <sheet name="Super_CBSA" sheetId="54" r:id="rId5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09" i="29" l="1" a="1"/>
  <c r="G109" i="29" s="1"/>
  <c r="G108" i="29" a="1"/>
  <c r="G108" i="29" s="1"/>
  <c r="G107" i="29" a="1"/>
  <c r="G107" i="29" s="1"/>
  <c r="G106" i="29" a="1"/>
  <c r="G106" i="29" s="1"/>
  <c r="G105" i="29" a="1"/>
  <c r="G105" i="29" s="1"/>
  <c r="G104" i="29" a="1"/>
  <c r="G104" i="29" s="1"/>
  <c r="G103" i="29" a="1"/>
  <c r="G103" i="29" s="1"/>
  <c r="G102" i="29" a="1"/>
  <c r="G102" i="29" s="1"/>
  <c r="G101" i="29" a="1"/>
  <c r="G101" i="29" s="1"/>
  <c r="G100" i="29" a="1"/>
  <c r="G100" i="29" s="1"/>
  <c r="G99" i="29" a="1"/>
  <c r="G99" i="29" s="1"/>
  <c r="G98" i="29" a="1"/>
  <c r="G98" i="29" s="1"/>
  <c r="G97" i="29" a="1"/>
  <c r="G97" i="29" s="1"/>
  <c r="G96" i="29" a="1"/>
  <c r="G96" i="29" s="1"/>
  <c r="G95" i="29" a="1"/>
  <c r="G95" i="29" s="1"/>
  <c r="G94" i="29" a="1"/>
  <c r="G94" i="29" s="1"/>
  <c r="G93" i="29" a="1"/>
  <c r="G93" i="29" s="1"/>
  <c r="G92" i="29" a="1"/>
  <c r="G92" i="29" s="1"/>
  <c r="G91" i="29" a="1"/>
  <c r="G91" i="29" s="1"/>
  <c r="G90" i="29" a="1"/>
  <c r="G90" i="29" s="1"/>
  <c r="G89" i="29" a="1"/>
  <c r="G89" i="29" s="1"/>
  <c r="G88" i="29" a="1"/>
  <c r="G88" i="29" s="1"/>
  <c r="G87" i="29" a="1"/>
  <c r="G87" i="29" s="1"/>
  <c r="G86" i="29" a="1"/>
  <c r="G86" i="29" s="1"/>
  <c r="G85" i="29" a="1"/>
  <c r="G85" i="29" s="1"/>
  <c r="G84" i="29" a="1"/>
  <c r="G84" i="29" s="1"/>
  <c r="G83" i="29" a="1"/>
  <c r="G83" i="29" s="1"/>
  <c r="G82" i="29" a="1"/>
  <c r="G82" i="29" s="1"/>
  <c r="G81" i="29" a="1"/>
  <c r="G81" i="29" s="1"/>
  <c r="G80" i="29" a="1"/>
  <c r="G80" i="29" s="1"/>
  <c r="G79" i="29" a="1"/>
  <c r="G79" i="29" s="1"/>
  <c r="G78" i="29" a="1"/>
  <c r="G78" i="29" s="1"/>
  <c r="G77" i="29" a="1"/>
  <c r="G77" i="29" s="1"/>
  <c r="G76" i="29" a="1"/>
  <c r="G76" i="29" s="1"/>
  <c r="G75" i="29" a="1"/>
  <c r="G75" i="29" s="1"/>
  <c r="G74" i="29" a="1"/>
  <c r="G74" i="29" s="1"/>
  <c r="G73" i="29" a="1"/>
  <c r="G73" i="29" s="1"/>
  <c r="G72" i="29" a="1"/>
  <c r="G72" i="29" s="1"/>
  <c r="G71" i="29" a="1"/>
  <c r="G71" i="29" s="1"/>
  <c r="G70" i="29" a="1"/>
  <c r="G70" i="29" s="1"/>
  <c r="G69" i="29" a="1"/>
  <c r="G69" i="29" s="1"/>
  <c r="G68" i="29" a="1"/>
  <c r="G68" i="29" s="1"/>
  <c r="G67" i="29" a="1"/>
  <c r="G67" i="29" s="1"/>
  <c r="G66" i="29" a="1"/>
  <c r="G66" i="29" s="1"/>
  <c r="G65" i="29" a="1"/>
  <c r="G65" i="29" s="1"/>
  <c r="G64" i="29" a="1"/>
  <c r="G64" i="29" s="1"/>
  <c r="G63" i="29" a="1"/>
  <c r="G63" i="29" s="1"/>
  <c r="G62" i="29" a="1"/>
  <c r="G62" i="29" s="1"/>
  <c r="G61" i="29" a="1"/>
  <c r="G61" i="29" s="1"/>
  <c r="G60" i="29" a="1"/>
  <c r="G60" i="29" s="1"/>
  <c r="G59" i="29" a="1"/>
  <c r="G59" i="29" s="1"/>
  <c r="G58" i="29" a="1"/>
  <c r="G58" i="29" s="1"/>
  <c r="G57" i="29" a="1"/>
  <c r="G57" i="29" s="1"/>
  <c r="G56" i="29" a="1"/>
  <c r="G56" i="29" s="1"/>
  <c r="G55" i="29" a="1"/>
  <c r="G55" i="29" s="1"/>
  <c r="G54" i="29" a="1"/>
  <c r="G54" i="29" s="1"/>
  <c r="G53" i="29" a="1"/>
  <c r="G53" i="29" s="1"/>
  <c r="G52" i="29" a="1"/>
  <c r="G52" i="29" s="1"/>
  <c r="G51" i="29" a="1"/>
  <c r="G51" i="29" s="1"/>
  <c r="G50" i="29" a="1"/>
  <c r="G50" i="29" s="1"/>
  <c r="G49" i="29" a="1"/>
  <c r="G49" i="29" s="1"/>
  <c r="G48" i="29" a="1"/>
  <c r="G48" i="29" s="1"/>
  <c r="G47" i="29" a="1"/>
  <c r="G47" i="29" s="1"/>
  <c r="G46" i="29" a="1"/>
  <c r="G46" i="29" s="1"/>
  <c r="G45" i="29" a="1"/>
  <c r="G45" i="29" s="1"/>
  <c r="G44" i="29" a="1"/>
  <c r="G44" i="29" s="1"/>
  <c r="G43" i="29" a="1"/>
  <c r="G43" i="29" s="1"/>
  <c r="G42" i="29" a="1"/>
  <c r="G42" i="29" s="1"/>
  <c r="G41" i="29" a="1"/>
  <c r="G41" i="29" s="1"/>
  <c r="G40" i="29" a="1"/>
  <c r="G40" i="29" s="1"/>
  <c r="G39" i="29" a="1"/>
  <c r="G39" i="29" s="1"/>
  <c r="G38" i="29" a="1"/>
  <c r="G38" i="29" s="1"/>
  <c r="G37" i="29" a="1"/>
  <c r="G37" i="29" s="1"/>
  <c r="G36" i="29" a="1"/>
  <c r="G36" i="29" s="1"/>
  <c r="G35" i="29" a="1"/>
  <c r="G35" i="29" s="1"/>
  <c r="G34" i="29" a="1"/>
  <c r="G34" i="29" s="1"/>
  <c r="G33" i="29" a="1"/>
  <c r="G33" i="29" s="1"/>
  <c r="G32" i="29" a="1"/>
  <c r="G32" i="29" s="1"/>
  <c r="G31" i="29" a="1"/>
  <c r="G31" i="29" s="1"/>
  <c r="G30" i="29" a="1"/>
  <c r="G30" i="29" s="1"/>
  <c r="G29" i="29" a="1"/>
  <c r="G29" i="29" s="1"/>
  <c r="G28" i="29" a="1"/>
  <c r="G28" i="29" s="1"/>
  <c r="G27" i="29" a="1"/>
  <c r="G27" i="29" s="1"/>
  <c r="G26" i="29" a="1"/>
  <c r="G26" i="29" s="1"/>
  <c r="G25" i="29" a="1"/>
  <c r="G25" i="29" s="1"/>
  <c r="G24" i="29" a="1"/>
  <c r="G24" i="29" s="1"/>
  <c r="G23" i="29" a="1"/>
  <c r="G23" i="29" s="1"/>
  <c r="G22" i="29" a="1"/>
  <c r="G22" i="29" s="1"/>
  <c r="G21" i="29" a="1"/>
  <c r="G21" i="29" s="1"/>
  <c r="G20" i="29" a="1"/>
  <c r="G20" i="29" s="1"/>
  <c r="G19" i="29" a="1"/>
  <c r="G19" i="29" s="1"/>
  <c r="G18" i="29" a="1"/>
  <c r="G18" i="29" s="1"/>
  <c r="G17" i="29" a="1"/>
  <c r="G17" i="29" s="1"/>
  <c r="G16" i="29" a="1"/>
  <c r="G16" i="29" s="1"/>
  <c r="G15" i="29" a="1"/>
  <c r="G15" i="29" s="1"/>
  <c r="G14" i="29" a="1"/>
  <c r="G14" i="29" s="1"/>
  <c r="G13" i="29" a="1"/>
  <c r="G13" i="29" s="1"/>
  <c r="G12" i="29" a="1"/>
  <c r="G12" i="29" s="1"/>
  <c r="G11" i="29" a="1"/>
  <c r="G11" i="29" s="1"/>
  <c r="G10" i="29" a="1"/>
  <c r="G10" i="29" s="1"/>
  <c r="G9" i="29" a="1"/>
  <c r="G9" i="29" s="1"/>
  <c r="G8" i="29" a="1"/>
  <c r="G8" i="29" s="1"/>
  <c r="G7" i="29" a="1"/>
  <c r="G7" i="29" s="1"/>
  <c r="G6" i="29" a="1"/>
  <c r="G6" i="29" s="1"/>
  <c r="G5" i="29" a="1"/>
  <c r="G5" i="29" s="1"/>
  <c r="G4" i="29" a="1"/>
  <c r="G4" i="29" s="1"/>
  <c r="G3" i="29" a="1"/>
  <c r="G3" i="29" s="1"/>
  <c r="G2" i="29" a="1"/>
  <c r="G2" i="29" s="1"/>
  <c r="G11" i="30" a="1"/>
  <c r="G11" i="30" s="1"/>
  <c r="G10" i="30" a="1"/>
  <c r="G10" i="30" s="1"/>
  <c r="G9" i="30" a="1"/>
  <c r="G9" i="30" s="1"/>
  <c r="G8" i="30" a="1"/>
  <c r="G8" i="30" s="1"/>
  <c r="G7" i="30" a="1"/>
  <c r="G7" i="30" s="1"/>
  <c r="G6" i="30" a="1"/>
  <c r="G6" i="30" s="1"/>
  <c r="G5" i="30" a="1"/>
  <c r="G5" i="30" s="1"/>
  <c r="G4" i="30" a="1"/>
  <c r="G4" i="30" s="1"/>
  <c r="G3" i="30" a="1"/>
  <c r="G3" i="30" s="1"/>
  <c r="G2" i="30" a="1"/>
  <c r="G2" i="30" s="1"/>
  <c r="G27" i="31" a="1"/>
  <c r="G27" i="31" s="1"/>
  <c r="G26" i="31" a="1"/>
  <c r="G26" i="31" s="1"/>
  <c r="G25" i="31" a="1"/>
  <c r="G25" i="31" s="1"/>
  <c r="G24" i="31" a="1"/>
  <c r="G24" i="31" s="1"/>
  <c r="G23" i="31" a="1"/>
  <c r="G23" i="31" s="1"/>
  <c r="G22" i="31" a="1"/>
  <c r="G22" i="31" s="1"/>
  <c r="G21" i="31" a="1"/>
  <c r="G21" i="31" s="1"/>
  <c r="G20" i="31" a="1"/>
  <c r="G20" i="31" s="1"/>
  <c r="G19" i="31" a="1"/>
  <c r="G19" i="31" s="1"/>
  <c r="G18" i="31" a="1"/>
  <c r="G18" i="31" s="1"/>
  <c r="G17" i="31" a="1"/>
  <c r="G17" i="31" s="1"/>
  <c r="G16" i="31" a="1"/>
  <c r="G16" i="31" s="1"/>
  <c r="G15" i="31" a="1"/>
  <c r="G15" i="31" s="1"/>
  <c r="G14" i="31" a="1"/>
  <c r="G14" i="31" s="1"/>
  <c r="G13" i="31" a="1"/>
  <c r="G13" i="31" s="1"/>
  <c r="G12" i="31" a="1"/>
  <c r="G12" i="31" s="1"/>
  <c r="G11" i="31" a="1"/>
  <c r="G11" i="31" s="1"/>
  <c r="G10" i="31" a="1"/>
  <c r="G10" i="31" s="1"/>
  <c r="G9" i="31" a="1"/>
  <c r="G9" i="31" s="1"/>
  <c r="G8" i="31" a="1"/>
  <c r="G8" i="31" s="1"/>
  <c r="G7" i="31" a="1"/>
  <c r="G7" i="31" s="1"/>
  <c r="G6" i="31" a="1"/>
  <c r="G6" i="31" s="1"/>
  <c r="G5" i="31" a="1"/>
  <c r="G5" i="31" s="1"/>
  <c r="G4" i="31" a="1"/>
  <c r="G4" i="31" s="1"/>
  <c r="G3" i="31" a="1"/>
  <c r="G3" i="31" s="1"/>
  <c r="G2" i="31" a="1"/>
  <c r="G2" i="31" s="1"/>
  <c r="G15" i="32" a="1"/>
  <c r="G15" i="32" s="1"/>
  <c r="G14" i="32" a="1"/>
  <c r="G14" i="32" s="1"/>
  <c r="G13" i="32" a="1"/>
  <c r="G13" i="32" s="1"/>
  <c r="G12" i="32" a="1"/>
  <c r="G12" i="32" s="1"/>
  <c r="G11" i="32" a="1"/>
  <c r="G11" i="32" s="1"/>
  <c r="G10" i="32" a="1"/>
  <c r="G10" i="32" s="1"/>
  <c r="G9" i="32" a="1"/>
  <c r="G9" i="32" s="1"/>
  <c r="G8" i="32" a="1"/>
  <c r="G8" i="32" s="1"/>
  <c r="G7" i="32" a="1"/>
  <c r="G7" i="32" s="1"/>
  <c r="G6" i="32" a="1"/>
  <c r="G6" i="32" s="1"/>
  <c r="G5" i="32" a="1"/>
  <c r="G5" i="32" s="1"/>
  <c r="G4" i="32" a="1"/>
  <c r="G4" i="32" s="1"/>
  <c r="G3" i="32" a="1"/>
  <c r="G3" i="32" s="1"/>
  <c r="G2" i="32" a="1"/>
  <c r="G2" i="32" s="1"/>
  <c r="G2" i="33" a="1"/>
  <c r="G2" i="33" s="1"/>
  <c r="G79" i="33" a="1"/>
  <c r="G79" i="33" s="1"/>
  <c r="G78" i="33" a="1"/>
  <c r="G78" i="33" s="1"/>
  <c r="G77" i="33" a="1"/>
  <c r="G77" i="33" s="1"/>
  <c r="G76" i="33" a="1"/>
  <c r="G76" i="33" s="1"/>
  <c r="G75" i="33" a="1"/>
  <c r="G75" i="33" s="1"/>
  <c r="G74" i="33" a="1"/>
  <c r="G74" i="33" s="1"/>
  <c r="G73" i="33" a="1"/>
  <c r="G73" i="33" s="1"/>
  <c r="G72" i="33" a="1"/>
  <c r="G72" i="33" s="1"/>
  <c r="G71" i="33" a="1"/>
  <c r="G71" i="33" s="1"/>
  <c r="G70" i="33" a="1"/>
  <c r="G70" i="33" s="1"/>
  <c r="G69" i="33" a="1"/>
  <c r="G69" i="33" s="1"/>
  <c r="G68" i="33" a="1"/>
  <c r="G68" i="33" s="1"/>
  <c r="G67" i="33" a="1"/>
  <c r="G67" i="33" s="1"/>
  <c r="G66" i="33" a="1"/>
  <c r="G66" i="33" s="1"/>
  <c r="G65" i="33" a="1"/>
  <c r="G65" i="33" s="1"/>
  <c r="G64" i="33" a="1"/>
  <c r="G64" i="33" s="1"/>
  <c r="G63" i="33" a="1"/>
  <c r="G63" i="33" s="1"/>
  <c r="G62" i="33" a="1"/>
  <c r="G62" i="33" s="1"/>
  <c r="G61" i="33" a="1"/>
  <c r="G61" i="33" s="1"/>
  <c r="G60" i="33" a="1"/>
  <c r="G60" i="33" s="1"/>
  <c r="G59" i="33" a="1"/>
  <c r="G59" i="33" s="1"/>
  <c r="G58" i="33" a="1"/>
  <c r="G58" i="33" s="1"/>
  <c r="G57" i="33" a="1"/>
  <c r="G57" i="33" s="1"/>
  <c r="G56" i="33" a="1"/>
  <c r="G56" i="33" s="1"/>
  <c r="G55" i="33" a="1"/>
  <c r="G55" i="33" s="1"/>
  <c r="G54" i="33" a="1"/>
  <c r="G54" i="33" s="1"/>
  <c r="G53" i="33" a="1"/>
  <c r="G53" i="33" s="1"/>
  <c r="G52" i="33" a="1"/>
  <c r="G52" i="33" s="1"/>
  <c r="G51" i="33" a="1"/>
  <c r="G51" i="33" s="1"/>
  <c r="G50" i="33" a="1"/>
  <c r="G50" i="33" s="1"/>
  <c r="G49" i="33" a="1"/>
  <c r="G49" i="33" s="1"/>
  <c r="G48" i="33" a="1"/>
  <c r="G48" i="33" s="1"/>
  <c r="G47" i="33" a="1"/>
  <c r="G47" i="33" s="1"/>
  <c r="G46" i="33" a="1"/>
  <c r="G46" i="33" s="1"/>
  <c r="G45" i="33" a="1"/>
  <c r="G45" i="33" s="1"/>
  <c r="G44" i="33" a="1"/>
  <c r="G44" i="33" s="1"/>
  <c r="G43" i="33" a="1"/>
  <c r="G43" i="33" s="1"/>
  <c r="G42" i="33" a="1"/>
  <c r="G42" i="33" s="1"/>
  <c r="G41" i="33" a="1"/>
  <c r="G41" i="33" s="1"/>
  <c r="G40" i="33" a="1"/>
  <c r="G40" i="33" s="1"/>
  <c r="G39" i="33" a="1"/>
  <c r="G39" i="33" s="1"/>
  <c r="G38" i="33" a="1"/>
  <c r="G38" i="33" s="1"/>
  <c r="G37" i="33" a="1"/>
  <c r="G37" i="33" s="1"/>
  <c r="G36" i="33" a="1"/>
  <c r="G36" i="33" s="1"/>
  <c r="G35" i="33" a="1"/>
  <c r="G35" i="33" s="1"/>
  <c r="G34" i="33" a="1"/>
  <c r="G34" i="33" s="1"/>
  <c r="G33" i="33" a="1"/>
  <c r="G33" i="33" s="1"/>
  <c r="G32" i="33" a="1"/>
  <c r="G32" i="33" s="1"/>
  <c r="G31" i="33" a="1"/>
  <c r="G31" i="33" s="1"/>
  <c r="G30" i="33" a="1"/>
  <c r="G30" i="33" s="1"/>
  <c r="G29" i="33" a="1"/>
  <c r="G29" i="33" s="1"/>
  <c r="G28" i="33" a="1"/>
  <c r="G28" i="33" s="1"/>
  <c r="G27" i="33" a="1"/>
  <c r="G27" i="33" s="1"/>
  <c r="G26" i="33" a="1"/>
  <c r="G26" i="33" s="1"/>
  <c r="G25" i="33" a="1"/>
  <c r="G25" i="33" s="1"/>
  <c r="G24" i="33" a="1"/>
  <c r="G24" i="33" s="1"/>
  <c r="G23" i="33" a="1"/>
  <c r="G23" i="33" s="1"/>
  <c r="G22" i="33" a="1"/>
  <c r="G22" i="33" s="1"/>
  <c r="G21" i="33" a="1"/>
  <c r="G21" i="33" s="1"/>
  <c r="G20" i="33" a="1"/>
  <c r="G20" i="33" s="1"/>
  <c r="G19" i="33" a="1"/>
  <c r="G19" i="33" s="1"/>
  <c r="G18" i="33" a="1"/>
  <c r="G18" i="33" s="1"/>
  <c r="G17" i="33" a="1"/>
  <c r="G17" i="33" s="1"/>
  <c r="G16" i="33" a="1"/>
  <c r="G16" i="33" s="1"/>
  <c r="G15" i="33" a="1"/>
  <c r="G15" i="33" s="1"/>
  <c r="G14" i="33" a="1"/>
  <c r="G14" i="33" s="1"/>
  <c r="G13" i="33" a="1"/>
  <c r="G13" i="33" s="1"/>
  <c r="G12" i="33" a="1"/>
  <c r="G12" i="33" s="1"/>
  <c r="G11" i="33" a="1"/>
  <c r="G11" i="33" s="1"/>
  <c r="G10" i="33" a="1"/>
  <c r="G10" i="33" s="1"/>
  <c r="G9" i="33" a="1"/>
  <c r="G9" i="33" s="1"/>
  <c r="G8" i="33" a="1"/>
  <c r="G8" i="33" s="1"/>
  <c r="G7" i="33" a="1"/>
  <c r="G7" i="33" s="1"/>
  <c r="G6" i="33" a="1"/>
  <c r="G6" i="33" s="1"/>
  <c r="G5" i="33" a="1"/>
  <c r="G5" i="33" s="1"/>
  <c r="G4" i="33" a="1"/>
  <c r="G4" i="33" s="1"/>
  <c r="G3" i="33" a="1"/>
  <c r="G3" i="33" s="1"/>
  <c r="G38" i="34" a="1"/>
  <c r="G38" i="34" s="1"/>
  <c r="G37" i="34" a="1"/>
  <c r="G37" i="34" s="1"/>
  <c r="G36" i="34" a="1"/>
  <c r="G36" i="34" s="1"/>
  <c r="G35" i="34" a="1"/>
  <c r="G35" i="34" s="1"/>
  <c r="G34" i="34" a="1"/>
  <c r="G34" i="34" s="1"/>
  <c r="G33" i="34" a="1"/>
  <c r="G33" i="34" s="1"/>
  <c r="G32" i="34" a="1"/>
  <c r="G32" i="34" s="1"/>
  <c r="G31" i="34" a="1"/>
  <c r="G31" i="34" s="1"/>
  <c r="G30" i="34" a="1"/>
  <c r="G30" i="34" s="1"/>
  <c r="G29" i="34" a="1"/>
  <c r="G29" i="34" s="1"/>
  <c r="G28" i="34" a="1"/>
  <c r="G28" i="34" s="1"/>
  <c r="G27" i="34" a="1"/>
  <c r="G27" i="34" s="1"/>
  <c r="G26" i="34" a="1"/>
  <c r="G26" i="34" s="1"/>
  <c r="G25" i="34" a="1"/>
  <c r="G25" i="34" s="1"/>
  <c r="G24" i="34" a="1"/>
  <c r="G24" i="34" s="1"/>
  <c r="G23" i="34" a="1"/>
  <c r="G23" i="34" s="1"/>
  <c r="G22" i="34" a="1"/>
  <c r="G22" i="34" s="1"/>
  <c r="G21" i="34" a="1"/>
  <c r="G21" i="34" s="1"/>
  <c r="G20" i="34" a="1"/>
  <c r="G20" i="34" s="1"/>
  <c r="G19" i="34" a="1"/>
  <c r="G19" i="34" s="1"/>
  <c r="G18" i="34" a="1"/>
  <c r="G18" i="34" s="1"/>
  <c r="G17" i="34" a="1"/>
  <c r="G17" i="34" s="1"/>
  <c r="G16" i="34" a="1"/>
  <c r="G16" i="34" s="1"/>
  <c r="G15" i="34" a="1"/>
  <c r="G15" i="34" s="1"/>
  <c r="G14" i="34" a="1"/>
  <c r="G14" i="34" s="1"/>
  <c r="G13" i="34" a="1"/>
  <c r="G13" i="34" s="1"/>
  <c r="G12" i="34" a="1"/>
  <c r="G12" i="34" s="1"/>
  <c r="G11" i="34" a="1"/>
  <c r="G11" i="34" s="1"/>
  <c r="G10" i="34" a="1"/>
  <c r="G10" i="34" s="1"/>
  <c r="G9" i="34" a="1"/>
  <c r="G9" i="34" s="1"/>
  <c r="G8" i="34" a="1"/>
  <c r="G8" i="34" s="1"/>
  <c r="G7" i="34" a="1"/>
  <c r="G7" i="34" s="1"/>
  <c r="G6" i="34" a="1"/>
  <c r="G6" i="34" s="1"/>
  <c r="G5" i="34" a="1"/>
  <c r="G5" i="34" s="1"/>
  <c r="G4" i="34" a="1"/>
  <c r="G4" i="34" s="1"/>
  <c r="G3" i="34" a="1"/>
  <c r="G3" i="34" s="1"/>
  <c r="G2" i="34" a="1"/>
  <c r="G2" i="34" s="1"/>
  <c r="G32" i="35" a="1"/>
  <c r="G32" i="35" s="1"/>
  <c r="G31" i="35" a="1"/>
  <c r="G31" i="35" s="1"/>
  <c r="G30" i="35" a="1"/>
  <c r="G30" i="35" s="1"/>
  <c r="G29" i="35" a="1"/>
  <c r="G29" i="35" s="1"/>
  <c r="G28" i="35" a="1"/>
  <c r="G28" i="35" s="1"/>
  <c r="G27" i="35" a="1"/>
  <c r="G27" i="35" s="1"/>
  <c r="G26" i="35" a="1"/>
  <c r="G26" i="35" s="1"/>
  <c r="G25" i="35" a="1"/>
  <c r="G25" i="35" s="1"/>
  <c r="G24" i="35" a="1"/>
  <c r="G24" i="35" s="1"/>
  <c r="G23" i="35" a="1"/>
  <c r="G23" i="35" s="1"/>
  <c r="G22" i="35" a="1"/>
  <c r="G22" i="35" s="1"/>
  <c r="G21" i="35" a="1"/>
  <c r="G21" i="35" s="1"/>
  <c r="G20" i="35" a="1"/>
  <c r="G20" i="35" s="1"/>
  <c r="G19" i="35" a="1"/>
  <c r="G19" i="35" s="1"/>
  <c r="G18" i="35" a="1"/>
  <c r="G18" i="35" s="1"/>
  <c r="G17" i="35" a="1"/>
  <c r="G17" i="35" s="1"/>
  <c r="G16" i="35" a="1"/>
  <c r="G16" i="35" s="1"/>
  <c r="G15" i="35" a="1"/>
  <c r="G15" i="35" s="1"/>
  <c r="G14" i="35" a="1"/>
  <c r="G14" i="35" s="1"/>
  <c r="G13" i="35" a="1"/>
  <c r="G13" i="35" s="1"/>
  <c r="G12" i="35" a="1"/>
  <c r="G12" i="35" s="1"/>
  <c r="G11" i="35" a="1"/>
  <c r="G11" i="35" s="1"/>
  <c r="G10" i="35" a="1"/>
  <c r="G10" i="35" s="1"/>
  <c r="G9" i="35" a="1"/>
  <c r="G9" i="35" s="1"/>
  <c r="G8" i="35" a="1"/>
  <c r="G8" i="35" s="1"/>
  <c r="G7" i="35" a="1"/>
  <c r="G7" i="35" s="1"/>
  <c r="G6" i="35" a="1"/>
  <c r="G6" i="35" s="1"/>
  <c r="G5" i="35" a="1"/>
  <c r="G5" i="35" s="1"/>
  <c r="G4" i="35" a="1"/>
  <c r="G4" i="35" s="1"/>
  <c r="G3" i="35" a="1"/>
  <c r="G3" i="35" s="1"/>
  <c r="G2" i="35" a="1"/>
  <c r="G2" i="35" s="1"/>
  <c r="G187" i="36" a="1"/>
  <c r="G187" i="36" s="1"/>
  <c r="G186" i="36" a="1"/>
  <c r="G186" i="36" s="1"/>
  <c r="G185" i="36" a="1"/>
  <c r="G185" i="36" s="1"/>
  <c r="G184" i="36" a="1"/>
  <c r="G184" i="36" s="1"/>
  <c r="G183" i="36" a="1"/>
  <c r="G183" i="36" s="1"/>
  <c r="G182" i="36" a="1"/>
  <c r="G182" i="36" s="1"/>
  <c r="G181" i="36" a="1"/>
  <c r="G181" i="36" s="1"/>
  <c r="G180" i="36" a="1"/>
  <c r="G180" i="36" s="1"/>
  <c r="G179" i="36" a="1"/>
  <c r="G179" i="36" s="1"/>
  <c r="G178" i="36" a="1"/>
  <c r="G178" i="36" s="1"/>
  <c r="G177" i="36" a="1"/>
  <c r="G177" i="36" s="1"/>
  <c r="G176" i="36" a="1"/>
  <c r="G176" i="36" s="1"/>
  <c r="G175" i="36" a="1"/>
  <c r="G175" i="36" s="1"/>
  <c r="G174" i="36" a="1"/>
  <c r="G174" i="36" s="1"/>
  <c r="G173" i="36" a="1"/>
  <c r="G173" i="36" s="1"/>
  <c r="G172" i="36" a="1"/>
  <c r="G172" i="36" s="1"/>
  <c r="G171" i="36" a="1"/>
  <c r="G171" i="36" s="1"/>
  <c r="G170" i="36" a="1"/>
  <c r="G170" i="36" s="1"/>
  <c r="G169" i="36" a="1"/>
  <c r="G169" i="36" s="1"/>
  <c r="G168" i="36" a="1"/>
  <c r="G168" i="36" s="1"/>
  <c r="G167" i="36" a="1"/>
  <c r="G167" i="36" s="1"/>
  <c r="G166" i="36" a="1"/>
  <c r="G166" i="36" s="1"/>
  <c r="G165" i="36" a="1"/>
  <c r="G165" i="36" s="1"/>
  <c r="G164" i="36" a="1"/>
  <c r="G164" i="36" s="1"/>
  <c r="G163" i="36" a="1"/>
  <c r="G163" i="36" s="1"/>
  <c r="G162" i="36" a="1"/>
  <c r="G162" i="36" s="1"/>
  <c r="G161" i="36" a="1"/>
  <c r="G161" i="36" s="1"/>
  <c r="G160" i="36" a="1"/>
  <c r="G160" i="36" s="1"/>
  <c r="G159" i="36" a="1"/>
  <c r="G159" i="36" s="1"/>
  <c r="G158" i="36" a="1"/>
  <c r="G158" i="36" s="1"/>
  <c r="G157" i="36" a="1"/>
  <c r="G157" i="36" s="1"/>
  <c r="G156" i="36" a="1"/>
  <c r="G156" i="36" s="1"/>
  <c r="G155" i="36" a="1"/>
  <c r="G155" i="36" s="1"/>
  <c r="G154" i="36" a="1"/>
  <c r="G154" i="36" s="1"/>
  <c r="G153" i="36" a="1"/>
  <c r="G153" i="36" s="1"/>
  <c r="G152" i="36" a="1"/>
  <c r="G152" i="36" s="1"/>
  <c r="G151" i="36" a="1"/>
  <c r="G151" i="36" s="1"/>
  <c r="G150" i="36" a="1"/>
  <c r="G150" i="36" s="1"/>
  <c r="G149" i="36" a="1"/>
  <c r="G149" i="36" s="1"/>
  <c r="G148" i="36" a="1"/>
  <c r="G148" i="36" s="1"/>
  <c r="G147" i="36" a="1"/>
  <c r="G147" i="36" s="1"/>
  <c r="G146" i="36" a="1"/>
  <c r="G146" i="36" s="1"/>
  <c r="G145" i="36" a="1"/>
  <c r="G145" i="36" s="1"/>
  <c r="G144" i="36" a="1"/>
  <c r="G144" i="36" s="1"/>
  <c r="G143" i="36" a="1"/>
  <c r="G143" i="36" s="1"/>
  <c r="G142" i="36" a="1"/>
  <c r="G142" i="36" s="1"/>
  <c r="G141" i="36" a="1"/>
  <c r="G141" i="36" s="1"/>
  <c r="G140" i="36" a="1"/>
  <c r="G140" i="36" s="1"/>
  <c r="G139" i="36" a="1"/>
  <c r="G139" i="36" s="1"/>
  <c r="G138" i="36" a="1"/>
  <c r="G138" i="36" s="1"/>
  <c r="G137" i="36" a="1"/>
  <c r="G137" i="36" s="1"/>
  <c r="G136" i="36" a="1"/>
  <c r="G136" i="36" s="1"/>
  <c r="G135" i="36" a="1"/>
  <c r="G135" i="36" s="1"/>
  <c r="G134" i="36" a="1"/>
  <c r="G134" i="36" s="1"/>
  <c r="G133" i="36" a="1"/>
  <c r="G133" i="36" s="1"/>
  <c r="G132" i="36" a="1"/>
  <c r="G132" i="36" s="1"/>
  <c r="G131" i="36" a="1"/>
  <c r="G131" i="36" s="1"/>
  <c r="G130" i="36" a="1"/>
  <c r="G130" i="36" s="1"/>
  <c r="G129" i="36" a="1"/>
  <c r="G129" i="36" s="1"/>
  <c r="G128" i="36" a="1"/>
  <c r="G128" i="36" s="1"/>
  <c r="G127" i="36" a="1"/>
  <c r="G127" i="36" s="1"/>
  <c r="G126" i="36" a="1"/>
  <c r="G126" i="36" s="1"/>
  <c r="G125" i="36" a="1"/>
  <c r="G125" i="36" s="1"/>
  <c r="G124" i="36" a="1"/>
  <c r="G124" i="36" s="1"/>
  <c r="G123" i="36" a="1"/>
  <c r="G123" i="36" s="1"/>
  <c r="G122" i="36" a="1"/>
  <c r="G122" i="36" s="1"/>
  <c r="G121" i="36" a="1"/>
  <c r="G121" i="36" s="1"/>
  <c r="G120" i="36" a="1"/>
  <c r="G120" i="36" s="1"/>
  <c r="G119" i="36" a="1"/>
  <c r="G119" i="36" s="1"/>
  <c r="G118" i="36" a="1"/>
  <c r="G118" i="36" s="1"/>
  <c r="G117" i="36" a="1"/>
  <c r="G117" i="36" s="1"/>
  <c r="G116" i="36" a="1"/>
  <c r="G116" i="36" s="1"/>
  <c r="G115" i="36" a="1"/>
  <c r="G115" i="36" s="1"/>
  <c r="G114" i="36" a="1"/>
  <c r="G114" i="36" s="1"/>
  <c r="G113" i="36" a="1"/>
  <c r="G113" i="36" s="1"/>
  <c r="G112" i="36" a="1"/>
  <c r="G112" i="36" s="1"/>
  <c r="G111" i="36" a="1"/>
  <c r="G111" i="36" s="1"/>
  <c r="G110" i="36" a="1"/>
  <c r="G110" i="36" s="1"/>
  <c r="G109" i="36" a="1"/>
  <c r="G109" i="36" s="1"/>
  <c r="G108" i="36" a="1"/>
  <c r="G108" i="36" s="1"/>
  <c r="G107" i="36" a="1"/>
  <c r="G107" i="36" s="1"/>
  <c r="G106" i="36" a="1"/>
  <c r="G106" i="36" s="1"/>
  <c r="G105" i="36" a="1"/>
  <c r="G105" i="36" s="1"/>
  <c r="G104" i="36" a="1"/>
  <c r="G104" i="36" s="1"/>
  <c r="G103" i="36" a="1"/>
  <c r="G103" i="36" s="1"/>
  <c r="G102" i="36" a="1"/>
  <c r="G102" i="36" s="1"/>
  <c r="G101" i="36" a="1"/>
  <c r="G101" i="36" s="1"/>
  <c r="G100" i="36" a="1"/>
  <c r="G100" i="36" s="1"/>
  <c r="G99" i="36" a="1"/>
  <c r="G99" i="36" s="1"/>
  <c r="G98" i="36" a="1"/>
  <c r="G98" i="36" s="1"/>
  <c r="G97" i="36" a="1"/>
  <c r="G97" i="36" s="1"/>
  <c r="G96" i="36" a="1"/>
  <c r="G96" i="36" s="1"/>
  <c r="G95" i="36" a="1"/>
  <c r="G95" i="36" s="1"/>
  <c r="G94" i="36" a="1"/>
  <c r="G94" i="36" s="1"/>
  <c r="G93" i="36" a="1"/>
  <c r="G93" i="36" s="1"/>
  <c r="G92" i="36" a="1"/>
  <c r="G92" i="36" s="1"/>
  <c r="G91" i="36" a="1"/>
  <c r="G91" i="36" s="1"/>
  <c r="G90" i="36" a="1"/>
  <c r="G90" i="36" s="1"/>
  <c r="G89" i="36" a="1"/>
  <c r="G89" i="36" s="1"/>
  <c r="G88" i="36" a="1"/>
  <c r="G88" i="36" s="1"/>
  <c r="G87" i="36" a="1"/>
  <c r="G87" i="36" s="1"/>
  <c r="G86" i="36" a="1"/>
  <c r="G86" i="36" s="1"/>
  <c r="G85" i="36" a="1"/>
  <c r="G85" i="36" s="1"/>
  <c r="G84" i="36" a="1"/>
  <c r="G84" i="36" s="1"/>
  <c r="G83" i="36" a="1"/>
  <c r="G83" i="36" s="1"/>
  <c r="G82" i="36" a="1"/>
  <c r="G82" i="36" s="1"/>
  <c r="G81" i="36" a="1"/>
  <c r="G81" i="36" s="1"/>
  <c r="G80" i="36" a="1"/>
  <c r="G80" i="36" s="1"/>
  <c r="G79" i="36" a="1"/>
  <c r="G79" i="36" s="1"/>
  <c r="G78" i="36" a="1"/>
  <c r="G78" i="36" s="1"/>
  <c r="G77" i="36" a="1"/>
  <c r="G77" i="36" s="1"/>
  <c r="G76" i="36" a="1"/>
  <c r="G76" i="36" s="1"/>
  <c r="G75" i="36" a="1"/>
  <c r="G75" i="36" s="1"/>
  <c r="G74" i="36" a="1"/>
  <c r="G74" i="36" s="1"/>
  <c r="G73" i="36" a="1"/>
  <c r="G73" i="36" s="1"/>
  <c r="G72" i="36" a="1"/>
  <c r="G72" i="36" s="1"/>
  <c r="G71" i="36" a="1"/>
  <c r="G71" i="36" s="1"/>
  <c r="G70" i="36" a="1"/>
  <c r="G70" i="36" s="1"/>
  <c r="G69" i="36" a="1"/>
  <c r="G69" i="36" s="1"/>
  <c r="G68" i="36" a="1"/>
  <c r="G68" i="36" s="1"/>
  <c r="G67" i="36" a="1"/>
  <c r="G67" i="36" s="1"/>
  <c r="G66" i="36" a="1"/>
  <c r="G66" i="36" s="1"/>
  <c r="G65" i="36" a="1"/>
  <c r="G65" i="36" s="1"/>
  <c r="G64" i="36" a="1"/>
  <c r="G64" i="36" s="1"/>
  <c r="G63" i="36" a="1"/>
  <c r="G63" i="36" s="1"/>
  <c r="G62" i="36" a="1"/>
  <c r="G62" i="36" s="1"/>
  <c r="G61" i="36" a="1"/>
  <c r="G61" i="36" s="1"/>
  <c r="G60" i="36" a="1"/>
  <c r="G60" i="36" s="1"/>
  <c r="G59" i="36" a="1"/>
  <c r="G59" i="36" s="1"/>
  <c r="G58" i="36" a="1"/>
  <c r="G58" i="36" s="1"/>
  <c r="G57" i="36" a="1"/>
  <c r="G57" i="36" s="1"/>
  <c r="G56" i="36" a="1"/>
  <c r="G56" i="36" s="1"/>
  <c r="G55" i="36" a="1"/>
  <c r="G55" i="36" s="1"/>
  <c r="G54" i="36" a="1"/>
  <c r="G54" i="36" s="1"/>
  <c r="G53" i="36" a="1"/>
  <c r="G53" i="36" s="1"/>
  <c r="G52" i="36" a="1"/>
  <c r="G52" i="36" s="1"/>
  <c r="G51" i="36" a="1"/>
  <c r="G51" i="36" s="1"/>
  <c r="G50" i="36" a="1"/>
  <c r="G50" i="36" s="1"/>
  <c r="G49" i="36" a="1"/>
  <c r="G49" i="36" s="1"/>
  <c r="G48" i="36" a="1"/>
  <c r="G48" i="36" s="1"/>
  <c r="G47" i="36" a="1"/>
  <c r="G47" i="36" s="1"/>
  <c r="G46" i="36" a="1"/>
  <c r="G46" i="36" s="1"/>
  <c r="G45" i="36" a="1"/>
  <c r="G45" i="36" s="1"/>
  <c r="G44" i="36" a="1"/>
  <c r="G44" i="36" s="1"/>
  <c r="G43" i="36" a="1"/>
  <c r="G43" i="36" s="1"/>
  <c r="G42" i="36" a="1"/>
  <c r="G42" i="36" s="1"/>
  <c r="G41" i="36" a="1"/>
  <c r="G41" i="36" s="1"/>
  <c r="G40" i="36" a="1"/>
  <c r="G40" i="36" s="1"/>
  <c r="G39" i="36" a="1"/>
  <c r="G39" i="36" s="1"/>
  <c r="G38" i="36" a="1"/>
  <c r="G38" i="36" s="1"/>
  <c r="G37" i="36" a="1"/>
  <c r="G37" i="36" s="1"/>
  <c r="G36" i="36" a="1"/>
  <c r="G36" i="36" s="1"/>
  <c r="G35" i="36" a="1"/>
  <c r="G35" i="36" s="1"/>
  <c r="G34" i="36" a="1"/>
  <c r="G34" i="36" s="1"/>
  <c r="G33" i="36" a="1"/>
  <c r="G33" i="36" s="1"/>
  <c r="G32" i="36" a="1"/>
  <c r="G32" i="36" s="1"/>
  <c r="G31" i="36" a="1"/>
  <c r="G31" i="36" s="1"/>
  <c r="G30" i="36" a="1"/>
  <c r="G30" i="36" s="1"/>
  <c r="G29" i="36" a="1"/>
  <c r="G29" i="36" s="1"/>
  <c r="G28" i="36" a="1"/>
  <c r="G28" i="36" s="1"/>
  <c r="G27" i="36" a="1"/>
  <c r="G27" i="36" s="1"/>
  <c r="G26" i="36" a="1"/>
  <c r="G26" i="36" s="1"/>
  <c r="G25" i="36" a="1"/>
  <c r="G25" i="36" s="1"/>
  <c r="G24" i="36" a="1"/>
  <c r="G24" i="36" s="1"/>
  <c r="G23" i="36" a="1"/>
  <c r="G23" i="36" s="1"/>
  <c r="G22" i="36" a="1"/>
  <c r="G22" i="36" s="1"/>
  <c r="G21" i="36" a="1"/>
  <c r="G21" i="36" s="1"/>
  <c r="G20" i="36" a="1"/>
  <c r="G20" i="36" s="1"/>
  <c r="G19" i="36" a="1"/>
  <c r="G19" i="36" s="1"/>
  <c r="G18" i="36" a="1"/>
  <c r="G18" i="36" s="1"/>
  <c r="G17" i="36" a="1"/>
  <c r="G17" i="36" s="1"/>
  <c r="G16" i="36" a="1"/>
  <c r="G16" i="36" s="1"/>
  <c r="G15" i="36" a="1"/>
  <c r="G15" i="36" s="1"/>
  <c r="G14" i="36" a="1"/>
  <c r="G14" i="36" s="1"/>
  <c r="G13" i="36" a="1"/>
  <c r="G13" i="36" s="1"/>
  <c r="G12" i="36" a="1"/>
  <c r="G12" i="36" s="1"/>
  <c r="G11" i="36" a="1"/>
  <c r="G11" i="36" s="1"/>
  <c r="G10" i="36" a="1"/>
  <c r="G10" i="36" s="1"/>
  <c r="G9" i="36" a="1"/>
  <c r="G9" i="36" s="1"/>
  <c r="G8" i="36" a="1"/>
  <c r="G8" i="36" s="1"/>
  <c r="G7" i="36" a="1"/>
  <c r="G7" i="36" s="1"/>
  <c r="G6" i="36" a="1"/>
  <c r="G6" i="36" s="1"/>
  <c r="G5" i="36" a="1"/>
  <c r="G5" i="36" s="1"/>
  <c r="G4" i="36" a="1"/>
  <c r="G4" i="36" s="1"/>
  <c r="G3" i="36" a="1"/>
  <c r="G3" i="36" s="1"/>
  <c r="G2" i="36" a="1"/>
  <c r="G2" i="36" s="1"/>
  <c r="G147" i="37" a="1"/>
  <c r="G147" i="37" s="1"/>
  <c r="G146" i="37" a="1"/>
  <c r="G146" i="37" s="1"/>
  <c r="G145" i="37" a="1"/>
  <c r="G145" i="37" s="1"/>
  <c r="G144" i="37" a="1"/>
  <c r="G144" i="37" s="1"/>
  <c r="G143" i="37" a="1"/>
  <c r="G143" i="37" s="1"/>
  <c r="G142" i="37" a="1"/>
  <c r="G142" i="37" s="1"/>
  <c r="G141" i="37" a="1"/>
  <c r="G141" i="37" s="1"/>
  <c r="G140" i="37" a="1"/>
  <c r="G140" i="37" s="1"/>
  <c r="G139" i="37" a="1"/>
  <c r="G139" i="37" s="1"/>
  <c r="G138" i="37" a="1"/>
  <c r="G138" i="37" s="1"/>
  <c r="G137" i="37" a="1"/>
  <c r="G137" i="37" s="1"/>
  <c r="G136" i="37" a="1"/>
  <c r="G136" i="37" s="1"/>
  <c r="G135" i="37" a="1"/>
  <c r="G135" i="37" s="1"/>
  <c r="G134" i="37" a="1"/>
  <c r="G134" i="37" s="1"/>
  <c r="G133" i="37" a="1"/>
  <c r="G133" i="37" s="1"/>
  <c r="G132" i="37" a="1"/>
  <c r="G132" i="37" s="1"/>
  <c r="G131" i="37" a="1"/>
  <c r="G131" i="37" s="1"/>
  <c r="G130" i="37" a="1"/>
  <c r="G130" i="37" s="1"/>
  <c r="G129" i="37" a="1"/>
  <c r="G129" i="37" s="1"/>
  <c r="G128" i="37" a="1"/>
  <c r="G128" i="37" s="1"/>
  <c r="G127" i="37" a="1"/>
  <c r="G127" i="37" s="1"/>
  <c r="G126" i="37" a="1"/>
  <c r="G126" i="37" s="1"/>
  <c r="G125" i="37" a="1"/>
  <c r="G125" i="37" s="1"/>
  <c r="G124" i="37" a="1"/>
  <c r="G124" i="37" s="1"/>
  <c r="G123" i="37" a="1"/>
  <c r="G123" i="37" s="1"/>
  <c r="G122" i="37" a="1"/>
  <c r="G122" i="37" s="1"/>
  <c r="G121" i="37" a="1"/>
  <c r="G121" i="37" s="1"/>
  <c r="G120" i="37" a="1"/>
  <c r="G120" i="37" s="1"/>
  <c r="G119" i="37" a="1"/>
  <c r="G119" i="37" s="1"/>
  <c r="G118" i="37" a="1"/>
  <c r="G118" i="37" s="1"/>
  <c r="G117" i="37" a="1"/>
  <c r="G117" i="37" s="1"/>
  <c r="G116" i="37" a="1"/>
  <c r="G116" i="37" s="1"/>
  <c r="G115" i="37" a="1"/>
  <c r="G115" i="37" s="1"/>
  <c r="G114" i="37" a="1"/>
  <c r="G114" i="37" s="1"/>
  <c r="G113" i="37" a="1"/>
  <c r="G113" i="37" s="1"/>
  <c r="G112" i="37" a="1"/>
  <c r="G112" i="37" s="1"/>
  <c r="G111" i="37" a="1"/>
  <c r="G111" i="37" s="1"/>
  <c r="G110" i="37" a="1"/>
  <c r="G110" i="37" s="1"/>
  <c r="G109" i="37" a="1"/>
  <c r="G109" i="37" s="1"/>
  <c r="G108" i="37" a="1"/>
  <c r="G108" i="37" s="1"/>
  <c r="G107" i="37" a="1"/>
  <c r="G107" i="37" s="1"/>
  <c r="G106" i="37" a="1"/>
  <c r="G106" i="37" s="1"/>
  <c r="G105" i="37" a="1"/>
  <c r="G105" i="37" s="1"/>
  <c r="G104" i="37" a="1"/>
  <c r="G104" i="37" s="1"/>
  <c r="G103" i="37" a="1"/>
  <c r="G103" i="37" s="1"/>
  <c r="G102" i="37" a="1"/>
  <c r="G102" i="37" s="1"/>
  <c r="G101" i="37" a="1"/>
  <c r="G101" i="37" s="1"/>
  <c r="G100" i="37" a="1"/>
  <c r="G100" i="37" s="1"/>
  <c r="G99" i="37" a="1"/>
  <c r="G99" i="37" s="1"/>
  <c r="G98" i="37" a="1"/>
  <c r="G98" i="37" s="1"/>
  <c r="G97" i="37" a="1"/>
  <c r="G97" i="37" s="1"/>
  <c r="G96" i="37" a="1"/>
  <c r="G96" i="37" s="1"/>
  <c r="G95" i="37" a="1"/>
  <c r="G95" i="37" s="1"/>
  <c r="G94" i="37" a="1"/>
  <c r="G94" i="37" s="1"/>
  <c r="G93" i="37" a="1"/>
  <c r="G93" i="37" s="1"/>
  <c r="G92" i="37" a="1"/>
  <c r="G92" i="37" s="1"/>
  <c r="G91" i="37" a="1"/>
  <c r="G91" i="37" s="1"/>
  <c r="G90" i="37" a="1"/>
  <c r="G90" i="37" s="1"/>
  <c r="G89" i="37" a="1"/>
  <c r="G89" i="37" s="1"/>
  <c r="G88" i="37" a="1"/>
  <c r="G88" i="37" s="1"/>
  <c r="G87" i="37" a="1"/>
  <c r="G87" i="37" s="1"/>
  <c r="G86" i="37" a="1"/>
  <c r="G86" i="37" s="1"/>
  <c r="G85" i="37" a="1"/>
  <c r="G85" i="37" s="1"/>
  <c r="G84" i="37" a="1"/>
  <c r="G84" i="37" s="1"/>
  <c r="G83" i="37" a="1"/>
  <c r="G83" i="37" s="1"/>
  <c r="G82" i="37" a="1"/>
  <c r="G82" i="37" s="1"/>
  <c r="G81" i="37" a="1"/>
  <c r="G81" i="37" s="1"/>
  <c r="G80" i="37" a="1"/>
  <c r="G80" i="37" s="1"/>
  <c r="G79" i="37" a="1"/>
  <c r="G79" i="37" s="1"/>
  <c r="G78" i="37" a="1"/>
  <c r="G78" i="37" s="1"/>
  <c r="G77" i="37" a="1"/>
  <c r="G77" i="37" s="1"/>
  <c r="G76" i="37" a="1"/>
  <c r="G76" i="37" s="1"/>
  <c r="G75" i="37" a="1"/>
  <c r="G75" i="37" s="1"/>
  <c r="G74" i="37" a="1"/>
  <c r="G74" i="37" s="1"/>
  <c r="G73" i="37" a="1"/>
  <c r="G73" i="37" s="1"/>
  <c r="G72" i="37" a="1"/>
  <c r="G72" i="37" s="1"/>
  <c r="G71" i="37" a="1"/>
  <c r="G71" i="37" s="1"/>
  <c r="G70" i="37" a="1"/>
  <c r="G70" i="37" s="1"/>
  <c r="G69" i="37" a="1"/>
  <c r="G69" i="37" s="1"/>
  <c r="G68" i="37" a="1"/>
  <c r="G68" i="37" s="1"/>
  <c r="G67" i="37" a="1"/>
  <c r="G67" i="37" s="1"/>
  <c r="G66" i="37" a="1"/>
  <c r="G66" i="37" s="1"/>
  <c r="G65" i="37" a="1"/>
  <c r="G65" i="37" s="1"/>
  <c r="G64" i="37" a="1"/>
  <c r="G64" i="37" s="1"/>
  <c r="G63" i="37" a="1"/>
  <c r="G63" i="37" s="1"/>
  <c r="G62" i="37" a="1"/>
  <c r="G62" i="37" s="1"/>
  <c r="G61" i="37" a="1"/>
  <c r="G61" i="37" s="1"/>
  <c r="G60" i="37" a="1"/>
  <c r="G60" i="37" s="1"/>
  <c r="G59" i="37" a="1"/>
  <c r="G59" i="37" s="1"/>
  <c r="G58" i="37" a="1"/>
  <c r="G58" i="37" s="1"/>
  <c r="G57" i="37" a="1"/>
  <c r="G57" i="37" s="1"/>
  <c r="G56" i="37" a="1"/>
  <c r="G56" i="37" s="1"/>
  <c r="G55" i="37" a="1"/>
  <c r="G55" i="37" s="1"/>
  <c r="G54" i="37" a="1"/>
  <c r="G54" i="37" s="1"/>
  <c r="G53" i="37" a="1"/>
  <c r="G53" i="37" s="1"/>
  <c r="G52" i="37" a="1"/>
  <c r="G52" i="37" s="1"/>
  <c r="G51" i="37" a="1"/>
  <c r="G51" i="37" s="1"/>
  <c r="G50" i="37" a="1"/>
  <c r="G50" i="37" s="1"/>
  <c r="G49" i="37" a="1"/>
  <c r="G49" i="37" s="1"/>
  <c r="G48" i="37" a="1"/>
  <c r="G48" i="37" s="1"/>
  <c r="G47" i="37" a="1"/>
  <c r="G47" i="37" s="1"/>
  <c r="G46" i="37" a="1"/>
  <c r="G46" i="37" s="1"/>
  <c r="G45" i="37" a="1"/>
  <c r="G45" i="37" s="1"/>
  <c r="G44" i="37" a="1"/>
  <c r="G44" i="37" s="1"/>
  <c r="G43" i="37" a="1"/>
  <c r="G43" i="37" s="1"/>
  <c r="G42" i="37" a="1"/>
  <c r="G42" i="37" s="1"/>
  <c r="G41" i="37" a="1"/>
  <c r="G41" i="37" s="1"/>
  <c r="G40" i="37" a="1"/>
  <c r="G40" i="37" s="1"/>
  <c r="G39" i="37" a="1"/>
  <c r="G39" i="37" s="1"/>
  <c r="G38" i="37" a="1"/>
  <c r="G38" i="37" s="1"/>
  <c r="G37" i="37" a="1"/>
  <c r="G37" i="37" s="1"/>
  <c r="G36" i="37" a="1"/>
  <c r="G36" i="37" s="1"/>
  <c r="G35" i="37" a="1"/>
  <c r="G35" i="37" s="1"/>
  <c r="G34" i="37" a="1"/>
  <c r="G34" i="37" s="1"/>
  <c r="G33" i="37" a="1"/>
  <c r="G33" i="37" s="1"/>
  <c r="G32" i="37" a="1"/>
  <c r="G32" i="37" s="1"/>
  <c r="G31" i="37" a="1"/>
  <c r="G31" i="37" s="1"/>
  <c r="G30" i="37" a="1"/>
  <c r="G30" i="37" s="1"/>
  <c r="G29" i="37" a="1"/>
  <c r="G29" i="37" s="1"/>
  <c r="G28" i="37" a="1"/>
  <c r="G28" i="37" s="1"/>
  <c r="G27" i="37" a="1"/>
  <c r="G27" i="37" s="1"/>
  <c r="G26" i="37" a="1"/>
  <c r="G26" i="37" s="1"/>
  <c r="G25" i="37" a="1"/>
  <c r="G25" i="37" s="1"/>
  <c r="G24" i="37" a="1"/>
  <c r="G24" i="37" s="1"/>
  <c r="G23" i="37" a="1"/>
  <c r="G23" i="37" s="1"/>
  <c r="G22" i="37" a="1"/>
  <c r="G22" i="37" s="1"/>
  <c r="G21" i="37" a="1"/>
  <c r="G21" i="37" s="1"/>
  <c r="G20" i="37" a="1"/>
  <c r="G20" i="37" s="1"/>
  <c r="G19" i="37" a="1"/>
  <c r="G19" i="37" s="1"/>
  <c r="G18" i="37" a="1"/>
  <c r="G18" i="37" s="1"/>
  <c r="G17" i="37" a="1"/>
  <c r="G17" i="37" s="1"/>
  <c r="G16" i="37" a="1"/>
  <c r="G16" i="37" s="1"/>
  <c r="G15" i="37" a="1"/>
  <c r="G15" i="37" s="1"/>
  <c r="G14" i="37" a="1"/>
  <c r="G14" i="37" s="1"/>
  <c r="G13" i="37" a="1"/>
  <c r="G13" i="37" s="1"/>
  <c r="G12" i="37" a="1"/>
  <c r="G12" i="37" s="1"/>
  <c r="G11" i="37" a="1"/>
  <c r="G11" i="37" s="1"/>
  <c r="G10" i="37" a="1"/>
  <c r="G10" i="37" s="1"/>
  <c r="G9" i="37" a="1"/>
  <c r="G9" i="37" s="1"/>
  <c r="G8" i="37" a="1"/>
  <c r="G8" i="37" s="1"/>
  <c r="G7" i="37" a="1"/>
  <c r="G7" i="37" s="1"/>
  <c r="G6" i="37" a="1"/>
  <c r="G6" i="37" s="1"/>
  <c r="G5" i="37" a="1"/>
  <c r="G5" i="37" s="1"/>
  <c r="G4" i="37" a="1"/>
  <c r="G4" i="37" s="1"/>
  <c r="G3" i="37" a="1"/>
  <c r="G3" i="37" s="1"/>
  <c r="G2" i="37" a="1"/>
  <c r="G2" i="37" s="1"/>
  <c r="G91" i="38" a="1"/>
  <c r="G91" i="38" s="1"/>
  <c r="G90" i="38" a="1"/>
  <c r="G90" i="38" s="1"/>
  <c r="G89" i="38" a="1"/>
  <c r="G89" i="38" s="1"/>
  <c r="G88" i="38" a="1"/>
  <c r="G88" i="38" s="1"/>
  <c r="G87" i="38" a="1"/>
  <c r="G87" i="38" s="1"/>
  <c r="G86" i="38" a="1"/>
  <c r="G86" i="38" s="1"/>
  <c r="G85" i="38" a="1"/>
  <c r="G85" i="38" s="1"/>
  <c r="G84" i="38" a="1"/>
  <c r="G84" i="38" s="1"/>
  <c r="G83" i="38" a="1"/>
  <c r="G83" i="38" s="1"/>
  <c r="G82" i="38" a="1"/>
  <c r="G82" i="38" s="1"/>
  <c r="G81" i="38" a="1"/>
  <c r="G81" i="38" s="1"/>
  <c r="G80" i="38" a="1"/>
  <c r="G80" i="38" s="1"/>
  <c r="G79" i="38" a="1"/>
  <c r="G79" i="38" s="1"/>
  <c r="G78" i="38" a="1"/>
  <c r="G78" i="38" s="1"/>
  <c r="G77" i="38" a="1"/>
  <c r="G77" i="38" s="1"/>
  <c r="G76" i="38" a="1"/>
  <c r="G76" i="38" s="1"/>
  <c r="G75" i="38" a="1"/>
  <c r="G75" i="38" s="1"/>
  <c r="G74" i="38" a="1"/>
  <c r="G74" i="38" s="1"/>
  <c r="G73" i="38" a="1"/>
  <c r="G73" i="38" s="1"/>
  <c r="G72" i="38" a="1"/>
  <c r="G72" i="38" s="1"/>
  <c r="G71" i="38" a="1"/>
  <c r="G71" i="38" s="1"/>
  <c r="G70" i="38" a="1"/>
  <c r="G70" i="38" s="1"/>
  <c r="G69" i="38" a="1"/>
  <c r="G69" i="38" s="1"/>
  <c r="G68" i="38" a="1"/>
  <c r="G68" i="38" s="1"/>
  <c r="G67" i="38" a="1"/>
  <c r="G67" i="38" s="1"/>
  <c r="G66" i="38" a="1"/>
  <c r="G66" i="38" s="1"/>
  <c r="G65" i="38" a="1"/>
  <c r="G65" i="38" s="1"/>
  <c r="G64" i="38" a="1"/>
  <c r="G64" i="38" s="1"/>
  <c r="G63" i="38" a="1"/>
  <c r="G63" i="38" s="1"/>
  <c r="G62" i="38" a="1"/>
  <c r="G62" i="38" s="1"/>
  <c r="G61" i="38" a="1"/>
  <c r="G61" i="38" s="1"/>
  <c r="G60" i="38" a="1"/>
  <c r="G60" i="38" s="1"/>
  <c r="G59" i="38" a="1"/>
  <c r="G59" i="38" s="1"/>
  <c r="G58" i="38" a="1"/>
  <c r="G58" i="38" s="1"/>
  <c r="G57" i="38" a="1"/>
  <c r="G57" i="38" s="1"/>
  <c r="G56" i="38" a="1"/>
  <c r="G56" i="38" s="1"/>
  <c r="G55" i="38" a="1"/>
  <c r="G55" i="38" s="1"/>
  <c r="G54" i="38" a="1"/>
  <c r="G54" i="38" s="1"/>
  <c r="G53" i="38" a="1"/>
  <c r="G53" i="38" s="1"/>
  <c r="G52" i="38" a="1"/>
  <c r="G52" i="38" s="1"/>
  <c r="G51" i="38" a="1"/>
  <c r="G51" i="38" s="1"/>
  <c r="G50" i="38" a="1"/>
  <c r="G50" i="38" s="1"/>
  <c r="G49" i="38" a="1"/>
  <c r="G49" i="38" s="1"/>
  <c r="G48" i="38" a="1"/>
  <c r="G48" i="38" s="1"/>
  <c r="G47" i="38" a="1"/>
  <c r="G47" i="38" s="1"/>
  <c r="G46" i="38" a="1"/>
  <c r="G46" i="38" s="1"/>
  <c r="G45" i="38" a="1"/>
  <c r="G45" i="38" s="1"/>
  <c r="G44" i="38" a="1"/>
  <c r="G44" i="38" s="1"/>
  <c r="G43" i="38" a="1"/>
  <c r="G43" i="38" s="1"/>
  <c r="G42" i="38" a="1"/>
  <c r="G42" i="38" s="1"/>
  <c r="G41" i="38" a="1"/>
  <c r="G41" i="38" s="1"/>
  <c r="G40" i="38" a="1"/>
  <c r="G40" i="38" s="1"/>
  <c r="G39" i="38" a="1"/>
  <c r="G39" i="38" s="1"/>
  <c r="G38" i="38" a="1"/>
  <c r="G38" i="38" s="1"/>
  <c r="G37" i="38" a="1"/>
  <c r="G37" i="38" s="1"/>
  <c r="G36" i="38" a="1"/>
  <c r="G36" i="38" s="1"/>
  <c r="G35" i="38" a="1"/>
  <c r="G35" i="38" s="1"/>
  <c r="G34" i="38" a="1"/>
  <c r="G34" i="38" s="1"/>
  <c r="G33" i="38" a="1"/>
  <c r="G33" i="38" s="1"/>
  <c r="G32" i="38" a="1"/>
  <c r="G32" i="38" s="1"/>
  <c r="G31" i="38" a="1"/>
  <c r="G31" i="38" s="1"/>
  <c r="G30" i="38" a="1"/>
  <c r="G30" i="38" s="1"/>
  <c r="G29" i="38" a="1"/>
  <c r="G29" i="38" s="1"/>
  <c r="G28" i="38" a="1"/>
  <c r="G28" i="38" s="1"/>
  <c r="G27" i="38" a="1"/>
  <c r="G27" i="38" s="1"/>
  <c r="G26" i="38" a="1"/>
  <c r="G26" i="38" s="1"/>
  <c r="G25" i="38" a="1"/>
  <c r="G25" i="38" s="1"/>
  <c r="G24" i="38" a="1"/>
  <c r="G24" i="38" s="1"/>
  <c r="G23" i="38" a="1"/>
  <c r="G23" i="38" s="1"/>
  <c r="G22" i="38" a="1"/>
  <c r="G22" i="38" s="1"/>
  <c r="G21" i="38" a="1"/>
  <c r="G21" i="38" s="1"/>
  <c r="G20" i="38" a="1"/>
  <c r="G20" i="38" s="1"/>
  <c r="G19" i="38" a="1"/>
  <c r="G19" i="38" s="1"/>
  <c r="G18" i="38" a="1"/>
  <c r="G18" i="38" s="1"/>
  <c r="G17" i="38" a="1"/>
  <c r="G17" i="38" s="1"/>
  <c r="G16" i="38" a="1"/>
  <c r="G16" i="38" s="1"/>
  <c r="G15" i="38" a="1"/>
  <c r="G15" i="38" s="1"/>
  <c r="G14" i="38" a="1"/>
  <c r="G14" i="38" s="1"/>
  <c r="G13" i="38" a="1"/>
  <c r="G13" i="38" s="1"/>
  <c r="G12" i="38" a="1"/>
  <c r="G12" i="38" s="1"/>
  <c r="G11" i="38" a="1"/>
  <c r="G11" i="38" s="1"/>
  <c r="G10" i="38" a="1"/>
  <c r="G10" i="38" s="1"/>
  <c r="G9" i="38" a="1"/>
  <c r="G9" i="38" s="1"/>
  <c r="G8" i="38" a="1"/>
  <c r="G8" i="38" s="1"/>
  <c r="G7" i="38" a="1"/>
  <c r="G7" i="38" s="1"/>
  <c r="G6" i="38" a="1"/>
  <c r="G6" i="38" s="1"/>
  <c r="G5" i="38" a="1"/>
  <c r="G5" i="38" s="1"/>
  <c r="G4" i="38" a="1"/>
  <c r="G4" i="38" s="1"/>
  <c r="G3" i="38" a="1"/>
  <c r="G3" i="38" s="1"/>
  <c r="G2" i="38" a="1"/>
  <c r="G2" i="38" s="1"/>
  <c r="G38" i="39" a="1"/>
  <c r="G38" i="39" s="1"/>
  <c r="G37" i="39" a="1"/>
  <c r="G37" i="39" s="1"/>
  <c r="G36" i="39" a="1"/>
  <c r="G36" i="39" s="1"/>
  <c r="G35" i="39" a="1"/>
  <c r="G35" i="39" s="1"/>
  <c r="G34" i="39" a="1"/>
  <c r="G34" i="39" s="1"/>
  <c r="G33" i="39" a="1"/>
  <c r="G33" i="39" s="1"/>
  <c r="G32" i="39" a="1"/>
  <c r="G32" i="39" s="1"/>
  <c r="G31" i="39" a="1"/>
  <c r="G31" i="39" s="1"/>
  <c r="G30" i="39" a="1"/>
  <c r="G30" i="39" s="1"/>
  <c r="G29" i="39" a="1"/>
  <c r="G29" i="39" s="1"/>
  <c r="G28" i="39" a="1"/>
  <c r="G28" i="39" s="1"/>
  <c r="G27" i="39" a="1"/>
  <c r="G27" i="39" s="1"/>
  <c r="G26" i="39" a="1"/>
  <c r="G26" i="39" s="1"/>
  <c r="G25" i="39" a="1"/>
  <c r="G25" i="39" s="1"/>
  <c r="G24" i="39" a="1"/>
  <c r="G24" i="39" s="1"/>
  <c r="G23" i="39" a="1"/>
  <c r="G23" i="39" s="1"/>
  <c r="G22" i="39" a="1"/>
  <c r="G22" i="39" s="1"/>
  <c r="G21" i="39" a="1"/>
  <c r="G21" i="39" s="1"/>
  <c r="G20" i="39" a="1"/>
  <c r="G20" i="39" s="1"/>
  <c r="G19" i="39" a="1"/>
  <c r="G19" i="39" s="1"/>
  <c r="G18" i="39" a="1"/>
  <c r="G18" i="39" s="1"/>
  <c r="G17" i="39" a="1"/>
  <c r="G17" i="39" s="1"/>
  <c r="G16" i="39" a="1"/>
  <c r="G16" i="39" s="1"/>
  <c r="G15" i="39" a="1"/>
  <c r="G15" i="39" s="1"/>
  <c r="G14" i="39" a="1"/>
  <c r="G14" i="39" s="1"/>
  <c r="G13" i="39" a="1"/>
  <c r="G13" i="39" s="1"/>
  <c r="G12" i="39" a="1"/>
  <c r="G12" i="39" s="1"/>
  <c r="G11" i="39" a="1"/>
  <c r="G11" i="39" s="1"/>
  <c r="G10" i="39" a="1"/>
  <c r="G10" i="39" s="1"/>
  <c r="G9" i="39" a="1"/>
  <c r="G9" i="39" s="1"/>
  <c r="G8" i="39" a="1"/>
  <c r="G8" i="39" s="1"/>
  <c r="G7" i="39" a="1"/>
  <c r="G7" i="39" s="1"/>
  <c r="G6" i="39" a="1"/>
  <c r="G6" i="39" s="1"/>
  <c r="G5" i="39" a="1"/>
  <c r="G5" i="39" s="1"/>
  <c r="G4" i="39" a="1"/>
  <c r="G4" i="39" s="1"/>
  <c r="G3" i="39" a="1"/>
  <c r="G3" i="39" s="1"/>
  <c r="G2" i="39" a="1"/>
  <c r="G2" i="39" s="1"/>
  <c r="G177" i="40" a="1"/>
  <c r="G177" i="40" s="1"/>
  <c r="G176" i="40" a="1"/>
  <c r="G176" i="40" s="1"/>
  <c r="G175" i="40" a="1"/>
  <c r="G175" i="40" s="1"/>
  <c r="G174" i="40" a="1"/>
  <c r="G174" i="40" s="1"/>
  <c r="G173" i="40" a="1"/>
  <c r="G173" i="40" s="1"/>
  <c r="G172" i="40" a="1"/>
  <c r="G172" i="40" s="1"/>
  <c r="G171" i="40" a="1"/>
  <c r="G171" i="40" s="1"/>
  <c r="G170" i="40" a="1"/>
  <c r="G170" i="40" s="1"/>
  <c r="G169" i="40" a="1"/>
  <c r="G169" i="40" s="1"/>
  <c r="G168" i="40" a="1"/>
  <c r="G168" i="40" s="1"/>
  <c r="G167" i="40" a="1"/>
  <c r="G167" i="40" s="1"/>
  <c r="G166" i="40" a="1"/>
  <c r="G166" i="40" s="1"/>
  <c r="G165" i="40" a="1"/>
  <c r="G165" i="40" s="1"/>
  <c r="G164" i="40" a="1"/>
  <c r="G164" i="40" s="1"/>
  <c r="G163" i="40" a="1"/>
  <c r="G163" i="40" s="1"/>
  <c r="G162" i="40" a="1"/>
  <c r="G162" i="40" s="1"/>
  <c r="G161" i="40" a="1"/>
  <c r="G161" i="40" s="1"/>
  <c r="G160" i="40" a="1"/>
  <c r="G160" i="40" s="1"/>
  <c r="G159" i="40" a="1"/>
  <c r="G159" i="40" s="1"/>
  <c r="G158" i="40" a="1"/>
  <c r="G158" i="40" s="1"/>
  <c r="G157" i="40" a="1"/>
  <c r="G157" i="40" s="1"/>
  <c r="G156" i="40" a="1"/>
  <c r="G156" i="40" s="1"/>
  <c r="G155" i="40" a="1"/>
  <c r="G155" i="40" s="1"/>
  <c r="G154" i="40" a="1"/>
  <c r="G154" i="40" s="1"/>
  <c r="G153" i="40" a="1"/>
  <c r="G153" i="40" s="1"/>
  <c r="G152" i="40" a="1"/>
  <c r="G152" i="40" s="1"/>
  <c r="G151" i="40" a="1"/>
  <c r="G151" i="40" s="1"/>
  <c r="G150" i="40" a="1"/>
  <c r="G150" i="40" s="1"/>
  <c r="G149" i="40" a="1"/>
  <c r="G149" i="40" s="1"/>
  <c r="G148" i="40" a="1"/>
  <c r="G148" i="40" s="1"/>
  <c r="G147" i="40" a="1"/>
  <c r="G147" i="40" s="1"/>
  <c r="G146" i="40" a="1"/>
  <c r="G146" i="40" s="1"/>
  <c r="G145" i="40" a="1"/>
  <c r="G145" i="40" s="1"/>
  <c r="G144" i="40" a="1"/>
  <c r="G144" i="40" s="1"/>
  <c r="G143" i="40" a="1"/>
  <c r="G143" i="40" s="1"/>
  <c r="G142" i="40" a="1"/>
  <c r="G142" i="40" s="1"/>
  <c r="G141" i="40" a="1"/>
  <c r="G141" i="40" s="1"/>
  <c r="G140" i="40" a="1"/>
  <c r="G140" i="40" s="1"/>
  <c r="G139" i="40" a="1"/>
  <c r="G139" i="40" s="1"/>
  <c r="G138" i="40" a="1"/>
  <c r="G138" i="40" s="1"/>
  <c r="G137" i="40" a="1"/>
  <c r="G137" i="40" s="1"/>
  <c r="G136" i="40" a="1"/>
  <c r="G136" i="40" s="1"/>
  <c r="G135" i="40" a="1"/>
  <c r="G135" i="40" s="1"/>
  <c r="G134" i="40" a="1"/>
  <c r="G134" i="40" s="1"/>
  <c r="G133" i="40" a="1"/>
  <c r="G133" i="40" s="1"/>
  <c r="G132" i="40" a="1"/>
  <c r="G132" i="40" s="1"/>
  <c r="G131" i="40" a="1"/>
  <c r="G131" i="40" s="1"/>
  <c r="G130" i="40" a="1"/>
  <c r="G130" i="40" s="1"/>
  <c r="G129" i="40" a="1"/>
  <c r="G129" i="40" s="1"/>
  <c r="G128" i="40" a="1"/>
  <c r="G128" i="40" s="1"/>
  <c r="G127" i="40" a="1"/>
  <c r="G127" i="40" s="1"/>
  <c r="G126" i="40" a="1"/>
  <c r="G126" i="40" s="1"/>
  <c r="G125" i="40" a="1"/>
  <c r="G125" i="40" s="1"/>
  <c r="G124" i="40" a="1"/>
  <c r="G124" i="40" s="1"/>
  <c r="G123" i="40" a="1"/>
  <c r="G123" i="40" s="1"/>
  <c r="G122" i="40" a="1"/>
  <c r="G122" i="40" s="1"/>
  <c r="G121" i="40" a="1"/>
  <c r="G121" i="40" s="1"/>
  <c r="G120" i="40" a="1"/>
  <c r="G120" i="40" s="1"/>
  <c r="G119" i="40" a="1"/>
  <c r="G119" i="40" s="1"/>
  <c r="G118" i="40" a="1"/>
  <c r="G118" i="40" s="1"/>
  <c r="G117" i="40" a="1"/>
  <c r="G117" i="40" s="1"/>
  <c r="G116" i="40" a="1"/>
  <c r="G116" i="40" s="1"/>
  <c r="G115" i="40" a="1"/>
  <c r="G115" i="40" s="1"/>
  <c r="G114" i="40" a="1"/>
  <c r="G114" i="40" s="1"/>
  <c r="G113" i="40" a="1"/>
  <c r="G113" i="40" s="1"/>
  <c r="G112" i="40" a="1"/>
  <c r="G112" i="40" s="1"/>
  <c r="G111" i="40" a="1"/>
  <c r="G111" i="40" s="1"/>
  <c r="G110" i="40" a="1"/>
  <c r="G110" i="40" s="1"/>
  <c r="G109" i="40" a="1"/>
  <c r="G109" i="40" s="1"/>
  <c r="G108" i="40" a="1"/>
  <c r="G108" i="40" s="1"/>
  <c r="G107" i="40" a="1"/>
  <c r="G107" i="40" s="1"/>
  <c r="G106" i="40" a="1"/>
  <c r="G106" i="40" s="1"/>
  <c r="G105" i="40" a="1"/>
  <c r="G105" i="40" s="1"/>
  <c r="G104" i="40" a="1"/>
  <c r="G104" i="40" s="1"/>
  <c r="G103" i="40" a="1"/>
  <c r="G103" i="40" s="1"/>
  <c r="G102" i="40" a="1"/>
  <c r="G102" i="40" s="1"/>
  <c r="G101" i="40" a="1"/>
  <c r="G101" i="40" s="1"/>
  <c r="G100" i="40" a="1"/>
  <c r="G100" i="40" s="1"/>
  <c r="G99" i="40" a="1"/>
  <c r="G99" i="40" s="1"/>
  <c r="G98" i="40" a="1"/>
  <c r="G98" i="40" s="1"/>
  <c r="G97" i="40" a="1"/>
  <c r="G97" i="40" s="1"/>
  <c r="G96" i="40" a="1"/>
  <c r="G96" i="40" s="1"/>
  <c r="G95" i="40" a="1"/>
  <c r="G95" i="40" s="1"/>
  <c r="G94" i="40" a="1"/>
  <c r="G94" i="40" s="1"/>
  <c r="G93" i="40" a="1"/>
  <c r="G93" i="40" s="1"/>
  <c r="G92" i="40" a="1"/>
  <c r="G92" i="40" s="1"/>
  <c r="G91" i="40" a="1"/>
  <c r="G91" i="40" s="1"/>
  <c r="G90" i="40" a="1"/>
  <c r="G90" i="40" s="1"/>
  <c r="G89" i="40" a="1"/>
  <c r="G89" i="40" s="1"/>
  <c r="G88" i="40" a="1"/>
  <c r="G88" i="40" s="1"/>
  <c r="G87" i="40" a="1"/>
  <c r="G87" i="40" s="1"/>
  <c r="G86" i="40" a="1"/>
  <c r="G86" i="40" s="1"/>
  <c r="G85" i="40" a="1"/>
  <c r="G85" i="40" s="1"/>
  <c r="G84" i="40" a="1"/>
  <c r="G84" i="40" s="1"/>
  <c r="G83" i="40" a="1"/>
  <c r="G83" i="40" s="1"/>
  <c r="G82" i="40" a="1"/>
  <c r="G82" i="40" s="1"/>
  <c r="G81" i="40" a="1"/>
  <c r="G81" i="40" s="1"/>
  <c r="G80" i="40" a="1"/>
  <c r="G80" i="40" s="1"/>
  <c r="G79" i="40" a="1"/>
  <c r="G79" i="40" s="1"/>
  <c r="G78" i="40" a="1"/>
  <c r="G78" i="40" s="1"/>
  <c r="G77" i="40" a="1"/>
  <c r="G77" i="40" s="1"/>
  <c r="G76" i="40" a="1"/>
  <c r="G76" i="40" s="1"/>
  <c r="G75" i="40" a="1"/>
  <c r="G75" i="40" s="1"/>
  <c r="G74" i="40" a="1"/>
  <c r="G74" i="40" s="1"/>
  <c r="G73" i="40" a="1"/>
  <c r="G73" i="40" s="1"/>
  <c r="G72" i="40" a="1"/>
  <c r="G72" i="40" s="1"/>
  <c r="G71" i="40" a="1"/>
  <c r="G71" i="40" s="1"/>
  <c r="G70" i="40" a="1"/>
  <c r="G70" i="40" s="1"/>
  <c r="G69" i="40" a="1"/>
  <c r="G69" i="40" s="1"/>
  <c r="G68" i="40" a="1"/>
  <c r="G68" i="40" s="1"/>
  <c r="G67" i="40" a="1"/>
  <c r="G67" i="40" s="1"/>
  <c r="G66" i="40" a="1"/>
  <c r="G66" i="40" s="1"/>
  <c r="G65" i="40" a="1"/>
  <c r="G65" i="40" s="1"/>
  <c r="G64" i="40" a="1"/>
  <c r="G64" i="40" s="1"/>
  <c r="G63" i="40" a="1"/>
  <c r="G63" i="40" s="1"/>
  <c r="G62" i="40" a="1"/>
  <c r="G62" i="40" s="1"/>
  <c r="G61" i="40" a="1"/>
  <c r="G61" i="40" s="1"/>
  <c r="G60" i="40" a="1"/>
  <c r="G60" i="40" s="1"/>
  <c r="G59" i="40" a="1"/>
  <c r="G59" i="40" s="1"/>
  <c r="G58" i="40" a="1"/>
  <c r="G58" i="40" s="1"/>
  <c r="G57" i="40" a="1"/>
  <c r="G57" i="40" s="1"/>
  <c r="G56" i="40" a="1"/>
  <c r="G56" i="40" s="1"/>
  <c r="G55" i="40" a="1"/>
  <c r="G55" i="40" s="1"/>
  <c r="G54" i="40" a="1"/>
  <c r="G54" i="40" s="1"/>
  <c r="G53" i="40" a="1"/>
  <c r="G53" i="40" s="1"/>
  <c r="G52" i="40" a="1"/>
  <c r="G52" i="40" s="1"/>
  <c r="G51" i="40" a="1"/>
  <c r="G51" i="40" s="1"/>
  <c r="G50" i="40" a="1"/>
  <c r="G50" i="40" s="1"/>
  <c r="G49" i="40" a="1"/>
  <c r="G49" i="40" s="1"/>
  <c r="G48" i="40" a="1"/>
  <c r="G48" i="40" s="1"/>
  <c r="G47" i="40" a="1"/>
  <c r="G47" i="40" s="1"/>
  <c r="G46" i="40" a="1"/>
  <c r="G46" i="40" s="1"/>
  <c r="G45" i="40" a="1"/>
  <c r="G45" i="40" s="1"/>
  <c r="G44" i="40" a="1"/>
  <c r="G44" i="40" s="1"/>
  <c r="G43" i="40" a="1"/>
  <c r="G43" i="40" s="1"/>
  <c r="G42" i="40" a="1"/>
  <c r="G42" i="40" s="1"/>
  <c r="G41" i="40" a="1"/>
  <c r="G41" i="40" s="1"/>
  <c r="G40" i="40" a="1"/>
  <c r="G40" i="40" s="1"/>
  <c r="G39" i="40" a="1"/>
  <c r="G39" i="40" s="1"/>
  <c r="G38" i="40" a="1"/>
  <c r="G38" i="40" s="1"/>
  <c r="G37" i="40" a="1"/>
  <c r="G37" i="40" s="1"/>
  <c r="G36" i="40" a="1"/>
  <c r="G36" i="40" s="1"/>
  <c r="G35" i="40" a="1"/>
  <c r="G35" i="40" s="1"/>
  <c r="G34" i="40" a="1"/>
  <c r="G34" i="40" s="1"/>
  <c r="G33" i="40" a="1"/>
  <c r="G33" i="40" s="1"/>
  <c r="G32" i="40" a="1"/>
  <c r="G32" i="40" s="1"/>
  <c r="G31" i="40" a="1"/>
  <c r="G31" i="40" s="1"/>
  <c r="G30" i="40" a="1"/>
  <c r="G30" i="40" s="1"/>
  <c r="G29" i="40" a="1"/>
  <c r="G29" i="40" s="1"/>
  <c r="G28" i="40" a="1"/>
  <c r="G28" i="40" s="1"/>
  <c r="G27" i="40" a="1"/>
  <c r="G27" i="40" s="1"/>
  <c r="G26" i="40" a="1"/>
  <c r="G26" i="40" s="1"/>
  <c r="G25" i="40" a="1"/>
  <c r="G25" i="40" s="1"/>
  <c r="G24" i="40" a="1"/>
  <c r="G24" i="40" s="1"/>
  <c r="G23" i="40" a="1"/>
  <c r="G23" i="40" s="1"/>
  <c r="G22" i="40" a="1"/>
  <c r="G22" i="40" s="1"/>
  <c r="G21" i="40" a="1"/>
  <c r="G21" i="40" s="1"/>
  <c r="G20" i="40" a="1"/>
  <c r="G20" i="40" s="1"/>
  <c r="G19" i="40" a="1"/>
  <c r="G19" i="40" s="1"/>
  <c r="G18" i="40" a="1"/>
  <c r="G18" i="40" s="1"/>
  <c r="G17" i="40" a="1"/>
  <c r="G17" i="40" s="1"/>
  <c r="G16" i="40" a="1"/>
  <c r="G16" i="40" s="1"/>
  <c r="G15" i="40" a="1"/>
  <c r="G15" i="40" s="1"/>
  <c r="G14" i="40" a="1"/>
  <c r="G14" i="40" s="1"/>
  <c r="G13" i="40" a="1"/>
  <c r="G13" i="40" s="1"/>
  <c r="G12" i="40" a="1"/>
  <c r="G12" i="40" s="1"/>
  <c r="G11" i="40" a="1"/>
  <c r="G11" i="40" s="1"/>
  <c r="G10" i="40" a="1"/>
  <c r="G10" i="40" s="1"/>
  <c r="G9" i="40" a="1"/>
  <c r="G9" i="40" s="1"/>
  <c r="G8" i="40" a="1"/>
  <c r="G8" i="40" s="1"/>
  <c r="G7" i="40" a="1"/>
  <c r="G7" i="40" s="1"/>
  <c r="G6" i="40" a="1"/>
  <c r="G6" i="40" s="1"/>
  <c r="G5" i="40" a="1"/>
  <c r="G5" i="40" s="1"/>
  <c r="G4" i="40" a="1"/>
  <c r="G4" i="40" s="1"/>
  <c r="G3" i="40" a="1"/>
  <c r="G3" i="40" s="1"/>
  <c r="G2" i="40" a="1"/>
  <c r="G2" i="40" s="1"/>
  <c r="G12" i="41" a="1"/>
  <c r="G12" i="41" s="1"/>
  <c r="G11" i="41" a="1"/>
  <c r="G11" i="41" s="1"/>
  <c r="G10" i="41" a="1"/>
  <c r="G10" i="41" s="1"/>
  <c r="G9" i="41" a="1"/>
  <c r="G9" i="41" s="1"/>
  <c r="G8" i="41" a="1"/>
  <c r="G8" i="41" s="1"/>
  <c r="G7" i="41" a="1"/>
  <c r="G7" i="41" s="1"/>
  <c r="G6" i="41" a="1"/>
  <c r="G6" i="41" s="1"/>
  <c r="G5" i="41" a="1"/>
  <c r="G5" i="41" s="1"/>
  <c r="G4" i="41" a="1"/>
  <c r="G4" i="41" s="1"/>
  <c r="G3" i="41" a="1"/>
  <c r="G3" i="41" s="1"/>
  <c r="G2" i="41" a="1"/>
  <c r="G2" i="41" s="1"/>
  <c r="G67" i="42" a="1"/>
  <c r="G67" i="42" s="1"/>
  <c r="G66" i="42" a="1"/>
  <c r="G66" i="42" s="1"/>
  <c r="G65" i="42" a="1"/>
  <c r="G65" i="42" s="1"/>
  <c r="G64" i="42" a="1"/>
  <c r="G64" i="42" s="1"/>
  <c r="G63" i="42" a="1"/>
  <c r="G63" i="42" s="1"/>
  <c r="G62" i="42" a="1"/>
  <c r="G62" i="42" s="1"/>
  <c r="G61" i="42" a="1"/>
  <c r="G61" i="42" s="1"/>
  <c r="G60" i="42" a="1"/>
  <c r="G60" i="42" s="1"/>
  <c r="G59" i="42" a="1"/>
  <c r="G59" i="42" s="1"/>
  <c r="G58" i="42" a="1"/>
  <c r="G58" i="42" s="1"/>
  <c r="G57" i="42" a="1"/>
  <c r="G57" i="42" s="1"/>
  <c r="G56" i="42" a="1"/>
  <c r="G56" i="42" s="1"/>
  <c r="G55" i="42" a="1"/>
  <c r="G55" i="42" s="1"/>
  <c r="G54" i="42" a="1"/>
  <c r="G54" i="42" s="1"/>
  <c r="G53" i="42" a="1"/>
  <c r="G53" i="42" s="1"/>
  <c r="G52" i="42" a="1"/>
  <c r="G52" i="42" s="1"/>
  <c r="G51" i="42" a="1"/>
  <c r="G51" i="42" s="1"/>
  <c r="G50" i="42" a="1"/>
  <c r="G50" i="42" s="1"/>
  <c r="G49" i="42" a="1"/>
  <c r="G49" i="42" s="1"/>
  <c r="G48" i="42" a="1"/>
  <c r="G48" i="42" s="1"/>
  <c r="G47" i="42" a="1"/>
  <c r="G47" i="42" s="1"/>
  <c r="G46" i="42" a="1"/>
  <c r="G46" i="42" s="1"/>
  <c r="G45" i="42" a="1"/>
  <c r="G45" i="42" s="1"/>
  <c r="G44" i="42" a="1"/>
  <c r="G44" i="42" s="1"/>
  <c r="G43" i="42" a="1"/>
  <c r="G43" i="42" s="1"/>
  <c r="G42" i="42" a="1"/>
  <c r="G42" i="42" s="1"/>
  <c r="G41" i="42" a="1"/>
  <c r="G41" i="42" s="1"/>
  <c r="G40" i="42" a="1"/>
  <c r="G40" i="42" s="1"/>
  <c r="G39" i="42" a="1"/>
  <c r="G39" i="42" s="1"/>
  <c r="G38" i="42" a="1"/>
  <c r="G38" i="42" s="1"/>
  <c r="G37" i="42" a="1"/>
  <c r="G37" i="42" s="1"/>
  <c r="G36" i="42" a="1"/>
  <c r="G36" i="42" s="1"/>
  <c r="G35" i="42" a="1"/>
  <c r="G35" i="42" s="1"/>
  <c r="G34" i="42" a="1"/>
  <c r="G34" i="42" s="1"/>
  <c r="G33" i="42" a="1"/>
  <c r="G33" i="42" s="1"/>
  <c r="G32" i="42" a="1"/>
  <c r="G32" i="42" s="1"/>
  <c r="G31" i="42" a="1"/>
  <c r="G31" i="42" s="1"/>
  <c r="G30" i="42" a="1"/>
  <c r="G30" i="42" s="1"/>
  <c r="G29" i="42" a="1"/>
  <c r="G29" i="42" s="1"/>
  <c r="G28" i="42" a="1"/>
  <c r="G28" i="42" s="1"/>
  <c r="G27" i="42" a="1"/>
  <c r="G27" i="42" s="1"/>
  <c r="G26" i="42" a="1"/>
  <c r="G26" i="42" s="1"/>
  <c r="G25" i="42" a="1"/>
  <c r="G25" i="42" s="1"/>
  <c r="G24" i="42" a="1"/>
  <c r="G24" i="42" s="1"/>
  <c r="G23" i="42" a="1"/>
  <c r="G23" i="42" s="1"/>
  <c r="G22" i="42" a="1"/>
  <c r="G22" i="42" s="1"/>
  <c r="G21" i="42" a="1"/>
  <c r="G21" i="42" s="1"/>
  <c r="G20" i="42" a="1"/>
  <c r="G20" i="42" s="1"/>
  <c r="G19" i="42" a="1"/>
  <c r="G19" i="42" s="1"/>
  <c r="G18" i="42" a="1"/>
  <c r="G18" i="42" s="1"/>
  <c r="G17" i="42" a="1"/>
  <c r="G17" i="42" s="1"/>
  <c r="G16" i="42" a="1"/>
  <c r="G16" i="42" s="1"/>
  <c r="G15" i="42" a="1"/>
  <c r="G15" i="42" s="1"/>
  <c r="G14" i="42" a="1"/>
  <c r="G14" i="42" s="1"/>
  <c r="G13" i="42" a="1"/>
  <c r="G13" i="42" s="1"/>
  <c r="G12" i="42" a="1"/>
  <c r="G12" i="42" s="1"/>
  <c r="G11" i="42" a="1"/>
  <c r="G11" i="42" s="1"/>
  <c r="G10" i="42" a="1"/>
  <c r="G10" i="42" s="1"/>
  <c r="G9" i="42" a="1"/>
  <c r="G9" i="42" s="1"/>
  <c r="G8" i="42" a="1"/>
  <c r="G8" i="42" s="1"/>
  <c r="G7" i="42" a="1"/>
  <c r="G7" i="42" s="1"/>
  <c r="G6" i="42" a="1"/>
  <c r="G6" i="42" s="1"/>
  <c r="G5" i="42" a="1"/>
  <c r="G5" i="42" s="1"/>
  <c r="G4" i="42" a="1"/>
  <c r="G4" i="42" s="1"/>
  <c r="G3" i="42" a="1"/>
  <c r="G3" i="42" s="1"/>
  <c r="G2" i="42" a="1"/>
  <c r="G2" i="42" s="1"/>
  <c r="G25" i="43" a="1"/>
  <c r="G25" i="43" s="1"/>
  <c r="G24" i="43" a="1"/>
  <c r="G24" i="43" s="1"/>
  <c r="G23" i="43" a="1"/>
  <c r="G23" i="43" s="1"/>
  <c r="G22" i="43" a="1"/>
  <c r="G22" i="43" s="1"/>
  <c r="G21" i="43" a="1"/>
  <c r="G21" i="43" s="1"/>
  <c r="G20" i="43" a="1"/>
  <c r="G20" i="43" s="1"/>
  <c r="G19" i="43" a="1"/>
  <c r="G19" i="43" s="1"/>
  <c r="G18" i="43" a="1"/>
  <c r="G18" i="43" s="1"/>
  <c r="G17" i="43" a="1"/>
  <c r="G17" i="43" s="1"/>
  <c r="G16" i="43" a="1"/>
  <c r="G16" i="43" s="1"/>
  <c r="G15" i="43" a="1"/>
  <c r="G15" i="43" s="1"/>
  <c r="G14" i="43" a="1"/>
  <c r="G14" i="43" s="1"/>
  <c r="G13" i="43" a="1"/>
  <c r="G13" i="43" s="1"/>
  <c r="G12" i="43" a="1"/>
  <c r="G12" i="43" s="1"/>
  <c r="G11" i="43" a="1"/>
  <c r="G11" i="43" s="1"/>
  <c r="G10" i="43" a="1"/>
  <c r="G10" i="43" s="1"/>
  <c r="G9" i="43" a="1"/>
  <c r="G9" i="43" s="1"/>
  <c r="G8" i="43" a="1"/>
  <c r="G8" i="43" s="1"/>
  <c r="G7" i="43" a="1"/>
  <c r="G7" i="43" s="1"/>
  <c r="G6" i="43" a="1"/>
  <c r="G6" i="43" s="1"/>
  <c r="G5" i="43" a="1"/>
  <c r="G5" i="43" s="1"/>
  <c r="G4" i="43" a="1"/>
  <c r="G4" i="43" s="1"/>
  <c r="G3" i="43" a="1"/>
  <c r="G3" i="43" s="1"/>
  <c r="G2" i="43" a="1"/>
  <c r="G2" i="43" s="1"/>
  <c r="G101" i="44" a="1"/>
  <c r="G101" i="44" s="1"/>
  <c r="G100" i="44" a="1"/>
  <c r="G100" i="44" s="1"/>
  <c r="G99" i="44" a="1"/>
  <c r="G99" i="44" s="1"/>
  <c r="G98" i="44" a="1"/>
  <c r="G98" i="44" s="1"/>
  <c r="G97" i="44" a="1"/>
  <c r="G97" i="44" s="1"/>
  <c r="G96" i="44" a="1"/>
  <c r="G96" i="44" s="1"/>
  <c r="G95" i="44" a="1"/>
  <c r="G95" i="44" s="1"/>
  <c r="G94" i="44" a="1"/>
  <c r="G94" i="44" s="1"/>
  <c r="G93" i="44" a="1"/>
  <c r="G93" i="44" s="1"/>
  <c r="G92" i="44" a="1"/>
  <c r="G92" i="44" s="1"/>
  <c r="G91" i="44" a="1"/>
  <c r="G91" i="44" s="1"/>
  <c r="G90" i="44" a="1"/>
  <c r="G90" i="44" s="1"/>
  <c r="G89" i="44" a="1"/>
  <c r="G89" i="44" s="1"/>
  <c r="G88" i="44" a="1"/>
  <c r="G88" i="44" s="1"/>
  <c r="G87" i="44" a="1"/>
  <c r="G87" i="44" s="1"/>
  <c r="G86" i="44" a="1"/>
  <c r="G86" i="44" s="1"/>
  <c r="G85" i="44" a="1"/>
  <c r="G85" i="44" s="1"/>
  <c r="G84" i="44" a="1"/>
  <c r="G84" i="44" s="1"/>
  <c r="G83" i="44" a="1"/>
  <c r="G83" i="44" s="1"/>
  <c r="G82" i="44" a="1"/>
  <c r="G82" i="44" s="1"/>
  <c r="G81" i="44" a="1"/>
  <c r="G81" i="44" s="1"/>
  <c r="G80" i="44" a="1"/>
  <c r="G80" i="44" s="1"/>
  <c r="G79" i="44" a="1"/>
  <c r="G79" i="44" s="1"/>
  <c r="G78" i="44" a="1"/>
  <c r="G78" i="44" s="1"/>
  <c r="G77" i="44" a="1"/>
  <c r="G77" i="44" s="1"/>
  <c r="G76" i="44" a="1"/>
  <c r="G76" i="44" s="1"/>
  <c r="G75" i="44" a="1"/>
  <c r="G75" i="44" s="1"/>
  <c r="G74" i="44" a="1"/>
  <c r="G74" i="44" s="1"/>
  <c r="G73" i="44" a="1"/>
  <c r="G73" i="44" s="1"/>
  <c r="G72" i="44" a="1"/>
  <c r="G72" i="44" s="1"/>
  <c r="G71" i="44" a="1"/>
  <c r="G71" i="44" s="1"/>
  <c r="G70" i="44" a="1"/>
  <c r="G70" i="44" s="1"/>
  <c r="G69" i="44" a="1"/>
  <c r="G69" i="44" s="1"/>
  <c r="G68" i="44" a="1"/>
  <c r="G68" i="44" s="1"/>
  <c r="G67" i="44" a="1"/>
  <c r="G67" i="44" s="1"/>
  <c r="G66" i="44" a="1"/>
  <c r="G66" i="44" s="1"/>
  <c r="G65" i="44" a="1"/>
  <c r="G65" i="44" s="1"/>
  <c r="G64" i="44" a="1"/>
  <c r="G64" i="44" s="1"/>
  <c r="G63" i="44" a="1"/>
  <c r="G63" i="44" s="1"/>
  <c r="G62" i="44" a="1"/>
  <c r="G62" i="44" s="1"/>
  <c r="G61" i="44" a="1"/>
  <c r="G61" i="44" s="1"/>
  <c r="G60" i="44" a="1"/>
  <c r="G60" i="44" s="1"/>
  <c r="G59" i="44" a="1"/>
  <c r="G59" i="44" s="1"/>
  <c r="G58" i="44" a="1"/>
  <c r="G58" i="44" s="1"/>
  <c r="G57" i="44" a="1"/>
  <c r="G57" i="44" s="1"/>
  <c r="G56" i="44" a="1"/>
  <c r="G56" i="44" s="1"/>
  <c r="G55" i="44" a="1"/>
  <c r="G55" i="44" s="1"/>
  <c r="G54" i="44" a="1"/>
  <c r="G54" i="44" s="1"/>
  <c r="G53" i="44" a="1"/>
  <c r="G53" i="44" s="1"/>
  <c r="G52" i="44" a="1"/>
  <c r="G52" i="44" s="1"/>
  <c r="G51" i="44" a="1"/>
  <c r="G51" i="44" s="1"/>
  <c r="G50" i="44" a="1"/>
  <c r="G50" i="44" s="1"/>
  <c r="G49" i="44" a="1"/>
  <c r="G49" i="44" s="1"/>
  <c r="G48" i="44" a="1"/>
  <c r="G48" i="44" s="1"/>
  <c r="G47" i="44" a="1"/>
  <c r="G47" i="44" s="1"/>
  <c r="G46" i="44" a="1"/>
  <c r="G46" i="44" s="1"/>
  <c r="G45" i="44" a="1"/>
  <c r="G45" i="44" s="1"/>
  <c r="G44" i="44" a="1"/>
  <c r="G44" i="44" s="1"/>
  <c r="G43" i="44" a="1"/>
  <c r="G43" i="44" s="1"/>
  <c r="G42" i="44" a="1"/>
  <c r="G42" i="44" s="1"/>
  <c r="G41" i="44" a="1"/>
  <c r="G41" i="44" s="1"/>
  <c r="G40" i="44" a="1"/>
  <c r="G40" i="44" s="1"/>
  <c r="G39" i="44" a="1"/>
  <c r="G39" i="44" s="1"/>
  <c r="G38" i="44" a="1"/>
  <c r="G38" i="44" s="1"/>
  <c r="G37" i="44" a="1"/>
  <c r="G37" i="44" s="1"/>
  <c r="G36" i="44" a="1"/>
  <c r="G36" i="44" s="1"/>
  <c r="G35" i="44" a="1"/>
  <c r="G35" i="44" s="1"/>
  <c r="G34" i="44" a="1"/>
  <c r="G34" i="44" s="1"/>
  <c r="G33" i="44" a="1"/>
  <c r="G33" i="44" s="1"/>
  <c r="G32" i="44" a="1"/>
  <c r="G32" i="44" s="1"/>
  <c r="G31" i="44" a="1"/>
  <c r="G31" i="44" s="1"/>
  <c r="G30" i="44" a="1"/>
  <c r="G30" i="44" s="1"/>
  <c r="G29" i="44" a="1"/>
  <c r="G29" i="44" s="1"/>
  <c r="G28" i="44" a="1"/>
  <c r="G28" i="44" s="1"/>
  <c r="G27" i="44" a="1"/>
  <c r="G27" i="44" s="1"/>
  <c r="G26" i="44" a="1"/>
  <c r="G26" i="44" s="1"/>
  <c r="G25" i="44" a="1"/>
  <c r="G25" i="44" s="1"/>
  <c r="G24" i="44" a="1"/>
  <c r="G24" i="44" s="1"/>
  <c r="G23" i="44" a="1"/>
  <c r="G23" i="44" s="1"/>
  <c r="G22" i="44" a="1"/>
  <c r="G22" i="44" s="1"/>
  <c r="G21" i="44" a="1"/>
  <c r="G21" i="44" s="1"/>
  <c r="G20" i="44" a="1"/>
  <c r="G20" i="44" s="1"/>
  <c r="G19" i="44" a="1"/>
  <c r="G19" i="44" s="1"/>
  <c r="G18" i="44" a="1"/>
  <c r="G18" i="44" s="1"/>
  <c r="G17" i="44" a="1"/>
  <c r="G17" i="44" s="1"/>
  <c r="G16" i="44" a="1"/>
  <c r="G16" i="44" s="1"/>
  <c r="G15" i="44" a="1"/>
  <c r="G15" i="44" s="1"/>
  <c r="G14" i="44" a="1"/>
  <c r="G14" i="44" s="1"/>
  <c r="G13" i="44" a="1"/>
  <c r="G13" i="44" s="1"/>
  <c r="G12" i="44" a="1"/>
  <c r="G12" i="44" s="1"/>
  <c r="G11" i="44" a="1"/>
  <c r="G11" i="44" s="1"/>
  <c r="G10" i="44" a="1"/>
  <c r="G10" i="44" s="1"/>
  <c r="G9" i="44" a="1"/>
  <c r="G9" i="44" s="1"/>
  <c r="G8" i="44" a="1"/>
  <c r="G8" i="44" s="1"/>
  <c r="G7" i="44" a="1"/>
  <c r="G7" i="44" s="1"/>
  <c r="G6" i="44" a="1"/>
  <c r="G6" i="44" s="1"/>
  <c r="G5" i="44" a="1"/>
  <c r="G5" i="44" s="1"/>
  <c r="G4" i="44" a="1"/>
  <c r="G4" i="44" s="1"/>
  <c r="G3" i="44" a="1"/>
  <c r="G3" i="44" s="1"/>
  <c r="G2" i="44" a="1"/>
  <c r="G2" i="44" s="1"/>
  <c r="G255" i="45" a="1"/>
  <c r="G255" i="45" s="1"/>
  <c r="G254" i="45" a="1"/>
  <c r="G254" i="45" s="1"/>
  <c r="G253" i="45" a="1"/>
  <c r="G253" i="45" s="1"/>
  <c r="G252" i="45" a="1"/>
  <c r="G252" i="45" s="1"/>
  <c r="G251" i="45" a="1"/>
  <c r="G251" i="45" s="1"/>
  <c r="G250" i="45" a="1"/>
  <c r="G250" i="45" s="1"/>
  <c r="G249" i="45" a="1"/>
  <c r="G249" i="45" s="1"/>
  <c r="G248" i="45" a="1"/>
  <c r="G248" i="45" s="1"/>
  <c r="G247" i="45" a="1"/>
  <c r="G247" i="45" s="1"/>
  <c r="G246" i="45" a="1"/>
  <c r="G246" i="45" s="1"/>
  <c r="G245" i="45" a="1"/>
  <c r="G245" i="45" s="1"/>
  <c r="G244" i="45" a="1"/>
  <c r="G244" i="45" s="1"/>
  <c r="G243" i="45" a="1"/>
  <c r="G243" i="45" s="1"/>
  <c r="G242" i="45" a="1"/>
  <c r="G242" i="45" s="1"/>
  <c r="G241" i="45" a="1"/>
  <c r="G241" i="45" s="1"/>
  <c r="G240" i="45" a="1"/>
  <c r="G240" i="45" s="1"/>
  <c r="G239" i="45" a="1"/>
  <c r="G239" i="45" s="1"/>
  <c r="G238" i="45" a="1"/>
  <c r="G238" i="45" s="1"/>
  <c r="G237" i="45" a="1"/>
  <c r="G237" i="45" s="1"/>
  <c r="G236" i="45" a="1"/>
  <c r="G236" i="45" s="1"/>
  <c r="G235" i="45" a="1"/>
  <c r="G235" i="45" s="1"/>
  <c r="G234" i="45" a="1"/>
  <c r="G234" i="45" s="1"/>
  <c r="G233" i="45" a="1"/>
  <c r="G233" i="45" s="1"/>
  <c r="G232" i="45" a="1"/>
  <c r="G232" i="45" s="1"/>
  <c r="G231" i="45" a="1"/>
  <c r="G231" i="45" s="1"/>
  <c r="G230" i="45" a="1"/>
  <c r="G230" i="45" s="1"/>
  <c r="G229" i="45" a="1"/>
  <c r="G229" i="45" s="1"/>
  <c r="G228" i="45" a="1"/>
  <c r="G228" i="45" s="1"/>
  <c r="G227" i="45" a="1"/>
  <c r="G227" i="45" s="1"/>
  <c r="G226" i="45" a="1"/>
  <c r="G226" i="45" s="1"/>
  <c r="G225" i="45" a="1"/>
  <c r="G225" i="45" s="1"/>
  <c r="G224" i="45" a="1"/>
  <c r="G224" i="45" s="1"/>
  <c r="G223" i="45" a="1"/>
  <c r="G223" i="45" s="1"/>
  <c r="G222" i="45" a="1"/>
  <c r="G222" i="45" s="1"/>
  <c r="G221" i="45" a="1"/>
  <c r="G221" i="45" s="1"/>
  <c r="G220" i="45" a="1"/>
  <c r="G220" i="45" s="1"/>
  <c r="G219" i="45" a="1"/>
  <c r="G219" i="45" s="1"/>
  <c r="G218" i="45" a="1"/>
  <c r="G218" i="45" s="1"/>
  <c r="G217" i="45" a="1"/>
  <c r="G217" i="45" s="1"/>
  <c r="G216" i="45" a="1"/>
  <c r="G216" i="45" s="1"/>
  <c r="G215" i="45" a="1"/>
  <c r="G215" i="45" s="1"/>
  <c r="G214" i="45" a="1"/>
  <c r="G214" i="45" s="1"/>
  <c r="G213" i="45" a="1"/>
  <c r="G213" i="45" s="1"/>
  <c r="G212" i="45" a="1"/>
  <c r="G212" i="45" s="1"/>
  <c r="G211" i="45" a="1"/>
  <c r="G211" i="45" s="1"/>
  <c r="G210" i="45" a="1"/>
  <c r="G210" i="45" s="1"/>
  <c r="G209" i="45" a="1"/>
  <c r="G209" i="45" s="1"/>
  <c r="G208" i="45" a="1"/>
  <c r="G208" i="45" s="1"/>
  <c r="G207" i="45" a="1"/>
  <c r="G207" i="45" s="1"/>
  <c r="G206" i="45" a="1"/>
  <c r="G206" i="45" s="1"/>
  <c r="G205" i="45" a="1"/>
  <c r="G205" i="45" s="1"/>
  <c r="G204" i="45" a="1"/>
  <c r="G204" i="45" s="1"/>
  <c r="G203" i="45" a="1"/>
  <c r="G203" i="45" s="1"/>
  <c r="G202" i="45" a="1"/>
  <c r="G202" i="45" s="1"/>
  <c r="G201" i="45" a="1"/>
  <c r="G201" i="45" s="1"/>
  <c r="G200" i="45" a="1"/>
  <c r="G200" i="45" s="1"/>
  <c r="G199" i="45" a="1"/>
  <c r="G199" i="45" s="1"/>
  <c r="G198" i="45" a="1"/>
  <c r="G198" i="45" s="1"/>
  <c r="G197" i="45" a="1"/>
  <c r="G197" i="45" s="1"/>
  <c r="G196" i="45" a="1"/>
  <c r="G196" i="45" s="1"/>
  <c r="G195" i="45" a="1"/>
  <c r="G195" i="45" s="1"/>
  <c r="G194" i="45" a="1"/>
  <c r="G194" i="45" s="1"/>
  <c r="G193" i="45" a="1"/>
  <c r="G193" i="45" s="1"/>
  <c r="G192" i="45" a="1"/>
  <c r="G192" i="45" s="1"/>
  <c r="G191" i="45" a="1"/>
  <c r="G191" i="45" s="1"/>
  <c r="G190" i="45" a="1"/>
  <c r="G190" i="45" s="1"/>
  <c r="G189" i="45" a="1"/>
  <c r="G189" i="45" s="1"/>
  <c r="G188" i="45" a="1"/>
  <c r="G188" i="45" s="1"/>
  <c r="G187" i="45" a="1"/>
  <c r="G187" i="45" s="1"/>
  <c r="G186" i="45" a="1"/>
  <c r="G186" i="45" s="1"/>
  <c r="G185" i="45" a="1"/>
  <c r="G185" i="45" s="1"/>
  <c r="G184" i="45" a="1"/>
  <c r="G184" i="45" s="1"/>
  <c r="G183" i="45" a="1"/>
  <c r="G183" i="45" s="1"/>
  <c r="G182" i="45" a="1"/>
  <c r="G182" i="45" s="1"/>
  <c r="G181" i="45" a="1"/>
  <c r="G181" i="45" s="1"/>
  <c r="G180" i="45" a="1"/>
  <c r="G180" i="45" s="1"/>
  <c r="G179" i="45" a="1"/>
  <c r="G179" i="45" s="1"/>
  <c r="G178" i="45" a="1"/>
  <c r="G178" i="45" s="1"/>
  <c r="G177" i="45" a="1"/>
  <c r="G177" i="45" s="1"/>
  <c r="G176" i="45" a="1"/>
  <c r="G176" i="45" s="1"/>
  <c r="G175" i="45" a="1"/>
  <c r="G175" i="45" s="1"/>
  <c r="G174" i="45" a="1"/>
  <c r="G174" i="45" s="1"/>
  <c r="G173" i="45" a="1"/>
  <c r="G173" i="45" s="1"/>
  <c r="G172" i="45" a="1"/>
  <c r="G172" i="45" s="1"/>
  <c r="G171" i="45" a="1"/>
  <c r="G171" i="45" s="1"/>
  <c r="G170" i="45" a="1"/>
  <c r="G170" i="45" s="1"/>
  <c r="G169" i="45" a="1"/>
  <c r="G169" i="45" s="1"/>
  <c r="G168" i="45" a="1"/>
  <c r="G168" i="45" s="1"/>
  <c r="G167" i="45" a="1"/>
  <c r="G167" i="45" s="1"/>
  <c r="G166" i="45" a="1"/>
  <c r="G166" i="45" s="1"/>
  <c r="G165" i="45" a="1"/>
  <c r="G165" i="45" s="1"/>
  <c r="G164" i="45" a="1"/>
  <c r="G164" i="45" s="1"/>
  <c r="G163" i="45" a="1"/>
  <c r="G163" i="45" s="1"/>
  <c r="G162" i="45" a="1"/>
  <c r="G162" i="45" s="1"/>
  <c r="G161" i="45" a="1"/>
  <c r="G161" i="45" s="1"/>
  <c r="G160" i="45" a="1"/>
  <c r="G160" i="45" s="1"/>
  <c r="G159" i="45" a="1"/>
  <c r="G159" i="45" s="1"/>
  <c r="G158" i="45" a="1"/>
  <c r="G158" i="45" s="1"/>
  <c r="G157" i="45" a="1"/>
  <c r="G157" i="45" s="1"/>
  <c r="G156" i="45" a="1"/>
  <c r="G156" i="45" s="1"/>
  <c r="G155" i="45" a="1"/>
  <c r="G155" i="45" s="1"/>
  <c r="G154" i="45" a="1"/>
  <c r="G154" i="45" s="1"/>
  <c r="G153" i="45" a="1"/>
  <c r="G153" i="45" s="1"/>
  <c r="G152" i="45" a="1"/>
  <c r="G152" i="45" s="1"/>
  <c r="G151" i="45" a="1"/>
  <c r="G151" i="45" s="1"/>
  <c r="G150" i="45" a="1"/>
  <c r="G150" i="45" s="1"/>
  <c r="G149" i="45" a="1"/>
  <c r="G149" i="45" s="1"/>
  <c r="G148" i="45" a="1"/>
  <c r="G148" i="45" s="1"/>
  <c r="G147" i="45" a="1"/>
  <c r="G147" i="45" s="1"/>
  <c r="G146" i="45" a="1"/>
  <c r="G146" i="45" s="1"/>
  <c r="G145" i="45" a="1"/>
  <c r="G145" i="45" s="1"/>
  <c r="G144" i="45" a="1"/>
  <c r="G144" i="45" s="1"/>
  <c r="G143" i="45" a="1"/>
  <c r="G143" i="45" s="1"/>
  <c r="G142" i="45" a="1"/>
  <c r="G142" i="45" s="1"/>
  <c r="G141" i="45" a="1"/>
  <c r="G141" i="45" s="1"/>
  <c r="G140" i="45" a="1"/>
  <c r="G140" i="45" s="1"/>
  <c r="G139" i="45" a="1"/>
  <c r="G139" i="45" s="1"/>
  <c r="G138" i="45" a="1"/>
  <c r="G138" i="45" s="1"/>
  <c r="G137" i="45" a="1"/>
  <c r="G137" i="45" s="1"/>
  <c r="G136" i="45" a="1"/>
  <c r="G136" i="45" s="1"/>
  <c r="G135" i="45" a="1"/>
  <c r="G135" i="45" s="1"/>
  <c r="G134" i="45" a="1"/>
  <c r="G134" i="45" s="1"/>
  <c r="G133" i="45" a="1"/>
  <c r="G133" i="45" s="1"/>
  <c r="G132" i="45" a="1"/>
  <c r="G132" i="45" s="1"/>
  <c r="G131" i="45" a="1"/>
  <c r="G131" i="45" s="1"/>
  <c r="G130" i="45" a="1"/>
  <c r="G130" i="45" s="1"/>
  <c r="G129" i="45" a="1"/>
  <c r="G129" i="45" s="1"/>
  <c r="G128" i="45" a="1"/>
  <c r="G128" i="45" s="1"/>
  <c r="G127" i="45" a="1"/>
  <c r="G127" i="45" s="1"/>
  <c r="G126" i="45" a="1"/>
  <c r="G126" i="45" s="1"/>
  <c r="G125" i="45" a="1"/>
  <c r="G125" i="45" s="1"/>
  <c r="G124" i="45" a="1"/>
  <c r="G124" i="45" s="1"/>
  <c r="G123" i="45" a="1"/>
  <c r="G123" i="45" s="1"/>
  <c r="G122" i="45" a="1"/>
  <c r="G122" i="45" s="1"/>
  <c r="G121" i="45" a="1"/>
  <c r="G121" i="45" s="1"/>
  <c r="G120" i="45" a="1"/>
  <c r="G120" i="45" s="1"/>
  <c r="G119" i="45" a="1"/>
  <c r="G119" i="45" s="1"/>
  <c r="G118" i="45" a="1"/>
  <c r="G118" i="45" s="1"/>
  <c r="G117" i="45" a="1"/>
  <c r="G117" i="45" s="1"/>
  <c r="G116" i="45" a="1"/>
  <c r="G116" i="45" s="1"/>
  <c r="G115" i="45" a="1"/>
  <c r="G115" i="45" s="1"/>
  <c r="G114" i="45" a="1"/>
  <c r="G114" i="45" s="1"/>
  <c r="G113" i="45" a="1"/>
  <c r="G113" i="45" s="1"/>
  <c r="G112" i="45" a="1"/>
  <c r="G112" i="45" s="1"/>
  <c r="G111" i="45" a="1"/>
  <c r="G111" i="45" s="1"/>
  <c r="G110" i="45" a="1"/>
  <c r="G110" i="45" s="1"/>
  <c r="G109" i="45" a="1"/>
  <c r="G109" i="45" s="1"/>
  <c r="G108" i="45" a="1"/>
  <c r="G108" i="45" s="1"/>
  <c r="G107" i="45" a="1"/>
  <c r="G107" i="45" s="1"/>
  <c r="G106" i="45" a="1"/>
  <c r="G106" i="45" s="1"/>
  <c r="G105" i="45" a="1"/>
  <c r="G105" i="45" s="1"/>
  <c r="G104" i="45" a="1"/>
  <c r="G104" i="45" s="1"/>
  <c r="G103" i="45" a="1"/>
  <c r="G103" i="45" s="1"/>
  <c r="G102" i="45" a="1"/>
  <c r="G102" i="45" s="1"/>
  <c r="G101" i="45" a="1"/>
  <c r="G101" i="45" s="1"/>
  <c r="G100" i="45" a="1"/>
  <c r="G100" i="45" s="1"/>
  <c r="G99" i="45" a="1"/>
  <c r="G99" i="45" s="1"/>
  <c r="G98" i="45" a="1"/>
  <c r="G98" i="45" s="1"/>
  <c r="G97" i="45" a="1"/>
  <c r="G97" i="45" s="1"/>
  <c r="G96" i="45" a="1"/>
  <c r="G96" i="45" s="1"/>
  <c r="G95" i="45" a="1"/>
  <c r="G95" i="45" s="1"/>
  <c r="G94" i="45" a="1"/>
  <c r="G94" i="45" s="1"/>
  <c r="G93" i="45" a="1"/>
  <c r="G93" i="45" s="1"/>
  <c r="G92" i="45" a="1"/>
  <c r="G92" i="45" s="1"/>
  <c r="G91" i="45" a="1"/>
  <c r="G91" i="45" s="1"/>
  <c r="G90" i="45" a="1"/>
  <c r="G90" i="45" s="1"/>
  <c r="G89" i="45" a="1"/>
  <c r="G89" i="45" s="1"/>
  <c r="G88" i="45" a="1"/>
  <c r="G88" i="45" s="1"/>
  <c r="G87" i="45" a="1"/>
  <c r="G87" i="45" s="1"/>
  <c r="G86" i="45" a="1"/>
  <c r="G86" i="45" s="1"/>
  <c r="G85" i="45" a="1"/>
  <c r="G85" i="45" s="1"/>
  <c r="G84" i="45" a="1"/>
  <c r="G84" i="45" s="1"/>
  <c r="G83" i="45" a="1"/>
  <c r="G83" i="45" s="1"/>
  <c r="G82" i="45" a="1"/>
  <c r="G82" i="45" s="1"/>
  <c r="G81" i="45" a="1"/>
  <c r="G81" i="45" s="1"/>
  <c r="G80" i="45" a="1"/>
  <c r="G80" i="45" s="1"/>
  <c r="G79" i="45" a="1"/>
  <c r="G79" i="45" s="1"/>
  <c r="G78" i="45" a="1"/>
  <c r="G78" i="45" s="1"/>
  <c r="G77" i="45" a="1"/>
  <c r="G77" i="45" s="1"/>
  <c r="G76" i="45" a="1"/>
  <c r="G76" i="45" s="1"/>
  <c r="G75" i="45" a="1"/>
  <c r="G75" i="45" s="1"/>
  <c r="G74" i="45" a="1"/>
  <c r="G74" i="45" s="1"/>
  <c r="G73" i="45" a="1"/>
  <c r="G73" i="45" s="1"/>
  <c r="G72" i="45" a="1"/>
  <c r="G72" i="45" s="1"/>
  <c r="G71" i="45" a="1"/>
  <c r="G71" i="45" s="1"/>
  <c r="G70" i="45" a="1"/>
  <c r="G70" i="45" s="1"/>
  <c r="G69" i="45" a="1"/>
  <c r="G69" i="45" s="1"/>
  <c r="G68" i="45" a="1"/>
  <c r="G68" i="45" s="1"/>
  <c r="G67" i="45" a="1"/>
  <c r="G67" i="45" s="1"/>
  <c r="G66" i="45" a="1"/>
  <c r="G66" i="45" s="1"/>
  <c r="G65" i="45" a="1"/>
  <c r="G65" i="45" s="1"/>
  <c r="G64" i="45" a="1"/>
  <c r="G64" i="45" s="1"/>
  <c r="G63" i="45" a="1"/>
  <c r="G63" i="45" s="1"/>
  <c r="G62" i="45" a="1"/>
  <c r="G62" i="45" s="1"/>
  <c r="G61" i="45" a="1"/>
  <c r="G61" i="45" s="1"/>
  <c r="G60" i="45" a="1"/>
  <c r="G60" i="45" s="1"/>
  <c r="G59" i="45" a="1"/>
  <c r="G59" i="45" s="1"/>
  <c r="G58" i="45" a="1"/>
  <c r="G58" i="45" s="1"/>
  <c r="G57" i="45" a="1"/>
  <c r="G57" i="45" s="1"/>
  <c r="G56" i="45" a="1"/>
  <c r="G56" i="45" s="1"/>
  <c r="G55" i="45" a="1"/>
  <c r="G55" i="45" s="1"/>
  <c r="G54" i="45" a="1"/>
  <c r="G54" i="45" s="1"/>
  <c r="G53" i="45" a="1"/>
  <c r="G53" i="45" s="1"/>
  <c r="G52" i="45" a="1"/>
  <c r="G52" i="45" s="1"/>
  <c r="G51" i="45" a="1"/>
  <c r="G51" i="45" s="1"/>
  <c r="G50" i="45" a="1"/>
  <c r="G50" i="45" s="1"/>
  <c r="G36" i="46" a="1"/>
  <c r="G36" i="46" s="1"/>
  <c r="G35" i="46" a="1"/>
  <c r="G35" i="46" s="1"/>
  <c r="G34" i="46" a="1"/>
  <c r="G34" i="46" s="1"/>
  <c r="G33" i="46" a="1"/>
  <c r="G33" i="46" s="1"/>
  <c r="G32" i="46" a="1"/>
  <c r="G32" i="46" s="1"/>
  <c r="G31" i="46" a="1"/>
  <c r="G31" i="46" s="1"/>
  <c r="G30" i="46" a="1"/>
  <c r="G30" i="46" s="1"/>
  <c r="G29" i="46" a="1"/>
  <c r="G29" i="46" s="1"/>
  <c r="G28" i="46" a="1"/>
  <c r="G28" i="46" s="1"/>
  <c r="G27" i="46" a="1"/>
  <c r="G27" i="46" s="1"/>
  <c r="G26" i="46" a="1"/>
  <c r="G26" i="46" s="1"/>
  <c r="G25" i="46" a="1"/>
  <c r="G25" i="46" s="1"/>
  <c r="G24" i="46" a="1"/>
  <c r="G24" i="46" s="1"/>
  <c r="G23" i="46" a="1"/>
  <c r="G23" i="46" s="1"/>
  <c r="G22" i="46" a="1"/>
  <c r="G22" i="46" s="1"/>
  <c r="G21" i="46" a="1"/>
  <c r="G21" i="46" s="1"/>
  <c r="G20" i="46" a="1"/>
  <c r="G20" i="46" s="1"/>
  <c r="G19" i="46" a="1"/>
  <c r="G19" i="46" s="1"/>
  <c r="G18" i="46" a="1"/>
  <c r="G18" i="46" s="1"/>
  <c r="G17" i="46" a="1"/>
  <c r="G17" i="46" s="1"/>
  <c r="G16" i="46" a="1"/>
  <c r="G16" i="46" s="1"/>
  <c r="G15" i="46" a="1"/>
  <c r="G15" i="46" s="1"/>
  <c r="G14" i="46" a="1"/>
  <c r="G14" i="46" s="1"/>
  <c r="G13" i="46" a="1"/>
  <c r="G13" i="46" s="1"/>
  <c r="G12" i="46" a="1"/>
  <c r="G12" i="46" s="1"/>
  <c r="G11" i="46" a="1"/>
  <c r="G11" i="46" s="1"/>
  <c r="G10" i="46" a="1"/>
  <c r="G10" i="46" s="1"/>
  <c r="G9" i="46" a="1"/>
  <c r="G9" i="46" s="1"/>
  <c r="G8" i="46" a="1"/>
  <c r="G8" i="46" s="1"/>
  <c r="G7" i="46" a="1"/>
  <c r="G7" i="46" s="1"/>
  <c r="G6" i="46" a="1"/>
  <c r="G6" i="46" s="1"/>
  <c r="G5" i="46" a="1"/>
  <c r="G5" i="46" s="1"/>
  <c r="G4" i="46" a="1"/>
  <c r="G4" i="46" s="1"/>
  <c r="G3" i="46" a="1"/>
  <c r="G3" i="46" s="1"/>
  <c r="G2" i="46" a="1"/>
  <c r="G2" i="46" s="1"/>
  <c r="G15" i="52" a="1"/>
  <c r="G15" i="52" s="1"/>
  <c r="G14" i="52" a="1"/>
  <c r="G14" i="52" s="1"/>
  <c r="G13" i="52" a="1"/>
  <c r="G13" i="52" s="1"/>
  <c r="G12" i="52" a="1"/>
  <c r="G12" i="52" s="1"/>
  <c r="G11" i="52" a="1"/>
  <c r="G11" i="52" s="1"/>
  <c r="G10" i="52" a="1"/>
  <c r="G10" i="52" s="1"/>
  <c r="G9" i="52" a="1"/>
  <c r="G9" i="52" s="1"/>
  <c r="G8" i="52" a="1"/>
  <c r="G8" i="52" s="1"/>
  <c r="G7" i="52" a="1"/>
  <c r="G7" i="52" s="1"/>
  <c r="G6" i="52" a="1"/>
  <c r="G6" i="52" s="1"/>
  <c r="G5" i="52" a="1"/>
  <c r="G5" i="52" s="1"/>
  <c r="G4" i="52" a="1"/>
  <c r="G4" i="52" s="1"/>
  <c r="G3" i="52" a="1"/>
  <c r="G3" i="52" s="1"/>
  <c r="G2" i="52" a="1"/>
  <c r="G2" i="52" s="1"/>
  <c r="G36" i="51" a="1"/>
  <c r="G36" i="51" s="1"/>
  <c r="G35" i="51" a="1"/>
  <c r="G35" i="51" s="1"/>
  <c r="G34" i="51" a="1"/>
  <c r="G34" i="51" s="1"/>
  <c r="G33" i="51" a="1"/>
  <c r="G33" i="51" s="1"/>
  <c r="G32" i="51" a="1"/>
  <c r="G32" i="51" s="1"/>
  <c r="G31" i="51" a="1"/>
  <c r="G31" i="51" s="1"/>
  <c r="G30" i="51" a="1"/>
  <c r="G30" i="51" s="1"/>
  <c r="G29" i="51" a="1"/>
  <c r="G29" i="51" s="1"/>
  <c r="G28" i="51" a="1"/>
  <c r="G28" i="51" s="1"/>
  <c r="G27" i="51" a="1"/>
  <c r="G27" i="51" s="1"/>
  <c r="G26" i="51" a="1"/>
  <c r="G26" i="51" s="1"/>
  <c r="G25" i="51" a="1"/>
  <c r="G25" i="51" s="1"/>
  <c r="G24" i="51" a="1"/>
  <c r="G24" i="51" s="1"/>
  <c r="G23" i="51" a="1"/>
  <c r="G23" i="51" s="1"/>
  <c r="G22" i="51" a="1"/>
  <c r="G22" i="51" s="1"/>
  <c r="G21" i="51" a="1"/>
  <c r="G21" i="51" s="1"/>
  <c r="G20" i="51" a="1"/>
  <c r="G20" i="51" s="1"/>
  <c r="G19" i="51" a="1"/>
  <c r="G19" i="51" s="1"/>
  <c r="G18" i="51" a="1"/>
  <c r="G18" i="51" s="1"/>
  <c r="G17" i="51" a="1"/>
  <c r="G17" i="51" s="1"/>
  <c r="G16" i="51" a="1"/>
  <c r="G16" i="51" s="1"/>
  <c r="G15" i="51" a="1"/>
  <c r="G15" i="51" s="1"/>
  <c r="G14" i="51" a="1"/>
  <c r="G14" i="51" s="1"/>
  <c r="G13" i="51" a="1"/>
  <c r="G13" i="51" s="1"/>
  <c r="G12" i="51" a="1"/>
  <c r="G12" i="51" s="1"/>
  <c r="G11" i="51" a="1"/>
  <c r="G11" i="51" s="1"/>
  <c r="G10" i="51" a="1"/>
  <c r="G10" i="51" s="1"/>
  <c r="G9" i="51" a="1"/>
  <c r="G9" i="51" s="1"/>
  <c r="G8" i="51" a="1"/>
  <c r="G8" i="51" s="1"/>
  <c r="G7" i="51" a="1"/>
  <c r="G7" i="51" s="1"/>
  <c r="G6" i="51" a="1"/>
  <c r="G6" i="51" s="1"/>
  <c r="G5" i="51" a="1"/>
  <c r="G5" i="51" s="1"/>
  <c r="G4" i="51" a="1"/>
  <c r="G4" i="51" s="1"/>
  <c r="G3" i="51" a="1"/>
  <c r="G3" i="51" s="1"/>
  <c r="G2" i="51" a="1"/>
  <c r="G2" i="51" s="1"/>
  <c r="G78" i="50" a="1"/>
  <c r="G78" i="50" s="1"/>
  <c r="G77" i="50" a="1"/>
  <c r="G77" i="50" s="1"/>
  <c r="G76" i="50" a="1"/>
  <c r="G76" i="50" s="1"/>
  <c r="G75" i="50" a="1"/>
  <c r="G75" i="50" s="1"/>
  <c r="G74" i="50" a="1"/>
  <c r="G74" i="50" s="1"/>
  <c r="G73" i="50" a="1"/>
  <c r="G73" i="50" s="1"/>
  <c r="G72" i="50" a="1"/>
  <c r="G72" i="50" s="1"/>
  <c r="G71" i="50" a="1"/>
  <c r="G71" i="50" s="1"/>
  <c r="G70" i="50" a="1"/>
  <c r="G70" i="50" s="1"/>
  <c r="G69" i="50" a="1"/>
  <c r="G69" i="50" s="1"/>
  <c r="G68" i="50" a="1"/>
  <c r="G68" i="50" s="1"/>
  <c r="G67" i="50" a="1"/>
  <c r="G67" i="50" s="1"/>
  <c r="G66" i="50" a="1"/>
  <c r="G66" i="50" s="1"/>
  <c r="G65" i="50" a="1"/>
  <c r="G65" i="50" s="1"/>
  <c r="G64" i="50" a="1"/>
  <c r="G64" i="50" s="1"/>
  <c r="G63" i="50" a="1"/>
  <c r="G63" i="50" s="1"/>
  <c r="G62" i="50" a="1"/>
  <c r="G62" i="50" s="1"/>
  <c r="G61" i="50" a="1"/>
  <c r="G61" i="50" s="1"/>
  <c r="G60" i="50" a="1"/>
  <c r="G60" i="50" s="1"/>
  <c r="G59" i="50" a="1"/>
  <c r="G59" i="50" s="1"/>
  <c r="G58" i="50" a="1"/>
  <c r="G58" i="50" s="1"/>
  <c r="G57" i="50" a="1"/>
  <c r="G57" i="50" s="1"/>
  <c r="G56" i="50" a="1"/>
  <c r="G56" i="50" s="1"/>
  <c r="G55" i="50" a="1"/>
  <c r="G55" i="50" s="1"/>
  <c r="G54" i="50" a="1"/>
  <c r="G54" i="50" s="1"/>
  <c r="G53" i="50" a="1"/>
  <c r="G53" i="50" s="1"/>
  <c r="G52" i="50" a="1"/>
  <c r="G52" i="50" s="1"/>
  <c r="G51" i="50" a="1"/>
  <c r="G51" i="50" s="1"/>
  <c r="G50" i="50" a="1"/>
  <c r="G50" i="50" s="1"/>
  <c r="G49" i="50" a="1"/>
  <c r="G49" i="50" s="1"/>
  <c r="G48" i="50" a="1"/>
  <c r="G48" i="50" s="1"/>
  <c r="G47" i="50" a="1"/>
  <c r="G47" i="50" s="1"/>
  <c r="G46" i="50" a="1"/>
  <c r="G46" i="50" s="1"/>
  <c r="G45" i="50" a="1"/>
  <c r="G45" i="50" s="1"/>
  <c r="G44" i="50" a="1"/>
  <c r="G44" i="50" s="1"/>
  <c r="G43" i="50" a="1"/>
  <c r="G43" i="50" s="1"/>
  <c r="G42" i="50" a="1"/>
  <c r="G42" i="50" s="1"/>
  <c r="G41" i="50" a="1"/>
  <c r="G41" i="50" s="1"/>
  <c r="G40" i="50" a="1"/>
  <c r="G40" i="50" s="1"/>
  <c r="G39" i="50" a="1"/>
  <c r="G39" i="50" s="1"/>
  <c r="G38" i="50" a="1"/>
  <c r="G38" i="50" s="1"/>
  <c r="G37" i="50" a="1"/>
  <c r="G37" i="50" s="1"/>
  <c r="G36" i="50" a="1"/>
  <c r="G36" i="50" s="1"/>
  <c r="G35" i="50" a="1"/>
  <c r="G35" i="50" s="1"/>
  <c r="G34" i="50" a="1"/>
  <c r="G34" i="50" s="1"/>
  <c r="G33" i="50" a="1"/>
  <c r="G33" i="50" s="1"/>
  <c r="G32" i="50" a="1"/>
  <c r="G32" i="50" s="1"/>
  <c r="G31" i="50" a="1"/>
  <c r="G31" i="50" s="1"/>
  <c r="G30" i="50" a="1"/>
  <c r="G30" i="50" s="1"/>
  <c r="G29" i="50" a="1"/>
  <c r="G29" i="50" s="1"/>
  <c r="G28" i="50" a="1"/>
  <c r="G28" i="50" s="1"/>
  <c r="G27" i="50" a="1"/>
  <c r="G27" i="50" s="1"/>
  <c r="G26" i="50" a="1"/>
  <c r="G26" i="50" s="1"/>
  <c r="G25" i="50" a="1"/>
  <c r="G25" i="50" s="1"/>
  <c r="G24" i="50" a="1"/>
  <c r="G24" i="50" s="1"/>
  <c r="G23" i="50" a="1"/>
  <c r="G23" i="50" s="1"/>
  <c r="G22" i="50" a="1"/>
  <c r="G22" i="50" s="1"/>
  <c r="G21" i="50" a="1"/>
  <c r="G21" i="50" s="1"/>
  <c r="G20" i="50" a="1"/>
  <c r="G20" i="50" s="1"/>
  <c r="G19" i="50" a="1"/>
  <c r="G19" i="50" s="1"/>
  <c r="G18" i="50" a="1"/>
  <c r="G18" i="50" s="1"/>
  <c r="G17" i="50" a="1"/>
  <c r="G17" i="50" s="1"/>
  <c r="G16" i="50" a="1"/>
  <c r="G16" i="50" s="1"/>
  <c r="G15" i="50" a="1"/>
  <c r="G15" i="50" s="1"/>
  <c r="G14" i="50" a="1"/>
  <c r="G14" i="50" s="1"/>
  <c r="G13" i="50" a="1"/>
  <c r="G13" i="50" s="1"/>
  <c r="G12" i="50" a="1"/>
  <c r="G12" i="50" s="1"/>
  <c r="G11" i="50" a="1"/>
  <c r="G11" i="50" s="1"/>
  <c r="G10" i="50" a="1"/>
  <c r="G10" i="50" s="1"/>
  <c r="G9" i="50" a="1"/>
  <c r="G9" i="50" s="1"/>
  <c r="G8" i="50" a="1"/>
  <c r="G8" i="50" s="1"/>
  <c r="G7" i="50" a="1"/>
  <c r="G7" i="50" s="1"/>
  <c r="G6" i="50" a="1"/>
  <c r="G6" i="50" s="1"/>
  <c r="G5" i="50" a="1"/>
  <c r="G5" i="50" s="1"/>
  <c r="G4" i="50" a="1"/>
  <c r="G4" i="50" s="1"/>
  <c r="G3" i="50" a="1"/>
  <c r="G3" i="50" s="1"/>
  <c r="G2" i="50" a="1"/>
  <c r="G2" i="50" s="1"/>
  <c r="G63" i="49" a="1"/>
  <c r="G63" i="49" s="1"/>
  <c r="G62" i="49" a="1"/>
  <c r="G62" i="49" s="1"/>
  <c r="G61" i="49" a="1"/>
  <c r="G61" i="49" s="1"/>
  <c r="G60" i="49" a="1"/>
  <c r="G60" i="49" s="1"/>
  <c r="G59" i="49" a="1"/>
  <c r="G59" i="49" s="1"/>
  <c r="G58" i="49" a="1"/>
  <c r="G58" i="49" s="1"/>
  <c r="G57" i="49" a="1"/>
  <c r="G57" i="49" s="1"/>
  <c r="G56" i="49" a="1"/>
  <c r="G56" i="49" s="1"/>
  <c r="G55" i="49" a="1"/>
  <c r="G55" i="49" s="1"/>
  <c r="G54" i="49" a="1"/>
  <c r="G54" i="49" s="1"/>
  <c r="G53" i="49" a="1"/>
  <c r="G53" i="49" s="1"/>
  <c r="G52" i="49" a="1"/>
  <c r="G52" i="49" s="1"/>
  <c r="G51" i="49" a="1"/>
  <c r="G51" i="49" s="1"/>
  <c r="G50" i="49" a="1"/>
  <c r="G50" i="49" s="1"/>
  <c r="G49" i="49" a="1"/>
  <c r="G49" i="49" s="1"/>
  <c r="G48" i="49" a="1"/>
  <c r="G48" i="49" s="1"/>
  <c r="G47" i="49" a="1"/>
  <c r="G47" i="49" s="1"/>
  <c r="G46" i="49" a="1"/>
  <c r="G46" i="49" s="1"/>
  <c r="G45" i="49" a="1"/>
  <c r="G45" i="49" s="1"/>
  <c r="G44" i="49" a="1"/>
  <c r="G44" i="49" s="1"/>
  <c r="G43" i="49" a="1"/>
  <c r="G43" i="49" s="1"/>
  <c r="G42" i="49" a="1"/>
  <c r="G42" i="49" s="1"/>
  <c r="G41" i="49" a="1"/>
  <c r="G41" i="49" s="1"/>
  <c r="G40" i="49" a="1"/>
  <c r="G40" i="49" s="1"/>
  <c r="G39" i="49" a="1"/>
  <c r="G39" i="49" s="1"/>
  <c r="G38" i="49" a="1"/>
  <c r="G38" i="49" s="1"/>
  <c r="G37" i="49" a="1"/>
  <c r="G37" i="49" s="1"/>
  <c r="G36" i="49" a="1"/>
  <c r="G36" i="49" s="1"/>
  <c r="G35" i="49" a="1"/>
  <c r="G35" i="49" s="1"/>
  <c r="G34" i="49" a="1"/>
  <c r="G34" i="49" s="1"/>
  <c r="G33" i="49" a="1"/>
  <c r="G33" i="49" s="1"/>
  <c r="G32" i="49" a="1"/>
  <c r="G32" i="49" s="1"/>
  <c r="G31" i="49" a="1"/>
  <c r="G31" i="49" s="1"/>
  <c r="G30" i="49" a="1"/>
  <c r="G30" i="49" s="1"/>
  <c r="G29" i="49" a="1"/>
  <c r="G29" i="49" s="1"/>
  <c r="G28" i="49" a="1"/>
  <c r="G28" i="49" s="1"/>
  <c r="G27" i="49" a="1"/>
  <c r="G27" i="49" s="1"/>
  <c r="G26" i="49" a="1"/>
  <c r="G26" i="49" s="1"/>
  <c r="G25" i="49" a="1"/>
  <c r="G25" i="49" s="1"/>
  <c r="G24" i="49" a="1"/>
  <c r="G24" i="49" s="1"/>
  <c r="G23" i="49" a="1"/>
  <c r="G23" i="49" s="1"/>
  <c r="G22" i="49" a="1"/>
  <c r="G22" i="49" s="1"/>
  <c r="G21" i="49" a="1"/>
  <c r="G21" i="49" s="1"/>
  <c r="G20" i="49" a="1"/>
  <c r="G20" i="49" s="1"/>
  <c r="G19" i="49" a="1"/>
  <c r="G19" i="49" s="1"/>
  <c r="G18" i="49" a="1"/>
  <c r="G18" i="49" s="1"/>
  <c r="G17" i="49" a="1"/>
  <c r="G17" i="49" s="1"/>
  <c r="G16" i="49" a="1"/>
  <c r="G16" i="49" s="1"/>
  <c r="G15" i="49" a="1"/>
  <c r="G15" i="49" s="1"/>
  <c r="G14" i="49" a="1"/>
  <c r="G14" i="49" s="1"/>
  <c r="G13" i="49" a="1"/>
  <c r="G13" i="49" s="1"/>
  <c r="G12" i="49" a="1"/>
  <c r="G12" i="49" s="1"/>
  <c r="G11" i="49" a="1"/>
  <c r="G11" i="49" s="1"/>
  <c r="G10" i="49" a="1"/>
  <c r="G10" i="49" s="1"/>
  <c r="G9" i="49" a="1"/>
  <c r="G9" i="49" s="1"/>
  <c r="G8" i="49" a="1"/>
  <c r="G8" i="49" s="1"/>
  <c r="G7" i="49" a="1"/>
  <c r="G7" i="49" s="1"/>
  <c r="G6" i="49" a="1"/>
  <c r="G6" i="49" s="1"/>
  <c r="G5" i="49" a="1"/>
  <c r="G5" i="49" s="1"/>
  <c r="G4" i="49" a="1"/>
  <c r="G4" i="49" s="1"/>
  <c r="G3" i="49" a="1"/>
  <c r="G3" i="49" s="1"/>
  <c r="G2" i="49" a="1"/>
  <c r="G2" i="49" s="1"/>
  <c r="G7" i="48" a="1"/>
  <c r="G7" i="48" s="1"/>
  <c r="G6" i="48" a="1"/>
  <c r="G6" i="48" s="1"/>
  <c r="G5" i="48" a="1"/>
  <c r="G5" i="48" s="1"/>
  <c r="G4" i="48" a="1"/>
  <c r="G4" i="48" s="1"/>
  <c r="G3" i="48" a="1"/>
  <c r="G3" i="48" s="1"/>
  <c r="G2" i="48" a="1"/>
  <c r="G2" i="48" s="1"/>
  <c r="G91" i="47" a="1"/>
  <c r="G91" i="47" s="1"/>
  <c r="G90" i="47" a="1"/>
  <c r="G90" i="47" s="1"/>
  <c r="G89" i="47" a="1"/>
  <c r="G89" i="47" s="1"/>
  <c r="G88" i="47" a="1"/>
  <c r="G88" i="47" s="1"/>
  <c r="G87" i="47" a="1"/>
  <c r="G87" i="47" s="1"/>
  <c r="G86" i="47" a="1"/>
  <c r="G86" i="47" s="1"/>
  <c r="G85" i="47" a="1"/>
  <c r="G85" i="47" s="1"/>
  <c r="G84" i="47" a="1"/>
  <c r="G84" i="47" s="1"/>
  <c r="G83" i="47" a="1"/>
  <c r="G83" i="47" s="1"/>
  <c r="G82" i="47" a="1"/>
  <c r="G82" i="47" s="1"/>
  <c r="G81" i="47" a="1"/>
  <c r="G81" i="47" s="1"/>
  <c r="G80" i="47" a="1"/>
  <c r="G80" i="47" s="1"/>
  <c r="G79" i="47" a="1"/>
  <c r="G79" i="47" s="1"/>
  <c r="G78" i="47" a="1"/>
  <c r="G78" i="47" s="1"/>
  <c r="G77" i="47" a="1"/>
  <c r="G77" i="47" s="1"/>
  <c r="G76" i="47" a="1"/>
  <c r="G76" i="47" s="1"/>
  <c r="G75" i="47" a="1"/>
  <c r="G75" i="47" s="1"/>
  <c r="G74" i="47" a="1"/>
  <c r="G74" i="47" s="1"/>
  <c r="G73" i="47" a="1"/>
  <c r="G73" i="47" s="1"/>
  <c r="G72" i="47" a="1"/>
  <c r="G72" i="47" s="1"/>
  <c r="G71" i="47" a="1"/>
  <c r="G71" i="47" s="1"/>
  <c r="G70" i="47" a="1"/>
  <c r="G70" i="47" s="1"/>
  <c r="G69" i="47" a="1"/>
  <c r="G69" i="47" s="1"/>
  <c r="G68" i="47" a="1"/>
  <c r="G68" i="47" s="1"/>
  <c r="G67" i="47" a="1"/>
  <c r="G67" i="47" s="1"/>
  <c r="G66" i="47" a="1"/>
  <c r="G66" i="47" s="1"/>
  <c r="G65" i="47" a="1"/>
  <c r="G65" i="47" s="1"/>
  <c r="G64" i="47" a="1"/>
  <c r="G64" i="47" s="1"/>
  <c r="G63" i="47" a="1"/>
  <c r="G63" i="47" s="1"/>
  <c r="G62" i="47" a="1"/>
  <c r="G62" i="47" s="1"/>
  <c r="G61" i="47" a="1"/>
  <c r="G61" i="47" s="1"/>
  <c r="G60" i="47" a="1"/>
  <c r="G60" i="47" s="1"/>
  <c r="G59" i="47" a="1"/>
  <c r="G59" i="47" s="1"/>
  <c r="G58" i="47" a="1"/>
  <c r="G58" i="47" s="1"/>
  <c r="G57" i="47" a="1"/>
  <c r="G57" i="47" s="1"/>
  <c r="G56" i="47" a="1"/>
  <c r="G56" i="47" s="1"/>
  <c r="G55" i="47" a="1"/>
  <c r="G55" i="47" s="1"/>
  <c r="G54" i="47" a="1"/>
  <c r="G54" i="47" s="1"/>
  <c r="G53" i="47" a="1"/>
  <c r="G53" i="47" s="1"/>
  <c r="G52" i="47" a="1"/>
  <c r="G52" i="47" s="1"/>
  <c r="G51" i="47" a="1"/>
  <c r="G51" i="47" s="1"/>
  <c r="G50" i="47" a="1"/>
  <c r="G50" i="47" s="1"/>
  <c r="G49" i="47" a="1"/>
  <c r="G49" i="47" s="1"/>
  <c r="G48" i="47" a="1"/>
  <c r="G48" i="47" s="1"/>
  <c r="G47" i="47" a="1"/>
  <c r="G47" i="47" s="1"/>
  <c r="G46" i="47" a="1"/>
  <c r="G46" i="47" s="1"/>
  <c r="G45" i="47" a="1"/>
  <c r="G45" i="47" s="1"/>
  <c r="G44" i="47" a="1"/>
  <c r="G44" i="47" s="1"/>
  <c r="G43" i="47" a="1"/>
  <c r="G43" i="47" s="1"/>
  <c r="G42" i="47" a="1"/>
  <c r="G42" i="47" s="1"/>
  <c r="G41" i="47" a="1"/>
  <c r="G41" i="47" s="1"/>
  <c r="G40" i="47" a="1"/>
  <c r="G40" i="47" s="1"/>
  <c r="G39" i="47" a="1"/>
  <c r="G39" i="47" s="1"/>
  <c r="G38" i="47" a="1"/>
  <c r="G38" i="47" s="1"/>
  <c r="G37" i="47" a="1"/>
  <c r="G37" i="47" s="1"/>
  <c r="G36" i="47" a="1"/>
  <c r="G36" i="47" s="1"/>
  <c r="G35" i="47" a="1"/>
  <c r="G35" i="47" s="1"/>
  <c r="G34" i="47" a="1"/>
  <c r="G34" i="47" s="1"/>
  <c r="G33" i="47" a="1"/>
  <c r="G33" i="47" s="1"/>
  <c r="G32" i="47" a="1"/>
  <c r="G32" i="47" s="1"/>
  <c r="G31" i="47" a="1"/>
  <c r="G31" i="47" s="1"/>
  <c r="G30" i="47" a="1"/>
  <c r="G30" i="47" s="1"/>
  <c r="G29" i="47" a="1"/>
  <c r="G29" i="47" s="1"/>
  <c r="G28" i="47" a="1"/>
  <c r="G28" i="47" s="1"/>
  <c r="G27" i="47" a="1"/>
  <c r="G27" i="47" s="1"/>
  <c r="G26" i="47" a="1"/>
  <c r="G26" i="47" s="1"/>
  <c r="G25" i="47" a="1"/>
  <c r="G25" i="47" s="1"/>
  <c r="G24" i="47" a="1"/>
  <c r="G24" i="47" s="1"/>
  <c r="G23" i="47" a="1"/>
  <c r="G23" i="47" s="1"/>
  <c r="G22" i="47" a="1"/>
  <c r="G22" i="47" s="1"/>
  <c r="G21" i="47" a="1"/>
  <c r="G21" i="47" s="1"/>
  <c r="G20" i="47" a="1"/>
  <c r="G20" i="47" s="1"/>
  <c r="G19" i="47" a="1"/>
  <c r="G19" i="47" s="1"/>
  <c r="G18" i="47" a="1"/>
  <c r="G18" i="47" s="1"/>
  <c r="G17" i="47" a="1"/>
  <c r="G17" i="47" s="1"/>
  <c r="G16" i="47" a="1"/>
  <c r="G16" i="47" s="1"/>
  <c r="G15" i="47" a="1"/>
  <c r="G15" i="47" s="1"/>
  <c r="G14" i="47" a="1"/>
  <c r="G14" i="47" s="1"/>
  <c r="G13" i="47" a="1"/>
  <c r="G13" i="47" s="1"/>
  <c r="G12" i="47" a="1"/>
  <c r="G12" i="47" s="1"/>
  <c r="G11" i="47" a="1"/>
  <c r="G11" i="47" s="1"/>
  <c r="G10" i="47" a="1"/>
  <c r="G10" i="47" s="1"/>
  <c r="G9" i="47" a="1"/>
  <c r="G9" i="47" s="1"/>
  <c r="G8" i="47" a="1"/>
  <c r="G8" i="47" s="1"/>
  <c r="G7" i="47" a="1"/>
  <c r="G7" i="47" s="1"/>
  <c r="G6" i="47" a="1"/>
  <c r="G6" i="47" s="1"/>
  <c r="G5" i="47" a="1"/>
  <c r="G5" i="47" s="1"/>
  <c r="G4" i="47" a="1"/>
  <c r="G4" i="47" s="1"/>
  <c r="G3" i="47" a="1"/>
  <c r="G3" i="47" s="1"/>
  <c r="G2" i="47" a="1"/>
  <c r="G2" i="47" s="1"/>
  <c r="G63" i="27" a="1"/>
  <c r="G63" i="27" s="1"/>
  <c r="G63" i="26" a="1"/>
  <c r="G63" i="26" s="1"/>
  <c r="G63" i="24" a="1"/>
  <c r="G63" i="24" s="1"/>
  <c r="G63" i="21" a="1"/>
  <c r="G63" i="21" s="1"/>
  <c r="G63" i="20" a="1"/>
  <c r="G63" i="20" s="1"/>
  <c r="G63" i="19" a="1"/>
  <c r="G63" i="19" s="1"/>
  <c r="G63" i="17" a="1"/>
  <c r="G63" i="17" s="1"/>
  <c r="G63" i="16" a="1"/>
  <c r="G63" i="16" s="1"/>
  <c r="G63" i="12" a="1"/>
  <c r="G63" i="12" s="1"/>
  <c r="G63" i="11" a="1"/>
  <c r="G63" i="11" s="1"/>
  <c r="G63" i="6" a="1"/>
  <c r="G63" i="6" s="1"/>
  <c r="G63" i="5" a="1"/>
  <c r="G63" i="5" s="1"/>
  <c r="G63" i="3" a="1"/>
  <c r="G63" i="3" s="1"/>
  <c r="G11" i="2" a="1"/>
  <c r="G11" i="2" s="1"/>
  <c r="G10" i="2" a="1"/>
  <c r="G10" i="2" s="1"/>
  <c r="G9" i="2" a="1"/>
  <c r="G9" i="2" s="1"/>
  <c r="G8" i="2" a="1"/>
  <c r="G8" i="2" s="1"/>
  <c r="G7" i="2" a="1"/>
  <c r="G7" i="2" s="1"/>
  <c r="G6" i="2" a="1"/>
  <c r="G6" i="2" s="1"/>
  <c r="G5" i="2" a="1"/>
  <c r="G5" i="2" s="1"/>
  <c r="G4" i="2" a="1"/>
  <c r="G4" i="2" s="1"/>
  <c r="G3" i="2" a="1"/>
  <c r="G3" i="2" s="1"/>
  <c r="G2" i="2" a="1"/>
  <c r="G2" i="2" s="1"/>
  <c r="G90" i="3" a="1"/>
  <c r="G90" i="3" s="1"/>
  <c r="G89" i="3" a="1"/>
  <c r="G89" i="3" s="1"/>
  <c r="G88" i="3" a="1"/>
  <c r="G88" i="3" s="1"/>
  <c r="G87" i="3" a="1"/>
  <c r="G87" i="3" s="1"/>
  <c r="G86" i="3" a="1"/>
  <c r="G86" i="3" s="1"/>
  <c r="G85" i="3" a="1"/>
  <c r="G85" i="3" s="1"/>
  <c r="G84" i="3" a="1"/>
  <c r="G84" i="3" s="1"/>
  <c r="G83" i="3" a="1"/>
  <c r="G83" i="3" s="1"/>
  <c r="G82" i="3" a="1"/>
  <c r="G82" i="3" s="1"/>
  <c r="G81" i="3" a="1"/>
  <c r="G81" i="3" s="1"/>
  <c r="G80" i="3" a="1"/>
  <c r="G80" i="3" s="1"/>
  <c r="G79" i="3" a="1"/>
  <c r="G79" i="3" s="1"/>
  <c r="G78" i="3" a="1"/>
  <c r="G78" i="3" s="1"/>
  <c r="G77" i="3" a="1"/>
  <c r="G77" i="3" s="1"/>
  <c r="G76" i="3" a="1"/>
  <c r="G76" i="3" s="1"/>
  <c r="G75" i="3" a="1"/>
  <c r="G75" i="3" s="1"/>
  <c r="G74" i="3" a="1"/>
  <c r="G74" i="3" s="1"/>
  <c r="G73" i="3" a="1"/>
  <c r="G73" i="3" s="1"/>
  <c r="G72" i="3" a="1"/>
  <c r="G72" i="3" s="1"/>
  <c r="G71" i="3" a="1"/>
  <c r="G71" i="3" s="1"/>
  <c r="G70" i="3" a="1"/>
  <c r="G70" i="3" s="1"/>
  <c r="G69" i="3" a="1"/>
  <c r="G69" i="3" s="1"/>
  <c r="G68" i="3" a="1"/>
  <c r="G68" i="3" s="1"/>
  <c r="G67" i="3" a="1"/>
  <c r="G67" i="3" s="1"/>
  <c r="G66" i="3" a="1"/>
  <c r="G66" i="3" s="1"/>
  <c r="G65" i="3" a="1"/>
  <c r="G65" i="3" s="1"/>
  <c r="G64" i="3" a="1"/>
  <c r="G64" i="3" s="1"/>
  <c r="G62" i="3" a="1"/>
  <c r="G62" i="3" s="1"/>
  <c r="G61" i="3" a="1"/>
  <c r="G61" i="3" s="1"/>
  <c r="G60" i="3" a="1"/>
  <c r="G60" i="3" s="1"/>
  <c r="G59" i="3" a="1"/>
  <c r="G59" i="3" s="1"/>
  <c r="G58" i="3" a="1"/>
  <c r="G58" i="3" s="1"/>
  <c r="G57" i="3" a="1"/>
  <c r="G57" i="3" s="1"/>
  <c r="G56" i="3" a="1"/>
  <c r="G56" i="3" s="1"/>
  <c r="G55" i="3" a="1"/>
  <c r="G55" i="3" s="1"/>
  <c r="G54" i="3" a="1"/>
  <c r="G54" i="3" s="1"/>
  <c r="G53" i="3" a="1"/>
  <c r="G53" i="3" s="1"/>
  <c r="G52" i="3" a="1"/>
  <c r="G52" i="3" s="1"/>
  <c r="G51" i="3" a="1"/>
  <c r="G51" i="3" s="1"/>
  <c r="G50" i="3" a="1"/>
  <c r="G50" i="3" s="1"/>
  <c r="G49" i="3" a="1"/>
  <c r="G49" i="3" s="1"/>
  <c r="G48" i="3" a="1"/>
  <c r="G48" i="3" s="1"/>
  <c r="G47" i="3" a="1"/>
  <c r="G47" i="3" s="1"/>
  <c r="G46" i="3" a="1"/>
  <c r="G46" i="3" s="1"/>
  <c r="G45" i="3" a="1"/>
  <c r="G45" i="3" s="1"/>
  <c r="G44" i="3" a="1"/>
  <c r="G44" i="3" s="1"/>
  <c r="G43" i="3" a="1"/>
  <c r="G43" i="3" s="1"/>
  <c r="G42" i="3" a="1"/>
  <c r="G42" i="3" s="1"/>
  <c r="G41" i="3" a="1"/>
  <c r="G41" i="3" s="1"/>
  <c r="G40" i="3" a="1"/>
  <c r="G40" i="3" s="1"/>
  <c r="G39" i="3" a="1"/>
  <c r="G39" i="3" s="1"/>
  <c r="G38" i="3" a="1"/>
  <c r="G38" i="3" s="1"/>
  <c r="G37" i="3" a="1"/>
  <c r="G37" i="3" s="1"/>
  <c r="G36" i="3" a="1"/>
  <c r="G36" i="3" s="1"/>
  <c r="G35" i="3" a="1"/>
  <c r="G35" i="3" s="1"/>
  <c r="G34" i="3" a="1"/>
  <c r="G34" i="3" s="1"/>
  <c r="G33" i="3" a="1"/>
  <c r="G33" i="3" s="1"/>
  <c r="G32" i="3" a="1"/>
  <c r="G32" i="3" s="1"/>
  <c r="G31" i="3" a="1"/>
  <c r="G31" i="3" s="1"/>
  <c r="G30" i="3" a="1"/>
  <c r="G30" i="3" s="1"/>
  <c r="G29" i="3" a="1"/>
  <c r="G29" i="3" s="1"/>
  <c r="G28" i="3" a="1"/>
  <c r="G28" i="3" s="1"/>
  <c r="G27" i="3" a="1"/>
  <c r="G27" i="3" s="1"/>
  <c r="G26" i="3" a="1"/>
  <c r="G26" i="3" s="1"/>
  <c r="G25" i="3" a="1"/>
  <c r="G25" i="3" s="1"/>
  <c r="G24" i="3" a="1"/>
  <c r="G24" i="3" s="1"/>
  <c r="G23" i="3" a="1"/>
  <c r="G23" i="3" s="1"/>
  <c r="G22" i="3" a="1"/>
  <c r="G22" i="3" s="1"/>
  <c r="G21" i="3" a="1"/>
  <c r="G21" i="3" s="1"/>
  <c r="G20" i="3" a="1"/>
  <c r="G20" i="3" s="1"/>
  <c r="G19" i="3" a="1"/>
  <c r="G19" i="3" s="1"/>
  <c r="G18" i="3" a="1"/>
  <c r="G18" i="3" s="1"/>
  <c r="G17" i="3" a="1"/>
  <c r="G17" i="3" s="1"/>
  <c r="G16" i="3" a="1"/>
  <c r="G16" i="3" s="1"/>
  <c r="G15" i="3" a="1"/>
  <c r="G15" i="3" s="1"/>
  <c r="G14" i="3" a="1"/>
  <c r="G14" i="3" s="1"/>
  <c r="G13" i="3" a="1"/>
  <c r="G13" i="3" s="1"/>
  <c r="G12" i="3" a="1"/>
  <c r="G12" i="3" s="1"/>
  <c r="G11" i="3" a="1"/>
  <c r="G11" i="3" s="1"/>
  <c r="G10" i="3" a="1"/>
  <c r="G10" i="3" s="1"/>
  <c r="G9" i="3" a="1"/>
  <c r="G9" i="3" s="1"/>
  <c r="G8" i="3" a="1"/>
  <c r="G8" i="3" s="1"/>
  <c r="G7" i="3" a="1"/>
  <c r="G7" i="3" s="1"/>
  <c r="G6" i="3" a="1"/>
  <c r="G6" i="3" s="1"/>
  <c r="G5" i="3" a="1"/>
  <c r="G5" i="3" s="1"/>
  <c r="G4" i="3" a="1"/>
  <c r="G4" i="3" s="1"/>
  <c r="G3" i="3" a="1"/>
  <c r="G3" i="3" s="1"/>
  <c r="G2" i="3" a="1"/>
  <c r="G2" i="3" s="1"/>
  <c r="G53" i="4" a="1"/>
  <c r="G53" i="4" s="1"/>
  <c r="G52" i="4" a="1"/>
  <c r="G52" i="4" s="1"/>
  <c r="G51" i="4" a="1"/>
  <c r="G51" i="4" s="1"/>
  <c r="G50" i="4" a="1"/>
  <c r="G50" i="4" s="1"/>
  <c r="G49" i="4" a="1"/>
  <c r="G49" i="4" s="1"/>
  <c r="G48" i="4" a="1"/>
  <c r="G48" i="4" s="1"/>
  <c r="G47" i="4" a="1"/>
  <c r="G47" i="4" s="1"/>
  <c r="G46" i="4" a="1"/>
  <c r="G46" i="4" s="1"/>
  <c r="G45" i="4" a="1"/>
  <c r="G45" i="4" s="1"/>
  <c r="G44" i="4" a="1"/>
  <c r="G44" i="4" s="1"/>
  <c r="G43" i="4" a="1"/>
  <c r="G43" i="4" s="1"/>
  <c r="G42" i="4" a="1"/>
  <c r="G42" i="4" s="1"/>
  <c r="G41" i="4" a="1"/>
  <c r="G41" i="4" s="1"/>
  <c r="G40" i="4" a="1"/>
  <c r="G40" i="4" s="1"/>
  <c r="G39" i="4" a="1"/>
  <c r="G39" i="4" s="1"/>
  <c r="G38" i="4" a="1"/>
  <c r="G38" i="4" s="1"/>
  <c r="G37" i="4" a="1"/>
  <c r="G37" i="4" s="1"/>
  <c r="G36" i="4" a="1"/>
  <c r="G36" i="4" s="1"/>
  <c r="G35" i="4" a="1"/>
  <c r="G35" i="4" s="1"/>
  <c r="G34" i="4" a="1"/>
  <c r="G34" i="4" s="1"/>
  <c r="G33" i="4" a="1"/>
  <c r="G33" i="4" s="1"/>
  <c r="G32" i="4" a="1"/>
  <c r="G32" i="4" s="1"/>
  <c r="G31" i="4" a="1"/>
  <c r="G31" i="4" s="1"/>
  <c r="G30" i="4" a="1"/>
  <c r="G30" i="4" s="1"/>
  <c r="G29" i="4" a="1"/>
  <c r="G29" i="4" s="1"/>
  <c r="G28" i="4" a="1"/>
  <c r="G28" i="4" s="1"/>
  <c r="G27" i="4" a="1"/>
  <c r="G27" i="4" s="1"/>
  <c r="G26" i="4" a="1"/>
  <c r="G26" i="4" s="1"/>
  <c r="G25" i="4" a="1"/>
  <c r="G25" i="4" s="1"/>
  <c r="G24" i="4" a="1"/>
  <c r="G24" i="4" s="1"/>
  <c r="G23" i="4" a="1"/>
  <c r="G23" i="4" s="1"/>
  <c r="G22" i="4" a="1"/>
  <c r="G22" i="4" s="1"/>
  <c r="G21" i="4" a="1"/>
  <c r="G21" i="4" s="1"/>
  <c r="G20" i="4" a="1"/>
  <c r="G20" i="4" s="1"/>
  <c r="G19" i="4" a="1"/>
  <c r="G19" i="4" s="1"/>
  <c r="G18" i="4" a="1"/>
  <c r="G18" i="4" s="1"/>
  <c r="G17" i="4" a="1"/>
  <c r="G17" i="4" s="1"/>
  <c r="G16" i="4" a="1"/>
  <c r="G16" i="4" s="1"/>
  <c r="G15" i="4" a="1"/>
  <c r="G15" i="4" s="1"/>
  <c r="G14" i="4" a="1"/>
  <c r="G14" i="4" s="1"/>
  <c r="G13" i="4" a="1"/>
  <c r="G13" i="4" s="1"/>
  <c r="G12" i="4" a="1"/>
  <c r="G12" i="4" s="1"/>
  <c r="G11" i="4" a="1"/>
  <c r="G11" i="4" s="1"/>
  <c r="G10" i="4" a="1"/>
  <c r="G10" i="4" s="1"/>
  <c r="G9" i="4" a="1"/>
  <c r="G9" i="4" s="1"/>
  <c r="G8" i="4" a="1"/>
  <c r="G8" i="4" s="1"/>
  <c r="G7" i="4" a="1"/>
  <c r="G7" i="4" s="1"/>
  <c r="G6" i="4" a="1"/>
  <c r="G6" i="4" s="1"/>
  <c r="G5" i="4" a="1"/>
  <c r="G5" i="4" s="1"/>
  <c r="G4" i="4" a="1"/>
  <c r="G4" i="4" s="1"/>
  <c r="G3" i="4" a="1"/>
  <c r="G3" i="4" s="1"/>
  <c r="G2" i="4" a="1"/>
  <c r="G2" i="4" s="1"/>
  <c r="G74" i="5" a="1"/>
  <c r="G74" i="5" s="1"/>
  <c r="G73" i="5" a="1"/>
  <c r="G73" i="5" s="1"/>
  <c r="G72" i="5" a="1"/>
  <c r="G72" i="5" s="1"/>
  <c r="G71" i="5" a="1"/>
  <c r="G71" i="5" s="1"/>
  <c r="G70" i="5" a="1"/>
  <c r="G70" i="5" s="1"/>
  <c r="G69" i="5" a="1"/>
  <c r="G69" i="5" s="1"/>
  <c r="G68" i="5" a="1"/>
  <c r="G68" i="5" s="1"/>
  <c r="G67" i="5" a="1"/>
  <c r="G67" i="5" s="1"/>
  <c r="G66" i="5" a="1"/>
  <c r="G66" i="5" s="1"/>
  <c r="G65" i="5" a="1"/>
  <c r="G65" i="5" s="1"/>
  <c r="G64" i="5" a="1"/>
  <c r="G64" i="5" s="1"/>
  <c r="G62" i="5" a="1"/>
  <c r="G62" i="5" s="1"/>
  <c r="G61" i="5" a="1"/>
  <c r="G61" i="5" s="1"/>
  <c r="G60" i="5" a="1"/>
  <c r="G60" i="5" s="1"/>
  <c r="G59" i="5" a="1"/>
  <c r="G59" i="5" s="1"/>
  <c r="G58" i="5" a="1"/>
  <c r="G58" i="5" s="1"/>
  <c r="G57" i="5" a="1"/>
  <c r="G57" i="5" s="1"/>
  <c r="G56" i="5" a="1"/>
  <c r="G56" i="5" s="1"/>
  <c r="G55" i="5" a="1"/>
  <c r="G55" i="5" s="1"/>
  <c r="G54" i="5" a="1"/>
  <c r="G54" i="5" s="1"/>
  <c r="G53" i="5" a="1"/>
  <c r="G53" i="5" s="1"/>
  <c r="G52" i="5" a="1"/>
  <c r="G52" i="5" s="1"/>
  <c r="G51" i="5" a="1"/>
  <c r="G51" i="5" s="1"/>
  <c r="G50" i="5" a="1"/>
  <c r="G50" i="5" s="1"/>
  <c r="G49" i="5" a="1"/>
  <c r="G49" i="5" s="1"/>
  <c r="G48" i="5" a="1"/>
  <c r="G48" i="5" s="1"/>
  <c r="G47" i="5" a="1"/>
  <c r="G47" i="5" s="1"/>
  <c r="G46" i="5" a="1"/>
  <c r="G46" i="5" s="1"/>
  <c r="G45" i="5" a="1"/>
  <c r="G45" i="5" s="1"/>
  <c r="G44" i="5" a="1"/>
  <c r="G44" i="5" s="1"/>
  <c r="G43" i="5" a="1"/>
  <c r="G43" i="5" s="1"/>
  <c r="G42" i="5" a="1"/>
  <c r="G42" i="5" s="1"/>
  <c r="G41" i="5" a="1"/>
  <c r="G41" i="5" s="1"/>
  <c r="G40" i="5" a="1"/>
  <c r="G40" i="5" s="1"/>
  <c r="G39" i="5" a="1"/>
  <c r="G39" i="5" s="1"/>
  <c r="G38" i="5" a="1"/>
  <c r="G38" i="5" s="1"/>
  <c r="G37" i="5" a="1"/>
  <c r="G37" i="5" s="1"/>
  <c r="G36" i="5" a="1"/>
  <c r="G36" i="5" s="1"/>
  <c r="G35" i="5" a="1"/>
  <c r="G35" i="5" s="1"/>
  <c r="G34" i="5" a="1"/>
  <c r="G34" i="5" s="1"/>
  <c r="G33" i="5" a="1"/>
  <c r="G33" i="5" s="1"/>
  <c r="G32" i="5" a="1"/>
  <c r="G32" i="5" s="1"/>
  <c r="G31" i="5" a="1"/>
  <c r="G31" i="5" s="1"/>
  <c r="G30" i="5" a="1"/>
  <c r="G30" i="5" s="1"/>
  <c r="G29" i="5" a="1"/>
  <c r="G29" i="5" s="1"/>
  <c r="G28" i="5" a="1"/>
  <c r="G28" i="5" s="1"/>
  <c r="G27" i="5" a="1"/>
  <c r="G27" i="5" s="1"/>
  <c r="G26" i="5" a="1"/>
  <c r="G26" i="5" s="1"/>
  <c r="G25" i="5" a="1"/>
  <c r="G25" i="5" s="1"/>
  <c r="G24" i="5" a="1"/>
  <c r="G24" i="5" s="1"/>
  <c r="G23" i="5" a="1"/>
  <c r="G23" i="5" s="1"/>
  <c r="G22" i="5" a="1"/>
  <c r="G22" i="5" s="1"/>
  <c r="G21" i="5" a="1"/>
  <c r="G21" i="5" s="1"/>
  <c r="G20" i="5" a="1"/>
  <c r="G20" i="5" s="1"/>
  <c r="G19" i="5" a="1"/>
  <c r="G19" i="5" s="1"/>
  <c r="G18" i="5" a="1"/>
  <c r="G18" i="5" s="1"/>
  <c r="G17" i="5" a="1"/>
  <c r="G17" i="5" s="1"/>
  <c r="G16" i="5" a="1"/>
  <c r="G16" i="5" s="1"/>
  <c r="G15" i="5" a="1"/>
  <c r="G15" i="5" s="1"/>
  <c r="G14" i="5" a="1"/>
  <c r="G14" i="5" s="1"/>
  <c r="G13" i="5" a="1"/>
  <c r="G13" i="5" s="1"/>
  <c r="G12" i="5" a="1"/>
  <c r="G12" i="5" s="1"/>
  <c r="G11" i="5" a="1"/>
  <c r="G11" i="5" s="1"/>
  <c r="G10" i="5" a="1"/>
  <c r="G10" i="5" s="1"/>
  <c r="G9" i="5" a="1"/>
  <c r="G9" i="5" s="1"/>
  <c r="G8" i="5" a="1"/>
  <c r="G8" i="5" s="1"/>
  <c r="G7" i="5" a="1"/>
  <c r="G7" i="5" s="1"/>
  <c r="G6" i="5" a="1"/>
  <c r="G6" i="5" s="1"/>
  <c r="G5" i="5" a="1"/>
  <c r="G5" i="5" s="1"/>
  <c r="G4" i="5" a="1"/>
  <c r="G4" i="5" s="1"/>
  <c r="G3" i="5" a="1"/>
  <c r="G3" i="5" s="1"/>
  <c r="G2" i="5" a="1"/>
  <c r="G2" i="5" s="1"/>
  <c r="G345" i="6" a="1"/>
  <c r="G345" i="6" s="1"/>
  <c r="G344" i="6" a="1"/>
  <c r="G344" i="6" s="1"/>
  <c r="G343" i="6" a="1"/>
  <c r="G343" i="6" s="1"/>
  <c r="G342" i="6" a="1"/>
  <c r="G342" i="6" s="1"/>
  <c r="G341" i="6" a="1"/>
  <c r="G341" i="6" s="1"/>
  <c r="G340" i="6" a="1"/>
  <c r="G340" i="6" s="1"/>
  <c r="G339" i="6" a="1"/>
  <c r="G339" i="6" s="1"/>
  <c r="G338" i="6" a="1"/>
  <c r="G338" i="6" s="1"/>
  <c r="G337" i="6" a="1"/>
  <c r="G337" i="6" s="1"/>
  <c r="G336" i="6" a="1"/>
  <c r="G336" i="6" s="1"/>
  <c r="G335" i="6" a="1"/>
  <c r="G335" i="6" s="1"/>
  <c r="G334" i="6" a="1"/>
  <c r="G334" i="6" s="1"/>
  <c r="G333" i="6" a="1"/>
  <c r="G333" i="6" s="1"/>
  <c r="G332" i="6" a="1"/>
  <c r="G332" i="6" s="1"/>
  <c r="G331" i="6" a="1"/>
  <c r="G331" i="6" s="1"/>
  <c r="G330" i="6" a="1"/>
  <c r="G330" i="6" s="1"/>
  <c r="G329" i="6" a="1"/>
  <c r="G329" i="6" s="1"/>
  <c r="G328" i="6" a="1"/>
  <c r="G328" i="6" s="1"/>
  <c r="G327" i="6" a="1"/>
  <c r="G327" i="6" s="1"/>
  <c r="G326" i="6" a="1"/>
  <c r="G326" i="6" s="1"/>
  <c r="G325" i="6" a="1"/>
  <c r="G325" i="6" s="1"/>
  <c r="G324" i="6" a="1"/>
  <c r="G324" i="6" s="1"/>
  <c r="G323" i="6" a="1"/>
  <c r="G323" i="6" s="1"/>
  <c r="G322" i="6" a="1"/>
  <c r="G322" i="6" s="1"/>
  <c r="G321" i="6" a="1"/>
  <c r="G321" i="6" s="1"/>
  <c r="G320" i="6" a="1"/>
  <c r="G320" i="6" s="1"/>
  <c r="G319" i="6" a="1"/>
  <c r="G319" i="6" s="1"/>
  <c r="G318" i="6" a="1"/>
  <c r="G318" i="6" s="1"/>
  <c r="G317" i="6" a="1"/>
  <c r="G317" i="6" s="1"/>
  <c r="G316" i="6" a="1"/>
  <c r="G316" i="6" s="1"/>
  <c r="G315" i="6" a="1"/>
  <c r="G315" i="6" s="1"/>
  <c r="G314" i="6" a="1"/>
  <c r="G314" i="6" s="1"/>
  <c r="G313" i="6" a="1"/>
  <c r="G313" i="6" s="1"/>
  <c r="G312" i="6" a="1"/>
  <c r="G312" i="6" s="1"/>
  <c r="G311" i="6" a="1"/>
  <c r="G311" i="6" s="1"/>
  <c r="G310" i="6" a="1"/>
  <c r="G310" i="6" s="1"/>
  <c r="G309" i="6" a="1"/>
  <c r="G309" i="6" s="1"/>
  <c r="G308" i="6" a="1"/>
  <c r="G308" i="6" s="1"/>
  <c r="G307" i="6" a="1"/>
  <c r="G307" i="6" s="1"/>
  <c r="G306" i="6" a="1"/>
  <c r="G306" i="6" s="1"/>
  <c r="G305" i="6" a="1"/>
  <c r="G305" i="6" s="1"/>
  <c r="G304" i="6" a="1"/>
  <c r="G304" i="6" s="1"/>
  <c r="G303" i="6" a="1"/>
  <c r="G303" i="6" s="1"/>
  <c r="G302" i="6" a="1"/>
  <c r="G302" i="6" s="1"/>
  <c r="G301" i="6" a="1"/>
  <c r="G301" i="6" s="1"/>
  <c r="G300" i="6" a="1"/>
  <c r="G300" i="6" s="1"/>
  <c r="G299" i="6" a="1"/>
  <c r="G299" i="6" s="1"/>
  <c r="G298" i="6" a="1"/>
  <c r="G298" i="6" s="1"/>
  <c r="G297" i="6" a="1"/>
  <c r="G297" i="6" s="1"/>
  <c r="G296" i="6" a="1"/>
  <c r="G296" i="6" s="1"/>
  <c r="G295" i="6" a="1"/>
  <c r="G295" i="6" s="1"/>
  <c r="G294" i="6" a="1"/>
  <c r="G294" i="6" s="1"/>
  <c r="G293" i="6" a="1"/>
  <c r="G293" i="6" s="1"/>
  <c r="G292" i="6" a="1"/>
  <c r="G292" i="6" s="1"/>
  <c r="G291" i="6" a="1"/>
  <c r="G291" i="6" s="1"/>
  <c r="G290" i="6" a="1"/>
  <c r="G290" i="6" s="1"/>
  <c r="G289" i="6" a="1"/>
  <c r="G289" i="6" s="1"/>
  <c r="G288" i="6" a="1"/>
  <c r="G288" i="6" s="1"/>
  <c r="G287" i="6" a="1"/>
  <c r="G287" i="6" s="1"/>
  <c r="G286" i="6" a="1"/>
  <c r="G286" i="6" s="1"/>
  <c r="G285" i="6" a="1"/>
  <c r="G285" i="6" s="1"/>
  <c r="G284" i="6" a="1"/>
  <c r="G284" i="6" s="1"/>
  <c r="G283" i="6" a="1"/>
  <c r="G283" i="6" s="1"/>
  <c r="G282" i="6" a="1"/>
  <c r="G282" i="6" s="1"/>
  <c r="G281" i="6" a="1"/>
  <c r="G281" i="6" s="1"/>
  <c r="G280" i="6" a="1"/>
  <c r="G280" i="6" s="1"/>
  <c r="G279" i="6" a="1"/>
  <c r="G279" i="6" s="1"/>
  <c r="G278" i="6" a="1"/>
  <c r="G278" i="6" s="1"/>
  <c r="G277" i="6" a="1"/>
  <c r="G277" i="6" s="1"/>
  <c r="G276" i="6" a="1"/>
  <c r="G276" i="6" s="1"/>
  <c r="G275" i="6" a="1"/>
  <c r="G275" i="6" s="1"/>
  <c r="G274" i="6" a="1"/>
  <c r="G274" i="6" s="1"/>
  <c r="G273" i="6" a="1"/>
  <c r="G273" i="6" s="1"/>
  <c r="G272" i="6" a="1"/>
  <c r="G272" i="6" s="1"/>
  <c r="G271" i="6" a="1"/>
  <c r="G271" i="6" s="1"/>
  <c r="G270" i="6" a="1"/>
  <c r="G270" i="6" s="1"/>
  <c r="G269" i="6" a="1"/>
  <c r="G269" i="6" s="1"/>
  <c r="G268" i="6" a="1"/>
  <c r="G268" i="6" s="1"/>
  <c r="G267" i="6" a="1"/>
  <c r="G267" i="6" s="1"/>
  <c r="G266" i="6" a="1"/>
  <c r="G266" i="6" s="1"/>
  <c r="G265" i="6" a="1"/>
  <c r="G265" i="6" s="1"/>
  <c r="G264" i="6" a="1"/>
  <c r="G264" i="6" s="1"/>
  <c r="G263" i="6" a="1"/>
  <c r="G263" i="6" s="1"/>
  <c r="G262" i="6" a="1"/>
  <c r="G262" i="6" s="1"/>
  <c r="G261" i="6" a="1"/>
  <c r="G261" i="6" s="1"/>
  <c r="G260" i="6" a="1"/>
  <c r="G260" i="6" s="1"/>
  <c r="G259" i="6" a="1"/>
  <c r="G259" i="6" s="1"/>
  <c r="G258" i="6" a="1"/>
  <c r="G258" i="6" s="1"/>
  <c r="G257" i="6" a="1"/>
  <c r="G257" i="6" s="1"/>
  <c r="G256" i="6" a="1"/>
  <c r="G256" i="6" s="1"/>
  <c r="G255" i="6" a="1"/>
  <c r="G255" i="6" s="1"/>
  <c r="G254" i="6" a="1"/>
  <c r="G254" i="6" s="1"/>
  <c r="G253" i="6" a="1"/>
  <c r="G253" i="6" s="1"/>
  <c r="G252" i="6" a="1"/>
  <c r="G252" i="6" s="1"/>
  <c r="G251" i="6" a="1"/>
  <c r="G251" i="6" s="1"/>
  <c r="G250" i="6" a="1"/>
  <c r="G250" i="6" s="1"/>
  <c r="G249" i="6" a="1"/>
  <c r="G249" i="6" s="1"/>
  <c r="G248" i="6" a="1"/>
  <c r="G248" i="6" s="1"/>
  <c r="G247" i="6" a="1"/>
  <c r="G247" i="6" s="1"/>
  <c r="G246" i="6" a="1"/>
  <c r="G246" i="6" s="1"/>
  <c r="G245" i="6" a="1"/>
  <c r="G245" i="6" s="1"/>
  <c r="G244" i="6" a="1"/>
  <c r="G244" i="6" s="1"/>
  <c r="G243" i="6" a="1"/>
  <c r="G243" i="6" s="1"/>
  <c r="G242" i="6" a="1"/>
  <c r="G242" i="6" s="1"/>
  <c r="G241" i="6" a="1"/>
  <c r="G241" i="6" s="1"/>
  <c r="G240" i="6" a="1"/>
  <c r="G240" i="6" s="1"/>
  <c r="G239" i="6" a="1"/>
  <c r="G239" i="6" s="1"/>
  <c r="G238" i="6" a="1"/>
  <c r="G238" i="6" s="1"/>
  <c r="G237" i="6" a="1"/>
  <c r="G237" i="6" s="1"/>
  <c r="G236" i="6" a="1"/>
  <c r="G236" i="6" s="1"/>
  <c r="G235" i="6" a="1"/>
  <c r="G235" i="6" s="1"/>
  <c r="G234" i="6" a="1"/>
  <c r="G234" i="6" s="1"/>
  <c r="G233" i="6" a="1"/>
  <c r="G233" i="6" s="1"/>
  <c r="G232" i="6" a="1"/>
  <c r="G232" i="6" s="1"/>
  <c r="G231" i="6" a="1"/>
  <c r="G231" i="6" s="1"/>
  <c r="G230" i="6" a="1"/>
  <c r="G230" i="6" s="1"/>
  <c r="G229" i="6" a="1"/>
  <c r="G229" i="6" s="1"/>
  <c r="G228" i="6" a="1"/>
  <c r="G228" i="6" s="1"/>
  <c r="G227" i="6" a="1"/>
  <c r="G227" i="6" s="1"/>
  <c r="G226" i="6" a="1"/>
  <c r="G226" i="6" s="1"/>
  <c r="G225" i="6" a="1"/>
  <c r="G225" i="6" s="1"/>
  <c r="G224" i="6" a="1"/>
  <c r="G224" i="6" s="1"/>
  <c r="G223" i="6" a="1"/>
  <c r="G223" i="6" s="1"/>
  <c r="G222" i="6" a="1"/>
  <c r="G222" i="6" s="1"/>
  <c r="G221" i="6" a="1"/>
  <c r="G221" i="6" s="1"/>
  <c r="G220" i="6" a="1"/>
  <c r="G220" i="6" s="1"/>
  <c r="G219" i="6" a="1"/>
  <c r="G219" i="6" s="1"/>
  <c r="G218" i="6" a="1"/>
  <c r="G218" i="6" s="1"/>
  <c r="G217" i="6" a="1"/>
  <c r="G217" i="6" s="1"/>
  <c r="G216" i="6" a="1"/>
  <c r="G216" i="6" s="1"/>
  <c r="G215" i="6" a="1"/>
  <c r="G215" i="6" s="1"/>
  <c r="G214" i="6" a="1"/>
  <c r="G214" i="6" s="1"/>
  <c r="G213" i="6" a="1"/>
  <c r="G213" i="6" s="1"/>
  <c r="G212" i="6" a="1"/>
  <c r="G212" i="6" s="1"/>
  <c r="G211" i="6" a="1"/>
  <c r="G211" i="6" s="1"/>
  <c r="G210" i="6" a="1"/>
  <c r="G210" i="6" s="1"/>
  <c r="G209" i="6" a="1"/>
  <c r="G209" i="6" s="1"/>
  <c r="G208" i="6" a="1"/>
  <c r="G208" i="6" s="1"/>
  <c r="G207" i="6" a="1"/>
  <c r="G207" i="6" s="1"/>
  <c r="G206" i="6" a="1"/>
  <c r="G206" i="6" s="1"/>
  <c r="G205" i="6" a="1"/>
  <c r="G205" i="6" s="1"/>
  <c r="G204" i="6" a="1"/>
  <c r="G204" i="6" s="1"/>
  <c r="G203" i="6" a="1"/>
  <c r="G203" i="6" s="1"/>
  <c r="G202" i="6" a="1"/>
  <c r="G202" i="6" s="1"/>
  <c r="G201" i="6" a="1"/>
  <c r="G201" i="6" s="1"/>
  <c r="G200" i="6" a="1"/>
  <c r="G200" i="6" s="1"/>
  <c r="G199" i="6" a="1"/>
  <c r="G199" i="6" s="1"/>
  <c r="G198" i="6" a="1"/>
  <c r="G198" i="6" s="1"/>
  <c r="G197" i="6" a="1"/>
  <c r="G197" i="6" s="1"/>
  <c r="G196" i="6" a="1"/>
  <c r="G196" i="6" s="1"/>
  <c r="G195" i="6" a="1"/>
  <c r="G195" i="6" s="1"/>
  <c r="G194" i="6" a="1"/>
  <c r="G194" i="6" s="1"/>
  <c r="G193" i="6" a="1"/>
  <c r="G193" i="6" s="1"/>
  <c r="G192" i="6" a="1"/>
  <c r="G192" i="6" s="1"/>
  <c r="G191" i="6" a="1"/>
  <c r="G191" i="6" s="1"/>
  <c r="G190" i="6" a="1"/>
  <c r="G190" i="6" s="1"/>
  <c r="G189" i="6" a="1"/>
  <c r="G189" i="6" s="1"/>
  <c r="G188" i="6" a="1"/>
  <c r="G188" i="6" s="1"/>
  <c r="G187" i="6" a="1"/>
  <c r="G187" i="6" s="1"/>
  <c r="G186" i="6" a="1"/>
  <c r="G186" i="6" s="1"/>
  <c r="G185" i="6" a="1"/>
  <c r="G185" i="6" s="1"/>
  <c r="G184" i="6" a="1"/>
  <c r="G184" i="6" s="1"/>
  <c r="G183" i="6" a="1"/>
  <c r="G183" i="6" s="1"/>
  <c r="G182" i="6" a="1"/>
  <c r="G182" i="6" s="1"/>
  <c r="G181" i="6" a="1"/>
  <c r="G181" i="6" s="1"/>
  <c r="G180" i="6" a="1"/>
  <c r="G180" i="6" s="1"/>
  <c r="G179" i="6" a="1"/>
  <c r="G179" i="6" s="1"/>
  <c r="G178" i="6" a="1"/>
  <c r="G178" i="6" s="1"/>
  <c r="G177" i="6" a="1"/>
  <c r="G177" i="6" s="1"/>
  <c r="G176" i="6" a="1"/>
  <c r="G176" i="6" s="1"/>
  <c r="G175" i="6" a="1"/>
  <c r="G175" i="6" s="1"/>
  <c r="G174" i="6" a="1"/>
  <c r="G174" i="6" s="1"/>
  <c r="G173" i="6" a="1"/>
  <c r="G173" i="6" s="1"/>
  <c r="G172" i="6" a="1"/>
  <c r="G172" i="6" s="1"/>
  <c r="G171" i="6" a="1"/>
  <c r="G171" i="6" s="1"/>
  <c r="G170" i="6" a="1"/>
  <c r="G170" i="6" s="1"/>
  <c r="G169" i="6" a="1"/>
  <c r="G169" i="6" s="1"/>
  <c r="G168" i="6" a="1"/>
  <c r="G168" i="6" s="1"/>
  <c r="G167" i="6" a="1"/>
  <c r="G167" i="6" s="1"/>
  <c r="G166" i="6" a="1"/>
  <c r="G166" i="6" s="1"/>
  <c r="G165" i="6" a="1"/>
  <c r="G165" i="6" s="1"/>
  <c r="G164" i="6" a="1"/>
  <c r="G164" i="6" s="1"/>
  <c r="G163" i="6" a="1"/>
  <c r="G163" i="6" s="1"/>
  <c r="G162" i="6" a="1"/>
  <c r="G162" i="6" s="1"/>
  <c r="G161" i="6" a="1"/>
  <c r="G161" i="6" s="1"/>
  <c r="G160" i="6" a="1"/>
  <c r="G160" i="6" s="1"/>
  <c r="G159" i="6" a="1"/>
  <c r="G159" i="6" s="1"/>
  <c r="G158" i="6" a="1"/>
  <c r="G158" i="6" s="1"/>
  <c r="G157" i="6" a="1"/>
  <c r="G157" i="6" s="1"/>
  <c r="G156" i="6" a="1"/>
  <c r="G156" i="6" s="1"/>
  <c r="G155" i="6" a="1"/>
  <c r="G155" i="6" s="1"/>
  <c r="G154" i="6" a="1"/>
  <c r="G154" i="6" s="1"/>
  <c r="G153" i="6" a="1"/>
  <c r="G153" i="6" s="1"/>
  <c r="G152" i="6" a="1"/>
  <c r="G152" i="6" s="1"/>
  <c r="G151" i="6" a="1"/>
  <c r="G151" i="6" s="1"/>
  <c r="G150" i="6" a="1"/>
  <c r="G150" i="6" s="1"/>
  <c r="G149" i="6" a="1"/>
  <c r="G149" i="6" s="1"/>
  <c r="G148" i="6" a="1"/>
  <c r="G148" i="6" s="1"/>
  <c r="G147" i="6" a="1"/>
  <c r="G147" i="6" s="1"/>
  <c r="G146" i="6" a="1"/>
  <c r="G146" i="6" s="1"/>
  <c r="G145" i="6" a="1"/>
  <c r="G145" i="6" s="1"/>
  <c r="G144" i="6" a="1"/>
  <c r="G144" i="6" s="1"/>
  <c r="G143" i="6" a="1"/>
  <c r="G143" i="6" s="1"/>
  <c r="G142" i="6" a="1"/>
  <c r="G142" i="6" s="1"/>
  <c r="G141" i="6" a="1"/>
  <c r="G141" i="6" s="1"/>
  <c r="G140" i="6" a="1"/>
  <c r="G140" i="6" s="1"/>
  <c r="G139" i="6" a="1"/>
  <c r="G139" i="6" s="1"/>
  <c r="G138" i="6" a="1"/>
  <c r="G138" i="6" s="1"/>
  <c r="G137" i="6" a="1"/>
  <c r="G137" i="6" s="1"/>
  <c r="G136" i="6" a="1"/>
  <c r="G136" i="6" s="1"/>
  <c r="G135" i="6" a="1"/>
  <c r="G135" i="6" s="1"/>
  <c r="G134" i="6" a="1"/>
  <c r="G134" i="6" s="1"/>
  <c r="G133" i="6" a="1"/>
  <c r="G133" i="6" s="1"/>
  <c r="G132" i="6" a="1"/>
  <c r="G132" i="6" s="1"/>
  <c r="G131" i="6" a="1"/>
  <c r="G131" i="6" s="1"/>
  <c r="G130" i="6" a="1"/>
  <c r="G130" i="6" s="1"/>
  <c r="G129" i="6" a="1"/>
  <c r="G129" i="6" s="1"/>
  <c r="G128" i="6" a="1"/>
  <c r="G128" i="6" s="1"/>
  <c r="G127" i="6" a="1"/>
  <c r="G127" i="6" s="1"/>
  <c r="G126" i="6" a="1"/>
  <c r="G126" i="6" s="1"/>
  <c r="G125" i="6" a="1"/>
  <c r="G125" i="6" s="1"/>
  <c r="G124" i="6" a="1"/>
  <c r="G124" i="6" s="1"/>
  <c r="G123" i="6" a="1"/>
  <c r="G123" i="6" s="1"/>
  <c r="G122" i="6" a="1"/>
  <c r="G122" i="6" s="1"/>
  <c r="G121" i="6" a="1"/>
  <c r="G121" i="6" s="1"/>
  <c r="G120" i="6" a="1"/>
  <c r="G120" i="6" s="1"/>
  <c r="G119" i="6" a="1"/>
  <c r="G119" i="6" s="1"/>
  <c r="G118" i="6" a="1"/>
  <c r="G118" i="6" s="1"/>
  <c r="G117" i="6" a="1"/>
  <c r="G117" i="6" s="1"/>
  <c r="G116" i="6" a="1"/>
  <c r="G116" i="6" s="1"/>
  <c r="G115" i="6" a="1"/>
  <c r="G115" i="6" s="1"/>
  <c r="G114" i="6" a="1"/>
  <c r="G114" i="6" s="1"/>
  <c r="G113" i="6" a="1"/>
  <c r="G113" i="6" s="1"/>
  <c r="G112" i="6" a="1"/>
  <c r="G112" i="6" s="1"/>
  <c r="G111" i="6" a="1"/>
  <c r="G111" i="6" s="1"/>
  <c r="G110" i="6" a="1"/>
  <c r="G110" i="6" s="1"/>
  <c r="G109" i="6" a="1"/>
  <c r="G109" i="6" s="1"/>
  <c r="G108" i="6" a="1"/>
  <c r="G108" i="6" s="1"/>
  <c r="G107" i="6" a="1"/>
  <c r="G107" i="6" s="1"/>
  <c r="G106" i="6" a="1"/>
  <c r="G106" i="6" s="1"/>
  <c r="G105" i="6" a="1"/>
  <c r="G105" i="6" s="1"/>
  <c r="G104" i="6" a="1"/>
  <c r="G104" i="6" s="1"/>
  <c r="G103" i="6" a="1"/>
  <c r="G103" i="6" s="1"/>
  <c r="G102" i="6" a="1"/>
  <c r="G102" i="6" s="1"/>
  <c r="G101" i="6" a="1"/>
  <c r="G101" i="6" s="1"/>
  <c r="G100" i="6" a="1"/>
  <c r="G100" i="6" s="1"/>
  <c r="G99" i="6" a="1"/>
  <c r="G99" i="6" s="1"/>
  <c r="G98" i="6" a="1"/>
  <c r="G98" i="6" s="1"/>
  <c r="G97" i="6" a="1"/>
  <c r="G97" i="6" s="1"/>
  <c r="G96" i="6" a="1"/>
  <c r="G96" i="6" s="1"/>
  <c r="G95" i="6" a="1"/>
  <c r="G95" i="6" s="1"/>
  <c r="G94" i="6" a="1"/>
  <c r="G94" i="6" s="1"/>
  <c r="G93" i="6" a="1"/>
  <c r="G93" i="6" s="1"/>
  <c r="G92" i="6" a="1"/>
  <c r="G92" i="6" s="1"/>
  <c r="G91" i="6" a="1"/>
  <c r="G91" i="6" s="1"/>
  <c r="G90" i="6" a="1"/>
  <c r="G90" i="6" s="1"/>
  <c r="G89" i="6" a="1"/>
  <c r="G89" i="6" s="1"/>
  <c r="G88" i="6" a="1"/>
  <c r="G88" i="6" s="1"/>
  <c r="G87" i="6" a="1"/>
  <c r="G87" i="6" s="1"/>
  <c r="G86" i="6" a="1"/>
  <c r="G86" i="6" s="1"/>
  <c r="G85" i="6" a="1"/>
  <c r="G85" i="6" s="1"/>
  <c r="G84" i="6" a="1"/>
  <c r="G84" i="6" s="1"/>
  <c r="G83" i="6" a="1"/>
  <c r="G83" i="6" s="1"/>
  <c r="G82" i="6" a="1"/>
  <c r="G82" i="6" s="1"/>
  <c r="G81" i="6" a="1"/>
  <c r="G81" i="6" s="1"/>
  <c r="G80" i="6" a="1"/>
  <c r="G80" i="6" s="1"/>
  <c r="G79" i="6" a="1"/>
  <c r="G79" i="6" s="1"/>
  <c r="G78" i="6" a="1"/>
  <c r="G78" i="6" s="1"/>
  <c r="G77" i="6" a="1"/>
  <c r="G77" i="6" s="1"/>
  <c r="G76" i="6" a="1"/>
  <c r="G76" i="6" s="1"/>
  <c r="G75" i="6" a="1"/>
  <c r="G75" i="6" s="1"/>
  <c r="G74" i="6" a="1"/>
  <c r="G74" i="6" s="1"/>
  <c r="G73" i="6" a="1"/>
  <c r="G73" i="6" s="1"/>
  <c r="G72" i="6" a="1"/>
  <c r="G72" i="6" s="1"/>
  <c r="G71" i="6" a="1"/>
  <c r="G71" i="6" s="1"/>
  <c r="G70" i="6" a="1"/>
  <c r="G70" i="6" s="1"/>
  <c r="G69" i="6" a="1"/>
  <c r="G69" i="6" s="1"/>
  <c r="G68" i="6" a="1"/>
  <c r="G68" i="6" s="1"/>
  <c r="G67" i="6" a="1"/>
  <c r="G67" i="6" s="1"/>
  <c r="G66" i="6" a="1"/>
  <c r="G66" i="6" s="1"/>
  <c r="G65" i="6" a="1"/>
  <c r="G65" i="6" s="1"/>
  <c r="G64" i="6" a="1"/>
  <c r="G64" i="6" s="1"/>
  <c r="G62" i="6" a="1"/>
  <c r="G62" i="6" s="1"/>
  <c r="G61" i="6" a="1"/>
  <c r="G61" i="6" s="1"/>
  <c r="G60" i="6" a="1"/>
  <c r="G60" i="6" s="1"/>
  <c r="G59" i="6" a="1"/>
  <c r="G59" i="6" s="1"/>
  <c r="G58" i="6" a="1"/>
  <c r="G58" i="6" s="1"/>
  <c r="G57" i="6" a="1"/>
  <c r="G57" i="6" s="1"/>
  <c r="G56" i="6" a="1"/>
  <c r="G56" i="6" s="1"/>
  <c r="G55" i="6" a="1"/>
  <c r="G55" i="6" s="1"/>
  <c r="G54" i="6" a="1"/>
  <c r="G54" i="6" s="1"/>
  <c r="G53" i="6" a="1"/>
  <c r="G53" i="6" s="1"/>
  <c r="G52" i="6" a="1"/>
  <c r="G52" i="6" s="1"/>
  <c r="G51" i="6" a="1"/>
  <c r="G51" i="6" s="1"/>
  <c r="G50" i="6" a="1"/>
  <c r="G50" i="6" s="1"/>
  <c r="G49" i="6" a="1"/>
  <c r="G49" i="6" s="1"/>
  <c r="G48" i="6" a="1"/>
  <c r="G48" i="6" s="1"/>
  <c r="G47" i="6" a="1"/>
  <c r="G47" i="6" s="1"/>
  <c r="G46" i="6" a="1"/>
  <c r="G46" i="6" s="1"/>
  <c r="G45" i="6" a="1"/>
  <c r="G45" i="6" s="1"/>
  <c r="G44" i="6" a="1"/>
  <c r="G44" i="6" s="1"/>
  <c r="G43" i="6" a="1"/>
  <c r="G43" i="6" s="1"/>
  <c r="G42" i="6" a="1"/>
  <c r="G42" i="6" s="1"/>
  <c r="G41" i="6" a="1"/>
  <c r="G41" i="6" s="1"/>
  <c r="G40" i="6" a="1"/>
  <c r="G40" i="6" s="1"/>
  <c r="G39" i="6" a="1"/>
  <c r="G39" i="6" s="1"/>
  <c r="G38" i="6" a="1"/>
  <c r="G38" i="6" s="1"/>
  <c r="G37" i="6" a="1"/>
  <c r="G37" i="6" s="1"/>
  <c r="G36" i="6" a="1"/>
  <c r="G36" i="6" s="1"/>
  <c r="G35" i="6" a="1"/>
  <c r="G35" i="6" s="1"/>
  <c r="G34" i="6" a="1"/>
  <c r="G34" i="6" s="1"/>
  <c r="G33" i="6" a="1"/>
  <c r="G33" i="6" s="1"/>
  <c r="G32" i="6" a="1"/>
  <c r="G32" i="6" s="1"/>
  <c r="G31" i="6" a="1"/>
  <c r="G31" i="6" s="1"/>
  <c r="G30" i="6" a="1"/>
  <c r="G30" i="6" s="1"/>
  <c r="G29" i="6" a="1"/>
  <c r="G29" i="6" s="1"/>
  <c r="G28" i="6" a="1"/>
  <c r="G28" i="6" s="1"/>
  <c r="G27" i="6" a="1"/>
  <c r="G27" i="6" s="1"/>
  <c r="G26" i="6" a="1"/>
  <c r="G26" i="6" s="1"/>
  <c r="G25" i="6" a="1"/>
  <c r="G25" i="6" s="1"/>
  <c r="G24" i="6" a="1"/>
  <c r="G24" i="6" s="1"/>
  <c r="G23" i="6" a="1"/>
  <c r="G23" i="6" s="1"/>
  <c r="G22" i="6" a="1"/>
  <c r="G22" i="6" s="1"/>
  <c r="G21" i="6" a="1"/>
  <c r="G21" i="6" s="1"/>
  <c r="G20" i="6" a="1"/>
  <c r="G20" i="6" s="1"/>
  <c r="G19" i="6" a="1"/>
  <c r="G19" i="6" s="1"/>
  <c r="G18" i="6" a="1"/>
  <c r="G18" i="6" s="1"/>
  <c r="G17" i="6" a="1"/>
  <c r="G17" i="6" s="1"/>
  <c r="G16" i="6" a="1"/>
  <c r="G16" i="6" s="1"/>
  <c r="G15" i="6" a="1"/>
  <c r="G15" i="6" s="1"/>
  <c r="G14" i="6" a="1"/>
  <c r="G14" i="6" s="1"/>
  <c r="G13" i="6" a="1"/>
  <c r="G13" i="6" s="1"/>
  <c r="G12" i="6" a="1"/>
  <c r="G12" i="6" s="1"/>
  <c r="G11" i="6" a="1"/>
  <c r="G11" i="6" s="1"/>
  <c r="G10" i="6" a="1"/>
  <c r="G10" i="6" s="1"/>
  <c r="G9" i="6" a="1"/>
  <c r="G9" i="6" s="1"/>
  <c r="G8" i="6" a="1"/>
  <c r="G8" i="6" s="1"/>
  <c r="G7" i="6" a="1"/>
  <c r="G7" i="6" s="1"/>
  <c r="G6" i="6" a="1"/>
  <c r="G6" i="6" s="1"/>
  <c r="G5" i="6" a="1"/>
  <c r="G5" i="6" s="1"/>
  <c r="G4" i="6" a="1"/>
  <c r="G4" i="6" s="1"/>
  <c r="G3" i="6" a="1"/>
  <c r="G3" i="6" s="1"/>
  <c r="G2" i="6" a="1"/>
  <c r="G2" i="6" s="1"/>
  <c r="G56" i="7" a="1"/>
  <c r="G56" i="7" s="1"/>
  <c r="G55" i="7" a="1"/>
  <c r="G55" i="7" s="1"/>
  <c r="G54" i="7" a="1"/>
  <c r="G54" i="7" s="1"/>
  <c r="G53" i="7" a="1"/>
  <c r="G53" i="7" s="1"/>
  <c r="G52" i="7" a="1"/>
  <c r="G52" i="7" s="1"/>
  <c r="G51" i="7" a="1"/>
  <c r="G51" i="7" s="1"/>
  <c r="G50" i="7" a="1"/>
  <c r="G50" i="7" s="1"/>
  <c r="G49" i="7" a="1"/>
  <c r="G49" i="7" s="1"/>
  <c r="G48" i="7" a="1"/>
  <c r="G48" i="7" s="1"/>
  <c r="G47" i="7" a="1"/>
  <c r="G47" i="7" s="1"/>
  <c r="G46" i="7" a="1"/>
  <c r="G46" i="7" s="1"/>
  <c r="G45" i="7" a="1"/>
  <c r="G45" i="7" s="1"/>
  <c r="G44" i="7" a="1"/>
  <c r="G44" i="7" s="1"/>
  <c r="G43" i="7" a="1"/>
  <c r="G43" i="7" s="1"/>
  <c r="G42" i="7" a="1"/>
  <c r="G42" i="7" s="1"/>
  <c r="G41" i="7" a="1"/>
  <c r="G41" i="7" s="1"/>
  <c r="G40" i="7" a="1"/>
  <c r="G40" i="7" s="1"/>
  <c r="G39" i="7" a="1"/>
  <c r="G39" i="7" s="1"/>
  <c r="G38" i="7" a="1"/>
  <c r="G38" i="7" s="1"/>
  <c r="G37" i="7" a="1"/>
  <c r="G37" i="7" s="1"/>
  <c r="G36" i="7" a="1"/>
  <c r="G36" i="7" s="1"/>
  <c r="G35" i="7" a="1"/>
  <c r="G35" i="7" s="1"/>
  <c r="G34" i="7" a="1"/>
  <c r="G34" i="7" s="1"/>
  <c r="G33" i="7" a="1"/>
  <c r="G33" i="7" s="1"/>
  <c r="G32" i="7" a="1"/>
  <c r="G32" i="7" s="1"/>
  <c r="G31" i="7" a="1"/>
  <c r="G31" i="7" s="1"/>
  <c r="G30" i="7" a="1"/>
  <c r="G30" i="7" s="1"/>
  <c r="G29" i="7" a="1"/>
  <c r="G29" i="7" s="1"/>
  <c r="G28" i="7" a="1"/>
  <c r="G28" i="7" s="1"/>
  <c r="G27" i="7" a="1"/>
  <c r="G27" i="7" s="1"/>
  <c r="G26" i="7" a="1"/>
  <c r="G26" i="7" s="1"/>
  <c r="G25" i="7" a="1"/>
  <c r="G25" i="7" s="1"/>
  <c r="G24" i="7" a="1"/>
  <c r="G24" i="7" s="1"/>
  <c r="G23" i="7" a="1"/>
  <c r="G23" i="7" s="1"/>
  <c r="G22" i="7" a="1"/>
  <c r="G22" i="7" s="1"/>
  <c r="G21" i="7" a="1"/>
  <c r="G21" i="7" s="1"/>
  <c r="G20" i="7" a="1"/>
  <c r="G20" i="7" s="1"/>
  <c r="G19" i="7" a="1"/>
  <c r="G19" i="7" s="1"/>
  <c r="G18" i="7" a="1"/>
  <c r="G18" i="7" s="1"/>
  <c r="G17" i="7" a="1"/>
  <c r="G17" i="7" s="1"/>
  <c r="G16" i="7" a="1"/>
  <c r="G16" i="7" s="1"/>
  <c r="G15" i="7" a="1"/>
  <c r="G15" i="7" s="1"/>
  <c r="G14" i="7" a="1"/>
  <c r="G14" i="7" s="1"/>
  <c r="G13" i="7" a="1"/>
  <c r="G13" i="7" s="1"/>
  <c r="G12" i="7" a="1"/>
  <c r="G12" i="7" s="1"/>
  <c r="G11" i="7" a="1"/>
  <c r="G11" i="7" s="1"/>
  <c r="G10" i="7" a="1"/>
  <c r="G10" i="7" s="1"/>
  <c r="G9" i="7" a="1"/>
  <c r="G9" i="7" s="1"/>
  <c r="G8" i="7" a="1"/>
  <c r="G8" i="7" s="1"/>
  <c r="G7" i="7" a="1"/>
  <c r="G7" i="7" s="1"/>
  <c r="G6" i="7" a="1"/>
  <c r="G6" i="7" s="1"/>
  <c r="G5" i="7" a="1"/>
  <c r="G5" i="7" s="1"/>
  <c r="G4" i="7" a="1"/>
  <c r="G4" i="7" s="1"/>
  <c r="G3" i="7" a="1"/>
  <c r="G3" i="7" s="1"/>
  <c r="G2" i="7" a="1"/>
  <c r="G2" i="7" s="1"/>
  <c r="G35" i="8" a="1"/>
  <c r="G35" i="8" s="1"/>
  <c r="G34" i="8" a="1"/>
  <c r="G34" i="8" s="1"/>
  <c r="G33" i="8" a="1"/>
  <c r="G33" i="8" s="1"/>
  <c r="G32" i="8" a="1"/>
  <c r="G32" i="8" s="1"/>
  <c r="G31" i="8" a="1"/>
  <c r="G31" i="8" s="1"/>
  <c r="G30" i="8" a="1"/>
  <c r="G30" i="8" s="1"/>
  <c r="G29" i="8" a="1"/>
  <c r="G29" i="8" s="1"/>
  <c r="G28" i="8" a="1"/>
  <c r="G28" i="8" s="1"/>
  <c r="G27" i="8" a="1"/>
  <c r="G27" i="8" s="1"/>
  <c r="G26" i="8" a="1"/>
  <c r="G26" i="8" s="1"/>
  <c r="G25" i="8" a="1"/>
  <c r="G25" i="8" s="1"/>
  <c r="G24" i="8" a="1"/>
  <c r="G24" i="8" s="1"/>
  <c r="G23" i="8" a="1"/>
  <c r="G23" i="8" s="1"/>
  <c r="G22" i="8" a="1"/>
  <c r="G22" i="8" s="1"/>
  <c r="G21" i="8" a="1"/>
  <c r="G21" i="8" s="1"/>
  <c r="G20" i="8" a="1"/>
  <c r="G20" i="8" s="1"/>
  <c r="G19" i="8" a="1"/>
  <c r="G19" i="8" s="1"/>
  <c r="G18" i="8" a="1"/>
  <c r="G18" i="8" s="1"/>
  <c r="G17" i="8" a="1"/>
  <c r="G17" i="8" s="1"/>
  <c r="G16" i="8" a="1"/>
  <c r="G16" i="8" s="1"/>
  <c r="G15" i="8" a="1"/>
  <c r="G15" i="8" s="1"/>
  <c r="G14" i="8" a="1"/>
  <c r="G14" i="8" s="1"/>
  <c r="G13" i="8" a="1"/>
  <c r="G13" i="8" s="1"/>
  <c r="G12" i="8" a="1"/>
  <c r="G12" i="8" s="1"/>
  <c r="G11" i="8" a="1"/>
  <c r="G11" i="8" s="1"/>
  <c r="G10" i="8" a="1"/>
  <c r="G10" i="8" s="1"/>
  <c r="G9" i="8" a="1"/>
  <c r="G9" i="8" s="1"/>
  <c r="G8" i="8" a="1"/>
  <c r="G8" i="8" s="1"/>
  <c r="G7" i="8" a="1"/>
  <c r="G7" i="8" s="1"/>
  <c r="G6" i="8" a="1"/>
  <c r="G6" i="8" s="1"/>
  <c r="G5" i="8" a="1"/>
  <c r="G5" i="8" s="1"/>
  <c r="G4" i="8" a="1"/>
  <c r="G4" i="8" s="1"/>
  <c r="G3" i="8" a="1"/>
  <c r="G3" i="8" s="1"/>
  <c r="G2" i="8" a="1"/>
  <c r="G2" i="8" s="1"/>
  <c r="G8" i="9" a="1"/>
  <c r="G8" i="9" s="1"/>
  <c r="G7" i="9" a="1"/>
  <c r="G7" i="9" s="1"/>
  <c r="G6" i="9" a="1"/>
  <c r="G6" i="9" s="1"/>
  <c r="G5" i="9" a="1"/>
  <c r="G5" i="9" s="1"/>
  <c r="G4" i="9" a="1"/>
  <c r="G4" i="9" s="1"/>
  <c r="G3" i="9" a="1"/>
  <c r="G3" i="9" s="1"/>
  <c r="G2" i="9" a="1"/>
  <c r="G2" i="9" s="1"/>
  <c r="G9" i="10" a="1"/>
  <c r="G9" i="10" s="1"/>
  <c r="G8" i="10" a="1"/>
  <c r="G8" i="10" s="1"/>
  <c r="G7" i="10" a="1"/>
  <c r="G7" i="10" s="1"/>
  <c r="G6" i="10" a="1"/>
  <c r="G6" i="10" s="1"/>
  <c r="G5" i="10" a="1"/>
  <c r="G5" i="10" s="1"/>
  <c r="G4" i="10" a="1"/>
  <c r="G4" i="10" s="1"/>
  <c r="G3" i="10" a="1"/>
  <c r="G3" i="10" s="1"/>
  <c r="G2" i="10" a="1"/>
  <c r="G2" i="10" s="1"/>
  <c r="G216" i="11" a="1"/>
  <c r="G216" i="11" s="1"/>
  <c r="G215" i="11" a="1"/>
  <c r="G215" i="11" s="1"/>
  <c r="G214" i="11" a="1"/>
  <c r="G214" i="11" s="1"/>
  <c r="G213" i="11" a="1"/>
  <c r="G213" i="11" s="1"/>
  <c r="G212" i="11" a="1"/>
  <c r="G212" i="11" s="1"/>
  <c r="G211" i="11" a="1"/>
  <c r="G211" i="11" s="1"/>
  <c r="G210" i="11" a="1"/>
  <c r="G210" i="11" s="1"/>
  <c r="G209" i="11" a="1"/>
  <c r="G209" i="11" s="1"/>
  <c r="G208" i="11" a="1"/>
  <c r="G208" i="11" s="1"/>
  <c r="G207" i="11" a="1"/>
  <c r="G207" i="11" s="1"/>
  <c r="G206" i="11" a="1"/>
  <c r="G206" i="11" s="1"/>
  <c r="G205" i="11" a="1"/>
  <c r="G205" i="11" s="1"/>
  <c r="G204" i="11" a="1"/>
  <c r="G204" i="11" s="1"/>
  <c r="G203" i="11" a="1"/>
  <c r="G203" i="11" s="1"/>
  <c r="G202" i="11" a="1"/>
  <c r="G202" i="11" s="1"/>
  <c r="G201" i="11" a="1"/>
  <c r="G201" i="11" s="1"/>
  <c r="G200" i="11" a="1"/>
  <c r="G200" i="11" s="1"/>
  <c r="G199" i="11" a="1"/>
  <c r="G199" i="11" s="1"/>
  <c r="G198" i="11" a="1"/>
  <c r="G198" i="11" s="1"/>
  <c r="G197" i="11" a="1"/>
  <c r="G197" i="11" s="1"/>
  <c r="G196" i="11" a="1"/>
  <c r="G196" i="11" s="1"/>
  <c r="G195" i="11" a="1"/>
  <c r="G195" i="11" s="1"/>
  <c r="G194" i="11" a="1"/>
  <c r="G194" i="11" s="1"/>
  <c r="G193" i="11" a="1"/>
  <c r="G193" i="11" s="1"/>
  <c r="G192" i="11" a="1"/>
  <c r="G192" i="11" s="1"/>
  <c r="G191" i="11" a="1"/>
  <c r="G191" i="11" s="1"/>
  <c r="G190" i="11" a="1"/>
  <c r="G190" i="11" s="1"/>
  <c r="G189" i="11" a="1"/>
  <c r="G189" i="11" s="1"/>
  <c r="G188" i="11" a="1"/>
  <c r="G188" i="11" s="1"/>
  <c r="G187" i="11" a="1"/>
  <c r="G187" i="11" s="1"/>
  <c r="G186" i="11" a="1"/>
  <c r="G186" i="11" s="1"/>
  <c r="G185" i="11" a="1"/>
  <c r="G185" i="11" s="1"/>
  <c r="G184" i="11" a="1"/>
  <c r="G184" i="11" s="1"/>
  <c r="G183" i="11" a="1"/>
  <c r="G183" i="11" s="1"/>
  <c r="G182" i="11" a="1"/>
  <c r="G182" i="11" s="1"/>
  <c r="G181" i="11" a="1"/>
  <c r="G181" i="11" s="1"/>
  <c r="G180" i="11" a="1"/>
  <c r="G180" i="11" s="1"/>
  <c r="G179" i="11" a="1"/>
  <c r="G179" i="11" s="1"/>
  <c r="G178" i="11" a="1"/>
  <c r="G178" i="11" s="1"/>
  <c r="G177" i="11" a="1"/>
  <c r="G177" i="11" s="1"/>
  <c r="G176" i="11" a="1"/>
  <c r="G176" i="11" s="1"/>
  <c r="G175" i="11" a="1"/>
  <c r="G175" i="11" s="1"/>
  <c r="G174" i="11" a="1"/>
  <c r="G174" i="11" s="1"/>
  <c r="G173" i="11" a="1"/>
  <c r="G173" i="11" s="1"/>
  <c r="G172" i="11" a="1"/>
  <c r="G172" i="11" s="1"/>
  <c r="G171" i="11" a="1"/>
  <c r="G171" i="11" s="1"/>
  <c r="G170" i="11" a="1"/>
  <c r="G170" i="11" s="1"/>
  <c r="G169" i="11" a="1"/>
  <c r="G169" i="11" s="1"/>
  <c r="G168" i="11" a="1"/>
  <c r="G168" i="11" s="1"/>
  <c r="G167" i="11" a="1"/>
  <c r="G167" i="11" s="1"/>
  <c r="G166" i="11" a="1"/>
  <c r="G166" i="11" s="1"/>
  <c r="G165" i="11" a="1"/>
  <c r="G165" i="11" s="1"/>
  <c r="G164" i="11" a="1"/>
  <c r="G164" i="11" s="1"/>
  <c r="G163" i="11" a="1"/>
  <c r="G163" i="11" s="1"/>
  <c r="G162" i="11" a="1"/>
  <c r="G162" i="11" s="1"/>
  <c r="G161" i="11" a="1"/>
  <c r="G161" i="11" s="1"/>
  <c r="G160" i="11" a="1"/>
  <c r="G160" i="11" s="1"/>
  <c r="G159" i="11" a="1"/>
  <c r="G159" i="11" s="1"/>
  <c r="G158" i="11" a="1"/>
  <c r="G158" i="11" s="1"/>
  <c r="G157" i="11" a="1"/>
  <c r="G157" i="11" s="1"/>
  <c r="G156" i="11" a="1"/>
  <c r="G156" i="11" s="1"/>
  <c r="G155" i="11" a="1"/>
  <c r="G155" i="11" s="1"/>
  <c r="G154" i="11" a="1"/>
  <c r="G154" i="11" s="1"/>
  <c r="G153" i="11" a="1"/>
  <c r="G153" i="11" s="1"/>
  <c r="G152" i="11" a="1"/>
  <c r="G152" i="11" s="1"/>
  <c r="G151" i="11" a="1"/>
  <c r="G151" i="11" s="1"/>
  <c r="G150" i="11" a="1"/>
  <c r="G150" i="11" s="1"/>
  <c r="G149" i="11" a="1"/>
  <c r="G149" i="11" s="1"/>
  <c r="G148" i="11" a="1"/>
  <c r="G148" i="11" s="1"/>
  <c r="G147" i="11" a="1"/>
  <c r="G147" i="11" s="1"/>
  <c r="G146" i="11" a="1"/>
  <c r="G146" i="11" s="1"/>
  <c r="G145" i="11" a="1"/>
  <c r="G145" i="11" s="1"/>
  <c r="G144" i="11" a="1"/>
  <c r="G144" i="11" s="1"/>
  <c r="G143" i="11" a="1"/>
  <c r="G143" i="11" s="1"/>
  <c r="G142" i="11" a="1"/>
  <c r="G142" i="11" s="1"/>
  <c r="G141" i="11" a="1"/>
  <c r="G141" i="11" s="1"/>
  <c r="G140" i="11" a="1"/>
  <c r="G140" i="11" s="1"/>
  <c r="G139" i="11" a="1"/>
  <c r="G139" i="11" s="1"/>
  <c r="G138" i="11" a="1"/>
  <c r="G138" i="11" s="1"/>
  <c r="G137" i="11" a="1"/>
  <c r="G137" i="11" s="1"/>
  <c r="G136" i="11" a="1"/>
  <c r="G136" i="11" s="1"/>
  <c r="G135" i="11" a="1"/>
  <c r="G135" i="11" s="1"/>
  <c r="G134" i="11" a="1"/>
  <c r="G134" i="11" s="1"/>
  <c r="G133" i="11" a="1"/>
  <c r="G133" i="11" s="1"/>
  <c r="G132" i="11" a="1"/>
  <c r="G132" i="11" s="1"/>
  <c r="G131" i="11" a="1"/>
  <c r="G131" i="11" s="1"/>
  <c r="G130" i="11" a="1"/>
  <c r="G130" i="11" s="1"/>
  <c r="G129" i="11" a="1"/>
  <c r="G129" i="11" s="1"/>
  <c r="G128" i="11" a="1"/>
  <c r="G128" i="11" s="1"/>
  <c r="G127" i="11" a="1"/>
  <c r="G127" i="11" s="1"/>
  <c r="G126" i="11" a="1"/>
  <c r="G126" i="11" s="1"/>
  <c r="G125" i="11" a="1"/>
  <c r="G125" i="11" s="1"/>
  <c r="G124" i="11" a="1"/>
  <c r="G124" i="11" s="1"/>
  <c r="G123" i="11" a="1"/>
  <c r="G123" i="11" s="1"/>
  <c r="G122" i="11" a="1"/>
  <c r="G122" i="11" s="1"/>
  <c r="G121" i="11" a="1"/>
  <c r="G121" i="11" s="1"/>
  <c r="G120" i="11" a="1"/>
  <c r="G120" i="11" s="1"/>
  <c r="G119" i="11" a="1"/>
  <c r="G119" i="11" s="1"/>
  <c r="G118" i="11" a="1"/>
  <c r="G118" i="11" s="1"/>
  <c r="G117" i="11" a="1"/>
  <c r="G117" i="11" s="1"/>
  <c r="G116" i="11" a="1"/>
  <c r="G116" i="11" s="1"/>
  <c r="G115" i="11" a="1"/>
  <c r="G115" i="11" s="1"/>
  <c r="G114" i="11" a="1"/>
  <c r="G114" i="11" s="1"/>
  <c r="G113" i="11" a="1"/>
  <c r="G113" i="11" s="1"/>
  <c r="G112" i="11" a="1"/>
  <c r="G112" i="11" s="1"/>
  <c r="G111" i="11" a="1"/>
  <c r="G111" i="11" s="1"/>
  <c r="G110" i="11" a="1"/>
  <c r="G110" i="11" s="1"/>
  <c r="G109" i="11" a="1"/>
  <c r="G109" i="11" s="1"/>
  <c r="G108" i="11" a="1"/>
  <c r="G108" i="11" s="1"/>
  <c r="G107" i="11" a="1"/>
  <c r="G107" i="11" s="1"/>
  <c r="G106" i="11" a="1"/>
  <c r="G106" i="11" s="1"/>
  <c r="G105" i="11" a="1"/>
  <c r="G105" i="11" s="1"/>
  <c r="G104" i="11" a="1"/>
  <c r="G104" i="11" s="1"/>
  <c r="G103" i="11" a="1"/>
  <c r="G103" i="11" s="1"/>
  <c r="G102" i="11" a="1"/>
  <c r="G102" i="11" s="1"/>
  <c r="G101" i="11" a="1"/>
  <c r="G101" i="11" s="1"/>
  <c r="G100" i="11" a="1"/>
  <c r="G100" i="11" s="1"/>
  <c r="G99" i="11" a="1"/>
  <c r="G99" i="11" s="1"/>
  <c r="G98" i="11" a="1"/>
  <c r="G98" i="11" s="1"/>
  <c r="G97" i="11" a="1"/>
  <c r="G97" i="11" s="1"/>
  <c r="G96" i="11" a="1"/>
  <c r="G96" i="11" s="1"/>
  <c r="G95" i="11" a="1"/>
  <c r="G95" i="11" s="1"/>
  <c r="G94" i="11" a="1"/>
  <c r="G94" i="11" s="1"/>
  <c r="G93" i="11" a="1"/>
  <c r="G93" i="11" s="1"/>
  <c r="G92" i="11" a="1"/>
  <c r="G92" i="11" s="1"/>
  <c r="G91" i="11" a="1"/>
  <c r="G91" i="11" s="1"/>
  <c r="G90" i="11" a="1"/>
  <c r="G90" i="11" s="1"/>
  <c r="G89" i="11" a="1"/>
  <c r="G89" i="11" s="1"/>
  <c r="G88" i="11" a="1"/>
  <c r="G88" i="11" s="1"/>
  <c r="G87" i="11" a="1"/>
  <c r="G87" i="11" s="1"/>
  <c r="G86" i="11" a="1"/>
  <c r="G86" i="11" s="1"/>
  <c r="G85" i="11" a="1"/>
  <c r="G85" i="11" s="1"/>
  <c r="G84" i="11" a="1"/>
  <c r="G84" i="11" s="1"/>
  <c r="G83" i="11" a="1"/>
  <c r="G83" i="11" s="1"/>
  <c r="G82" i="11" a="1"/>
  <c r="G82" i="11" s="1"/>
  <c r="G81" i="11" a="1"/>
  <c r="G81" i="11" s="1"/>
  <c r="G80" i="11" a="1"/>
  <c r="G80" i="11" s="1"/>
  <c r="G79" i="11" a="1"/>
  <c r="G79" i="11" s="1"/>
  <c r="G78" i="11" a="1"/>
  <c r="G78" i="11" s="1"/>
  <c r="G77" i="11" a="1"/>
  <c r="G77" i="11" s="1"/>
  <c r="G76" i="11" a="1"/>
  <c r="G76" i="11" s="1"/>
  <c r="G75" i="11" a="1"/>
  <c r="G75" i="11" s="1"/>
  <c r="G74" i="11" a="1"/>
  <c r="G74" i="11" s="1"/>
  <c r="G73" i="11" a="1"/>
  <c r="G73" i="11" s="1"/>
  <c r="G72" i="11" a="1"/>
  <c r="G72" i="11" s="1"/>
  <c r="G71" i="11" a="1"/>
  <c r="G71" i="11" s="1"/>
  <c r="G70" i="11" a="1"/>
  <c r="G70" i="11" s="1"/>
  <c r="G69" i="11" a="1"/>
  <c r="G69" i="11" s="1"/>
  <c r="G68" i="11" a="1"/>
  <c r="G68" i="11" s="1"/>
  <c r="G67" i="11" a="1"/>
  <c r="G67" i="11" s="1"/>
  <c r="G66" i="11" a="1"/>
  <c r="G66" i="11" s="1"/>
  <c r="G65" i="11" a="1"/>
  <c r="G65" i="11" s="1"/>
  <c r="G64" i="11" a="1"/>
  <c r="G64" i="11" s="1"/>
  <c r="G62" i="11" a="1"/>
  <c r="G62" i="11" s="1"/>
  <c r="G61" i="11" a="1"/>
  <c r="G61" i="11" s="1"/>
  <c r="G60" i="11" a="1"/>
  <c r="G60" i="11" s="1"/>
  <c r="G59" i="11" a="1"/>
  <c r="G59" i="11" s="1"/>
  <c r="G58" i="11" a="1"/>
  <c r="G58" i="11" s="1"/>
  <c r="G57" i="11" a="1"/>
  <c r="G57" i="11" s="1"/>
  <c r="G56" i="11" a="1"/>
  <c r="G56" i="11" s="1"/>
  <c r="G55" i="11" a="1"/>
  <c r="G55" i="11" s="1"/>
  <c r="G54" i="11" a="1"/>
  <c r="G54" i="11" s="1"/>
  <c r="G53" i="11" a="1"/>
  <c r="G53" i="11" s="1"/>
  <c r="G52" i="11" a="1"/>
  <c r="G52" i="11" s="1"/>
  <c r="G51" i="11" a="1"/>
  <c r="G51" i="11" s="1"/>
  <c r="G50" i="11" a="1"/>
  <c r="G50" i="11" s="1"/>
  <c r="G49" i="11" a="1"/>
  <c r="G49" i="11" s="1"/>
  <c r="G48" i="11" a="1"/>
  <c r="G48" i="11" s="1"/>
  <c r="G47" i="11" a="1"/>
  <c r="G47" i="11" s="1"/>
  <c r="G46" i="11" a="1"/>
  <c r="G46" i="11" s="1"/>
  <c r="G45" i="11" a="1"/>
  <c r="G45" i="11" s="1"/>
  <c r="G44" i="11" a="1"/>
  <c r="G44" i="11" s="1"/>
  <c r="G43" i="11" a="1"/>
  <c r="G43" i="11" s="1"/>
  <c r="G42" i="11" a="1"/>
  <c r="G42" i="11" s="1"/>
  <c r="G41" i="11" a="1"/>
  <c r="G41" i="11" s="1"/>
  <c r="G40" i="11" a="1"/>
  <c r="G40" i="11" s="1"/>
  <c r="G39" i="11" a="1"/>
  <c r="G39" i="11" s="1"/>
  <c r="G38" i="11" a="1"/>
  <c r="G38" i="11" s="1"/>
  <c r="G37" i="11" a="1"/>
  <c r="G37" i="11" s="1"/>
  <c r="G36" i="11" a="1"/>
  <c r="G36" i="11" s="1"/>
  <c r="G35" i="11" a="1"/>
  <c r="G35" i="11" s="1"/>
  <c r="G34" i="11" a="1"/>
  <c r="G34" i="11" s="1"/>
  <c r="G33" i="11" a="1"/>
  <c r="G33" i="11" s="1"/>
  <c r="G32" i="11" a="1"/>
  <c r="G32" i="11" s="1"/>
  <c r="G31" i="11" a="1"/>
  <c r="G31" i="11" s="1"/>
  <c r="G30" i="11" a="1"/>
  <c r="G30" i="11" s="1"/>
  <c r="G29" i="11" a="1"/>
  <c r="G29" i="11" s="1"/>
  <c r="G28" i="11" a="1"/>
  <c r="G28" i="11" s="1"/>
  <c r="G27" i="11" a="1"/>
  <c r="G27" i="11" s="1"/>
  <c r="G26" i="11" a="1"/>
  <c r="G26" i="11" s="1"/>
  <c r="G25" i="11" a="1"/>
  <c r="G25" i="11" s="1"/>
  <c r="G24" i="11" a="1"/>
  <c r="G24" i="11" s="1"/>
  <c r="G23" i="11" a="1"/>
  <c r="G23" i="11" s="1"/>
  <c r="G22" i="11" a="1"/>
  <c r="G22" i="11" s="1"/>
  <c r="G21" i="11" a="1"/>
  <c r="G21" i="11" s="1"/>
  <c r="G20" i="11" a="1"/>
  <c r="G20" i="11" s="1"/>
  <c r="G19" i="11" a="1"/>
  <c r="G19" i="11" s="1"/>
  <c r="G18" i="11" a="1"/>
  <c r="G18" i="11" s="1"/>
  <c r="G17" i="11" a="1"/>
  <c r="G17" i="11" s="1"/>
  <c r="G16" i="11" a="1"/>
  <c r="G16" i="11" s="1"/>
  <c r="G15" i="11" a="1"/>
  <c r="G15" i="11" s="1"/>
  <c r="G14" i="11" a="1"/>
  <c r="G14" i="11" s="1"/>
  <c r="G13" i="11" a="1"/>
  <c r="G13" i="11" s="1"/>
  <c r="G12" i="11" a="1"/>
  <c r="G12" i="11" s="1"/>
  <c r="G11" i="11" a="1"/>
  <c r="G11" i="11" s="1"/>
  <c r="G10" i="11" a="1"/>
  <c r="G10" i="11" s="1"/>
  <c r="G9" i="11" a="1"/>
  <c r="G9" i="11" s="1"/>
  <c r="G8" i="11" a="1"/>
  <c r="G8" i="11" s="1"/>
  <c r="G7" i="11" a="1"/>
  <c r="G7" i="11" s="1"/>
  <c r="G6" i="11" a="1"/>
  <c r="G6" i="11" s="1"/>
  <c r="G5" i="11" a="1"/>
  <c r="G5" i="11" s="1"/>
  <c r="G4" i="11" a="1"/>
  <c r="G4" i="11" s="1"/>
  <c r="G3" i="11" a="1"/>
  <c r="G3" i="11" s="1"/>
  <c r="G2" i="11" a="1"/>
  <c r="G2" i="11" s="1"/>
  <c r="G113" i="12" a="1"/>
  <c r="G113" i="12" s="1"/>
  <c r="G112" i="12" a="1"/>
  <c r="G112" i="12" s="1"/>
  <c r="G111" i="12" a="1"/>
  <c r="G111" i="12" s="1"/>
  <c r="G110" i="12" a="1"/>
  <c r="G110" i="12" s="1"/>
  <c r="G109" i="12" a="1"/>
  <c r="G109" i="12" s="1"/>
  <c r="G108" i="12" a="1"/>
  <c r="G108" i="12" s="1"/>
  <c r="G107" i="12" a="1"/>
  <c r="G107" i="12" s="1"/>
  <c r="G106" i="12" a="1"/>
  <c r="G106" i="12" s="1"/>
  <c r="G105" i="12" a="1"/>
  <c r="G105" i="12" s="1"/>
  <c r="G104" i="12" a="1"/>
  <c r="G104" i="12" s="1"/>
  <c r="G103" i="12" a="1"/>
  <c r="G103" i="12" s="1"/>
  <c r="G102" i="12" a="1"/>
  <c r="G102" i="12" s="1"/>
  <c r="G101" i="12" a="1"/>
  <c r="G101" i="12" s="1"/>
  <c r="G100" i="12" a="1"/>
  <c r="G100" i="12" s="1"/>
  <c r="G99" i="12" a="1"/>
  <c r="G99" i="12" s="1"/>
  <c r="G98" i="12" a="1"/>
  <c r="G98" i="12" s="1"/>
  <c r="G97" i="12" a="1"/>
  <c r="G97" i="12" s="1"/>
  <c r="G96" i="12" a="1"/>
  <c r="G96" i="12" s="1"/>
  <c r="G95" i="12" a="1"/>
  <c r="G95" i="12" s="1"/>
  <c r="G94" i="12" a="1"/>
  <c r="G94" i="12" s="1"/>
  <c r="G93" i="12" a="1"/>
  <c r="G93" i="12" s="1"/>
  <c r="G92" i="12" a="1"/>
  <c r="G92" i="12" s="1"/>
  <c r="G91" i="12" a="1"/>
  <c r="G91" i="12" s="1"/>
  <c r="G90" i="12" a="1"/>
  <c r="G90" i="12" s="1"/>
  <c r="G89" i="12" a="1"/>
  <c r="G89" i="12" s="1"/>
  <c r="G88" i="12" a="1"/>
  <c r="G88" i="12" s="1"/>
  <c r="G87" i="12" a="1"/>
  <c r="G87" i="12" s="1"/>
  <c r="G86" i="12" a="1"/>
  <c r="G86" i="12" s="1"/>
  <c r="G85" i="12" a="1"/>
  <c r="G85" i="12" s="1"/>
  <c r="G84" i="12" a="1"/>
  <c r="G84" i="12" s="1"/>
  <c r="G83" i="12" a="1"/>
  <c r="G83" i="12" s="1"/>
  <c r="G82" i="12" a="1"/>
  <c r="G82" i="12" s="1"/>
  <c r="G81" i="12" a="1"/>
  <c r="G81" i="12" s="1"/>
  <c r="G80" i="12" a="1"/>
  <c r="G80" i="12" s="1"/>
  <c r="G79" i="12" a="1"/>
  <c r="G79" i="12" s="1"/>
  <c r="G78" i="12" a="1"/>
  <c r="G78" i="12" s="1"/>
  <c r="G77" i="12" a="1"/>
  <c r="G77" i="12" s="1"/>
  <c r="G76" i="12" a="1"/>
  <c r="G76" i="12" s="1"/>
  <c r="G75" i="12" a="1"/>
  <c r="G75" i="12" s="1"/>
  <c r="G74" i="12" a="1"/>
  <c r="G74" i="12" s="1"/>
  <c r="G73" i="12" a="1"/>
  <c r="G73" i="12" s="1"/>
  <c r="G72" i="12" a="1"/>
  <c r="G72" i="12" s="1"/>
  <c r="G71" i="12" a="1"/>
  <c r="G71" i="12" s="1"/>
  <c r="G70" i="12" a="1"/>
  <c r="G70" i="12" s="1"/>
  <c r="G69" i="12" a="1"/>
  <c r="G69" i="12" s="1"/>
  <c r="G68" i="12" a="1"/>
  <c r="G68" i="12" s="1"/>
  <c r="G67" i="12" a="1"/>
  <c r="G67" i="12" s="1"/>
  <c r="G66" i="12" a="1"/>
  <c r="G66" i="12" s="1"/>
  <c r="G65" i="12" a="1"/>
  <c r="G65" i="12" s="1"/>
  <c r="G64" i="12" a="1"/>
  <c r="G64" i="12" s="1"/>
  <c r="G62" i="12" a="1"/>
  <c r="G62" i="12" s="1"/>
  <c r="G61" i="12" a="1"/>
  <c r="G61" i="12" s="1"/>
  <c r="G60" i="12" a="1"/>
  <c r="G60" i="12" s="1"/>
  <c r="G59" i="12" a="1"/>
  <c r="G59" i="12" s="1"/>
  <c r="G58" i="12" a="1"/>
  <c r="G58" i="12" s="1"/>
  <c r="G57" i="12" a="1"/>
  <c r="G57" i="12" s="1"/>
  <c r="G56" i="12" a="1"/>
  <c r="G56" i="12" s="1"/>
  <c r="G55" i="12" a="1"/>
  <c r="G55" i="12" s="1"/>
  <c r="G54" i="12" a="1"/>
  <c r="G54" i="12" s="1"/>
  <c r="G53" i="12" a="1"/>
  <c r="G53" i="12" s="1"/>
  <c r="G52" i="12" a="1"/>
  <c r="G52" i="12" s="1"/>
  <c r="G51" i="12" a="1"/>
  <c r="G51" i="12" s="1"/>
  <c r="G50" i="12" a="1"/>
  <c r="G50" i="12" s="1"/>
  <c r="G49" i="12" a="1"/>
  <c r="G49" i="12" s="1"/>
  <c r="G48" i="12" a="1"/>
  <c r="G48" i="12" s="1"/>
  <c r="G47" i="12" a="1"/>
  <c r="G47" i="12" s="1"/>
  <c r="G46" i="12" a="1"/>
  <c r="G46" i="12" s="1"/>
  <c r="G45" i="12" a="1"/>
  <c r="G45" i="12" s="1"/>
  <c r="G44" i="12" a="1"/>
  <c r="G44" i="12" s="1"/>
  <c r="G43" i="12" a="1"/>
  <c r="G43" i="12" s="1"/>
  <c r="G42" i="12" a="1"/>
  <c r="G42" i="12" s="1"/>
  <c r="G41" i="12" a="1"/>
  <c r="G41" i="12" s="1"/>
  <c r="G40" i="12" a="1"/>
  <c r="G40" i="12" s="1"/>
  <c r="G39" i="12" a="1"/>
  <c r="G39" i="12" s="1"/>
  <c r="G38" i="12" a="1"/>
  <c r="G38" i="12" s="1"/>
  <c r="G37" i="12" a="1"/>
  <c r="G37" i="12" s="1"/>
  <c r="G36" i="12" a="1"/>
  <c r="G36" i="12" s="1"/>
  <c r="G35" i="12" a="1"/>
  <c r="G35" i="12" s="1"/>
  <c r="G34" i="12" a="1"/>
  <c r="G34" i="12" s="1"/>
  <c r="G33" i="12" a="1"/>
  <c r="G33" i="12" s="1"/>
  <c r="G32" i="12" a="1"/>
  <c r="G32" i="12" s="1"/>
  <c r="G31" i="12" a="1"/>
  <c r="G31" i="12" s="1"/>
  <c r="G30" i="12" a="1"/>
  <c r="G30" i="12" s="1"/>
  <c r="G29" i="12" a="1"/>
  <c r="G29" i="12" s="1"/>
  <c r="G28" i="12" a="1"/>
  <c r="G28" i="12" s="1"/>
  <c r="G27" i="12" a="1"/>
  <c r="G27" i="12" s="1"/>
  <c r="G26" i="12" a="1"/>
  <c r="G26" i="12" s="1"/>
  <c r="G25" i="12" a="1"/>
  <c r="G25" i="12" s="1"/>
  <c r="G24" i="12" a="1"/>
  <c r="G24" i="12" s="1"/>
  <c r="G23" i="12" a="1"/>
  <c r="G23" i="12" s="1"/>
  <c r="G22" i="12" a="1"/>
  <c r="G22" i="12" s="1"/>
  <c r="G21" i="12" a="1"/>
  <c r="G21" i="12" s="1"/>
  <c r="G20" i="12" a="1"/>
  <c r="G20" i="12" s="1"/>
  <c r="G19" i="12" a="1"/>
  <c r="G19" i="12" s="1"/>
  <c r="G18" i="12" a="1"/>
  <c r="G18" i="12" s="1"/>
  <c r="G17" i="12" a="1"/>
  <c r="G17" i="12" s="1"/>
  <c r="G16" i="12" a="1"/>
  <c r="G16" i="12" s="1"/>
  <c r="G15" i="12" a="1"/>
  <c r="G15" i="12" s="1"/>
  <c r="G14" i="12" a="1"/>
  <c r="G14" i="12" s="1"/>
  <c r="G13" i="12" a="1"/>
  <c r="G13" i="12" s="1"/>
  <c r="G12" i="12" a="1"/>
  <c r="G12" i="12" s="1"/>
  <c r="G11" i="12" a="1"/>
  <c r="G11" i="12" s="1"/>
  <c r="G10" i="12" a="1"/>
  <c r="G10" i="12" s="1"/>
  <c r="G9" i="12" a="1"/>
  <c r="G9" i="12" s="1"/>
  <c r="G8" i="12" a="1"/>
  <c r="G8" i="12" s="1"/>
  <c r="G7" i="12" a="1"/>
  <c r="G7" i="12" s="1"/>
  <c r="G6" i="12" a="1"/>
  <c r="G6" i="12" s="1"/>
  <c r="G5" i="12" a="1"/>
  <c r="G5" i="12" s="1"/>
  <c r="G4" i="12" a="1"/>
  <c r="G4" i="12" s="1"/>
  <c r="G3" i="12" a="1"/>
  <c r="G3" i="12" s="1"/>
  <c r="G2" i="12" a="1"/>
  <c r="G2" i="12" s="1"/>
  <c r="G15" i="13" a="1"/>
  <c r="G15" i="13" s="1"/>
  <c r="G14" i="13" a="1"/>
  <c r="G14" i="13" s="1"/>
  <c r="G13" i="13" a="1"/>
  <c r="G13" i="13" s="1"/>
  <c r="G12" i="13" a="1"/>
  <c r="G12" i="13" s="1"/>
  <c r="G11" i="13" a="1"/>
  <c r="G11" i="13" s="1"/>
  <c r="G10" i="13" a="1"/>
  <c r="G10" i="13" s="1"/>
  <c r="G9" i="13" a="1"/>
  <c r="G9" i="13" s="1"/>
  <c r="G8" i="13" a="1"/>
  <c r="G8" i="13" s="1"/>
  <c r="G7" i="13" a="1"/>
  <c r="G7" i="13" s="1"/>
  <c r="G6" i="13" a="1"/>
  <c r="G6" i="13" s="1"/>
  <c r="G5" i="13" a="1"/>
  <c r="G5" i="13" s="1"/>
  <c r="G4" i="13" a="1"/>
  <c r="G4" i="13" s="1"/>
  <c r="G3" i="13" a="1"/>
  <c r="G3" i="13" s="1"/>
  <c r="G2" i="13" a="1"/>
  <c r="G2" i="13" s="1"/>
  <c r="G40" i="14" a="1"/>
  <c r="G40" i="14" s="1"/>
  <c r="G39" i="14" a="1"/>
  <c r="G39" i="14" s="1"/>
  <c r="G38" i="14" a="1"/>
  <c r="G38" i="14" s="1"/>
  <c r="G37" i="14" a="1"/>
  <c r="G37" i="14" s="1"/>
  <c r="G36" i="14" a="1"/>
  <c r="G36" i="14" s="1"/>
  <c r="G35" i="14" a="1"/>
  <c r="G35" i="14" s="1"/>
  <c r="G34" i="14" a="1"/>
  <c r="G34" i="14" s="1"/>
  <c r="G33" i="14" a="1"/>
  <c r="G33" i="14" s="1"/>
  <c r="G32" i="14" a="1"/>
  <c r="G32" i="14" s="1"/>
  <c r="G31" i="14" a="1"/>
  <c r="G31" i="14" s="1"/>
  <c r="G30" i="14" a="1"/>
  <c r="G30" i="14" s="1"/>
  <c r="G29" i="14" a="1"/>
  <c r="G29" i="14" s="1"/>
  <c r="G28" i="14" a="1"/>
  <c r="G28" i="14" s="1"/>
  <c r="G27" i="14" a="1"/>
  <c r="G27" i="14" s="1"/>
  <c r="G26" i="14" a="1"/>
  <c r="G26" i="14" s="1"/>
  <c r="G25" i="14" a="1"/>
  <c r="G25" i="14" s="1"/>
  <c r="G24" i="14" a="1"/>
  <c r="G24" i="14" s="1"/>
  <c r="G23" i="14" a="1"/>
  <c r="G23" i="14" s="1"/>
  <c r="G22" i="14" a="1"/>
  <c r="G22" i="14" s="1"/>
  <c r="G21" i="14" a="1"/>
  <c r="G21" i="14" s="1"/>
  <c r="G20" i="14" a="1"/>
  <c r="G20" i="14" s="1"/>
  <c r="G19" i="14" a="1"/>
  <c r="G19" i="14" s="1"/>
  <c r="G18" i="14" a="1"/>
  <c r="G18" i="14" s="1"/>
  <c r="G17" i="14" a="1"/>
  <c r="G17" i="14" s="1"/>
  <c r="G16" i="14" a="1"/>
  <c r="G16" i="14" s="1"/>
  <c r="G15" i="14" a="1"/>
  <c r="G15" i="14" s="1"/>
  <c r="G14" i="14" a="1"/>
  <c r="G14" i="14" s="1"/>
  <c r="G13" i="14" a="1"/>
  <c r="G13" i="14" s="1"/>
  <c r="G12" i="14" a="1"/>
  <c r="G12" i="14" s="1"/>
  <c r="G11" i="14" a="1"/>
  <c r="G11" i="14" s="1"/>
  <c r="G10" i="14" a="1"/>
  <c r="G10" i="14" s="1"/>
  <c r="G9" i="14" a="1"/>
  <c r="G9" i="14" s="1"/>
  <c r="G8" i="14" a="1"/>
  <c r="G8" i="14" s="1"/>
  <c r="G7" i="14" a="1"/>
  <c r="G7" i="14" s="1"/>
  <c r="G6" i="14" a="1"/>
  <c r="G6" i="14" s="1"/>
  <c r="G5" i="14" a="1"/>
  <c r="G5" i="14" s="1"/>
  <c r="G4" i="14" a="1"/>
  <c r="G4" i="14" s="1"/>
  <c r="G3" i="14" a="1"/>
  <c r="G3" i="14" s="1"/>
  <c r="G2" i="14" a="1"/>
  <c r="G2" i="14" s="1"/>
  <c r="G20" i="15" a="1"/>
  <c r="G20" i="15" s="1"/>
  <c r="G19" i="15" a="1"/>
  <c r="G19" i="15" s="1"/>
  <c r="G18" i="15" a="1"/>
  <c r="G18" i="15" s="1"/>
  <c r="G17" i="15" a="1"/>
  <c r="G17" i="15" s="1"/>
  <c r="G16" i="15" a="1"/>
  <c r="G16" i="15" s="1"/>
  <c r="G15" i="15" a="1"/>
  <c r="G15" i="15" s="1"/>
  <c r="G14" i="15" a="1"/>
  <c r="G14" i="15" s="1"/>
  <c r="G13" i="15" a="1"/>
  <c r="G13" i="15" s="1"/>
  <c r="G12" i="15" a="1"/>
  <c r="G12" i="15" s="1"/>
  <c r="G11" i="15" a="1"/>
  <c r="G11" i="15" s="1"/>
  <c r="G10" i="15" a="1"/>
  <c r="G10" i="15" s="1"/>
  <c r="G9" i="15" a="1"/>
  <c r="G9" i="15" s="1"/>
  <c r="G8" i="15" a="1"/>
  <c r="G8" i="15" s="1"/>
  <c r="G7" i="15" a="1"/>
  <c r="G7" i="15" s="1"/>
  <c r="G6" i="15" a="1"/>
  <c r="G6" i="15" s="1"/>
  <c r="G5" i="15" a="1"/>
  <c r="G5" i="15" s="1"/>
  <c r="G4" i="15" a="1"/>
  <c r="G4" i="15" s="1"/>
  <c r="G3" i="15" a="1"/>
  <c r="G3" i="15" s="1"/>
  <c r="G2" i="15" a="1"/>
  <c r="G2" i="15" s="1"/>
  <c r="G144" i="16" a="1"/>
  <c r="G144" i="16" s="1"/>
  <c r="G143" i="16" a="1"/>
  <c r="G143" i="16" s="1"/>
  <c r="G142" i="16" a="1"/>
  <c r="G142" i="16" s="1"/>
  <c r="G141" i="16" a="1"/>
  <c r="G141" i="16" s="1"/>
  <c r="G140" i="16" a="1"/>
  <c r="G140" i="16" s="1"/>
  <c r="G139" i="16" a="1"/>
  <c r="G139" i="16" s="1"/>
  <c r="G138" i="16" a="1"/>
  <c r="G138" i="16" s="1"/>
  <c r="G137" i="16" a="1"/>
  <c r="G137" i="16" s="1"/>
  <c r="G136" i="16" a="1"/>
  <c r="G136" i="16" s="1"/>
  <c r="G135" i="16" a="1"/>
  <c r="G135" i="16" s="1"/>
  <c r="G134" i="16" a="1"/>
  <c r="G134" i="16" s="1"/>
  <c r="G133" i="16" a="1"/>
  <c r="G133" i="16" s="1"/>
  <c r="G132" i="16" a="1"/>
  <c r="G132" i="16" s="1"/>
  <c r="G131" i="16" a="1"/>
  <c r="G131" i="16" s="1"/>
  <c r="G130" i="16" a="1"/>
  <c r="G130" i="16" s="1"/>
  <c r="G129" i="16" a="1"/>
  <c r="G129" i="16" s="1"/>
  <c r="G128" i="16" a="1"/>
  <c r="G128" i="16" s="1"/>
  <c r="G127" i="16" a="1"/>
  <c r="G127" i="16" s="1"/>
  <c r="G126" i="16" a="1"/>
  <c r="G126" i="16" s="1"/>
  <c r="G125" i="16" a="1"/>
  <c r="G125" i="16" s="1"/>
  <c r="G124" i="16" a="1"/>
  <c r="G124" i="16" s="1"/>
  <c r="G123" i="16" a="1"/>
  <c r="G123" i="16" s="1"/>
  <c r="G122" i="16" a="1"/>
  <c r="G122" i="16" s="1"/>
  <c r="G121" i="16" a="1"/>
  <c r="G121" i="16" s="1"/>
  <c r="G120" i="16" a="1"/>
  <c r="G120" i="16" s="1"/>
  <c r="G119" i="16" a="1"/>
  <c r="G119" i="16" s="1"/>
  <c r="G118" i="16" a="1"/>
  <c r="G118" i="16" s="1"/>
  <c r="G117" i="16" a="1"/>
  <c r="G117" i="16" s="1"/>
  <c r="G116" i="16" a="1"/>
  <c r="G116" i="16" s="1"/>
  <c r="G115" i="16" a="1"/>
  <c r="G115" i="16" s="1"/>
  <c r="G114" i="16" a="1"/>
  <c r="G114" i="16" s="1"/>
  <c r="G113" i="16" a="1"/>
  <c r="G113" i="16" s="1"/>
  <c r="G112" i="16" a="1"/>
  <c r="G112" i="16" s="1"/>
  <c r="G111" i="16" a="1"/>
  <c r="G111" i="16" s="1"/>
  <c r="G110" i="16" a="1"/>
  <c r="G110" i="16" s="1"/>
  <c r="G109" i="16" a="1"/>
  <c r="G109" i="16" s="1"/>
  <c r="G108" i="16" a="1"/>
  <c r="G108" i="16" s="1"/>
  <c r="G107" i="16" a="1"/>
  <c r="G107" i="16" s="1"/>
  <c r="G106" i="16" a="1"/>
  <c r="G106" i="16" s="1"/>
  <c r="G105" i="16" a="1"/>
  <c r="G105" i="16" s="1"/>
  <c r="G104" i="16" a="1"/>
  <c r="G104" i="16" s="1"/>
  <c r="G103" i="16" a="1"/>
  <c r="G103" i="16" s="1"/>
  <c r="G102" i="16" a="1"/>
  <c r="G102" i="16" s="1"/>
  <c r="G101" i="16" a="1"/>
  <c r="G101" i="16" s="1"/>
  <c r="G100" i="16" a="1"/>
  <c r="G100" i="16" s="1"/>
  <c r="G99" i="16" a="1"/>
  <c r="G99" i="16" s="1"/>
  <c r="G98" i="16" a="1"/>
  <c r="G98" i="16" s="1"/>
  <c r="G97" i="16" a="1"/>
  <c r="G97" i="16" s="1"/>
  <c r="G96" i="16" a="1"/>
  <c r="G96" i="16" s="1"/>
  <c r="G95" i="16" a="1"/>
  <c r="G95" i="16" s="1"/>
  <c r="G94" i="16" a="1"/>
  <c r="G94" i="16" s="1"/>
  <c r="G93" i="16" a="1"/>
  <c r="G93" i="16" s="1"/>
  <c r="G92" i="16" a="1"/>
  <c r="G92" i="16" s="1"/>
  <c r="G91" i="16" a="1"/>
  <c r="G91" i="16" s="1"/>
  <c r="G90" i="16" a="1"/>
  <c r="G90" i="16" s="1"/>
  <c r="G89" i="16" a="1"/>
  <c r="G89" i="16" s="1"/>
  <c r="G88" i="16" a="1"/>
  <c r="G88" i="16" s="1"/>
  <c r="G87" i="16" a="1"/>
  <c r="G87" i="16" s="1"/>
  <c r="G86" i="16" a="1"/>
  <c r="G86" i="16" s="1"/>
  <c r="G85" i="16" a="1"/>
  <c r="G85" i="16" s="1"/>
  <c r="G84" i="16" a="1"/>
  <c r="G84" i="16" s="1"/>
  <c r="G83" i="16" a="1"/>
  <c r="G83" i="16" s="1"/>
  <c r="G82" i="16" a="1"/>
  <c r="G82" i="16" s="1"/>
  <c r="G81" i="16" a="1"/>
  <c r="G81" i="16" s="1"/>
  <c r="G80" i="16" a="1"/>
  <c r="G80" i="16" s="1"/>
  <c r="G79" i="16" a="1"/>
  <c r="G79" i="16" s="1"/>
  <c r="G78" i="16" a="1"/>
  <c r="G78" i="16" s="1"/>
  <c r="G77" i="16" a="1"/>
  <c r="G77" i="16" s="1"/>
  <c r="G76" i="16" a="1"/>
  <c r="G76" i="16" s="1"/>
  <c r="G75" i="16" a="1"/>
  <c r="G75" i="16" s="1"/>
  <c r="G74" i="16" a="1"/>
  <c r="G74" i="16" s="1"/>
  <c r="G73" i="16" a="1"/>
  <c r="G73" i="16" s="1"/>
  <c r="G72" i="16" a="1"/>
  <c r="G72" i="16" s="1"/>
  <c r="G71" i="16" a="1"/>
  <c r="G71" i="16" s="1"/>
  <c r="G70" i="16" a="1"/>
  <c r="G70" i="16" s="1"/>
  <c r="G69" i="16" a="1"/>
  <c r="G69" i="16" s="1"/>
  <c r="G68" i="16" a="1"/>
  <c r="G68" i="16" s="1"/>
  <c r="G67" i="16" a="1"/>
  <c r="G67" i="16" s="1"/>
  <c r="G66" i="16" a="1"/>
  <c r="G66" i="16" s="1"/>
  <c r="G65" i="16" a="1"/>
  <c r="G65" i="16" s="1"/>
  <c r="G64" i="16" a="1"/>
  <c r="G64" i="16" s="1"/>
  <c r="G62" i="16" a="1"/>
  <c r="G62" i="16" s="1"/>
  <c r="G61" i="16" a="1"/>
  <c r="G61" i="16" s="1"/>
  <c r="G60" i="16" a="1"/>
  <c r="G60" i="16" s="1"/>
  <c r="G59" i="16" a="1"/>
  <c r="G59" i="16" s="1"/>
  <c r="G58" i="16" a="1"/>
  <c r="G58" i="16" s="1"/>
  <c r="G57" i="16" a="1"/>
  <c r="G57" i="16" s="1"/>
  <c r="G56" i="16" a="1"/>
  <c r="G56" i="16" s="1"/>
  <c r="G55" i="16" a="1"/>
  <c r="G55" i="16" s="1"/>
  <c r="G54" i="16" a="1"/>
  <c r="G54" i="16" s="1"/>
  <c r="G53" i="16" a="1"/>
  <c r="G53" i="16" s="1"/>
  <c r="G52" i="16" a="1"/>
  <c r="G52" i="16" s="1"/>
  <c r="G51" i="16" a="1"/>
  <c r="G51" i="16" s="1"/>
  <c r="G50" i="16" a="1"/>
  <c r="G50" i="16" s="1"/>
  <c r="G49" i="16" a="1"/>
  <c r="G49" i="16" s="1"/>
  <c r="G48" i="16" a="1"/>
  <c r="G48" i="16" s="1"/>
  <c r="G47" i="16" a="1"/>
  <c r="G47" i="16" s="1"/>
  <c r="G46" i="16" a="1"/>
  <c r="G46" i="16" s="1"/>
  <c r="G45" i="16" a="1"/>
  <c r="G45" i="16" s="1"/>
  <c r="G44" i="16" a="1"/>
  <c r="G44" i="16" s="1"/>
  <c r="G43" i="16" a="1"/>
  <c r="G43" i="16" s="1"/>
  <c r="G42" i="16" a="1"/>
  <c r="G42" i="16" s="1"/>
  <c r="G41" i="16" a="1"/>
  <c r="G41" i="16" s="1"/>
  <c r="G40" i="16" a="1"/>
  <c r="G40" i="16" s="1"/>
  <c r="G39" i="16" a="1"/>
  <c r="G39" i="16" s="1"/>
  <c r="G38" i="16" a="1"/>
  <c r="G38" i="16" s="1"/>
  <c r="G37" i="16" a="1"/>
  <c r="G37" i="16" s="1"/>
  <c r="G36" i="16" a="1"/>
  <c r="G36" i="16" s="1"/>
  <c r="G35" i="16" a="1"/>
  <c r="G35" i="16" s="1"/>
  <c r="G34" i="16" a="1"/>
  <c r="G34" i="16" s="1"/>
  <c r="G33" i="16" a="1"/>
  <c r="G33" i="16" s="1"/>
  <c r="G32" i="16" a="1"/>
  <c r="G32" i="16" s="1"/>
  <c r="G31" i="16" a="1"/>
  <c r="G31" i="16" s="1"/>
  <c r="G30" i="16" a="1"/>
  <c r="G30" i="16" s="1"/>
  <c r="G29" i="16" a="1"/>
  <c r="G29" i="16" s="1"/>
  <c r="G28" i="16" a="1"/>
  <c r="G28" i="16" s="1"/>
  <c r="G27" i="16" a="1"/>
  <c r="G27" i="16" s="1"/>
  <c r="G26" i="16" a="1"/>
  <c r="G26" i="16" s="1"/>
  <c r="G25" i="16" a="1"/>
  <c r="G25" i="16" s="1"/>
  <c r="G24" i="16" a="1"/>
  <c r="G24" i="16" s="1"/>
  <c r="G23" i="16" a="1"/>
  <c r="G23" i="16" s="1"/>
  <c r="G22" i="16" a="1"/>
  <c r="G22" i="16" s="1"/>
  <c r="G21" i="16" a="1"/>
  <c r="G21" i="16" s="1"/>
  <c r="G20" i="16" a="1"/>
  <c r="G20" i="16" s="1"/>
  <c r="G19" i="16" a="1"/>
  <c r="G19" i="16" s="1"/>
  <c r="G18" i="16" a="1"/>
  <c r="G18" i="16" s="1"/>
  <c r="G17" i="16" a="1"/>
  <c r="G17" i="16" s="1"/>
  <c r="G16" i="16" a="1"/>
  <c r="G16" i="16" s="1"/>
  <c r="G15" i="16" a="1"/>
  <c r="G15" i="16" s="1"/>
  <c r="G14" i="16" a="1"/>
  <c r="G14" i="16" s="1"/>
  <c r="G13" i="16" a="1"/>
  <c r="G13" i="16" s="1"/>
  <c r="G12" i="16" a="1"/>
  <c r="G12" i="16" s="1"/>
  <c r="G11" i="16" a="1"/>
  <c r="G11" i="16" s="1"/>
  <c r="G10" i="16" a="1"/>
  <c r="G10" i="16" s="1"/>
  <c r="G9" i="16" a="1"/>
  <c r="G9" i="16" s="1"/>
  <c r="G8" i="16" a="1"/>
  <c r="G8" i="16" s="1"/>
  <c r="G7" i="16" a="1"/>
  <c r="G7" i="16" s="1"/>
  <c r="G6" i="16" a="1"/>
  <c r="G6" i="16" s="1"/>
  <c r="G5" i="16" a="1"/>
  <c r="G5" i="16" s="1"/>
  <c r="G4" i="16" a="1"/>
  <c r="G4" i="16" s="1"/>
  <c r="G3" i="16" a="1"/>
  <c r="G3" i="16" s="1"/>
  <c r="G2" i="16" a="1"/>
  <c r="G2" i="16" s="1"/>
  <c r="G102" i="17" a="1"/>
  <c r="G102" i="17" s="1"/>
  <c r="G101" i="17" a="1"/>
  <c r="G101" i="17" s="1"/>
  <c r="G100" i="17" a="1"/>
  <c r="G100" i="17" s="1"/>
  <c r="G99" i="17" a="1"/>
  <c r="G99" i="17" s="1"/>
  <c r="G98" i="17" a="1"/>
  <c r="G98" i="17" s="1"/>
  <c r="G97" i="17" a="1"/>
  <c r="G97" i="17" s="1"/>
  <c r="G96" i="17" a="1"/>
  <c r="G96" i="17" s="1"/>
  <c r="G95" i="17" a="1"/>
  <c r="G95" i="17" s="1"/>
  <c r="G94" i="17" a="1"/>
  <c r="G94" i="17" s="1"/>
  <c r="G93" i="17" a="1"/>
  <c r="G93" i="17" s="1"/>
  <c r="G92" i="17" a="1"/>
  <c r="G92" i="17" s="1"/>
  <c r="G91" i="17" a="1"/>
  <c r="G91" i="17" s="1"/>
  <c r="G90" i="17" a="1"/>
  <c r="G90" i="17" s="1"/>
  <c r="G89" i="17" a="1"/>
  <c r="G89" i="17" s="1"/>
  <c r="G88" i="17" a="1"/>
  <c r="G88" i="17" s="1"/>
  <c r="G87" i="17" a="1"/>
  <c r="G87" i="17" s="1"/>
  <c r="G86" i="17" a="1"/>
  <c r="G86" i="17" s="1"/>
  <c r="G85" i="17" a="1"/>
  <c r="G85" i="17" s="1"/>
  <c r="G84" i="17" a="1"/>
  <c r="G84" i="17" s="1"/>
  <c r="G83" i="17" a="1"/>
  <c r="G83" i="17" s="1"/>
  <c r="G82" i="17" a="1"/>
  <c r="G82" i="17" s="1"/>
  <c r="G81" i="17" a="1"/>
  <c r="G81" i="17" s="1"/>
  <c r="G80" i="17" a="1"/>
  <c r="G80" i="17" s="1"/>
  <c r="G79" i="17" a="1"/>
  <c r="G79" i="17" s="1"/>
  <c r="G78" i="17" a="1"/>
  <c r="G78" i="17" s="1"/>
  <c r="G77" i="17" a="1"/>
  <c r="G77" i="17" s="1"/>
  <c r="G76" i="17" a="1"/>
  <c r="G76" i="17" s="1"/>
  <c r="G75" i="17" a="1"/>
  <c r="G75" i="17" s="1"/>
  <c r="G74" i="17" a="1"/>
  <c r="G74" i="17" s="1"/>
  <c r="G73" i="17" a="1"/>
  <c r="G73" i="17" s="1"/>
  <c r="G72" i="17" a="1"/>
  <c r="G72" i="17" s="1"/>
  <c r="G71" i="17" a="1"/>
  <c r="G71" i="17" s="1"/>
  <c r="G70" i="17" a="1"/>
  <c r="G70" i="17" s="1"/>
  <c r="G69" i="17" a="1"/>
  <c r="G69" i="17" s="1"/>
  <c r="G68" i="17" a="1"/>
  <c r="G68" i="17" s="1"/>
  <c r="G67" i="17" a="1"/>
  <c r="G67" i="17" s="1"/>
  <c r="G66" i="17" a="1"/>
  <c r="G66" i="17" s="1"/>
  <c r="G65" i="17" a="1"/>
  <c r="G65" i="17" s="1"/>
  <c r="G64" i="17" a="1"/>
  <c r="G64" i="17" s="1"/>
  <c r="G62" i="17" a="1"/>
  <c r="G62" i="17" s="1"/>
  <c r="G61" i="17" a="1"/>
  <c r="G61" i="17" s="1"/>
  <c r="G60" i="17" a="1"/>
  <c r="G60" i="17" s="1"/>
  <c r="G59" i="17" a="1"/>
  <c r="G59" i="17" s="1"/>
  <c r="G58" i="17" a="1"/>
  <c r="G58" i="17" s="1"/>
  <c r="G57" i="17" a="1"/>
  <c r="G57" i="17" s="1"/>
  <c r="G56" i="17" a="1"/>
  <c r="G56" i="17" s="1"/>
  <c r="G55" i="17" a="1"/>
  <c r="G55" i="17" s="1"/>
  <c r="G54" i="17" a="1"/>
  <c r="G54" i="17" s="1"/>
  <c r="G53" i="17" a="1"/>
  <c r="G53" i="17" s="1"/>
  <c r="G52" i="17" a="1"/>
  <c r="G52" i="17" s="1"/>
  <c r="G51" i="17" a="1"/>
  <c r="G51" i="17" s="1"/>
  <c r="G50" i="17" a="1"/>
  <c r="G50" i="17" s="1"/>
  <c r="G49" i="17" a="1"/>
  <c r="G49" i="17" s="1"/>
  <c r="G48" i="17" a="1"/>
  <c r="G48" i="17" s="1"/>
  <c r="G47" i="17" a="1"/>
  <c r="G47" i="17" s="1"/>
  <c r="G46" i="17" a="1"/>
  <c r="G46" i="17" s="1"/>
  <c r="G45" i="17" a="1"/>
  <c r="G45" i="17" s="1"/>
  <c r="G44" i="17" a="1"/>
  <c r="G44" i="17" s="1"/>
  <c r="G43" i="17" a="1"/>
  <c r="G43" i="17" s="1"/>
  <c r="G42" i="17" a="1"/>
  <c r="G42" i="17" s="1"/>
  <c r="G41" i="17" a="1"/>
  <c r="G41" i="17" s="1"/>
  <c r="G40" i="17" a="1"/>
  <c r="G40" i="17" s="1"/>
  <c r="G39" i="17" a="1"/>
  <c r="G39" i="17" s="1"/>
  <c r="G38" i="17" a="1"/>
  <c r="G38" i="17" s="1"/>
  <c r="G37" i="17" a="1"/>
  <c r="G37" i="17" s="1"/>
  <c r="G36" i="17" a="1"/>
  <c r="G36" i="17" s="1"/>
  <c r="G35" i="17" a="1"/>
  <c r="G35" i="17" s="1"/>
  <c r="G34" i="17" a="1"/>
  <c r="G34" i="17" s="1"/>
  <c r="G33" i="17" a="1"/>
  <c r="G33" i="17" s="1"/>
  <c r="G32" i="17" a="1"/>
  <c r="G32" i="17" s="1"/>
  <c r="G31" i="17" a="1"/>
  <c r="G31" i="17" s="1"/>
  <c r="G30" i="17" a="1"/>
  <c r="G30" i="17" s="1"/>
  <c r="G29" i="17" a="1"/>
  <c r="G29" i="17" s="1"/>
  <c r="G28" i="17" a="1"/>
  <c r="G28" i="17" s="1"/>
  <c r="G27" i="17" a="1"/>
  <c r="G27" i="17" s="1"/>
  <c r="G26" i="17" a="1"/>
  <c r="G26" i="17" s="1"/>
  <c r="G25" i="17" a="1"/>
  <c r="G25" i="17" s="1"/>
  <c r="G24" i="17" a="1"/>
  <c r="G24" i="17" s="1"/>
  <c r="G23" i="17" a="1"/>
  <c r="G23" i="17" s="1"/>
  <c r="G22" i="17" a="1"/>
  <c r="G22" i="17" s="1"/>
  <c r="G21" i="17" a="1"/>
  <c r="G21" i="17" s="1"/>
  <c r="G20" i="17" a="1"/>
  <c r="G20" i="17" s="1"/>
  <c r="G19" i="17" a="1"/>
  <c r="G19" i="17" s="1"/>
  <c r="G18" i="17" a="1"/>
  <c r="G18" i="17" s="1"/>
  <c r="G17" i="17" a="1"/>
  <c r="G17" i="17" s="1"/>
  <c r="G16" i="17" a="1"/>
  <c r="G16" i="17" s="1"/>
  <c r="G15" i="17" a="1"/>
  <c r="G15" i="17" s="1"/>
  <c r="G14" i="17" a="1"/>
  <c r="G14" i="17" s="1"/>
  <c r="G13" i="17" a="1"/>
  <c r="G13" i="17" s="1"/>
  <c r="G12" i="17" a="1"/>
  <c r="G12" i="17" s="1"/>
  <c r="G11" i="17" a="1"/>
  <c r="G11" i="17" s="1"/>
  <c r="G10" i="17" a="1"/>
  <c r="G10" i="17" s="1"/>
  <c r="G9" i="17" a="1"/>
  <c r="G9" i="17" s="1"/>
  <c r="G8" i="17" a="1"/>
  <c r="G8" i="17" s="1"/>
  <c r="G7" i="17" a="1"/>
  <c r="G7" i="17" s="1"/>
  <c r="G6" i="17" a="1"/>
  <c r="G6" i="17" s="1"/>
  <c r="G5" i="17" a="1"/>
  <c r="G5" i="17" s="1"/>
  <c r="G4" i="17" a="1"/>
  <c r="G4" i="17" s="1"/>
  <c r="G3" i="17" a="1"/>
  <c r="G3" i="17" s="1"/>
  <c r="G2" i="17" a="1"/>
  <c r="G2" i="17" s="1"/>
  <c r="G57" i="18" a="1"/>
  <c r="G57" i="18" s="1"/>
  <c r="G56" i="18" a="1"/>
  <c r="G56" i="18" s="1"/>
  <c r="G55" i="18" a="1"/>
  <c r="G55" i="18" s="1"/>
  <c r="G54" i="18" a="1"/>
  <c r="G54" i="18" s="1"/>
  <c r="G53" i="18" a="1"/>
  <c r="G53" i="18" s="1"/>
  <c r="G52" i="18" a="1"/>
  <c r="G52" i="18" s="1"/>
  <c r="G51" i="18" a="1"/>
  <c r="G51" i="18" s="1"/>
  <c r="G50" i="18" a="1"/>
  <c r="G50" i="18" s="1"/>
  <c r="G49" i="18" a="1"/>
  <c r="G49" i="18" s="1"/>
  <c r="G48" i="18" a="1"/>
  <c r="G48" i="18" s="1"/>
  <c r="G47" i="18" a="1"/>
  <c r="G47" i="18" s="1"/>
  <c r="G46" i="18" a="1"/>
  <c r="G46" i="18" s="1"/>
  <c r="G45" i="18" a="1"/>
  <c r="G45" i="18" s="1"/>
  <c r="G44" i="18" a="1"/>
  <c r="G44" i="18" s="1"/>
  <c r="G43" i="18" a="1"/>
  <c r="G43" i="18" s="1"/>
  <c r="G42" i="18" a="1"/>
  <c r="G42" i="18" s="1"/>
  <c r="G41" i="18" a="1"/>
  <c r="G41" i="18" s="1"/>
  <c r="G40" i="18" a="1"/>
  <c r="G40" i="18" s="1"/>
  <c r="G39" i="18" a="1"/>
  <c r="G39" i="18" s="1"/>
  <c r="G38" i="18" a="1"/>
  <c r="G38" i="18" s="1"/>
  <c r="G37" i="18" a="1"/>
  <c r="G37" i="18" s="1"/>
  <c r="G36" i="18" a="1"/>
  <c r="G36" i="18" s="1"/>
  <c r="G35" i="18" a="1"/>
  <c r="G35" i="18" s="1"/>
  <c r="G34" i="18" a="1"/>
  <c r="G34" i="18" s="1"/>
  <c r="G33" i="18" a="1"/>
  <c r="G33" i="18" s="1"/>
  <c r="G32" i="18" a="1"/>
  <c r="G32" i="18" s="1"/>
  <c r="G31" i="18" a="1"/>
  <c r="G31" i="18" s="1"/>
  <c r="G30" i="18" a="1"/>
  <c r="G30" i="18" s="1"/>
  <c r="G29" i="18" a="1"/>
  <c r="G29" i="18" s="1"/>
  <c r="G28" i="18" a="1"/>
  <c r="G28" i="18" s="1"/>
  <c r="G27" i="18" a="1"/>
  <c r="G27" i="18" s="1"/>
  <c r="G26" i="18" a="1"/>
  <c r="G26" i="18" s="1"/>
  <c r="G25" i="18" a="1"/>
  <c r="G25" i="18" s="1"/>
  <c r="G24" i="18" a="1"/>
  <c r="G24" i="18" s="1"/>
  <c r="G23" i="18" a="1"/>
  <c r="G23" i="18" s="1"/>
  <c r="G22" i="18" a="1"/>
  <c r="G22" i="18" s="1"/>
  <c r="G21" i="18" a="1"/>
  <c r="G21" i="18" s="1"/>
  <c r="G20" i="18" a="1"/>
  <c r="G20" i="18" s="1"/>
  <c r="G19" i="18" a="1"/>
  <c r="G19" i="18" s="1"/>
  <c r="G18" i="18" a="1"/>
  <c r="G18" i="18" s="1"/>
  <c r="G17" i="18" a="1"/>
  <c r="G17" i="18" s="1"/>
  <c r="G16" i="18" a="1"/>
  <c r="G16" i="18" s="1"/>
  <c r="G15" i="18" a="1"/>
  <c r="G15" i="18" s="1"/>
  <c r="G14" i="18" a="1"/>
  <c r="G14" i="18" s="1"/>
  <c r="G13" i="18" a="1"/>
  <c r="G13" i="18" s="1"/>
  <c r="G12" i="18" a="1"/>
  <c r="G12" i="18" s="1"/>
  <c r="G11" i="18" a="1"/>
  <c r="G11" i="18" s="1"/>
  <c r="G10" i="18" a="1"/>
  <c r="G10" i="18" s="1"/>
  <c r="G9" i="18" a="1"/>
  <c r="G9" i="18" s="1"/>
  <c r="G8" i="18" a="1"/>
  <c r="G8" i="18" s="1"/>
  <c r="G7" i="18" a="1"/>
  <c r="G7" i="18" s="1"/>
  <c r="G6" i="18" a="1"/>
  <c r="G6" i="18" s="1"/>
  <c r="G5" i="18" a="1"/>
  <c r="G5" i="18" s="1"/>
  <c r="G4" i="18" a="1"/>
  <c r="G4" i="18" s="1"/>
  <c r="G3" i="18" a="1"/>
  <c r="G3" i="18" s="1"/>
  <c r="G2" i="18" a="1"/>
  <c r="G2" i="18" s="1"/>
  <c r="G75" i="19" a="1"/>
  <c r="G75" i="19" s="1"/>
  <c r="G74" i="19" a="1"/>
  <c r="G74" i="19" s="1"/>
  <c r="G73" i="19" a="1"/>
  <c r="G73" i="19" s="1"/>
  <c r="G72" i="19" a="1"/>
  <c r="G72" i="19" s="1"/>
  <c r="G71" i="19" a="1"/>
  <c r="G71" i="19" s="1"/>
  <c r="G70" i="19" a="1"/>
  <c r="G70" i="19" s="1"/>
  <c r="G69" i="19" a="1"/>
  <c r="G69" i="19" s="1"/>
  <c r="G68" i="19" a="1"/>
  <c r="G68" i="19" s="1"/>
  <c r="G67" i="19" a="1"/>
  <c r="G67" i="19" s="1"/>
  <c r="G66" i="19" a="1"/>
  <c r="G66" i="19" s="1"/>
  <c r="G65" i="19" a="1"/>
  <c r="G65" i="19" s="1"/>
  <c r="G64" i="19" a="1"/>
  <c r="G64" i="19" s="1"/>
  <c r="G62" i="19" a="1"/>
  <c r="G62" i="19" s="1"/>
  <c r="G61" i="19" a="1"/>
  <c r="G61" i="19" s="1"/>
  <c r="G60" i="19" a="1"/>
  <c r="G60" i="19" s="1"/>
  <c r="G59" i="19" a="1"/>
  <c r="G59" i="19" s="1"/>
  <c r="G58" i="19" a="1"/>
  <c r="G58" i="19" s="1"/>
  <c r="G57" i="19" a="1"/>
  <c r="G57" i="19" s="1"/>
  <c r="G56" i="19" a="1"/>
  <c r="G56" i="19" s="1"/>
  <c r="G55" i="19" a="1"/>
  <c r="G55" i="19" s="1"/>
  <c r="G54" i="19" a="1"/>
  <c r="G54" i="19" s="1"/>
  <c r="G53" i="19" a="1"/>
  <c r="G53" i="19" s="1"/>
  <c r="G52" i="19" a="1"/>
  <c r="G52" i="19" s="1"/>
  <c r="G51" i="19" a="1"/>
  <c r="G51" i="19" s="1"/>
  <c r="G50" i="19" a="1"/>
  <c r="G50" i="19" s="1"/>
  <c r="G49" i="19" a="1"/>
  <c r="G49" i="19" s="1"/>
  <c r="G48" i="19" a="1"/>
  <c r="G48" i="19" s="1"/>
  <c r="G47" i="19" a="1"/>
  <c r="G47" i="19" s="1"/>
  <c r="G46" i="19" a="1"/>
  <c r="G46" i="19" s="1"/>
  <c r="G45" i="19" a="1"/>
  <c r="G45" i="19" s="1"/>
  <c r="G44" i="19" a="1"/>
  <c r="G44" i="19" s="1"/>
  <c r="G43" i="19" a="1"/>
  <c r="G43" i="19" s="1"/>
  <c r="G42" i="19" a="1"/>
  <c r="G42" i="19" s="1"/>
  <c r="G41" i="19" a="1"/>
  <c r="G41" i="19" s="1"/>
  <c r="G40" i="19" a="1"/>
  <c r="G40" i="19" s="1"/>
  <c r="G39" i="19" a="1"/>
  <c r="G39" i="19" s="1"/>
  <c r="G38" i="19" a="1"/>
  <c r="G38" i="19" s="1"/>
  <c r="G37" i="19" a="1"/>
  <c r="G37" i="19" s="1"/>
  <c r="G36" i="19" a="1"/>
  <c r="G36" i="19" s="1"/>
  <c r="G35" i="19" a="1"/>
  <c r="G35" i="19" s="1"/>
  <c r="G34" i="19" a="1"/>
  <c r="G34" i="19" s="1"/>
  <c r="G33" i="19" a="1"/>
  <c r="G33" i="19" s="1"/>
  <c r="G32" i="19" a="1"/>
  <c r="G32" i="19" s="1"/>
  <c r="G31" i="19" a="1"/>
  <c r="G31" i="19" s="1"/>
  <c r="G30" i="19" a="1"/>
  <c r="G30" i="19" s="1"/>
  <c r="G29" i="19" a="1"/>
  <c r="G29" i="19" s="1"/>
  <c r="G28" i="19" a="1"/>
  <c r="G28" i="19" s="1"/>
  <c r="G27" i="19" a="1"/>
  <c r="G27" i="19" s="1"/>
  <c r="G26" i="19" a="1"/>
  <c r="G26" i="19" s="1"/>
  <c r="G25" i="19" a="1"/>
  <c r="G25" i="19" s="1"/>
  <c r="G24" i="19" a="1"/>
  <c r="G24" i="19" s="1"/>
  <c r="G23" i="19" a="1"/>
  <c r="G23" i="19" s="1"/>
  <c r="G22" i="19" a="1"/>
  <c r="G22" i="19" s="1"/>
  <c r="G21" i="19" a="1"/>
  <c r="G21" i="19" s="1"/>
  <c r="G20" i="19" a="1"/>
  <c r="G20" i="19" s="1"/>
  <c r="G19" i="19" a="1"/>
  <c r="G19" i="19" s="1"/>
  <c r="G18" i="19" a="1"/>
  <c r="G18" i="19" s="1"/>
  <c r="G17" i="19" a="1"/>
  <c r="G17" i="19" s="1"/>
  <c r="G16" i="19" a="1"/>
  <c r="G16" i="19" s="1"/>
  <c r="G15" i="19" a="1"/>
  <c r="G15" i="19" s="1"/>
  <c r="G14" i="19" a="1"/>
  <c r="G14" i="19" s="1"/>
  <c r="G13" i="19" a="1"/>
  <c r="G13" i="19" s="1"/>
  <c r="G12" i="19" a="1"/>
  <c r="G12" i="19" s="1"/>
  <c r="G11" i="19" a="1"/>
  <c r="G11" i="19" s="1"/>
  <c r="G10" i="19" a="1"/>
  <c r="G10" i="19" s="1"/>
  <c r="G9" i="19" a="1"/>
  <c r="G9" i="19" s="1"/>
  <c r="G8" i="19" a="1"/>
  <c r="G8" i="19" s="1"/>
  <c r="G7" i="19" a="1"/>
  <c r="G7" i="19" s="1"/>
  <c r="G6" i="19" a="1"/>
  <c r="G6" i="19" s="1"/>
  <c r="G5" i="19" a="1"/>
  <c r="G5" i="19" s="1"/>
  <c r="G4" i="19" a="1"/>
  <c r="G4" i="19" s="1"/>
  <c r="G3" i="19" a="1"/>
  <c r="G3" i="19" s="1"/>
  <c r="G2" i="19" a="1"/>
  <c r="G2" i="19" s="1"/>
  <c r="G109" i="20" a="1"/>
  <c r="G109" i="20" s="1"/>
  <c r="G108" i="20" a="1"/>
  <c r="G108" i="20" s="1"/>
  <c r="G107" i="20" a="1"/>
  <c r="G107" i="20" s="1"/>
  <c r="G106" i="20" a="1"/>
  <c r="G106" i="20" s="1"/>
  <c r="G105" i="20" a="1"/>
  <c r="G105" i="20" s="1"/>
  <c r="G104" i="20" a="1"/>
  <c r="G104" i="20" s="1"/>
  <c r="G103" i="20" a="1"/>
  <c r="G103" i="20" s="1"/>
  <c r="G102" i="20" a="1"/>
  <c r="G102" i="20" s="1"/>
  <c r="G101" i="20" a="1"/>
  <c r="G101" i="20" s="1"/>
  <c r="G100" i="20" a="1"/>
  <c r="G100" i="20" s="1"/>
  <c r="G99" i="20" a="1"/>
  <c r="G99" i="20" s="1"/>
  <c r="G98" i="20" a="1"/>
  <c r="G98" i="20" s="1"/>
  <c r="G97" i="20" a="1"/>
  <c r="G97" i="20" s="1"/>
  <c r="G96" i="20" a="1"/>
  <c r="G96" i="20" s="1"/>
  <c r="G95" i="20" a="1"/>
  <c r="G95" i="20" s="1"/>
  <c r="G94" i="20" a="1"/>
  <c r="G94" i="20" s="1"/>
  <c r="G93" i="20" a="1"/>
  <c r="G93" i="20" s="1"/>
  <c r="G92" i="20" a="1"/>
  <c r="G92" i="20" s="1"/>
  <c r="G91" i="20" a="1"/>
  <c r="G91" i="20" s="1"/>
  <c r="G90" i="20" a="1"/>
  <c r="G90" i="20" s="1"/>
  <c r="G89" i="20" a="1"/>
  <c r="G89" i="20" s="1"/>
  <c r="G88" i="20" a="1"/>
  <c r="G88" i="20" s="1"/>
  <c r="G87" i="20" a="1"/>
  <c r="G87" i="20" s="1"/>
  <c r="G86" i="20" a="1"/>
  <c r="G86" i="20" s="1"/>
  <c r="G85" i="20" a="1"/>
  <c r="G85" i="20" s="1"/>
  <c r="G84" i="20" a="1"/>
  <c r="G84" i="20" s="1"/>
  <c r="G83" i="20" a="1"/>
  <c r="G83" i="20" s="1"/>
  <c r="G82" i="20" a="1"/>
  <c r="G82" i="20" s="1"/>
  <c r="G81" i="20" a="1"/>
  <c r="G81" i="20" s="1"/>
  <c r="G80" i="20" a="1"/>
  <c r="G80" i="20" s="1"/>
  <c r="G79" i="20" a="1"/>
  <c r="G79" i="20" s="1"/>
  <c r="G78" i="20" a="1"/>
  <c r="G78" i="20" s="1"/>
  <c r="G77" i="20" a="1"/>
  <c r="G77" i="20" s="1"/>
  <c r="G76" i="20" a="1"/>
  <c r="G76" i="20" s="1"/>
  <c r="G75" i="20" a="1"/>
  <c r="G75" i="20" s="1"/>
  <c r="G74" i="20" a="1"/>
  <c r="G74" i="20" s="1"/>
  <c r="G73" i="20" a="1"/>
  <c r="G73" i="20" s="1"/>
  <c r="G72" i="20" a="1"/>
  <c r="G72" i="20" s="1"/>
  <c r="G71" i="20" a="1"/>
  <c r="G71" i="20" s="1"/>
  <c r="G70" i="20" a="1"/>
  <c r="G70" i="20" s="1"/>
  <c r="G69" i="20" a="1"/>
  <c r="G69" i="20" s="1"/>
  <c r="G68" i="20" a="1"/>
  <c r="G68" i="20" s="1"/>
  <c r="G67" i="20" a="1"/>
  <c r="G67" i="20" s="1"/>
  <c r="G66" i="20" a="1"/>
  <c r="G66" i="20" s="1"/>
  <c r="G65" i="20" a="1"/>
  <c r="G65" i="20" s="1"/>
  <c r="G64" i="20" a="1"/>
  <c r="G64" i="20" s="1"/>
  <c r="G62" i="20" a="1"/>
  <c r="G62" i="20" s="1"/>
  <c r="G61" i="20" a="1"/>
  <c r="G61" i="20" s="1"/>
  <c r="G60" i="20" a="1"/>
  <c r="G60" i="20" s="1"/>
  <c r="G59" i="20" a="1"/>
  <c r="G59" i="20" s="1"/>
  <c r="G58" i="20" a="1"/>
  <c r="G58" i="20" s="1"/>
  <c r="G57" i="20" a="1"/>
  <c r="G57" i="20" s="1"/>
  <c r="G56" i="20" a="1"/>
  <c r="G56" i="20" s="1"/>
  <c r="G55" i="20" a="1"/>
  <c r="G55" i="20" s="1"/>
  <c r="G54" i="20" a="1"/>
  <c r="G54" i="20" s="1"/>
  <c r="G53" i="20" a="1"/>
  <c r="G53" i="20" s="1"/>
  <c r="G52" i="20" a="1"/>
  <c r="G52" i="20" s="1"/>
  <c r="G51" i="20" a="1"/>
  <c r="G51" i="20" s="1"/>
  <c r="G50" i="20" a="1"/>
  <c r="G50" i="20" s="1"/>
  <c r="G49" i="20" a="1"/>
  <c r="G49" i="20" s="1"/>
  <c r="G48" i="20" a="1"/>
  <c r="G48" i="20" s="1"/>
  <c r="G47" i="20" a="1"/>
  <c r="G47" i="20" s="1"/>
  <c r="G46" i="20" a="1"/>
  <c r="G46" i="20" s="1"/>
  <c r="G45" i="20" a="1"/>
  <c r="G45" i="20" s="1"/>
  <c r="G44" i="20" a="1"/>
  <c r="G44" i="20" s="1"/>
  <c r="G43" i="20" a="1"/>
  <c r="G43" i="20" s="1"/>
  <c r="G42" i="20" a="1"/>
  <c r="G42" i="20" s="1"/>
  <c r="G41" i="20" a="1"/>
  <c r="G41" i="20" s="1"/>
  <c r="G40" i="20" a="1"/>
  <c r="G40" i="20" s="1"/>
  <c r="G39" i="20" a="1"/>
  <c r="G39" i="20" s="1"/>
  <c r="G38" i="20" a="1"/>
  <c r="G38" i="20" s="1"/>
  <c r="G37" i="20" a="1"/>
  <c r="G37" i="20" s="1"/>
  <c r="G36" i="20" a="1"/>
  <c r="G36" i="20" s="1"/>
  <c r="G35" i="20" a="1"/>
  <c r="G35" i="20" s="1"/>
  <c r="G34" i="20" a="1"/>
  <c r="G34" i="20" s="1"/>
  <c r="G33" i="20" a="1"/>
  <c r="G33" i="20" s="1"/>
  <c r="G32" i="20" a="1"/>
  <c r="G32" i="20" s="1"/>
  <c r="G31" i="20" a="1"/>
  <c r="G31" i="20" s="1"/>
  <c r="G30" i="20" a="1"/>
  <c r="G30" i="20" s="1"/>
  <c r="G29" i="20" a="1"/>
  <c r="G29" i="20" s="1"/>
  <c r="G28" i="20" a="1"/>
  <c r="G28" i="20" s="1"/>
  <c r="G27" i="20" a="1"/>
  <c r="G27" i="20" s="1"/>
  <c r="G26" i="20" a="1"/>
  <c r="G26" i="20" s="1"/>
  <c r="G25" i="20" a="1"/>
  <c r="G25" i="20" s="1"/>
  <c r="G24" i="20" a="1"/>
  <c r="G24" i="20" s="1"/>
  <c r="G23" i="20" a="1"/>
  <c r="G23" i="20" s="1"/>
  <c r="G22" i="20" a="1"/>
  <c r="G22" i="20" s="1"/>
  <c r="G21" i="20" a="1"/>
  <c r="G21" i="20" s="1"/>
  <c r="G20" i="20" a="1"/>
  <c r="G20" i="20" s="1"/>
  <c r="G19" i="20" a="1"/>
  <c r="G19" i="20" s="1"/>
  <c r="G18" i="20" a="1"/>
  <c r="G18" i="20" s="1"/>
  <c r="G17" i="20" a="1"/>
  <c r="G17" i="20" s="1"/>
  <c r="G16" i="20" a="1"/>
  <c r="G16" i="20" s="1"/>
  <c r="G15" i="20" a="1"/>
  <c r="G15" i="20" s="1"/>
  <c r="G14" i="20" a="1"/>
  <c r="G14" i="20" s="1"/>
  <c r="G13" i="20" a="1"/>
  <c r="G13" i="20" s="1"/>
  <c r="G12" i="20" a="1"/>
  <c r="G12" i="20" s="1"/>
  <c r="G11" i="20" a="1"/>
  <c r="G11" i="20" s="1"/>
  <c r="G10" i="20" a="1"/>
  <c r="G10" i="20" s="1"/>
  <c r="G9" i="20" a="1"/>
  <c r="G9" i="20" s="1"/>
  <c r="G8" i="20" a="1"/>
  <c r="G8" i="20" s="1"/>
  <c r="G7" i="20" a="1"/>
  <c r="G7" i="20" s="1"/>
  <c r="G6" i="20" a="1"/>
  <c r="G6" i="20" s="1"/>
  <c r="G5" i="20" a="1"/>
  <c r="G5" i="20" s="1"/>
  <c r="G4" i="20" a="1"/>
  <c r="G4" i="20" s="1"/>
  <c r="G3" i="20" a="1"/>
  <c r="G3" i="20" s="1"/>
  <c r="G2" i="20" a="1"/>
  <c r="G2" i="20" s="1"/>
  <c r="G74" i="21" a="1"/>
  <c r="G74" i="21" s="1"/>
  <c r="G73" i="21" a="1"/>
  <c r="G73" i="21" s="1"/>
  <c r="G72" i="21" a="1"/>
  <c r="G72" i="21" s="1"/>
  <c r="G71" i="21" a="1"/>
  <c r="G71" i="21" s="1"/>
  <c r="G70" i="21" a="1"/>
  <c r="G70" i="21" s="1"/>
  <c r="G69" i="21" a="1"/>
  <c r="G69" i="21" s="1"/>
  <c r="G68" i="21" a="1"/>
  <c r="G68" i="21" s="1"/>
  <c r="G67" i="21" a="1"/>
  <c r="G67" i="21" s="1"/>
  <c r="G66" i="21" a="1"/>
  <c r="G66" i="21" s="1"/>
  <c r="G65" i="21" a="1"/>
  <c r="G65" i="21" s="1"/>
  <c r="G64" i="21" a="1"/>
  <c r="G64" i="21" s="1"/>
  <c r="G62" i="21" a="1"/>
  <c r="G62" i="21" s="1"/>
  <c r="G61" i="21" a="1"/>
  <c r="G61" i="21" s="1"/>
  <c r="G60" i="21" a="1"/>
  <c r="G60" i="21" s="1"/>
  <c r="G59" i="21" a="1"/>
  <c r="G59" i="21" s="1"/>
  <c r="G58" i="21" a="1"/>
  <c r="G58" i="21" s="1"/>
  <c r="G57" i="21" a="1"/>
  <c r="G57" i="21" s="1"/>
  <c r="G56" i="21" a="1"/>
  <c r="G56" i="21" s="1"/>
  <c r="G55" i="21" a="1"/>
  <c r="G55" i="21" s="1"/>
  <c r="G54" i="21" a="1"/>
  <c r="G54" i="21" s="1"/>
  <c r="G53" i="21" a="1"/>
  <c r="G53" i="21" s="1"/>
  <c r="G52" i="21" a="1"/>
  <c r="G52" i="21" s="1"/>
  <c r="G51" i="21" a="1"/>
  <c r="G51" i="21" s="1"/>
  <c r="G50" i="21" a="1"/>
  <c r="G50" i="21" s="1"/>
  <c r="G49" i="21" a="1"/>
  <c r="G49" i="21" s="1"/>
  <c r="G48" i="21" a="1"/>
  <c r="G48" i="21" s="1"/>
  <c r="G47" i="21" a="1"/>
  <c r="G47" i="21" s="1"/>
  <c r="G46" i="21" a="1"/>
  <c r="G46" i="21" s="1"/>
  <c r="G45" i="21" a="1"/>
  <c r="G45" i="21" s="1"/>
  <c r="G44" i="21" a="1"/>
  <c r="G44" i="21" s="1"/>
  <c r="G43" i="21" a="1"/>
  <c r="G43" i="21" s="1"/>
  <c r="G42" i="21" a="1"/>
  <c r="G42" i="21" s="1"/>
  <c r="G41" i="21" a="1"/>
  <c r="G41" i="21" s="1"/>
  <c r="G40" i="21" a="1"/>
  <c r="G40" i="21" s="1"/>
  <c r="G39" i="21" a="1"/>
  <c r="G39" i="21" s="1"/>
  <c r="G38" i="21" a="1"/>
  <c r="G38" i="21" s="1"/>
  <c r="G37" i="21" a="1"/>
  <c r="G37" i="21" s="1"/>
  <c r="G36" i="21" a="1"/>
  <c r="G36" i="21" s="1"/>
  <c r="G35" i="21" a="1"/>
  <c r="G35" i="21" s="1"/>
  <c r="G34" i="21" a="1"/>
  <c r="G34" i="21" s="1"/>
  <c r="G33" i="21" a="1"/>
  <c r="G33" i="21" s="1"/>
  <c r="G32" i="21" a="1"/>
  <c r="G32" i="21" s="1"/>
  <c r="G31" i="21" a="1"/>
  <c r="G31" i="21" s="1"/>
  <c r="G30" i="21" a="1"/>
  <c r="G30" i="21" s="1"/>
  <c r="G29" i="21" a="1"/>
  <c r="G29" i="21" s="1"/>
  <c r="G28" i="21" a="1"/>
  <c r="G28" i="21" s="1"/>
  <c r="G27" i="21" a="1"/>
  <c r="G27" i="21" s="1"/>
  <c r="G26" i="21" a="1"/>
  <c r="G26" i="21" s="1"/>
  <c r="G25" i="21" a="1"/>
  <c r="G25" i="21" s="1"/>
  <c r="G24" i="21" a="1"/>
  <c r="G24" i="21" s="1"/>
  <c r="G23" i="21" a="1"/>
  <c r="G23" i="21" s="1"/>
  <c r="G22" i="21" a="1"/>
  <c r="G22" i="21" s="1"/>
  <c r="G21" i="21" a="1"/>
  <c r="G21" i="21" s="1"/>
  <c r="G20" i="21" a="1"/>
  <c r="G20" i="21" s="1"/>
  <c r="G19" i="21" a="1"/>
  <c r="G19" i="21" s="1"/>
  <c r="G18" i="21" a="1"/>
  <c r="G18" i="21" s="1"/>
  <c r="G17" i="21" a="1"/>
  <c r="G17" i="21" s="1"/>
  <c r="G16" i="21" a="1"/>
  <c r="G16" i="21" s="1"/>
  <c r="G15" i="21" a="1"/>
  <c r="G15" i="21" s="1"/>
  <c r="G14" i="21" a="1"/>
  <c r="G14" i="21" s="1"/>
  <c r="G13" i="21" a="1"/>
  <c r="G13" i="21" s="1"/>
  <c r="G12" i="21" a="1"/>
  <c r="G12" i="21" s="1"/>
  <c r="G11" i="21" a="1"/>
  <c r="G11" i="21" s="1"/>
  <c r="G10" i="21" a="1"/>
  <c r="G10" i="21" s="1"/>
  <c r="G9" i="21" a="1"/>
  <c r="G9" i="21" s="1"/>
  <c r="G8" i="21" a="1"/>
  <c r="G8" i="21" s="1"/>
  <c r="G7" i="21" a="1"/>
  <c r="G7" i="21" s="1"/>
  <c r="G6" i="21" a="1"/>
  <c r="G6" i="21" s="1"/>
  <c r="G5" i="21" a="1"/>
  <c r="G5" i="21" s="1"/>
  <c r="G4" i="21" a="1"/>
  <c r="G4" i="21" s="1"/>
  <c r="G3" i="21" a="1"/>
  <c r="G3" i="21" s="1"/>
  <c r="G2" i="21" a="1"/>
  <c r="G2" i="21" s="1"/>
  <c r="G54" i="22" a="1"/>
  <c r="G54" i="22" s="1"/>
  <c r="G53" i="22" a="1"/>
  <c r="G53" i="22" s="1"/>
  <c r="G52" i="22" a="1"/>
  <c r="G52" i="22" s="1"/>
  <c r="G51" i="22" a="1"/>
  <c r="G51" i="22" s="1"/>
  <c r="G50" i="22" a="1"/>
  <c r="G50" i="22" s="1"/>
  <c r="G49" i="22" a="1"/>
  <c r="G49" i="22" s="1"/>
  <c r="G48" i="22" a="1"/>
  <c r="G48" i="22" s="1"/>
  <c r="G47" i="22" a="1"/>
  <c r="G47" i="22" s="1"/>
  <c r="G46" i="22" a="1"/>
  <c r="G46" i="22" s="1"/>
  <c r="G45" i="22" a="1"/>
  <c r="G45" i="22" s="1"/>
  <c r="G44" i="22" a="1"/>
  <c r="G44" i="22" s="1"/>
  <c r="G43" i="22" a="1"/>
  <c r="G43" i="22" s="1"/>
  <c r="G42" i="22" a="1"/>
  <c r="G42" i="22" s="1"/>
  <c r="G41" i="22" a="1"/>
  <c r="G41" i="22" s="1"/>
  <c r="G40" i="22" a="1"/>
  <c r="G40" i="22" s="1"/>
  <c r="G39" i="22" a="1"/>
  <c r="G39" i="22" s="1"/>
  <c r="G38" i="22" a="1"/>
  <c r="G38" i="22" s="1"/>
  <c r="G37" i="22" a="1"/>
  <c r="G37" i="22" s="1"/>
  <c r="G36" i="22" a="1"/>
  <c r="G36" i="22" s="1"/>
  <c r="G35" i="22" a="1"/>
  <c r="G35" i="22" s="1"/>
  <c r="G34" i="22" a="1"/>
  <c r="G34" i="22" s="1"/>
  <c r="G33" i="22" a="1"/>
  <c r="G33" i="22" s="1"/>
  <c r="G32" i="22" a="1"/>
  <c r="G32" i="22" s="1"/>
  <c r="G31" i="22" a="1"/>
  <c r="G31" i="22" s="1"/>
  <c r="G30" i="22" a="1"/>
  <c r="G30" i="22" s="1"/>
  <c r="G29" i="22" a="1"/>
  <c r="G29" i="22" s="1"/>
  <c r="G28" i="22" a="1"/>
  <c r="G28" i="22" s="1"/>
  <c r="G27" i="22" a="1"/>
  <c r="G27" i="22" s="1"/>
  <c r="G26" i="22" a="1"/>
  <c r="G26" i="22" s="1"/>
  <c r="G25" i="22" a="1"/>
  <c r="G25" i="22" s="1"/>
  <c r="G24" i="22" a="1"/>
  <c r="G24" i="22" s="1"/>
  <c r="G23" i="22" a="1"/>
  <c r="G23" i="22" s="1"/>
  <c r="G22" i="22" a="1"/>
  <c r="G22" i="22" s="1"/>
  <c r="G21" i="22" a="1"/>
  <c r="G21" i="22" s="1"/>
  <c r="G20" i="22" a="1"/>
  <c r="G20" i="22" s="1"/>
  <c r="G19" i="22" a="1"/>
  <c r="G19" i="22" s="1"/>
  <c r="G18" i="22" a="1"/>
  <c r="G18" i="22" s="1"/>
  <c r="G17" i="22" a="1"/>
  <c r="G17" i="22" s="1"/>
  <c r="G16" i="22" a="1"/>
  <c r="G16" i="22" s="1"/>
  <c r="G15" i="22" a="1"/>
  <c r="G15" i="22" s="1"/>
  <c r="G14" i="22" a="1"/>
  <c r="G14" i="22" s="1"/>
  <c r="G13" i="22" a="1"/>
  <c r="G13" i="22" s="1"/>
  <c r="G12" i="22" a="1"/>
  <c r="G12" i="22" s="1"/>
  <c r="G11" i="22" a="1"/>
  <c r="G11" i="22" s="1"/>
  <c r="G10" i="22" a="1"/>
  <c r="G10" i="22" s="1"/>
  <c r="G9" i="22" a="1"/>
  <c r="G9" i="22" s="1"/>
  <c r="G8" i="22" a="1"/>
  <c r="G8" i="22" s="1"/>
  <c r="G7" i="22" a="1"/>
  <c r="G7" i="22" s="1"/>
  <c r="G6" i="22" a="1"/>
  <c r="G6" i="22" s="1"/>
  <c r="G5" i="22" a="1"/>
  <c r="G5" i="22" s="1"/>
  <c r="G4" i="22" a="1"/>
  <c r="G4" i="22" s="1"/>
  <c r="G3" i="22" a="1"/>
  <c r="G3" i="22" s="1"/>
  <c r="G2" i="22" a="1"/>
  <c r="G2" i="22" s="1"/>
  <c r="G20" i="23" a="1"/>
  <c r="G20" i="23" s="1"/>
  <c r="G19" i="23" a="1"/>
  <c r="G19" i="23" s="1"/>
  <c r="G18" i="23" a="1"/>
  <c r="G18" i="23" s="1"/>
  <c r="G17" i="23" a="1"/>
  <c r="G17" i="23" s="1"/>
  <c r="G16" i="23" a="1"/>
  <c r="G16" i="23" s="1"/>
  <c r="G15" i="23" a="1"/>
  <c r="G15" i="23" s="1"/>
  <c r="G14" i="23" a="1"/>
  <c r="G14" i="23" s="1"/>
  <c r="G13" i="23" a="1"/>
  <c r="G13" i="23" s="1"/>
  <c r="G12" i="23" a="1"/>
  <c r="G12" i="23" s="1"/>
  <c r="G11" i="23" a="1"/>
  <c r="G11" i="23" s="1"/>
  <c r="G10" i="23" a="1"/>
  <c r="G10" i="23" s="1"/>
  <c r="G9" i="23" a="1"/>
  <c r="G9" i="23" s="1"/>
  <c r="G8" i="23" a="1"/>
  <c r="G8" i="23" s="1"/>
  <c r="G7" i="23" a="1"/>
  <c r="G7" i="23" s="1"/>
  <c r="G6" i="23" a="1"/>
  <c r="G6" i="23" s="1"/>
  <c r="G5" i="23" a="1"/>
  <c r="G5" i="23" s="1"/>
  <c r="G4" i="23" a="1"/>
  <c r="G4" i="23" s="1"/>
  <c r="G3" i="23" a="1"/>
  <c r="G3" i="23" s="1"/>
  <c r="G2" i="23" a="1"/>
  <c r="G2" i="23" s="1"/>
  <c r="G106" i="24" a="1"/>
  <c r="G106" i="24" s="1"/>
  <c r="G105" i="24" a="1"/>
  <c r="G105" i="24" s="1"/>
  <c r="G104" i="24" a="1"/>
  <c r="G104" i="24" s="1"/>
  <c r="G103" i="24" a="1"/>
  <c r="G103" i="24" s="1"/>
  <c r="G102" i="24" a="1"/>
  <c r="G102" i="24" s="1"/>
  <c r="G101" i="24" a="1"/>
  <c r="G101" i="24" s="1"/>
  <c r="G100" i="24" a="1"/>
  <c r="G100" i="24" s="1"/>
  <c r="G99" i="24" a="1"/>
  <c r="G99" i="24" s="1"/>
  <c r="G98" i="24" a="1"/>
  <c r="G98" i="24" s="1"/>
  <c r="G97" i="24" a="1"/>
  <c r="G97" i="24" s="1"/>
  <c r="G96" i="24" a="1"/>
  <c r="G96" i="24" s="1"/>
  <c r="G95" i="24" a="1"/>
  <c r="G95" i="24" s="1"/>
  <c r="G94" i="24" a="1"/>
  <c r="G94" i="24" s="1"/>
  <c r="G93" i="24" a="1"/>
  <c r="G93" i="24" s="1"/>
  <c r="G92" i="24" a="1"/>
  <c r="G92" i="24" s="1"/>
  <c r="G91" i="24" a="1"/>
  <c r="G91" i="24" s="1"/>
  <c r="G90" i="24" a="1"/>
  <c r="G90" i="24" s="1"/>
  <c r="G89" i="24" a="1"/>
  <c r="G89" i="24" s="1"/>
  <c r="G88" i="24" a="1"/>
  <c r="G88" i="24" s="1"/>
  <c r="G87" i="24" a="1"/>
  <c r="G87" i="24" s="1"/>
  <c r="G86" i="24" a="1"/>
  <c r="G86" i="24" s="1"/>
  <c r="G85" i="24" a="1"/>
  <c r="G85" i="24" s="1"/>
  <c r="G84" i="24" a="1"/>
  <c r="G84" i="24" s="1"/>
  <c r="G83" i="24" a="1"/>
  <c r="G83" i="24" s="1"/>
  <c r="G82" i="24" a="1"/>
  <c r="G82" i="24" s="1"/>
  <c r="G81" i="24" a="1"/>
  <c r="G81" i="24" s="1"/>
  <c r="G80" i="24" a="1"/>
  <c r="G80" i="24" s="1"/>
  <c r="G79" i="24" a="1"/>
  <c r="G79" i="24" s="1"/>
  <c r="G78" i="24" a="1"/>
  <c r="G78" i="24" s="1"/>
  <c r="G77" i="24" a="1"/>
  <c r="G77" i="24" s="1"/>
  <c r="G76" i="24" a="1"/>
  <c r="G76" i="24" s="1"/>
  <c r="G75" i="24" a="1"/>
  <c r="G75" i="24" s="1"/>
  <c r="G74" i="24" a="1"/>
  <c r="G74" i="24" s="1"/>
  <c r="G73" i="24" a="1"/>
  <c r="G73" i="24" s="1"/>
  <c r="G72" i="24" a="1"/>
  <c r="G72" i="24" s="1"/>
  <c r="G71" i="24" a="1"/>
  <c r="G71" i="24" s="1"/>
  <c r="G70" i="24" a="1"/>
  <c r="G70" i="24" s="1"/>
  <c r="G69" i="24" a="1"/>
  <c r="G69" i="24" s="1"/>
  <c r="G68" i="24" a="1"/>
  <c r="G68" i="24" s="1"/>
  <c r="G67" i="24" a="1"/>
  <c r="G67" i="24" s="1"/>
  <c r="G66" i="24" a="1"/>
  <c r="G66" i="24" s="1"/>
  <c r="G65" i="24" a="1"/>
  <c r="G65" i="24" s="1"/>
  <c r="G64" i="24" a="1"/>
  <c r="G64" i="24" s="1"/>
  <c r="G62" i="24" a="1"/>
  <c r="G62" i="24" s="1"/>
  <c r="G61" i="24" a="1"/>
  <c r="G61" i="24" s="1"/>
  <c r="G60" i="24" a="1"/>
  <c r="G60" i="24" s="1"/>
  <c r="G59" i="24" a="1"/>
  <c r="G59" i="24" s="1"/>
  <c r="G58" i="24" a="1"/>
  <c r="G58" i="24" s="1"/>
  <c r="G57" i="24" a="1"/>
  <c r="G57" i="24" s="1"/>
  <c r="G56" i="24" a="1"/>
  <c r="G56" i="24" s="1"/>
  <c r="G55" i="24" a="1"/>
  <c r="G55" i="24" s="1"/>
  <c r="G54" i="24" a="1"/>
  <c r="G54" i="24" s="1"/>
  <c r="G53" i="24" a="1"/>
  <c r="G53" i="24" s="1"/>
  <c r="G52" i="24" a="1"/>
  <c r="G52" i="24" s="1"/>
  <c r="G51" i="24" a="1"/>
  <c r="G51" i="24" s="1"/>
  <c r="G50" i="24" a="1"/>
  <c r="G50" i="24" s="1"/>
  <c r="G49" i="24" a="1"/>
  <c r="G49" i="24" s="1"/>
  <c r="G48" i="24" a="1"/>
  <c r="G48" i="24" s="1"/>
  <c r="G47" i="24" a="1"/>
  <c r="G47" i="24" s="1"/>
  <c r="G46" i="24" a="1"/>
  <c r="G46" i="24" s="1"/>
  <c r="G45" i="24" a="1"/>
  <c r="G45" i="24" s="1"/>
  <c r="G44" i="24" a="1"/>
  <c r="G44" i="24" s="1"/>
  <c r="G43" i="24" a="1"/>
  <c r="G43" i="24" s="1"/>
  <c r="G42" i="24" a="1"/>
  <c r="G42" i="24" s="1"/>
  <c r="G41" i="24" a="1"/>
  <c r="G41" i="24" s="1"/>
  <c r="G40" i="24" a="1"/>
  <c r="G40" i="24" s="1"/>
  <c r="G39" i="24" a="1"/>
  <c r="G39" i="24" s="1"/>
  <c r="G38" i="24" a="1"/>
  <c r="G38" i="24" s="1"/>
  <c r="G37" i="24" a="1"/>
  <c r="G37" i="24" s="1"/>
  <c r="G36" i="24" a="1"/>
  <c r="G36" i="24" s="1"/>
  <c r="G35" i="24" a="1"/>
  <c r="G35" i="24" s="1"/>
  <c r="G34" i="24" a="1"/>
  <c r="G34" i="24" s="1"/>
  <c r="G33" i="24" a="1"/>
  <c r="G33" i="24" s="1"/>
  <c r="G32" i="24" a="1"/>
  <c r="G32" i="24" s="1"/>
  <c r="G31" i="24" a="1"/>
  <c r="G31" i="24" s="1"/>
  <c r="G30" i="24" a="1"/>
  <c r="G30" i="24" s="1"/>
  <c r="G29" i="24" a="1"/>
  <c r="G29" i="24" s="1"/>
  <c r="G28" i="24" a="1"/>
  <c r="G28" i="24" s="1"/>
  <c r="G27" i="24" a="1"/>
  <c r="G27" i="24" s="1"/>
  <c r="G26" i="24" a="1"/>
  <c r="G26" i="24" s="1"/>
  <c r="G25" i="24" a="1"/>
  <c r="G25" i="24" s="1"/>
  <c r="G24" i="24" a="1"/>
  <c r="G24" i="24" s="1"/>
  <c r="G23" i="24" a="1"/>
  <c r="G23" i="24" s="1"/>
  <c r="G22" i="24" a="1"/>
  <c r="G22" i="24" s="1"/>
  <c r="G21" i="24" a="1"/>
  <c r="G21" i="24" s="1"/>
  <c r="G20" i="24" a="1"/>
  <c r="G20" i="24" s="1"/>
  <c r="G19" i="24" a="1"/>
  <c r="G19" i="24" s="1"/>
  <c r="G18" i="24" a="1"/>
  <c r="G18" i="24" s="1"/>
  <c r="G17" i="24" a="1"/>
  <c r="G17" i="24" s="1"/>
  <c r="G16" i="24" a="1"/>
  <c r="G16" i="24" s="1"/>
  <c r="G15" i="24" a="1"/>
  <c r="G15" i="24" s="1"/>
  <c r="G14" i="24" a="1"/>
  <c r="G14" i="24" s="1"/>
  <c r="G13" i="24" a="1"/>
  <c r="G13" i="24" s="1"/>
  <c r="G12" i="24" a="1"/>
  <c r="G12" i="24" s="1"/>
  <c r="G11" i="24" a="1"/>
  <c r="G11" i="24" s="1"/>
  <c r="G10" i="24" a="1"/>
  <c r="G10" i="24" s="1"/>
  <c r="G9" i="24" a="1"/>
  <c r="G9" i="24" s="1"/>
  <c r="G8" i="24" a="1"/>
  <c r="G8" i="24" s="1"/>
  <c r="G7" i="24" a="1"/>
  <c r="G7" i="24" s="1"/>
  <c r="G6" i="24" a="1"/>
  <c r="G6" i="24" s="1"/>
  <c r="G5" i="24" a="1"/>
  <c r="G5" i="24" s="1"/>
  <c r="G4" i="24" a="1"/>
  <c r="G4" i="24" s="1"/>
  <c r="G3" i="24" a="1"/>
  <c r="G3" i="24" s="1"/>
  <c r="G2" i="24" a="1"/>
  <c r="G2" i="24" s="1"/>
  <c r="G56" i="25" a="1"/>
  <c r="G56" i="25" s="1"/>
  <c r="G55" i="25" a="1"/>
  <c r="G55" i="25" s="1"/>
  <c r="G54" i="25" a="1"/>
  <c r="G54" i="25" s="1"/>
  <c r="G53" i="25" a="1"/>
  <c r="G53" i="25" s="1"/>
  <c r="G52" i="25" a="1"/>
  <c r="G52" i="25" s="1"/>
  <c r="G51" i="25" a="1"/>
  <c r="G51" i="25" s="1"/>
  <c r="G50" i="25" a="1"/>
  <c r="G50" i="25" s="1"/>
  <c r="G49" i="25" a="1"/>
  <c r="G49" i="25" s="1"/>
  <c r="G48" i="25" a="1"/>
  <c r="G48" i="25" s="1"/>
  <c r="G47" i="25" a="1"/>
  <c r="G47" i="25" s="1"/>
  <c r="G46" i="25" a="1"/>
  <c r="G46" i="25" s="1"/>
  <c r="G45" i="25" a="1"/>
  <c r="G45" i="25" s="1"/>
  <c r="G44" i="25" a="1"/>
  <c r="G44" i="25" s="1"/>
  <c r="G43" i="25" a="1"/>
  <c r="G43" i="25" s="1"/>
  <c r="G42" i="25" a="1"/>
  <c r="G42" i="25" s="1"/>
  <c r="G41" i="25" a="1"/>
  <c r="G41" i="25" s="1"/>
  <c r="G40" i="25" a="1"/>
  <c r="G40" i="25" s="1"/>
  <c r="G39" i="25" a="1"/>
  <c r="G39" i="25" s="1"/>
  <c r="G38" i="25" a="1"/>
  <c r="G38" i="25" s="1"/>
  <c r="G37" i="25" a="1"/>
  <c r="G37" i="25" s="1"/>
  <c r="G36" i="25" a="1"/>
  <c r="G36" i="25" s="1"/>
  <c r="G35" i="25" a="1"/>
  <c r="G35" i="25" s="1"/>
  <c r="G34" i="25" a="1"/>
  <c r="G34" i="25" s="1"/>
  <c r="G33" i="25" a="1"/>
  <c r="G33" i="25" s="1"/>
  <c r="G32" i="25" a="1"/>
  <c r="G32" i="25" s="1"/>
  <c r="G31" i="25" a="1"/>
  <c r="G31" i="25" s="1"/>
  <c r="G30" i="25" a="1"/>
  <c r="G30" i="25" s="1"/>
  <c r="G29" i="25" a="1"/>
  <c r="G29" i="25" s="1"/>
  <c r="G28" i="25" a="1"/>
  <c r="G28" i="25" s="1"/>
  <c r="G27" i="25" a="1"/>
  <c r="G27" i="25" s="1"/>
  <c r="G26" i="25" a="1"/>
  <c r="G26" i="25" s="1"/>
  <c r="G25" i="25" a="1"/>
  <c r="G25" i="25" s="1"/>
  <c r="G24" i="25" a="1"/>
  <c r="G24" i="25" s="1"/>
  <c r="G23" i="25" a="1"/>
  <c r="G23" i="25" s="1"/>
  <c r="G22" i="25" a="1"/>
  <c r="G22" i="25" s="1"/>
  <c r="G21" i="25" a="1"/>
  <c r="G21" i="25" s="1"/>
  <c r="G20" i="25" a="1"/>
  <c r="G20" i="25" s="1"/>
  <c r="G19" i="25" a="1"/>
  <c r="G19" i="25" s="1"/>
  <c r="G18" i="25" a="1"/>
  <c r="G18" i="25" s="1"/>
  <c r="G17" i="25" a="1"/>
  <c r="G17" i="25" s="1"/>
  <c r="G16" i="25" a="1"/>
  <c r="G16" i="25" s="1"/>
  <c r="G15" i="25" a="1"/>
  <c r="G15" i="25" s="1"/>
  <c r="G14" i="25" a="1"/>
  <c r="G14" i="25" s="1"/>
  <c r="G13" i="25" a="1"/>
  <c r="G13" i="25" s="1"/>
  <c r="G12" i="25" a="1"/>
  <c r="G12" i="25" s="1"/>
  <c r="G11" i="25" a="1"/>
  <c r="G11" i="25" s="1"/>
  <c r="G10" i="25" a="1"/>
  <c r="G10" i="25" s="1"/>
  <c r="G9" i="25" a="1"/>
  <c r="G9" i="25" s="1"/>
  <c r="G8" i="25" a="1"/>
  <c r="G8" i="25" s="1"/>
  <c r="G7" i="25" a="1"/>
  <c r="G7" i="25" s="1"/>
  <c r="G6" i="25" a="1"/>
  <c r="G6" i="25" s="1"/>
  <c r="G5" i="25" a="1"/>
  <c r="G5" i="25" s="1"/>
  <c r="G4" i="25" a="1"/>
  <c r="G4" i="25" s="1"/>
  <c r="G3" i="25" a="1"/>
  <c r="G3" i="25" s="1"/>
  <c r="G2" i="25" a="1"/>
  <c r="G2" i="25" s="1"/>
  <c r="G84" i="26" a="1"/>
  <c r="G84" i="26" s="1"/>
  <c r="G83" i="26" a="1"/>
  <c r="G83" i="26" s="1"/>
  <c r="G82" i="26" a="1"/>
  <c r="G82" i="26" s="1"/>
  <c r="G81" i="26" a="1"/>
  <c r="G81" i="26" s="1"/>
  <c r="G80" i="26" a="1"/>
  <c r="G80" i="26" s="1"/>
  <c r="G79" i="26" a="1"/>
  <c r="G79" i="26" s="1"/>
  <c r="G78" i="26" a="1"/>
  <c r="G78" i="26" s="1"/>
  <c r="G77" i="26" a="1"/>
  <c r="G77" i="26" s="1"/>
  <c r="G76" i="26" a="1"/>
  <c r="G76" i="26" s="1"/>
  <c r="G75" i="26" a="1"/>
  <c r="G75" i="26" s="1"/>
  <c r="G74" i="26" a="1"/>
  <c r="G74" i="26" s="1"/>
  <c r="G73" i="26" a="1"/>
  <c r="G73" i="26" s="1"/>
  <c r="G72" i="26" a="1"/>
  <c r="G72" i="26" s="1"/>
  <c r="G71" i="26" a="1"/>
  <c r="G71" i="26" s="1"/>
  <c r="G70" i="26" a="1"/>
  <c r="G70" i="26" s="1"/>
  <c r="G69" i="26" a="1"/>
  <c r="G69" i="26" s="1"/>
  <c r="G68" i="26" a="1"/>
  <c r="G68" i="26" s="1"/>
  <c r="G67" i="26" a="1"/>
  <c r="G67" i="26" s="1"/>
  <c r="G66" i="26" a="1"/>
  <c r="G66" i="26" s="1"/>
  <c r="G65" i="26" a="1"/>
  <c r="G65" i="26" s="1"/>
  <c r="G64" i="26" a="1"/>
  <c r="G64" i="26" s="1"/>
  <c r="G62" i="26" a="1"/>
  <c r="G62" i="26" s="1"/>
  <c r="G61" i="26" a="1"/>
  <c r="G61" i="26" s="1"/>
  <c r="G60" i="26" a="1"/>
  <c r="G60" i="26" s="1"/>
  <c r="G59" i="26" a="1"/>
  <c r="G59" i="26" s="1"/>
  <c r="G58" i="26" a="1"/>
  <c r="G58" i="26" s="1"/>
  <c r="G57" i="26" a="1"/>
  <c r="G57" i="26" s="1"/>
  <c r="G56" i="26" a="1"/>
  <c r="G56" i="26" s="1"/>
  <c r="G55" i="26" a="1"/>
  <c r="G55" i="26" s="1"/>
  <c r="G54" i="26" a="1"/>
  <c r="G54" i="26" s="1"/>
  <c r="G53" i="26" a="1"/>
  <c r="G53" i="26" s="1"/>
  <c r="G52" i="26" a="1"/>
  <c r="G52" i="26" s="1"/>
  <c r="G51" i="26" a="1"/>
  <c r="G51" i="26" s="1"/>
  <c r="G50" i="26" a="1"/>
  <c r="G50" i="26" s="1"/>
  <c r="G49" i="26" a="1"/>
  <c r="G49" i="26" s="1"/>
  <c r="G48" i="26" a="1"/>
  <c r="G48" i="26" s="1"/>
  <c r="G47" i="26" a="1"/>
  <c r="G47" i="26" s="1"/>
  <c r="G46" i="26" a="1"/>
  <c r="G46" i="26" s="1"/>
  <c r="G45" i="26" a="1"/>
  <c r="G45" i="26" s="1"/>
  <c r="G44" i="26" a="1"/>
  <c r="G44" i="26" s="1"/>
  <c r="G43" i="26" a="1"/>
  <c r="G43" i="26" s="1"/>
  <c r="G42" i="26" a="1"/>
  <c r="G42" i="26" s="1"/>
  <c r="G41" i="26" a="1"/>
  <c r="G41" i="26" s="1"/>
  <c r="G40" i="26" a="1"/>
  <c r="G40" i="26" s="1"/>
  <c r="G39" i="26" a="1"/>
  <c r="G39" i="26" s="1"/>
  <c r="G38" i="26" a="1"/>
  <c r="G38" i="26" s="1"/>
  <c r="G37" i="26" a="1"/>
  <c r="G37" i="26" s="1"/>
  <c r="G36" i="26" a="1"/>
  <c r="G36" i="26" s="1"/>
  <c r="G35" i="26" a="1"/>
  <c r="G35" i="26" s="1"/>
  <c r="G34" i="26" a="1"/>
  <c r="G34" i="26" s="1"/>
  <c r="G33" i="26" a="1"/>
  <c r="G33" i="26" s="1"/>
  <c r="G32" i="26" a="1"/>
  <c r="G32" i="26" s="1"/>
  <c r="G31" i="26" a="1"/>
  <c r="G31" i="26" s="1"/>
  <c r="G30" i="26" a="1"/>
  <c r="G30" i="26" s="1"/>
  <c r="G29" i="26" a="1"/>
  <c r="G29" i="26" s="1"/>
  <c r="G28" i="26" a="1"/>
  <c r="G28" i="26" s="1"/>
  <c r="G27" i="26" a="1"/>
  <c r="G27" i="26" s="1"/>
  <c r="G26" i="26" a="1"/>
  <c r="G26" i="26" s="1"/>
  <c r="G25" i="26" a="1"/>
  <c r="G25" i="26" s="1"/>
  <c r="G24" i="26" a="1"/>
  <c r="G24" i="26" s="1"/>
  <c r="G23" i="26" a="1"/>
  <c r="G23" i="26" s="1"/>
  <c r="G22" i="26" a="1"/>
  <c r="G22" i="26" s="1"/>
  <c r="G21" i="26" a="1"/>
  <c r="G21" i="26" s="1"/>
  <c r="G20" i="26" a="1"/>
  <c r="G20" i="26" s="1"/>
  <c r="G19" i="26" a="1"/>
  <c r="G19" i="26" s="1"/>
  <c r="G18" i="26" a="1"/>
  <c r="G18" i="26" s="1"/>
  <c r="G17" i="26" a="1"/>
  <c r="G17" i="26" s="1"/>
  <c r="G16" i="26" a="1"/>
  <c r="G16" i="26" s="1"/>
  <c r="G15" i="26" a="1"/>
  <c r="G15" i="26" s="1"/>
  <c r="G14" i="26" a="1"/>
  <c r="G14" i="26" s="1"/>
  <c r="G13" i="26" a="1"/>
  <c r="G13" i="26" s="1"/>
  <c r="G12" i="26" a="1"/>
  <c r="G12" i="26" s="1"/>
  <c r="G11" i="26" a="1"/>
  <c r="G11" i="26" s="1"/>
  <c r="G10" i="26" a="1"/>
  <c r="G10" i="26" s="1"/>
  <c r="G9" i="26" a="1"/>
  <c r="G9" i="26" s="1"/>
  <c r="G8" i="26" a="1"/>
  <c r="G8" i="26" s="1"/>
  <c r="G7" i="26" a="1"/>
  <c r="G7" i="26" s="1"/>
  <c r="G6" i="26" a="1"/>
  <c r="G6" i="26" s="1"/>
  <c r="G5" i="26" a="1"/>
  <c r="G5" i="26" s="1"/>
  <c r="G4" i="26" a="1"/>
  <c r="G4" i="26" s="1"/>
  <c r="G3" i="26" a="1"/>
  <c r="G3" i="26" s="1"/>
  <c r="G2" i="26" a="1"/>
  <c r="G2" i="26" s="1"/>
  <c r="G70" i="27" a="1"/>
  <c r="G70" i="27" s="1"/>
  <c r="G69" i="27" a="1"/>
  <c r="G69" i="27" s="1"/>
  <c r="G68" i="27" a="1"/>
  <c r="G68" i="27" s="1"/>
  <c r="G67" i="27" a="1"/>
  <c r="G67" i="27" s="1"/>
  <c r="G66" i="27" a="1"/>
  <c r="G66" i="27" s="1"/>
  <c r="G65" i="27" a="1"/>
  <c r="G65" i="27" s="1"/>
  <c r="G64" i="27" a="1"/>
  <c r="G64" i="27" s="1"/>
  <c r="G62" i="27" a="1"/>
  <c r="G62" i="27" s="1"/>
  <c r="G61" i="27" a="1"/>
  <c r="G61" i="27" s="1"/>
  <c r="G60" i="27" a="1"/>
  <c r="G60" i="27" s="1"/>
  <c r="G59" i="27" a="1"/>
  <c r="G59" i="27" s="1"/>
  <c r="G58" i="27" a="1"/>
  <c r="G58" i="27" s="1"/>
  <c r="G57" i="27" a="1"/>
  <c r="G57" i="27" s="1"/>
  <c r="G56" i="27" a="1"/>
  <c r="G56" i="27" s="1"/>
  <c r="G55" i="27" a="1"/>
  <c r="G55" i="27" s="1"/>
  <c r="G54" i="27" a="1"/>
  <c r="G54" i="27" s="1"/>
  <c r="G53" i="27" a="1"/>
  <c r="G53" i="27" s="1"/>
  <c r="G52" i="27" a="1"/>
  <c r="G52" i="27" s="1"/>
  <c r="G51" i="27" a="1"/>
  <c r="G51" i="27" s="1"/>
  <c r="G50" i="27" a="1"/>
  <c r="G50" i="27" s="1"/>
  <c r="G49" i="27" a="1"/>
  <c r="G49" i="27" s="1"/>
  <c r="G48" i="27" a="1"/>
  <c r="G48" i="27" s="1"/>
  <c r="G47" i="27" a="1"/>
  <c r="G47" i="27" s="1"/>
  <c r="G46" i="27" a="1"/>
  <c r="G46" i="27" s="1"/>
  <c r="G45" i="27" a="1"/>
  <c r="G45" i="27" s="1"/>
  <c r="G44" i="27" a="1"/>
  <c r="G44" i="27" s="1"/>
  <c r="G43" i="27" a="1"/>
  <c r="G43" i="27" s="1"/>
  <c r="G42" i="27" a="1"/>
  <c r="G42" i="27" s="1"/>
  <c r="G41" i="27" a="1"/>
  <c r="G41" i="27" s="1"/>
  <c r="G40" i="27" a="1"/>
  <c r="G40" i="27" s="1"/>
  <c r="G39" i="27" a="1"/>
  <c r="G39" i="27" s="1"/>
  <c r="G38" i="27" a="1"/>
  <c r="G38" i="27" s="1"/>
  <c r="G37" i="27" a="1"/>
  <c r="G37" i="27" s="1"/>
  <c r="G36" i="27" a="1"/>
  <c r="G36" i="27" s="1"/>
  <c r="G35" i="27" a="1"/>
  <c r="G35" i="27" s="1"/>
  <c r="G34" i="27" a="1"/>
  <c r="G34" i="27" s="1"/>
  <c r="G33" i="27" a="1"/>
  <c r="G33" i="27" s="1"/>
  <c r="G32" i="27" a="1"/>
  <c r="G32" i="27" s="1"/>
  <c r="G31" i="27" a="1"/>
  <c r="G31" i="27" s="1"/>
  <c r="G30" i="27" a="1"/>
  <c r="G30" i="27" s="1"/>
  <c r="G29" i="27" a="1"/>
  <c r="G29" i="27" s="1"/>
  <c r="G28" i="27" a="1"/>
  <c r="G28" i="27" s="1"/>
  <c r="G27" i="27" a="1"/>
  <c r="G27" i="27" s="1"/>
  <c r="G26" i="27" a="1"/>
  <c r="G26" i="27" s="1"/>
  <c r="G25" i="27" a="1"/>
  <c r="G25" i="27" s="1"/>
  <c r="G24" i="27" a="1"/>
  <c r="G24" i="27" s="1"/>
  <c r="G23" i="27" a="1"/>
  <c r="G23" i="27" s="1"/>
  <c r="G22" i="27" a="1"/>
  <c r="G22" i="27" s="1"/>
  <c r="G21" i="27" a="1"/>
  <c r="G21" i="27" s="1"/>
  <c r="G20" i="27" a="1"/>
  <c r="G20" i="27" s="1"/>
  <c r="G19" i="27" a="1"/>
  <c r="G19" i="27" s="1"/>
  <c r="G18" i="27" a="1"/>
  <c r="G18" i="27" s="1"/>
  <c r="G17" i="27" a="1"/>
  <c r="G17" i="27" s="1"/>
  <c r="G16" i="27" a="1"/>
  <c r="G16" i="27" s="1"/>
  <c r="G15" i="27" a="1"/>
  <c r="G15" i="27" s="1"/>
  <c r="G14" i="27" a="1"/>
  <c r="G14" i="27" s="1"/>
  <c r="G13" i="27" a="1"/>
  <c r="G13" i="27" s="1"/>
  <c r="G12" i="27" a="1"/>
  <c r="G12" i="27" s="1"/>
  <c r="G11" i="27" a="1"/>
  <c r="G11" i="27" s="1"/>
  <c r="G10" i="27" a="1"/>
  <c r="G10" i="27" s="1"/>
  <c r="G9" i="27" a="1"/>
  <c r="G9" i="27" s="1"/>
  <c r="G8" i="27" a="1"/>
  <c r="G8" i="27" s="1"/>
  <c r="G7" i="27" a="1"/>
  <c r="G7" i="27" s="1"/>
  <c r="G6" i="27" a="1"/>
  <c r="G6" i="27" s="1"/>
  <c r="G5" i="27" a="1"/>
  <c r="G5" i="27" s="1"/>
  <c r="G4" i="27" a="1"/>
  <c r="G4" i="27" s="1"/>
  <c r="G3" i="27" a="1"/>
  <c r="G3" i="27" s="1"/>
  <c r="G2" i="27" a="1"/>
  <c r="G2" i="27" s="1"/>
  <c r="G18" i="28" a="1"/>
  <c r="G18" i="28" s="1"/>
  <c r="G17" i="28" a="1"/>
  <c r="G17" i="28" s="1"/>
  <c r="G16" i="28" a="1"/>
  <c r="G16" i="28" s="1"/>
  <c r="G15" i="28" a="1"/>
  <c r="G15" i="28" s="1"/>
  <c r="G14" i="28" a="1"/>
  <c r="G14" i="28" s="1"/>
  <c r="G13" i="28" a="1"/>
  <c r="G13" i="28" s="1"/>
  <c r="G12" i="28" a="1"/>
  <c r="G12" i="28" s="1"/>
  <c r="G11" i="28" a="1"/>
  <c r="G11" i="28" s="1"/>
  <c r="G10" i="28" a="1"/>
  <c r="G10" i="28" s="1"/>
  <c r="G9" i="28" a="1"/>
  <c r="G9" i="28" s="1"/>
  <c r="G8" i="28" a="1"/>
  <c r="G8" i="28" s="1"/>
  <c r="G7" i="28" a="1"/>
  <c r="G7" i="28" s="1"/>
  <c r="G6" i="28" a="1"/>
  <c r="G6" i="28" s="1"/>
  <c r="G5" i="28" a="1"/>
  <c r="G5" i="28" s="1"/>
  <c r="G4" i="28" a="1"/>
  <c r="G4" i="28" s="1"/>
  <c r="G3" i="28" a="1"/>
  <c r="G3" i="28" s="1"/>
  <c r="G2" i="28" a="1"/>
  <c r="G2" i="28" s="1"/>
  <c r="G49" i="45" a="1"/>
  <c r="G49" i="45" s="1"/>
  <c r="G48" i="45" a="1"/>
  <c r="G48" i="45" s="1"/>
  <c r="G47" i="45" a="1"/>
  <c r="G47" i="45" s="1"/>
  <c r="G46" i="45" a="1"/>
  <c r="G46" i="45" s="1"/>
  <c r="G45" i="45" a="1"/>
  <c r="G45" i="45" s="1"/>
  <c r="G44" i="45" a="1"/>
  <c r="G44" i="45" s="1"/>
  <c r="G43" i="45" a="1"/>
  <c r="G43" i="45" s="1"/>
  <c r="G42" i="45" a="1"/>
  <c r="G42" i="45" s="1"/>
  <c r="G41" i="45" a="1"/>
  <c r="G41" i="45" s="1"/>
  <c r="G40" i="45" a="1"/>
  <c r="G40" i="45" s="1"/>
  <c r="G39" i="45" a="1"/>
  <c r="G39" i="45" s="1"/>
  <c r="G38" i="45" a="1"/>
  <c r="G38" i="45" s="1"/>
  <c r="G37" i="45" a="1"/>
  <c r="G37" i="45" s="1"/>
  <c r="G36" i="45" a="1"/>
  <c r="G36" i="45" s="1"/>
  <c r="G35" i="45" a="1"/>
  <c r="G35" i="45" s="1"/>
  <c r="G34" i="45" a="1"/>
  <c r="G34" i="45" s="1"/>
  <c r="G33" i="45" a="1"/>
  <c r="G33" i="45" s="1"/>
  <c r="G32" i="45" a="1"/>
  <c r="G32" i="45" s="1"/>
  <c r="G31" i="45" a="1"/>
  <c r="G31" i="45" s="1"/>
  <c r="G30" i="45" a="1"/>
  <c r="G30" i="45" s="1"/>
  <c r="G29" i="45" a="1"/>
  <c r="G29" i="45" s="1"/>
  <c r="G28" i="45" a="1"/>
  <c r="G28" i="45" s="1"/>
  <c r="G27" i="45" a="1"/>
  <c r="G27" i="45" s="1"/>
  <c r="G26" i="45" a="1"/>
  <c r="G26" i="45" s="1"/>
  <c r="G25" i="45" a="1"/>
  <c r="G25" i="45" s="1"/>
  <c r="G24" i="45" a="1"/>
  <c r="G24" i="45" s="1"/>
  <c r="G23" i="45" a="1"/>
  <c r="G23" i="45" s="1"/>
  <c r="G22" i="45" a="1"/>
  <c r="G22" i="45" s="1"/>
  <c r="G21" i="45" a="1"/>
  <c r="G21" i="45" s="1"/>
  <c r="G20" i="45" a="1"/>
  <c r="G20" i="45" s="1"/>
  <c r="G19" i="45" a="1"/>
  <c r="G19" i="45" s="1"/>
  <c r="G18" i="45" a="1"/>
  <c r="G18" i="45" s="1"/>
  <c r="G17" i="45" a="1"/>
  <c r="G17" i="45" s="1"/>
  <c r="G16" i="45" a="1"/>
  <c r="G16" i="45" s="1"/>
  <c r="G15" i="45" a="1"/>
  <c r="G15" i="45" s="1"/>
  <c r="G14" i="45" a="1"/>
  <c r="G14" i="45" s="1"/>
  <c r="G13" i="45" a="1"/>
  <c r="G13" i="45" s="1"/>
  <c r="G12" i="45" a="1"/>
  <c r="G12" i="45" s="1"/>
  <c r="G11" i="45" a="1"/>
  <c r="G11" i="45" s="1"/>
  <c r="G10" i="45" a="1"/>
  <c r="G10" i="45" s="1"/>
  <c r="G9" i="45" a="1"/>
  <c r="G9" i="45" s="1"/>
  <c r="G8" i="45" a="1"/>
  <c r="G8" i="45" s="1"/>
  <c r="G7" i="45" a="1"/>
  <c r="G7" i="45" s="1"/>
  <c r="G6" i="45" a="1"/>
  <c r="G6" i="45" s="1"/>
  <c r="G5" i="45" a="1"/>
  <c r="G5" i="45" s="1"/>
  <c r="G4" i="45" a="1"/>
  <c r="G4" i="45" s="1"/>
  <c r="G3" i="45" a="1"/>
  <c r="G3" i="45" s="1"/>
  <c r="G2" i="45" a="1"/>
  <c r="G2" i="45" s="1"/>
  <c r="G362" i="45" l="1"/>
  <c r="G361" i="45"/>
  <c r="G360" i="45"/>
  <c r="G359" i="45"/>
  <c r="G358" i="45"/>
  <c r="G357" i="45"/>
  <c r="G356" i="45"/>
  <c r="G355" i="45"/>
  <c r="G354" i="45"/>
  <c r="G353" i="45"/>
  <c r="G352" i="45"/>
  <c r="G351" i="45"/>
  <c r="G350" i="45"/>
  <c r="G349" i="45"/>
  <c r="G348" i="45"/>
  <c r="G347" i="45"/>
  <c r="G346" i="45"/>
  <c r="G345" i="45"/>
  <c r="G344" i="45"/>
  <c r="G343" i="45"/>
  <c r="G342" i="45"/>
  <c r="G341" i="45"/>
  <c r="G340" i="45"/>
  <c r="G339" i="45"/>
  <c r="G338" i="45"/>
  <c r="G337" i="45"/>
  <c r="G336" i="45"/>
  <c r="G335" i="45"/>
  <c r="G334" i="45"/>
  <c r="G333" i="45"/>
  <c r="G332" i="45"/>
  <c r="G331" i="45"/>
  <c r="G330" i="45"/>
  <c r="G329" i="45"/>
  <c r="G328" i="45"/>
  <c r="G327" i="45"/>
  <c r="G326" i="45"/>
  <c r="G325" i="45"/>
  <c r="G324" i="45"/>
  <c r="G323" i="45"/>
  <c r="G322" i="45"/>
  <c r="G321" i="45"/>
  <c r="G320" i="45"/>
  <c r="G319" i="45"/>
  <c r="G318" i="45"/>
  <c r="G317" i="45"/>
  <c r="G316" i="45"/>
  <c r="G315" i="45"/>
  <c r="G314" i="45"/>
  <c r="G313" i="45"/>
  <c r="G312" i="45"/>
  <c r="G311" i="45"/>
  <c r="G310" i="45"/>
  <c r="G309" i="45"/>
  <c r="G308" i="45"/>
  <c r="G307" i="45"/>
  <c r="G306" i="45"/>
  <c r="G305" i="45"/>
  <c r="G304" i="45"/>
  <c r="G303" i="45"/>
  <c r="G302" i="45"/>
  <c r="G301" i="45"/>
  <c r="G300" i="45"/>
  <c r="G299" i="45"/>
  <c r="G298" i="45"/>
  <c r="G297" i="45"/>
  <c r="G296" i="45"/>
  <c r="G295" i="45"/>
  <c r="G294" i="45"/>
  <c r="G293" i="45"/>
  <c r="G292" i="45"/>
  <c r="G291" i="45"/>
  <c r="G290" i="45"/>
  <c r="G289" i="45"/>
  <c r="G288" i="45"/>
  <c r="G287" i="45"/>
  <c r="G286" i="45"/>
  <c r="G285" i="45"/>
  <c r="G284" i="45"/>
  <c r="G283" i="45"/>
  <c r="G282" i="45"/>
  <c r="G281" i="45"/>
  <c r="G280" i="45"/>
  <c r="G279" i="45"/>
  <c r="G278" i="45"/>
  <c r="G277" i="45"/>
  <c r="G276" i="45"/>
  <c r="G275" i="45"/>
  <c r="G274" i="45"/>
  <c r="G273" i="45"/>
  <c r="G272" i="45"/>
  <c r="G271" i="45"/>
  <c r="G270" i="45"/>
  <c r="G269" i="45"/>
  <c r="G268" i="45"/>
  <c r="G267" i="45"/>
  <c r="G266" i="45"/>
  <c r="G265" i="45"/>
  <c r="G264" i="45"/>
  <c r="G263" i="45"/>
  <c r="G262" i="45"/>
  <c r="G261" i="45"/>
  <c r="G260" i="45"/>
  <c r="G259" i="45"/>
  <c r="G258" i="45"/>
  <c r="G257" i="45"/>
  <c r="G256" i="4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<sst xmlns="http://schemas.openxmlformats.org/spreadsheetml/2006/main" count="19513" uniqueCount="9623">
  <si>
    <t>AK - Alaska</t>
  </si>
  <si>
    <t>AL - Alabama</t>
  </si>
  <si>
    <t>AR - Arkansas</t>
  </si>
  <si>
    <t>AS - American Samoa</t>
  </si>
  <si>
    <t>AZ - Arizona</t>
  </si>
  <si>
    <t>CA - California</t>
  </si>
  <si>
    <t>CO - Colorado</t>
  </si>
  <si>
    <t>CT - Connecticut</t>
  </si>
  <si>
    <t>DC - Washington D.C.</t>
  </si>
  <si>
    <t>DE - Delaware</t>
  </si>
  <si>
    <t>FL - Florida</t>
  </si>
  <si>
    <t>GA - Georgia</t>
  </si>
  <si>
    <t>GU - Guam</t>
  </si>
  <si>
    <t>HI - Hawaii</t>
  </si>
  <si>
    <t>IA - Iowa</t>
  </si>
  <si>
    <t>ID - Idaho</t>
  </si>
  <si>
    <t>IL - Illinois</t>
  </si>
  <si>
    <t>IN - Indiana</t>
  </si>
  <si>
    <t>KS - Kansas</t>
  </si>
  <si>
    <t>KY - Kentucky</t>
  </si>
  <si>
    <t>LA - Louisiana</t>
  </si>
  <si>
    <t>MA - Massachusetts</t>
  </si>
  <si>
    <t>MD - Maryland</t>
  </si>
  <si>
    <t>ME - Maine</t>
  </si>
  <si>
    <t>MI - Michigan</t>
  </si>
  <si>
    <t>MN - Minnesota</t>
  </si>
  <si>
    <t>MO - Missouri</t>
  </si>
  <si>
    <t>MP - Northern Mariana Islands</t>
  </si>
  <si>
    <t>MS - Mississippi</t>
  </si>
  <si>
    <t>MT - Montana</t>
  </si>
  <si>
    <t>NC - North Carolina</t>
  </si>
  <si>
    <t>ND - North Dakota</t>
  </si>
  <si>
    <t>NE - Nebraska</t>
  </si>
  <si>
    <t>NH - New Hampshire</t>
  </si>
  <si>
    <t>NJ - New Jersey</t>
  </si>
  <si>
    <t>NM - New Mexico</t>
  </si>
  <si>
    <t>NV - Nevada</t>
  </si>
  <si>
    <t>NY - New York</t>
  </si>
  <si>
    <t>OH - Ohio</t>
  </si>
  <si>
    <t>OK - Oklahoma</t>
  </si>
  <si>
    <t>OR - Oregon</t>
  </si>
  <si>
    <t>PA - Pennsylvania</t>
  </si>
  <si>
    <t>PR - Puerto Rico</t>
  </si>
  <si>
    <t>RI - Rhode Island</t>
  </si>
  <si>
    <t>SC - South Carolina</t>
  </si>
  <si>
    <t>SD - South Dakota</t>
  </si>
  <si>
    <t>TN - Tennessee</t>
  </si>
  <si>
    <t>TX - Texas</t>
  </si>
  <si>
    <t>UT - Utah</t>
  </si>
  <si>
    <t>VA - Virginia</t>
  </si>
  <si>
    <t>VI - Virgin Islands</t>
  </si>
  <si>
    <t>VT - Vermont</t>
  </si>
  <si>
    <t>WA - Washington</t>
  </si>
  <si>
    <t>WI - Wisconsin</t>
  </si>
  <si>
    <t>WV - West Virginia</t>
  </si>
  <si>
    <t>WY - Wyoming</t>
  </si>
  <si>
    <t>T O T A L</t>
  </si>
  <si>
    <t>Hospital Name</t>
  </si>
  <si>
    <t>City</t>
  </si>
  <si>
    <t>Alaska Native Medical Center</t>
  </si>
  <si>
    <t>Anchorage</t>
  </si>
  <si>
    <t>Alaska Regional Hospital</t>
  </si>
  <si>
    <t>Bartlett Regional Hospital</t>
  </si>
  <si>
    <t>Juneau</t>
  </si>
  <si>
    <t>Central Peninsula General Hospital</t>
  </si>
  <si>
    <t>Soldotna</t>
  </si>
  <si>
    <t>Foundation Health Partners Fairbanks Memorial Hospital</t>
  </si>
  <si>
    <t>Fairbanks</t>
  </si>
  <si>
    <t>JBER Elmendorf Air Force Base Hospital</t>
  </si>
  <si>
    <t>Elmendorf Air Force Base</t>
  </si>
  <si>
    <t>Mat-Su Regional Medical Center</t>
  </si>
  <si>
    <t>Palmer</t>
  </si>
  <si>
    <t>Providence Alaska Medical Center</t>
  </si>
  <si>
    <t>The Children's Hospital at Providence</t>
  </si>
  <si>
    <t>Yukon-Kuskokwim Delta Regional Hospital</t>
  </si>
  <si>
    <t>Bethel</t>
  </si>
  <si>
    <t>Floyd Cherokee Medical Center</t>
  </si>
  <si>
    <t>Centre</t>
  </si>
  <si>
    <t>RMC Stringfellow Memorial Hospital</t>
  </si>
  <si>
    <t>Anniston</t>
  </si>
  <si>
    <t>Andalusia Health</t>
  </si>
  <si>
    <t>Andalusia</t>
  </si>
  <si>
    <t>Athens-Limestone Hospital</t>
  </si>
  <si>
    <t>Athens</t>
  </si>
  <si>
    <t>Atmore Community Hospital</t>
  </si>
  <si>
    <t>Atmore</t>
  </si>
  <si>
    <t>Baptist Medical Center East</t>
  </si>
  <si>
    <t>Montgomery</t>
  </si>
  <si>
    <t>Baptist Medical Center South</t>
  </si>
  <si>
    <t>Bibb Medical Center</t>
  </si>
  <si>
    <t>Centreville</t>
  </si>
  <si>
    <t>Birmingham VA Medical Center</t>
  </si>
  <si>
    <t>Birmingham</t>
  </si>
  <si>
    <t>Brookwood Baptist Medical Center</t>
  </si>
  <si>
    <t>Bryan W. Whitfield Memorial Hospital</t>
  </si>
  <si>
    <t>Demopolis</t>
  </si>
  <si>
    <t>Bullock County Hospital</t>
  </si>
  <si>
    <t>Union Springs</t>
  </si>
  <si>
    <t>Central Alabama Veterans Health Care System - East Campus</t>
  </si>
  <si>
    <t>Tuskegee</t>
  </si>
  <si>
    <t>Central Alabama Veterans Health Care System - West Campus</t>
  </si>
  <si>
    <t>Citizens Baptist Medical Center</t>
  </si>
  <si>
    <t>Talladega</t>
  </si>
  <si>
    <t>Clay County Hospital</t>
  </si>
  <si>
    <t>Ashland</t>
  </si>
  <si>
    <t>Community Hospital</t>
  </si>
  <si>
    <t>Tallassee</t>
  </si>
  <si>
    <t>Coosa Valley Medical Center</t>
  </si>
  <si>
    <t>Sylacauga</t>
  </si>
  <si>
    <t>Crenshaw Community Hospital</t>
  </si>
  <si>
    <t>Luverne</t>
  </si>
  <si>
    <t>Crestwood Medical Center</t>
  </si>
  <si>
    <t>Huntsville</t>
  </si>
  <si>
    <t>Cullman Regional Medical Center</t>
  </si>
  <si>
    <t>Cullman</t>
  </si>
  <si>
    <t>D.W. McMillan Memorial Hospital</t>
  </si>
  <si>
    <t>Brewton</t>
  </si>
  <si>
    <t>Dale Medical Center</t>
  </si>
  <si>
    <t>Ozark</t>
  </si>
  <si>
    <t>DCH Regional Medical Center</t>
  </si>
  <si>
    <t>Tuscaloosa</t>
  </si>
  <si>
    <t>Decatur Morgan Hospital</t>
  </si>
  <si>
    <t>Decatur</t>
  </si>
  <si>
    <t>Decatur Morgan Hospital-Parkway Campus</t>
  </si>
  <si>
    <t>DeKalb Regional Medical Center</t>
  </si>
  <si>
    <t>Fort Payne</t>
  </si>
  <si>
    <t>East Alabama Medical Center</t>
  </si>
  <si>
    <t>Opelika</t>
  </si>
  <si>
    <t>East Alabama Medical Center - Lanier</t>
  </si>
  <si>
    <t>Valley</t>
  </si>
  <si>
    <t>Elmore Community Hospital</t>
  </si>
  <si>
    <t>Wetumpka</t>
  </si>
  <si>
    <t>Evergreen Medical Center</t>
  </si>
  <si>
    <t>Evergreen</t>
  </si>
  <si>
    <t>Fayette Medical Center</t>
  </si>
  <si>
    <t>Fayette</t>
  </si>
  <si>
    <t>Flowers Hospital</t>
  </si>
  <si>
    <t>Dothan</t>
  </si>
  <si>
    <t>Gadsden Regional Medical Center</t>
  </si>
  <si>
    <t>Gadsden</t>
  </si>
  <si>
    <t>Grandview Medical Center</t>
  </si>
  <si>
    <t>Greene County Health System</t>
  </si>
  <si>
    <t>Eutaw</t>
  </si>
  <si>
    <t>Grove Hill Memorial Hospital</t>
  </si>
  <si>
    <t>Grove Hill</t>
  </si>
  <si>
    <t>Hale County Hospital</t>
  </si>
  <si>
    <t>Greensboro</t>
  </si>
  <si>
    <t>Helen Keller Hospital</t>
  </si>
  <si>
    <t>Sheffield</t>
  </si>
  <si>
    <t>Highlands Medical Center</t>
  </si>
  <si>
    <t>Scottsboro</t>
  </si>
  <si>
    <t>Hill Hospital Of Sumter County</t>
  </si>
  <si>
    <t>York</t>
  </si>
  <si>
    <t>Huntsville Hospital</t>
  </si>
  <si>
    <t>Jack Hughston Memorial Hospital</t>
  </si>
  <si>
    <t>Phenix City</t>
  </si>
  <si>
    <t>Jackson Hospital</t>
  </si>
  <si>
    <t>Jackson Medical Center</t>
  </si>
  <si>
    <t>Jackson</t>
  </si>
  <si>
    <t>John Paul Jones Hospital</t>
  </si>
  <si>
    <t>Camden</t>
  </si>
  <si>
    <t>Lake Martin Community Hospital</t>
  </si>
  <si>
    <t>Dadeville</t>
  </si>
  <si>
    <t>Lakeland Community Hospital</t>
  </si>
  <si>
    <t>Haleyville</t>
  </si>
  <si>
    <t>Lawrence Medical Center</t>
  </si>
  <si>
    <t>Moulton</t>
  </si>
  <si>
    <t>Madison Hospital</t>
  </si>
  <si>
    <t>Madison</t>
  </si>
  <si>
    <t>Marshall Medical Center North</t>
  </si>
  <si>
    <t>Guntersville</t>
  </si>
  <si>
    <t>Marshall Medical Center South</t>
  </si>
  <si>
    <t>Boaz</t>
  </si>
  <si>
    <t>Medical Center Barbour</t>
  </si>
  <si>
    <t>Eufaula</t>
  </si>
  <si>
    <t>Medical Center Enterprise</t>
  </si>
  <si>
    <t>Enterprise</t>
  </si>
  <si>
    <t>Medical West</t>
  </si>
  <si>
    <t>Bessemer</t>
  </si>
  <si>
    <t>Mizell Memorial Hospital</t>
  </si>
  <si>
    <t>Opp</t>
  </si>
  <si>
    <t>Mobile Infirmary Medical Center</t>
  </si>
  <si>
    <t>Mobile</t>
  </si>
  <si>
    <t>Monroe County Hospital</t>
  </si>
  <si>
    <t>Monroeville</t>
  </si>
  <si>
    <t>North Alabama Medical Center</t>
  </si>
  <si>
    <t>Florence</t>
  </si>
  <si>
    <t>North Baldwin Infirmary</t>
  </si>
  <si>
    <t>Bay Minette</t>
  </si>
  <si>
    <t>North Mississippi Medical Center - Hamilton</t>
  </si>
  <si>
    <t>Hamilton</t>
  </si>
  <si>
    <t>Northport Medical Center</t>
  </si>
  <si>
    <t>Northport</t>
  </si>
  <si>
    <t>Northwest Medical Center</t>
  </si>
  <si>
    <t>Winfield</t>
  </si>
  <si>
    <t>Prattville Baptist Hospital</t>
  </si>
  <si>
    <t>Prattville</t>
  </si>
  <si>
    <t>Princeton Baptist Medical Center</t>
  </si>
  <si>
    <t>Providence Hospital</t>
  </si>
  <si>
    <t>Regional Medical Center of Central Alabama</t>
  </si>
  <si>
    <t>Greenville</t>
  </si>
  <si>
    <t>Riverview Regional Medical Center</t>
  </si>
  <si>
    <t>RMC Anniston</t>
  </si>
  <si>
    <t>Russell Medical Center</t>
  </si>
  <si>
    <t>Alexander City</t>
  </si>
  <si>
    <t>Russellville Hospital</t>
  </si>
  <si>
    <t>Russellville</t>
  </si>
  <si>
    <t>Saint Vincent's Birmingham</t>
  </si>
  <si>
    <t>Saint Vincent's Chilton</t>
  </si>
  <si>
    <t>Clanton</t>
  </si>
  <si>
    <t>Saint Vincent's East</t>
  </si>
  <si>
    <t>Saint Vincent's Saint Clair</t>
  </si>
  <si>
    <t>Pell City</t>
  </si>
  <si>
    <t>Shelby Baptist Medical Center</t>
  </si>
  <si>
    <t>Alabaster</t>
  </si>
  <si>
    <t>Shoals Hospital</t>
  </si>
  <si>
    <t>Muscle Shoals</t>
  </si>
  <si>
    <t>South Baldwin Regional Medical Center</t>
  </si>
  <si>
    <t>Foley</t>
  </si>
  <si>
    <t>Southeast Health Medical Center</t>
  </si>
  <si>
    <t>Springhill Medical Center</t>
  </si>
  <si>
    <t>Thomas Hospital</t>
  </si>
  <si>
    <t>Fairhope</t>
  </si>
  <si>
    <t>Troy Regional Medical Center</t>
  </si>
  <si>
    <t>Troy</t>
  </si>
  <si>
    <t>UAB Callahan Eye Hospital</t>
  </si>
  <si>
    <t>UAB Hospital</t>
  </si>
  <si>
    <t>UAB Hospital Highlands</t>
  </si>
  <si>
    <t>USA Health University Hospital</t>
  </si>
  <si>
    <t>Vaughan Regional Medical Center</t>
  </si>
  <si>
    <t>Selma</t>
  </si>
  <si>
    <t>Walker Baptist Medical Center</t>
  </si>
  <si>
    <t>Jasper</t>
  </si>
  <si>
    <t>Wiregrass Medical Center</t>
  </si>
  <si>
    <t>Geneva</t>
  </si>
  <si>
    <t>Northwest Health Physicians' Specialty Hospital</t>
  </si>
  <si>
    <t>Fayetteville</t>
  </si>
  <si>
    <t>Unity Health - Harris Medical Center</t>
  </si>
  <si>
    <t>Newport</t>
  </si>
  <si>
    <t>Arkansas Continued Care Hospital of Jonesboro</t>
  </si>
  <si>
    <t>Jonesboro</t>
  </si>
  <si>
    <t>Arkansas Heart Hospital</t>
  </si>
  <si>
    <t>Little Rock</t>
  </si>
  <si>
    <t>Arkansas Methodist Medical Center</t>
  </si>
  <si>
    <t>Paragould</t>
  </si>
  <si>
    <t>Arkansas Surgical Hospital</t>
  </si>
  <si>
    <t>North Little Rock</t>
  </si>
  <si>
    <t>Baptist Health - Little Rock</t>
  </si>
  <si>
    <t>Baptist Health - North Little Rock</t>
  </si>
  <si>
    <t>Baptist Health - Stuttgart</t>
  </si>
  <si>
    <t>Stuttgart</t>
  </si>
  <si>
    <t>Baptist Health Medical Center Conway</t>
  </si>
  <si>
    <t>Conway</t>
  </si>
  <si>
    <t>Baptist Health Medical Center-Hot Spring County</t>
  </si>
  <si>
    <t>Malvern</t>
  </si>
  <si>
    <t>Baptist Health-Fort Smith</t>
  </si>
  <si>
    <t>Fort Smith</t>
  </si>
  <si>
    <t>Baptist Health-Van Buren</t>
  </si>
  <si>
    <t>Van Buren</t>
  </si>
  <si>
    <t>Baptist Memorial Hospital-Crittenden</t>
  </si>
  <si>
    <t>West Memphis</t>
  </si>
  <si>
    <t>Baxter Regional Medical Center</t>
  </si>
  <si>
    <t>Mountain Home</t>
  </si>
  <si>
    <t>Chambers Memorial Hospital</t>
  </si>
  <si>
    <t>Danville</t>
  </si>
  <si>
    <t>CHI St. Vincent Hot Springs</t>
  </si>
  <si>
    <t>Hot Springs</t>
  </si>
  <si>
    <t>CHI St. Vincent Infirmary</t>
  </si>
  <si>
    <t>CHI St. Vincent North</t>
  </si>
  <si>
    <t>Sherwood</t>
  </si>
  <si>
    <t>Conway Regional Medical Center</t>
  </si>
  <si>
    <t>Drew Memorial Hospital</t>
  </si>
  <si>
    <t>Monticello</t>
  </si>
  <si>
    <t>Five Rivers Medical Center</t>
  </si>
  <si>
    <t>Pocahontas</t>
  </si>
  <si>
    <t>Forrest City Medical Center</t>
  </si>
  <si>
    <t>Forrest City</t>
  </si>
  <si>
    <t>Great River Medical Center</t>
  </si>
  <si>
    <t>Blytheville</t>
  </si>
  <si>
    <t>Helena Regional Medical Center</t>
  </si>
  <si>
    <t>Helena</t>
  </si>
  <si>
    <t>Jefferson Regional Medical Center</t>
  </si>
  <si>
    <t>Pine Bluff</t>
  </si>
  <si>
    <t>John L. McClellan Memorial Veterans Hospital</t>
  </si>
  <si>
    <t>Johnson Regional Medical Center</t>
  </si>
  <si>
    <t>Clarksville</t>
  </si>
  <si>
    <t>Levi Hospital</t>
  </si>
  <si>
    <t>Hot Springs National Park</t>
  </si>
  <si>
    <t>Magnolia Regional Medical Center</t>
  </si>
  <si>
    <t>Magnolia</t>
  </si>
  <si>
    <t>Medical Center of South Arkansas</t>
  </si>
  <si>
    <t>El Dorado</t>
  </si>
  <si>
    <t>Mena Regional Health System</t>
  </si>
  <si>
    <t>Mena</t>
  </si>
  <si>
    <t>Mercy Hospital Fort Smith</t>
  </si>
  <si>
    <t>Mercy Hospital Northwest Arkansas</t>
  </si>
  <si>
    <t>Rogers</t>
  </si>
  <si>
    <t>Mercy Orthopedic Hospital Fort Smith</t>
  </si>
  <si>
    <t>National Park Medical Center</t>
  </si>
  <si>
    <t>NEA Baptist Memorial Hospital</t>
  </si>
  <si>
    <t>North Arkansas Regional Medical Center</t>
  </si>
  <si>
    <t>Harrison</t>
  </si>
  <si>
    <t>Northwest Medical Center - Bentonville</t>
  </si>
  <si>
    <t>Bentonville</t>
  </si>
  <si>
    <t>Northwest Medical Center - Springdale</t>
  </si>
  <si>
    <t>Springdale</t>
  </si>
  <si>
    <t>Ouachita County Medical Center</t>
  </si>
  <si>
    <t>Saint Mary's Regional Health System</t>
  </si>
  <si>
    <t>Saline Memorial Hospital</t>
  </si>
  <si>
    <t>Benton</t>
  </si>
  <si>
    <t>Siloam Springs Regional Hospital</t>
  </si>
  <si>
    <t>Siloam Springs</t>
  </si>
  <si>
    <t>St. Bernards Medical Center</t>
  </si>
  <si>
    <t>Unity Health White County Medical Center</t>
  </si>
  <si>
    <t>Searcy</t>
  </si>
  <si>
    <t>University of Arkansas for Medical Sciences (UAMS) Medical Center</t>
  </si>
  <si>
    <t>Veterans Health Care System of the Ozarks</t>
  </si>
  <si>
    <t>Wadley Regional Medical Center at Hope</t>
  </si>
  <si>
    <t>Hope</t>
  </si>
  <si>
    <t>Washington Regional Medical Center</t>
  </si>
  <si>
    <t>White River Medical Center</t>
  </si>
  <si>
    <t>Batesville</t>
  </si>
  <si>
    <t>Willow Creek Women's Hospital</t>
  </si>
  <si>
    <t>Johnson</t>
  </si>
  <si>
    <t>Abrazo Arizona Heart Hospital</t>
  </si>
  <si>
    <t>Phoenix</t>
  </si>
  <si>
    <t>Abrazo Arrowhead Hospital</t>
  </si>
  <si>
    <t>Glendale</t>
  </si>
  <si>
    <t>Abrazo Central Campus</t>
  </si>
  <si>
    <t>Abrazo Mesa Hospital</t>
  </si>
  <si>
    <t>Mesa</t>
  </si>
  <si>
    <t>Abrazo Scottsdale Campus</t>
  </si>
  <si>
    <t>Abrazo West Campus</t>
  </si>
  <si>
    <t>Goodyear</t>
  </si>
  <si>
    <t>Arizona Specialty Hospital</t>
  </si>
  <si>
    <t>Chandler</t>
  </si>
  <si>
    <t>Arizona Spine and Joint Hospital</t>
  </si>
  <si>
    <t>Banner - University Medical Center Tucson</t>
  </si>
  <si>
    <t>Tucson</t>
  </si>
  <si>
    <t>Banner - University Medical Center Phoenix</t>
  </si>
  <si>
    <t>Banner - University Medical Center South Campus</t>
  </si>
  <si>
    <t>Banner Baywood Medical Center</t>
  </si>
  <si>
    <t>Banner Boswell Medical Center</t>
  </si>
  <si>
    <t>Sun City</t>
  </si>
  <si>
    <t>Banner Casa Grande Medical Center</t>
  </si>
  <si>
    <t>Casa Grande</t>
  </si>
  <si>
    <t>Banner Del E. Webb Medical Center</t>
  </si>
  <si>
    <t>Sun City West</t>
  </si>
  <si>
    <t>Banner Desert Medical Center</t>
  </si>
  <si>
    <t>Banner Estrella Medical Center</t>
  </si>
  <si>
    <t>Banner Gateway Medical Center</t>
  </si>
  <si>
    <t>Gilbert</t>
  </si>
  <si>
    <t>Banner Goldfield Medical Center</t>
  </si>
  <si>
    <t>Apache Junction</t>
  </si>
  <si>
    <t>Banner Heart Hospital</t>
  </si>
  <si>
    <t>Banner Ironwood Medical Center</t>
  </si>
  <si>
    <t>Queen Creek</t>
  </si>
  <si>
    <t>Banner Thunderbird Medical Center</t>
  </si>
  <si>
    <t>Cancer Treatment Centers of America - Western Regional Medical Center</t>
  </si>
  <si>
    <t>Cancer Treatment Centers of America Phoenix</t>
  </si>
  <si>
    <t>Canyon Vista Medical Center</t>
  </si>
  <si>
    <t>Sierra Vista</t>
  </si>
  <si>
    <t>Carondelet Heart &amp; Vascular Institute</t>
  </si>
  <si>
    <t>Chandler Regional Medical Center</t>
  </si>
  <si>
    <t>Chinle Comprehensive Health Care Facility</t>
  </si>
  <si>
    <t>Chinle</t>
  </si>
  <si>
    <t>Dignity Health Arizona General Hospital Laveen</t>
  </si>
  <si>
    <t>Laveen</t>
  </si>
  <si>
    <t>Dignity Health Arizona General Hospital Mesa</t>
  </si>
  <si>
    <t>Flagstaff Medical Center</t>
  </si>
  <si>
    <t>Flagstaff</t>
  </si>
  <si>
    <t>Florence Hospital</t>
  </si>
  <si>
    <t>Havasu Regional Medical Center</t>
  </si>
  <si>
    <t>Lake Havasu City</t>
  </si>
  <si>
    <t>HonorHealth Deer Valley Medical Center</t>
  </si>
  <si>
    <t>HonorHealth John C. Lincoln Medical Center</t>
  </si>
  <si>
    <t>HonorHealth Scottsdale Osborn Medical Center</t>
  </si>
  <si>
    <t>Scottsdale</t>
  </si>
  <si>
    <t>HonorHealth Scottsdale Shea Medical Center</t>
  </si>
  <si>
    <t>HonorHealth Scottsdale Thompson Peak Medical Center</t>
  </si>
  <si>
    <t>Kingman Regional Medical Center</t>
  </si>
  <si>
    <t>Kingman</t>
  </si>
  <si>
    <t>Mayo Clinic Hospital</t>
  </si>
  <si>
    <t>Mercy Gilbert Medical Center</t>
  </si>
  <si>
    <t>Mount Graham Regional Medical Center</t>
  </si>
  <si>
    <t>Safford</t>
  </si>
  <si>
    <t>Mountain Vista Medical Center</t>
  </si>
  <si>
    <t>Northern Arizona VA Health Care System</t>
  </si>
  <si>
    <t>Prescott</t>
  </si>
  <si>
    <t>OASIS Hospital</t>
  </si>
  <si>
    <t>Oro Valley Hospital</t>
  </si>
  <si>
    <t>Phoenix Indian Medical Center</t>
  </si>
  <si>
    <t>Phoenix VA Health Care System</t>
  </si>
  <si>
    <t>Saint Joseph's Hospital</t>
  </si>
  <si>
    <t>Saint Joseph's Hospital and Medical Center</t>
  </si>
  <si>
    <t>Saint Joseph's Westgate Medical Center</t>
  </si>
  <si>
    <t>Saint Mary's Hospital</t>
  </si>
  <si>
    <t>San Carlos Apache Healthcare</t>
  </si>
  <si>
    <t>Peridot</t>
  </si>
  <si>
    <t>Santa Cruz Valley Regional Hospital</t>
  </si>
  <si>
    <t>Green Valley</t>
  </si>
  <si>
    <t>Sells Indian Hospital</t>
  </si>
  <si>
    <t>Sells</t>
  </si>
  <si>
    <t>Southern Arizona VA Health Care System</t>
  </si>
  <si>
    <t>Summit Healthcare Regional Medical Center</t>
  </si>
  <si>
    <t>Show Low</t>
  </si>
  <si>
    <t>Tempe Saint Luke's Hospital</t>
  </si>
  <si>
    <t>Tempe</t>
  </si>
  <si>
    <t>The CORE Institute Specialty Hospital</t>
  </si>
  <si>
    <t>Tsehootsooi Medical Center</t>
  </si>
  <si>
    <t>Fort Defiance</t>
  </si>
  <si>
    <t>Tuba City Indian Medical Center</t>
  </si>
  <si>
    <t>Tuba City</t>
  </si>
  <si>
    <t>Tucson Medical Center</t>
  </si>
  <si>
    <t>Valley View Medical Center</t>
  </si>
  <si>
    <t>Fort Mohave</t>
  </si>
  <si>
    <t>Valleywise Behavioral Health Center-Maryvale</t>
  </si>
  <si>
    <t>Valleywise Health Medical Center</t>
  </si>
  <si>
    <t>Verde Valley Medical Center</t>
  </si>
  <si>
    <t>Cottonwood</t>
  </si>
  <si>
    <t>Verde Valley Medical Center-Sedona Campus</t>
  </si>
  <si>
    <t>Sedona</t>
  </si>
  <si>
    <t>Western Arizona Regional Medical Center</t>
  </si>
  <si>
    <t>Bullhead City</t>
  </si>
  <si>
    <t>Whiteriver Indian Hospital</t>
  </si>
  <si>
    <t>Whiteriver</t>
  </si>
  <si>
    <t>Yavapai Regional Medical Center - East</t>
  </si>
  <si>
    <t>Prescott Valley</t>
  </si>
  <si>
    <t>Yavapai Regional Medical Center - West</t>
  </si>
  <si>
    <t>Yuma Regional Medical Center</t>
  </si>
  <si>
    <t>Yuma</t>
  </si>
  <si>
    <t>Adventist Health Simi Valley</t>
  </si>
  <si>
    <t>Simi Valley</t>
  </si>
  <si>
    <t>Adventist Ukiah Valley</t>
  </si>
  <si>
    <t>Ukiah</t>
  </si>
  <si>
    <t>Downey Medical Center</t>
  </si>
  <si>
    <t>Downey</t>
  </si>
  <si>
    <t>MarinHealth Medical Center</t>
  </si>
  <si>
    <t>Greenbrae</t>
  </si>
  <si>
    <t>Providence Saint John's Health Center</t>
  </si>
  <si>
    <t>Santa Monica</t>
  </si>
  <si>
    <t>Woodland Hills Medical Center</t>
  </si>
  <si>
    <t>Woodland Hills</t>
  </si>
  <si>
    <t>60th Medical Group - David Grant USAF Medical Center</t>
  </si>
  <si>
    <t>Travis Air Force Base</t>
  </si>
  <si>
    <t>Adventist Health and Rideout</t>
  </si>
  <si>
    <t>Marysville</t>
  </si>
  <si>
    <t>Adventist Health Bakersfield</t>
  </si>
  <si>
    <t>Bakersfield</t>
  </si>
  <si>
    <t>Adventist Health Glendale</t>
  </si>
  <si>
    <t>Adventist Health Hanford</t>
  </si>
  <si>
    <t>Hanford</t>
  </si>
  <si>
    <t>Adventist Health Lodi Memorial</t>
  </si>
  <si>
    <t>Lodi</t>
  </si>
  <si>
    <t>Adventist Health Reedley</t>
  </si>
  <si>
    <t>Reedley</t>
  </si>
  <si>
    <t>Adventist Health Saint Helena</t>
  </si>
  <si>
    <t>Saint Helena</t>
  </si>
  <si>
    <t>Adventist Health Selma</t>
  </si>
  <si>
    <t>Adventist Health Sonora</t>
  </si>
  <si>
    <t>Sonora</t>
  </si>
  <si>
    <t>Adventist Health Tulare</t>
  </si>
  <si>
    <t>Tulare</t>
  </si>
  <si>
    <t>Adventist Health Vallejo</t>
  </si>
  <si>
    <t>Vallejo</t>
  </si>
  <si>
    <t>Adventist Health White Memorial</t>
  </si>
  <si>
    <t>Los Angeles</t>
  </si>
  <si>
    <t>AHMC Anaheim Regional Medical Center</t>
  </si>
  <si>
    <t>Anaheim</t>
  </si>
  <si>
    <t>Alameda Hospital</t>
  </si>
  <si>
    <t>Alameda</t>
  </si>
  <si>
    <t>Alhambra Hospital Medical Center</t>
  </si>
  <si>
    <t>Alhambra</t>
  </si>
  <si>
    <t>Alta Bates Summit Medical Center</t>
  </si>
  <si>
    <t>Oakland</t>
  </si>
  <si>
    <t>Alta Bates Summit Medical Center Herrick Campus</t>
  </si>
  <si>
    <t>Berkeley</t>
  </si>
  <si>
    <t>Alta Bates Summit Medical Center Alta Bates Campus</t>
  </si>
  <si>
    <t>Alvarado Hospital Medical Center</t>
  </si>
  <si>
    <t>San Diego</t>
  </si>
  <si>
    <t>Anaheim Global Medical Center</t>
  </si>
  <si>
    <t>Anaheim Medical Center</t>
  </si>
  <si>
    <t>Antelope Valley Hospital</t>
  </si>
  <si>
    <t>Lancaster</t>
  </si>
  <si>
    <t>Antioch Medical Center</t>
  </si>
  <si>
    <t>Antioch</t>
  </si>
  <si>
    <t>Arrowhead Regional Medical Center</t>
  </si>
  <si>
    <t>Colton</t>
  </si>
  <si>
    <t>Arroyo Grande Community Hospital</t>
  </si>
  <si>
    <t>Arroyo Grande</t>
  </si>
  <si>
    <t>Bakersfield Heart Hospital</t>
  </si>
  <si>
    <t>Bakersfield Memorial Hospital</t>
  </si>
  <si>
    <t>Baldwin Park Medical Center</t>
  </si>
  <si>
    <t>Baldwin Park</t>
  </si>
  <si>
    <t>Barstow Community Hospital</t>
  </si>
  <si>
    <t>Barstow</t>
  </si>
  <si>
    <t>Barton Memorial Hospital</t>
  </si>
  <si>
    <t>South Lake Tahoe</t>
  </si>
  <si>
    <t>Beverly Hospital</t>
  </si>
  <si>
    <t>Montebello</t>
  </si>
  <si>
    <t>California Hospital Medical Center</t>
  </si>
  <si>
    <t>California Mens Colony Hospital</t>
  </si>
  <si>
    <t>San Luis Obispo</t>
  </si>
  <si>
    <t>Casa Colina Hospital and Centers for Healthcare</t>
  </si>
  <si>
    <t>Pomona</t>
  </si>
  <si>
    <t>Cedars-Sinai Medical Center</t>
  </si>
  <si>
    <t>Centinela Hospital Medical Center</t>
  </si>
  <si>
    <t>Inglewood</t>
  </si>
  <si>
    <t>CHA Hollywood Presbyterian Medical Center</t>
  </si>
  <si>
    <t>Chapman Global Medical Center</t>
  </si>
  <si>
    <t>Orange</t>
  </si>
  <si>
    <t>Chinese Hospital</t>
  </si>
  <si>
    <t>San Francisco</t>
  </si>
  <si>
    <t>Chino Valley Medical Center</t>
  </si>
  <si>
    <t>Chino</t>
  </si>
  <si>
    <t>City of Hope Comprehensive Cancer Center</t>
  </si>
  <si>
    <t>Duarte</t>
  </si>
  <si>
    <t>Clovis Community Medical Center</t>
  </si>
  <si>
    <t>Clovis</t>
  </si>
  <si>
    <t>Coast Plaza Hospital</t>
  </si>
  <si>
    <t>Norwalk</t>
  </si>
  <si>
    <t>College Hospital Costa Mesa</t>
  </si>
  <si>
    <t>Costa Mesa</t>
  </si>
  <si>
    <t>College Medical Center</t>
  </si>
  <si>
    <t>Long Beach</t>
  </si>
  <si>
    <t>Colusa Medical Center</t>
  </si>
  <si>
    <t>Colusa</t>
  </si>
  <si>
    <t>Community Hospital of Huntington Park</t>
  </si>
  <si>
    <t>Huntington Park</t>
  </si>
  <si>
    <t>Community Hospital of San Bernardino</t>
  </si>
  <si>
    <t>San Bernardino</t>
  </si>
  <si>
    <t>Community Hospital of the Monterey Peninsula</t>
  </si>
  <si>
    <t>Monterey</t>
  </si>
  <si>
    <t>Community Medical Center Long Beach</t>
  </si>
  <si>
    <t>Community Memorial Hospital</t>
  </si>
  <si>
    <t>Ventura</t>
  </si>
  <si>
    <t>Community Regional Medical Center</t>
  </si>
  <si>
    <t>Fresno</t>
  </si>
  <si>
    <t>Concord Medical Center</t>
  </si>
  <si>
    <t>Concord</t>
  </si>
  <si>
    <t>Contra Costa Regional Medical Center</t>
  </si>
  <si>
    <t>Martinez</t>
  </si>
  <si>
    <t>Corona Regional Medical Center</t>
  </si>
  <si>
    <t>Corona</t>
  </si>
  <si>
    <t>CPMC Davies Campus</t>
  </si>
  <si>
    <t>CPMC Mission Bernal Campus</t>
  </si>
  <si>
    <t>CPMC Van Ness Campus</t>
  </si>
  <si>
    <t>Dameron Hospital</t>
  </si>
  <si>
    <t>Stockton</t>
  </si>
  <si>
    <t>Delano Regional Medical Center</t>
  </si>
  <si>
    <t>Delano</t>
  </si>
  <si>
    <t>Desert Regional Medical Center</t>
  </si>
  <si>
    <t>Palm Springs</t>
  </si>
  <si>
    <t>Desert Valley Hospital</t>
  </si>
  <si>
    <t>Victorville</t>
  </si>
  <si>
    <t>Doctors Hospital of Manteca</t>
  </si>
  <si>
    <t>Manteca</t>
  </si>
  <si>
    <t>Doctors Medical Center of Modesto</t>
  </si>
  <si>
    <t>Modesto</t>
  </si>
  <si>
    <t>Dominican Hospital</t>
  </si>
  <si>
    <t>Santa Cruz</t>
  </si>
  <si>
    <t>East Los Angeles Doctors Hospital</t>
  </si>
  <si>
    <t>Eden Medical Center</t>
  </si>
  <si>
    <t>Castro Valley</t>
  </si>
  <si>
    <t>Eisenhower Medical Center</t>
  </si>
  <si>
    <t>Rancho Mirage</t>
  </si>
  <si>
    <t>El Camino Hospital Los Gatos Campus</t>
  </si>
  <si>
    <t>Los Gatos</t>
  </si>
  <si>
    <t>El Camino Hospital Mountain View Campus</t>
  </si>
  <si>
    <t>Mountain View</t>
  </si>
  <si>
    <t>El Centro Regional Medical Center</t>
  </si>
  <si>
    <t>El Centro</t>
  </si>
  <si>
    <t>Emanate Health Foothill Presbyterian Hospital</t>
  </si>
  <si>
    <t>Glendora</t>
  </si>
  <si>
    <t>Emanate Health Inter-Community Hospital</t>
  </si>
  <si>
    <t>Covina</t>
  </si>
  <si>
    <t>Emanate Health Queen of the Valley Hospital</t>
  </si>
  <si>
    <t>West Covina</t>
  </si>
  <si>
    <t>Emanuel Medical Center</t>
  </si>
  <si>
    <t>Turlock</t>
  </si>
  <si>
    <t>Encino Hospital Medical Center</t>
  </si>
  <si>
    <t>Encino</t>
  </si>
  <si>
    <t>Enloe Medical Center</t>
  </si>
  <si>
    <t>Chico</t>
  </si>
  <si>
    <t>Fairmont Rehabilitation and Wellness</t>
  </si>
  <si>
    <t>San Leandro</t>
  </si>
  <si>
    <t>Fairview Developmental Center</t>
  </si>
  <si>
    <t>Fontana Medical Center</t>
  </si>
  <si>
    <t>Fontana</t>
  </si>
  <si>
    <t>Foothill Regional Medical Center</t>
  </si>
  <si>
    <t>Tustin</t>
  </si>
  <si>
    <t>Fountain Valley Regional Hospital and Medical Center</t>
  </si>
  <si>
    <t>Fountain Valley</t>
  </si>
  <si>
    <t>French Hospital Medical Center</t>
  </si>
  <si>
    <t>Fresno Heart &amp; Surgical Hospital</t>
  </si>
  <si>
    <t>Fresno Medical Center</t>
  </si>
  <si>
    <t>Fresno Surgical Hospital</t>
  </si>
  <si>
    <t>Garden Grove Hospital and Medical Center</t>
  </si>
  <si>
    <t>Garden Grove</t>
  </si>
  <si>
    <t>Garfield Medical Center</t>
  </si>
  <si>
    <t>Monterey Park</t>
  </si>
  <si>
    <t>Glendale Memorial Hospital &amp; Health Center</t>
  </si>
  <si>
    <t>Glendora Oaks Behavioral Health Hospital</t>
  </si>
  <si>
    <t>Goleta Valley Cottage Hospital</t>
  </si>
  <si>
    <t>Santa Barbara</t>
  </si>
  <si>
    <t>Good Samaritan Hospital</t>
  </si>
  <si>
    <t>San Jose</t>
  </si>
  <si>
    <t>Good Samaritan Hospital North</t>
  </si>
  <si>
    <t>Greater El Monte Community Hospital</t>
  </si>
  <si>
    <t>South El Monte</t>
  </si>
  <si>
    <t>Harbor-UCLA Medical Center</t>
  </si>
  <si>
    <t>Torrance</t>
  </si>
  <si>
    <t>Hazel Hawkins Memorial Hospital</t>
  </si>
  <si>
    <t>Hollister</t>
  </si>
  <si>
    <t>Hemet Global Medical Center</t>
  </si>
  <si>
    <t>Hemet</t>
  </si>
  <si>
    <t>Henry Mayo Newhall Memorial Hospital</t>
  </si>
  <si>
    <t>Valencia</t>
  </si>
  <si>
    <t>Hi-Desert Medical Center</t>
  </si>
  <si>
    <t>Joshua Tree</t>
  </si>
  <si>
    <t>Highland Hospital</t>
  </si>
  <si>
    <t>Hoag Hospital Irvine</t>
  </si>
  <si>
    <t>Irvine</t>
  </si>
  <si>
    <t>Hoag Hospital Newport Beach</t>
  </si>
  <si>
    <t>Newport Beach</t>
  </si>
  <si>
    <t>Hoag Orthopedic Institute</t>
  </si>
  <si>
    <t>Huntington Beach Hospital</t>
  </si>
  <si>
    <t>Huntington Beach</t>
  </si>
  <si>
    <t>Huntington Hospital</t>
  </si>
  <si>
    <t>Pasadena</t>
  </si>
  <si>
    <t>Inland Valley Medical Center</t>
  </si>
  <si>
    <t>Wildomar</t>
  </si>
  <si>
    <t>John F. Kennedy Memorial Hospital</t>
  </si>
  <si>
    <t>Indio</t>
  </si>
  <si>
    <t>Kaiser Permanente Fremont Medical Center</t>
  </si>
  <si>
    <t>Fremont</t>
  </si>
  <si>
    <t>Kaiser Permanente Roseville Medical Center</t>
  </si>
  <si>
    <t>Roseville</t>
  </si>
  <si>
    <t>Kaiser Permanente San Diego Medical Center</t>
  </si>
  <si>
    <t>Kaiser Permanente San Francisco Medical Center</t>
  </si>
  <si>
    <t>Kaiser Permanente South San Francisco Medical Center</t>
  </si>
  <si>
    <t>South San Francisco</t>
  </si>
  <si>
    <t>Kaiser Permanente Zion Medical Center</t>
  </si>
  <si>
    <t>Kaweah Delta Health Care District</t>
  </si>
  <si>
    <t>Visalia</t>
  </si>
  <si>
    <t>Keck Hospital of USC</t>
  </si>
  <si>
    <t>Kern Medical Center</t>
  </si>
  <si>
    <t>LA Downtown Medical Center Downtown Campus</t>
  </si>
  <si>
    <t>La Palma Intercommunity Hospital</t>
  </si>
  <si>
    <t>La Palma</t>
  </si>
  <si>
    <t>Laguna Honda Hospital and Rehabilitation Center</t>
  </si>
  <si>
    <t>Lakewood Regional Medical Center</t>
  </si>
  <si>
    <t>Lakewood</t>
  </si>
  <si>
    <t>Loma Linda University Children's Hospital</t>
  </si>
  <si>
    <t>Loma Linda</t>
  </si>
  <si>
    <t>Loma Linda University Medical Center</t>
  </si>
  <si>
    <t>Loma Linda University Medical Center - Murrieta</t>
  </si>
  <si>
    <t>Murrieta</t>
  </si>
  <si>
    <t>Loma Linda University Medical Center East Campus</t>
  </si>
  <si>
    <t>Loma Linda University Surgical Hospital</t>
  </si>
  <si>
    <t>Redlands</t>
  </si>
  <si>
    <t>Lompoc Valley Medical Center</t>
  </si>
  <si>
    <t>Lompoc</t>
  </si>
  <si>
    <t>Long Beach Medical Center</t>
  </si>
  <si>
    <t>Los Alamitos Medical Center</t>
  </si>
  <si>
    <t>Los Alamitos</t>
  </si>
  <si>
    <t>Los Angeles Community Hospital</t>
  </si>
  <si>
    <t>Los Angeles Community Hospital at Norwalk</t>
  </si>
  <si>
    <t>Los Angeles County and University of Southern California Medical Center</t>
  </si>
  <si>
    <t>Los Angeles Medical Center</t>
  </si>
  <si>
    <t>Los Angeles Surge Hospital</t>
  </si>
  <si>
    <t>Los Robles Regional Medical Center</t>
  </si>
  <si>
    <t>Thousand Oaks</t>
  </si>
  <si>
    <t>Mad River Community Hospital</t>
  </si>
  <si>
    <t>Arcata</t>
  </si>
  <si>
    <t>Madera Community Hospital</t>
  </si>
  <si>
    <t>Madera</t>
  </si>
  <si>
    <t>Manteca Medical Center</t>
  </si>
  <si>
    <t>Marian Regional Medical Center</t>
  </si>
  <si>
    <t>Santa Maria</t>
  </si>
  <si>
    <t>Marina Del Rey Hospital</t>
  </si>
  <si>
    <t>Marina Del Rey</t>
  </si>
  <si>
    <t>Marshall Medical Center</t>
  </si>
  <si>
    <t>Placerville</t>
  </si>
  <si>
    <t>Martin Luther King, Jr. Community Hospital</t>
  </si>
  <si>
    <t>Mee Memorial Hospital</t>
  </si>
  <si>
    <t>King City</t>
  </si>
  <si>
    <t>Memorial Hospital Los Banos</t>
  </si>
  <si>
    <t>Los Banos</t>
  </si>
  <si>
    <t>Memorial Hospital of Gardena</t>
  </si>
  <si>
    <t>Gardena</t>
  </si>
  <si>
    <t>Memorial Medical Center</t>
  </si>
  <si>
    <t>Menifee Global Medical Center</t>
  </si>
  <si>
    <t>Menifee</t>
  </si>
  <si>
    <t>Menlo Park Surgical Hospital</t>
  </si>
  <si>
    <t>Menlo Park</t>
  </si>
  <si>
    <t>Mercy General Hospital</t>
  </si>
  <si>
    <t>Sacramento</t>
  </si>
  <si>
    <t>Mercy Hospital Downtown Bakersfield</t>
  </si>
  <si>
    <t>Mercy Hospital of Folsom</t>
  </si>
  <si>
    <t>Folsom</t>
  </si>
  <si>
    <t>Mercy Hospital Southwest</t>
  </si>
  <si>
    <t>Mercy Medical Center</t>
  </si>
  <si>
    <t>Merced</t>
  </si>
  <si>
    <t>Mercy Medical Center Redding</t>
  </si>
  <si>
    <t>Redding</t>
  </si>
  <si>
    <t>Mercy San Juan Medical Center</t>
  </si>
  <si>
    <t>Carmichael</t>
  </si>
  <si>
    <t>Methodist Hospital</t>
  </si>
  <si>
    <t>Arcadia</t>
  </si>
  <si>
    <t>Methodist Hospital of Sacramento</t>
  </si>
  <si>
    <t>Mills-Peninsula Medical Center</t>
  </si>
  <si>
    <t>Burlingame</t>
  </si>
  <si>
    <t>Mission Community Hospital</t>
  </si>
  <si>
    <t>Panorama City</t>
  </si>
  <si>
    <t>Mission Hospital Laguna Beach</t>
  </si>
  <si>
    <t>Laguna Beach</t>
  </si>
  <si>
    <t>Mission Hospital Mission Viejo</t>
  </si>
  <si>
    <t>Mission Viejo</t>
  </si>
  <si>
    <t>Modesto Medical Center</t>
  </si>
  <si>
    <t>Montclair Hospital Medical Center</t>
  </si>
  <si>
    <t>Montclair</t>
  </si>
  <si>
    <t>Monterey Park Hospital</t>
  </si>
  <si>
    <t>Moreno Valley Medical Center</t>
  </si>
  <si>
    <t>Moreno Valley</t>
  </si>
  <si>
    <t>Natividad Medical Center</t>
  </si>
  <si>
    <t>Salinas</t>
  </si>
  <si>
    <t>Naval Health Clinic Lemoore</t>
  </si>
  <si>
    <t>Lemoore</t>
  </si>
  <si>
    <t>Naval Hospital Camp Pendleton</t>
  </si>
  <si>
    <t>Camp Pendleton</t>
  </si>
  <si>
    <t>Naval Medical Center San Diego</t>
  </si>
  <si>
    <t>NorthBay Medical Center</t>
  </si>
  <si>
    <t>Fairfield</t>
  </si>
  <si>
    <t>NorthBay VacaValley Hospital</t>
  </si>
  <si>
    <t>Vacaville</t>
  </si>
  <si>
    <t>Northridge Hospital</t>
  </si>
  <si>
    <t>Northridge</t>
  </si>
  <si>
    <t>Novato Community Hospital</t>
  </si>
  <si>
    <t>Novato</t>
  </si>
  <si>
    <t>O'Connor Hospital</t>
  </si>
  <si>
    <t>Oak Valley Hospital</t>
  </si>
  <si>
    <t>Oakdale</t>
  </si>
  <si>
    <t>Oakland Medical Center</t>
  </si>
  <si>
    <t>Olive View-UCLA Medical Center</t>
  </si>
  <si>
    <t>Sylmar</t>
  </si>
  <si>
    <t>Olympia Medical Center</t>
  </si>
  <si>
    <t>Ontario Medical Center</t>
  </si>
  <si>
    <t>Ontario</t>
  </si>
  <si>
    <t>Orange Coast Memorial Medical Center</t>
  </si>
  <si>
    <t>Orange County Global Medical Center</t>
  </si>
  <si>
    <t>Santa Ana</t>
  </si>
  <si>
    <t>Orange County-Irvine Medical Center</t>
  </si>
  <si>
    <t>Oroville Hospital</t>
  </si>
  <si>
    <t>Oroville</t>
  </si>
  <si>
    <t>Pacifica Hospital of the Valley</t>
  </si>
  <si>
    <t>Sun Valley</t>
  </si>
  <si>
    <t>Palmdale Regional Medical Center</t>
  </si>
  <si>
    <t>Palmdale</t>
  </si>
  <si>
    <t>Palo Verde Hospital</t>
  </si>
  <si>
    <t>Blythe</t>
  </si>
  <si>
    <t>Palomar Medical Center Downtown Escondido</t>
  </si>
  <si>
    <t>Escondido</t>
  </si>
  <si>
    <t>Palomar Medical Center Escondido</t>
  </si>
  <si>
    <t>Palomar Medical Center Poway</t>
  </si>
  <si>
    <t>Poway</t>
  </si>
  <si>
    <t>Panorama City Medical Center</t>
  </si>
  <si>
    <t>Paradise Valley Hospital</t>
  </si>
  <si>
    <t>National City</t>
  </si>
  <si>
    <t>Parkview Community Hospital Medical Center</t>
  </si>
  <si>
    <t>Riverside</t>
  </si>
  <si>
    <t>Patients Hospital of Redding</t>
  </si>
  <si>
    <t>Petaluma Valley Hospital</t>
  </si>
  <si>
    <t>Petaluma</t>
  </si>
  <si>
    <t>PIH Health Good Samaritan Hospital</t>
  </si>
  <si>
    <t>PIH Health Hospital - Downey</t>
  </si>
  <si>
    <t>PIH Health Hospital - Whittier</t>
  </si>
  <si>
    <t>Whittier</t>
  </si>
  <si>
    <t>Pioneers Memorial Hospital</t>
  </si>
  <si>
    <t>Brawley</t>
  </si>
  <si>
    <t>Placentia-Linda Hospital</t>
  </si>
  <si>
    <t>Placentia</t>
  </si>
  <si>
    <t>Pomona Valley Hospital Medical Center</t>
  </si>
  <si>
    <t>Porterville Developmental Center</t>
  </si>
  <si>
    <t>Porterville</t>
  </si>
  <si>
    <t>Providence Cedars-Sinai Tarzana Medical Center</t>
  </si>
  <si>
    <t>Tarzana</t>
  </si>
  <si>
    <t>Providence Holy Cross Medical Center</t>
  </si>
  <si>
    <t>Mission Hills</t>
  </si>
  <si>
    <t>Providence Little Company of Mary Medical Center San Pedro</t>
  </si>
  <si>
    <t>San Pedro</t>
  </si>
  <si>
    <t>Providence Little Company of Mary Medical Center Torrance</t>
  </si>
  <si>
    <t>Providence Saint Joseph Medical Center</t>
  </si>
  <si>
    <t>Burbank</t>
  </si>
  <si>
    <t>Queen of the Valley Medical Center</t>
  </si>
  <si>
    <t>Napa</t>
  </si>
  <si>
    <t>Rancho Los Amigos National Rehabilitation Center</t>
  </si>
  <si>
    <t>Rancho Springs Medical Center</t>
  </si>
  <si>
    <t>Redlands Community Hospital</t>
  </si>
  <si>
    <t>Redwood City Medical Center</t>
  </si>
  <si>
    <t>Redwood City</t>
  </si>
  <si>
    <t>Regional Medical Center of San Jose</t>
  </si>
  <si>
    <t>Richmond Medical Center</t>
  </si>
  <si>
    <t>Richmond</t>
  </si>
  <si>
    <t>Riverside Community Hospital</t>
  </si>
  <si>
    <t>Riverside Medical Center</t>
  </si>
  <si>
    <t>Riverside University Medical Center</t>
  </si>
  <si>
    <t>Robert E. Bush Naval Hospital</t>
  </si>
  <si>
    <t>Twentynine Palms</t>
  </si>
  <si>
    <t>Ronald Reagan UCLA Medical Center</t>
  </si>
  <si>
    <t>Sacramento Medical Center</t>
  </si>
  <si>
    <t>Saddleback Medical Center</t>
  </si>
  <si>
    <t>Laguna Hills</t>
  </si>
  <si>
    <t>Saint Agnes Medical Center</t>
  </si>
  <si>
    <t>Saint Bernardine Medical Center</t>
  </si>
  <si>
    <t>Saint Elizabeth Community Hospital</t>
  </si>
  <si>
    <t>Red Bluff</t>
  </si>
  <si>
    <t>Saint Francis Medical Center</t>
  </si>
  <si>
    <t>Lynwood</t>
  </si>
  <si>
    <t>Saint Francis Memorial Hospital</t>
  </si>
  <si>
    <t>Saint John's Pleasant Valley Hospital</t>
  </si>
  <si>
    <t>Camarillo</t>
  </si>
  <si>
    <t>Saint John's Regional Medical Center</t>
  </si>
  <si>
    <t>Oxnard</t>
  </si>
  <si>
    <t>Saint Joseph Hospital Acute Rehabilitation Unit</t>
  </si>
  <si>
    <t>Eureka</t>
  </si>
  <si>
    <t>Saint Joseph Hospital Eureka</t>
  </si>
  <si>
    <t>Saint Joseph Hospital Orange</t>
  </si>
  <si>
    <t>Saint Joseph's Medical Center</t>
  </si>
  <si>
    <t>Saint Jude Medical Center</t>
  </si>
  <si>
    <t>Fullerton</t>
  </si>
  <si>
    <t>Saint Louise Regional Hospital</t>
  </si>
  <si>
    <t>Gilroy</t>
  </si>
  <si>
    <t>Saint Mary Medical Center</t>
  </si>
  <si>
    <t>Apple Valley</t>
  </si>
  <si>
    <t>Saint Mary's Medical Center</t>
  </si>
  <si>
    <t>Saint Rose Hospital</t>
  </si>
  <si>
    <t>Hayward</t>
  </si>
  <si>
    <t>Salinas Valley Memorial Hospital</t>
  </si>
  <si>
    <t>San Antonio Regional Hospital</t>
  </si>
  <si>
    <t>Upland</t>
  </si>
  <si>
    <t>San Dimas Community Hospital</t>
  </si>
  <si>
    <t>San Dimas</t>
  </si>
  <si>
    <t>San Francisco VA Medical Center</t>
  </si>
  <si>
    <t>San Gabriel Valley Medical Center</t>
  </si>
  <si>
    <t>San Gabriel</t>
  </si>
  <si>
    <t>San Gorgonio Memorial Hospital</t>
  </si>
  <si>
    <t>Banning</t>
  </si>
  <si>
    <t>San Joaquin General Hospital</t>
  </si>
  <si>
    <t>French Camp</t>
  </si>
  <si>
    <t>San Jose Medical Center Main Campus</t>
  </si>
  <si>
    <t>San Leandro Hospital</t>
  </si>
  <si>
    <t>San Leandro Medical Center</t>
  </si>
  <si>
    <t>San Mateo Medical Center</t>
  </si>
  <si>
    <t>San Mateo</t>
  </si>
  <si>
    <t>San Rafael Medical Center</t>
  </si>
  <si>
    <t>San Rafael</t>
  </si>
  <si>
    <t>San Ramon Regional Medical Center</t>
  </si>
  <si>
    <t>San Ramon</t>
  </si>
  <si>
    <t>Santa Barbara Cottage Hospital</t>
  </si>
  <si>
    <t>Santa Clara Medical Center</t>
  </si>
  <si>
    <t>Santa Clara</t>
  </si>
  <si>
    <t>Santa Clara Valley Medical Center</t>
  </si>
  <si>
    <t>Santa Paula Hospital</t>
  </si>
  <si>
    <t>Santa Paula</t>
  </si>
  <si>
    <t>Santa Rosa Hospital</t>
  </si>
  <si>
    <t>Santa Rosa</t>
  </si>
  <si>
    <t>Santa Rosa Memorial Hospital</t>
  </si>
  <si>
    <t>Scripps Green Hospital</t>
  </si>
  <si>
    <t>La Jolla</t>
  </si>
  <si>
    <t>Scripps Memorial Hospital Encinitas</t>
  </si>
  <si>
    <t>Encinitas</t>
  </si>
  <si>
    <t>Scripps Memorial Hospital La Jolla</t>
  </si>
  <si>
    <t>Scripps Mercy Hospital Chula Vista</t>
  </si>
  <si>
    <t>Chula Vista</t>
  </si>
  <si>
    <t>Scripps Mercy Hospital San Diego</t>
  </si>
  <si>
    <t>Sequoia Hospital</t>
  </si>
  <si>
    <t>Seton Medical Center</t>
  </si>
  <si>
    <t>Daly City</t>
  </si>
  <si>
    <t>Seton Medical Center Coastside</t>
  </si>
  <si>
    <t>Moss Beach</t>
  </si>
  <si>
    <t>Sharp Chula Vista Medical Center</t>
  </si>
  <si>
    <t>Sharp Coronado Hospital</t>
  </si>
  <si>
    <t>Coronado</t>
  </si>
  <si>
    <t>Sharp Grossmont Hospital</t>
  </si>
  <si>
    <t>La Mesa</t>
  </si>
  <si>
    <t>Sharp Mary Birch Hospital for Women and Newborns</t>
  </si>
  <si>
    <t>Sharp Memorial Hospital</t>
  </si>
  <si>
    <t>Shasta Regional Medical Center</t>
  </si>
  <si>
    <t>Sherman Oaks Hospital</t>
  </si>
  <si>
    <t>Sherman Oaks</t>
  </si>
  <si>
    <t>Sierra Nevada Memorial Hospital</t>
  </si>
  <si>
    <t>Grass Valley</t>
  </si>
  <si>
    <t>Sierra View District Hospital</t>
  </si>
  <si>
    <t>Sierra Vista Regional Medical Center</t>
  </si>
  <si>
    <t>Sonoma Developmental Center</t>
  </si>
  <si>
    <t>Eldridge</t>
  </si>
  <si>
    <t>Sonoma Specialty Hospital</t>
  </si>
  <si>
    <t>Sebastopol</t>
  </si>
  <si>
    <t>Sonoma Valley Hospital</t>
  </si>
  <si>
    <t>Sonoma</t>
  </si>
  <si>
    <t>South Bay Medical Center</t>
  </si>
  <si>
    <t>Harbor City</t>
  </si>
  <si>
    <t>South Coast Global Medical Center</t>
  </si>
  <si>
    <t>South Sacramento Medical Center</t>
  </si>
  <si>
    <t>Southern California Hospital at Culver City</t>
  </si>
  <si>
    <t>Culver City</t>
  </si>
  <si>
    <t>Southern California Hospital at Hollywood</t>
  </si>
  <si>
    <t>Hollywood</t>
  </si>
  <si>
    <t>St. Mary Medical Center Long Beach</t>
  </si>
  <si>
    <t>Stanford Health - ValleyCare - Pleasanton</t>
  </si>
  <si>
    <t>Pleasanton</t>
  </si>
  <si>
    <t>Stanford Health Care - ValleyCare-Livermore</t>
  </si>
  <si>
    <t>Livermore</t>
  </si>
  <si>
    <t>Stanford Hospital</t>
  </si>
  <si>
    <t>Stanford</t>
  </si>
  <si>
    <t>Stanislaus Surgical Hospital</t>
  </si>
  <si>
    <t>Sutter Amador Hospital</t>
  </si>
  <si>
    <t>Sutter Auburn Faith Hospital</t>
  </si>
  <si>
    <t>Auburn</t>
  </si>
  <si>
    <t>Sutter Coast Hospital</t>
  </si>
  <si>
    <t>Crescent City</t>
  </si>
  <si>
    <t>Sutter Davis Hospital</t>
  </si>
  <si>
    <t>Davis</t>
  </si>
  <si>
    <t>Sutter Delta Medical Center</t>
  </si>
  <si>
    <t>Sutter Maternity and Surgery Center of Santa Cruz</t>
  </si>
  <si>
    <t>Sutter Medical Center</t>
  </si>
  <si>
    <t>Sutter Roseville Medical Center</t>
  </si>
  <si>
    <t>Sutter Santa Rosa Regional Hospital</t>
  </si>
  <si>
    <t>Sutter Solano Medical Center</t>
  </si>
  <si>
    <t>Sutter Surgical Hospital North Valley</t>
  </si>
  <si>
    <t>Yuba City</t>
  </si>
  <si>
    <t>Sutter Tracy Community Hospital</t>
  </si>
  <si>
    <t>Tracy</t>
  </si>
  <si>
    <t>Temecula Valley Hospital</t>
  </si>
  <si>
    <t>Temecula</t>
  </si>
  <si>
    <t>Thousand Oaks Surgical Hospital</t>
  </si>
  <si>
    <t>Torrance Memorial Medical Center</t>
  </si>
  <si>
    <t>Tri-City Medical Center</t>
  </si>
  <si>
    <t>Oceanside</t>
  </si>
  <si>
    <t>Twin Cities Community Hospital</t>
  </si>
  <si>
    <t>Templeton</t>
  </si>
  <si>
    <t>UC Davis Medical Center</t>
  </si>
  <si>
    <t>UC San Diego Health - La Jolla Jacobs Medical Center</t>
  </si>
  <si>
    <t>UC San Diego Health System - Hillcrest</t>
  </si>
  <si>
    <t>UCI Health</t>
  </si>
  <si>
    <t>UCLA Mattel Children's Hospital</t>
  </si>
  <si>
    <t>UCLA Medical Center, Santa Monica</t>
  </si>
  <si>
    <t>UCSF Medical Center at Mission Bay</t>
  </si>
  <si>
    <t>UCSF Medical Center at Parnassus</t>
  </si>
  <si>
    <t>UCSF Medical Center Betty Irene Moore Women's Hospital</t>
  </si>
  <si>
    <t>USC Norris Comprehensive Cancer Center</t>
  </si>
  <si>
    <t>USC Verdugo Hills Hospital</t>
  </si>
  <si>
    <t>VA Central California Health Care System</t>
  </si>
  <si>
    <t>VA Greater Los Angeles Healthcare System - West Los Angeles Medical Center</t>
  </si>
  <si>
    <t>VA Loma Linda Healthcare System</t>
  </si>
  <si>
    <t>VA Long Beach Healthcare System</t>
  </si>
  <si>
    <t>VA Northern California Health Care System - Valley Division - Sacramento VA Medical Center</t>
  </si>
  <si>
    <t>Mather</t>
  </si>
  <si>
    <t>VA Palo Alto Health Care System - Palo Alto Division</t>
  </si>
  <si>
    <t>Palo Alto</t>
  </si>
  <si>
    <t>VA San Diego Healthcare System</t>
  </si>
  <si>
    <t>Vacaville Medical Center</t>
  </si>
  <si>
    <t>Vallejo Hospital &amp; Medical Offices</t>
  </si>
  <si>
    <t>Valley Presbyterian Hospital</t>
  </si>
  <si>
    <t>Van Nuys</t>
  </si>
  <si>
    <t>Ventura County Medical Center</t>
  </si>
  <si>
    <t>Victor Valley Global Medical Center</t>
  </si>
  <si>
    <t>Walnut Creek Medical Center</t>
  </si>
  <si>
    <t>Walnut Creek</t>
  </si>
  <si>
    <t>Washington Hospital</t>
  </si>
  <si>
    <t>Watsonville Community Hospital</t>
  </si>
  <si>
    <t>Watsonville</t>
  </si>
  <si>
    <t>Weed Army Community Hospital</t>
  </si>
  <si>
    <t>Fort Irwin</t>
  </si>
  <si>
    <t>West Anaheim Medical Center</t>
  </si>
  <si>
    <t>West Covina Medical Center</t>
  </si>
  <si>
    <t>West Hills Hospital &amp; Medical Center</t>
  </si>
  <si>
    <t>West Hills</t>
  </si>
  <si>
    <t>West Los Angeles Medical Center</t>
  </si>
  <si>
    <t>Whittier Hospital Medical Center</t>
  </si>
  <si>
    <t>Woodland Memorial Hospital</t>
  </si>
  <si>
    <t>Woodland</t>
  </si>
  <si>
    <t>Zuckerberg San Francisco General Hospital and Trauma Center</t>
  </si>
  <si>
    <t>Evans United States Army Hospital</t>
  </si>
  <si>
    <t>Fort Carson</t>
  </si>
  <si>
    <t>Rocky Mountain Regional VA Medical Center</t>
  </si>
  <si>
    <t>Aurora</t>
  </si>
  <si>
    <t>Animas Surgical Hospital</t>
  </si>
  <si>
    <t>Durango</t>
  </si>
  <si>
    <t>Avista Adventist Hospital</t>
  </si>
  <si>
    <t>Louisville</t>
  </si>
  <si>
    <t>Banner Fort Collins Medical Center</t>
  </si>
  <si>
    <t>Fort Collins</t>
  </si>
  <si>
    <t>Castle Rock Adventist Hospital</t>
  </si>
  <si>
    <t>Castle Rock</t>
  </si>
  <si>
    <t>Colorado Plains Medical Center</t>
  </si>
  <si>
    <t>Fort Morgan</t>
  </si>
  <si>
    <t>Grand Junction</t>
  </si>
  <si>
    <t>Delta County Memorial Hospital</t>
  </si>
  <si>
    <t>Delta</t>
  </si>
  <si>
    <t>Denver Health</t>
  </si>
  <si>
    <t>Denver</t>
  </si>
  <si>
    <t>Foothills Hospital</t>
  </si>
  <si>
    <t>Boulder</t>
  </si>
  <si>
    <t>Good Samaritan Medical Center</t>
  </si>
  <si>
    <t>Lafayette</t>
  </si>
  <si>
    <t>Littleton Adventist Hospital</t>
  </si>
  <si>
    <t>Littleton</t>
  </si>
  <si>
    <t>Longmont United Hospital</t>
  </si>
  <si>
    <t>Longmont</t>
  </si>
  <si>
    <t>Lutheran Medical Center</t>
  </si>
  <si>
    <t>Wheat Ridge</t>
  </si>
  <si>
    <t>McKee Medical Center</t>
  </si>
  <si>
    <t>Loveland</t>
  </si>
  <si>
    <t>Mercy Regional Medical Center</t>
  </si>
  <si>
    <t>Montrose Memorial Hospital</t>
  </si>
  <si>
    <t>Montrose</t>
  </si>
  <si>
    <t>National Jewish Health Main Campus</t>
  </si>
  <si>
    <t>North Colorado Medical Center</t>
  </si>
  <si>
    <t>Greeley</t>
  </si>
  <si>
    <t>North Suburban Medical Center</t>
  </si>
  <si>
    <t>Thornton</t>
  </si>
  <si>
    <t>OrthoColorado Hospital</t>
  </si>
  <si>
    <t>Parker Adventist Hospital</t>
  </si>
  <si>
    <t>Parker</t>
  </si>
  <si>
    <t>Parkview Medical Center</t>
  </si>
  <si>
    <t>Pueblo</t>
  </si>
  <si>
    <t>Penrose-St. Francis Health Services</t>
  </si>
  <si>
    <t>Colorado Springs</t>
  </si>
  <si>
    <t>Platte Valley Medical Center</t>
  </si>
  <si>
    <t>Brighton</t>
  </si>
  <si>
    <t>Porter Adventist Hospital</t>
  </si>
  <si>
    <t>Presbyterian/Saint Luke's Medical Center</t>
  </si>
  <si>
    <t>Regional Medical Center</t>
  </si>
  <si>
    <t>Alamosa</t>
  </si>
  <si>
    <t>Rose Medical Center</t>
  </si>
  <si>
    <t>Saint Anthony Hospital</t>
  </si>
  <si>
    <t>Saint Anthony North Hospital</t>
  </si>
  <si>
    <t>Westminster</t>
  </si>
  <si>
    <t>Saint Anthony Summit Medical Center</t>
  </si>
  <si>
    <t>Frisco</t>
  </si>
  <si>
    <t>Saint Joseph Hospital</t>
  </si>
  <si>
    <t>Saint Mary's Medical Center - SCL Health</t>
  </si>
  <si>
    <t>Saint Mary-Corwin Medical Center</t>
  </si>
  <si>
    <t>Sky Ridge Medical Center</t>
  </si>
  <si>
    <t>Lone Tree</t>
  </si>
  <si>
    <t>Sterling Regional MedCenter</t>
  </si>
  <si>
    <t>Sterling</t>
  </si>
  <si>
    <t>Swedish Medical Center</t>
  </si>
  <si>
    <t>Englewood</t>
  </si>
  <si>
    <t>The Medical Center of Aurora</t>
  </si>
  <si>
    <t>UCHealth Broomfield Hospital</t>
  </si>
  <si>
    <t>Broomfield</t>
  </si>
  <si>
    <t>UCHealth Grandview Hospital</t>
  </si>
  <si>
    <t>UCHealth Greeley Hospital</t>
  </si>
  <si>
    <t>UCHealth Highlands Ranch Hospital</t>
  </si>
  <si>
    <t>Highlands Ranch</t>
  </si>
  <si>
    <t>UCHealth Longs Peak Hospital</t>
  </si>
  <si>
    <t>UCHealth Medical Center of the Rockies</t>
  </si>
  <si>
    <t>UCHealth Memorial Hospital Central</t>
  </si>
  <si>
    <t>UCHealth Memorial Hospital North</t>
  </si>
  <si>
    <t>UCHealth Poudre Valley Hospital</t>
  </si>
  <si>
    <t>UCHealth University of Colorado Hospital</t>
  </si>
  <si>
    <t>UCHealth Yampa Valley Medical Center</t>
  </si>
  <si>
    <t>Steamboat Springs</t>
  </si>
  <si>
    <t>VA Western Colorado Health Care System</t>
  </si>
  <si>
    <t>Vail Health Hospital</t>
  </si>
  <si>
    <t>Vail</t>
  </si>
  <si>
    <t>Valley View Hospital</t>
  </si>
  <si>
    <t>Glenwood Springs</t>
  </si>
  <si>
    <t>Backus Hospital</t>
  </si>
  <si>
    <t>Norwich</t>
  </si>
  <si>
    <t>Bridgeport Hospital</t>
  </si>
  <si>
    <t>Bridgeport</t>
  </si>
  <si>
    <t>Bridgeport Hospital Milford Campus</t>
  </si>
  <si>
    <t>Milford</t>
  </si>
  <si>
    <t>Bristol Hospital</t>
  </si>
  <si>
    <t>Bristol</t>
  </si>
  <si>
    <t>Charlotte Hungerford Hospital</t>
  </si>
  <si>
    <t>Torrington</t>
  </si>
  <si>
    <t>Danbury Hospital</t>
  </si>
  <si>
    <t>Danbury</t>
  </si>
  <si>
    <t>Day Kimball Hospital</t>
  </si>
  <si>
    <t>Putnam</t>
  </si>
  <si>
    <t>Greenwich Hospital</t>
  </si>
  <si>
    <t>Greenwich</t>
  </si>
  <si>
    <t>Griffin Hospital</t>
  </si>
  <si>
    <t>Derby</t>
  </si>
  <si>
    <t>Hartford Hospital</t>
  </si>
  <si>
    <t>Hartford</t>
  </si>
  <si>
    <t>Johnson Memorial Hospital</t>
  </si>
  <si>
    <t>Stafford Springs</t>
  </si>
  <si>
    <t>Lawrence &amp; Memorial Hospital</t>
  </si>
  <si>
    <t>New London</t>
  </si>
  <si>
    <t>Manchester Memorial Hospital</t>
  </si>
  <si>
    <t>Manchester</t>
  </si>
  <si>
    <t>Masonicare Main Campus</t>
  </si>
  <si>
    <t>Wallingford</t>
  </si>
  <si>
    <t>Middlesex Hospital</t>
  </si>
  <si>
    <t>Middletown</t>
  </si>
  <si>
    <t>MidState Medical Center</t>
  </si>
  <si>
    <t>Meriden</t>
  </si>
  <si>
    <t>New Milford Hospital</t>
  </si>
  <si>
    <t>New Milford</t>
  </si>
  <si>
    <t>Norwalk Hospital</t>
  </si>
  <si>
    <t>Rockville General Hospital</t>
  </si>
  <si>
    <t>Vernon</t>
  </si>
  <si>
    <t>Saint Francis Hospital</t>
  </si>
  <si>
    <t>Waterbury</t>
  </si>
  <si>
    <t>Saint Vincent's Medical Center</t>
  </si>
  <si>
    <t>Sharon Hospital</t>
  </si>
  <si>
    <t>Sharon</t>
  </si>
  <si>
    <t>Stamford Hospital</t>
  </si>
  <si>
    <t>Stamford</t>
  </si>
  <si>
    <t>The Connecticut Hospice</t>
  </si>
  <si>
    <t>Branford</t>
  </si>
  <si>
    <t>The Hospital at Hebrew Senior Care</t>
  </si>
  <si>
    <t>West Hartford</t>
  </si>
  <si>
    <t>The Hospital of Central Connecticut Bradley Memorial Campus</t>
  </si>
  <si>
    <t>Southington</t>
  </si>
  <si>
    <t>The Hospital of Central Connecticut at New Britain General</t>
  </si>
  <si>
    <t>New Britain</t>
  </si>
  <si>
    <t>UConn John Dempsey Hospital</t>
  </si>
  <si>
    <t>Farmington</t>
  </si>
  <si>
    <t>VA Connecticut Healthcare System - West Haven Campus</t>
  </si>
  <si>
    <t>West Haven</t>
  </si>
  <si>
    <t>Waterbury Hospital</t>
  </si>
  <si>
    <t>Windham Hospital</t>
  </si>
  <si>
    <t>Willimantic</t>
  </si>
  <si>
    <t>Yale-New Haven Hospital</t>
  </si>
  <si>
    <t>New Haven</t>
  </si>
  <si>
    <t>Yale-New Haven Hospital Saint Raphael Campus</t>
  </si>
  <si>
    <t>Howard University Hospital</t>
  </si>
  <si>
    <t>Washington</t>
  </si>
  <si>
    <t>MedStar Georgetown University Hospital</t>
  </si>
  <si>
    <t>Medstar Washington Hospital Center</t>
  </si>
  <si>
    <t>Sibley Memorial Hospital</t>
  </si>
  <si>
    <t>The George Washington University Hospital</t>
  </si>
  <si>
    <t>United Medical Center</t>
  </si>
  <si>
    <t>Washington DC VA Medical Center</t>
  </si>
  <si>
    <t>Bayhealth Hospital, Kent Campus</t>
  </si>
  <si>
    <t>Dover</t>
  </si>
  <si>
    <t>Bayhealth Hospital, Sussex Campus</t>
  </si>
  <si>
    <t>Beebe Healthcare</t>
  </si>
  <si>
    <t>Lewes</t>
  </si>
  <si>
    <t>Christiana Hospital</t>
  </si>
  <si>
    <t>Newark</t>
  </si>
  <si>
    <t>Nanticoke Memorial Hospital</t>
  </si>
  <si>
    <t>Seaford</t>
  </si>
  <si>
    <t>Saint Francis Healthcare</t>
  </si>
  <si>
    <t>Wilmington</t>
  </si>
  <si>
    <t>Wilmington Hospital</t>
  </si>
  <si>
    <t>Wilmington VA Medical Center</t>
  </si>
  <si>
    <t>96th Medical Group - United States Air Force Eglin Regional Hospital</t>
  </si>
  <si>
    <t>Eglin Air Force Base</t>
  </si>
  <si>
    <t>AdventHealth Altamonte Springs</t>
  </si>
  <si>
    <t>Altamonte Springs</t>
  </si>
  <si>
    <t>AdventHealth Apopka</t>
  </si>
  <si>
    <t>Apopka</t>
  </si>
  <si>
    <t>AdventHealth Carrollwood</t>
  </si>
  <si>
    <t>Tampa</t>
  </si>
  <si>
    <t>AdventHealth Celebration</t>
  </si>
  <si>
    <t>Celebration</t>
  </si>
  <si>
    <t>AdventHealth Dade City</t>
  </si>
  <si>
    <t>Dade City</t>
  </si>
  <si>
    <t>AdventHealth Daytona Beach</t>
  </si>
  <si>
    <t>Daytona Beach</t>
  </si>
  <si>
    <t>AdventHealth DeLand</t>
  </si>
  <si>
    <t>DeLand</t>
  </si>
  <si>
    <t>AdventHealth East Orlando</t>
  </si>
  <si>
    <t>Orlando</t>
  </si>
  <si>
    <t>AdventHealth Fish Memorial</t>
  </si>
  <si>
    <t>Orange City</t>
  </si>
  <si>
    <t>AdventHealth Heart of Florida</t>
  </si>
  <si>
    <t>Davenport</t>
  </si>
  <si>
    <t>AdventHealth Kissimmee</t>
  </si>
  <si>
    <t>Kissimmee</t>
  </si>
  <si>
    <t>AdventHealth Lake Placid</t>
  </si>
  <si>
    <t>Lake Placid</t>
  </si>
  <si>
    <t>AdventHealth Lake Wales</t>
  </si>
  <si>
    <t>Lake Wales</t>
  </si>
  <si>
    <t>AdventHealth New Smyrna Beach</t>
  </si>
  <si>
    <t>New Smyrna Beach</t>
  </si>
  <si>
    <t>AdventHealth North Pinellas</t>
  </si>
  <si>
    <t>Tarpon Springs</t>
  </si>
  <si>
    <t>AdventHealth Ocala</t>
  </si>
  <si>
    <t>Ocala</t>
  </si>
  <si>
    <t>AdventHealth Orlando</t>
  </si>
  <si>
    <t>AdventHealth Palm Coast</t>
  </si>
  <si>
    <t>Palm Coast</t>
  </si>
  <si>
    <t>AdventHealth Pepin Heart Institute</t>
  </si>
  <si>
    <t>AdventHealth Sebring</t>
  </si>
  <si>
    <t>Sebring</t>
  </si>
  <si>
    <t>AdventHealth Tampa</t>
  </si>
  <si>
    <t>AdventHealth Waterman</t>
  </si>
  <si>
    <t>Tavares</t>
  </si>
  <si>
    <t>AdventHealth Wesley Chapel</t>
  </si>
  <si>
    <t>Wesley Chapel</t>
  </si>
  <si>
    <t>AdventHealth Winter Park</t>
  </si>
  <si>
    <t>Winter Park</t>
  </si>
  <si>
    <t>AdventHealth Zephyrhills</t>
  </si>
  <si>
    <t>Zephyrhills</t>
  </si>
  <si>
    <t>Ascension Sacred Heart Hospital on the Emerald Coast</t>
  </si>
  <si>
    <t>Miramar Beach</t>
  </si>
  <si>
    <t>Ascension Sacred Heart Hospital on the Gulf</t>
  </si>
  <si>
    <t>Port Saint Joe</t>
  </si>
  <si>
    <t>Ascension Sacred Heart Hospital Pensacola</t>
  </si>
  <si>
    <t>Pensacola</t>
  </si>
  <si>
    <t>Ascension St. Vincent's Clay County Hospital</t>
  </si>
  <si>
    <t>Middleburg</t>
  </si>
  <si>
    <t>Ascension St. Vincent's Riverside Hospital</t>
  </si>
  <si>
    <t>Jacksonville</t>
  </si>
  <si>
    <t>Ascension St. Vincent's Southside Hospital</t>
  </si>
  <si>
    <t>Aventura Hospital and Medical Center</t>
  </si>
  <si>
    <t>Aventura</t>
  </si>
  <si>
    <t>Baptist Heart Hospital</t>
  </si>
  <si>
    <t>Baptist Hospital</t>
  </si>
  <si>
    <t>Miami</t>
  </si>
  <si>
    <t>Baptist Medical Center Beaches</t>
  </si>
  <si>
    <t>Jacksonville Beach</t>
  </si>
  <si>
    <t>Baptist Medical Center Jacksonville</t>
  </si>
  <si>
    <t>Baptist Medical Center Nassau</t>
  </si>
  <si>
    <t>Fernandina Beach</t>
  </si>
  <si>
    <t>Bartow Regional Medical Center</t>
  </si>
  <si>
    <t>Bartow</t>
  </si>
  <si>
    <t>Bascom Palmer Eye Institute</t>
  </si>
  <si>
    <t>Bay Medical Sacred Heart</t>
  </si>
  <si>
    <t>Panama City</t>
  </si>
  <si>
    <t>Bay Pines VA Healthcare System</t>
  </si>
  <si>
    <t>Bay Pines</t>
  </si>
  <si>
    <t>Bayfront Health Brooksville</t>
  </si>
  <si>
    <t>Brooksville</t>
  </si>
  <si>
    <t>Bayfront Health Port Charlotte</t>
  </si>
  <si>
    <t>Port Charlotte</t>
  </si>
  <si>
    <t>Bayfront Health Punta Gorda</t>
  </si>
  <si>
    <t>Punta Gorda</t>
  </si>
  <si>
    <t>Bayfront Health Seven Rivers</t>
  </si>
  <si>
    <t>Crystal River</t>
  </si>
  <si>
    <t>Bayfront Health Spring Hill</t>
  </si>
  <si>
    <t>Spring Hill</t>
  </si>
  <si>
    <t>Bayfront Health St. Petersburg</t>
  </si>
  <si>
    <t>Saint Petersburg</t>
  </si>
  <si>
    <t>Bethesda Hospital East</t>
  </si>
  <si>
    <t>Boynton Beach</t>
  </si>
  <si>
    <t>Bethesda Hospital West</t>
  </si>
  <si>
    <t>Blake Medical Center</t>
  </si>
  <si>
    <t>Bradenton</t>
  </si>
  <si>
    <t>Boca Raton Regional Hospital</t>
  </si>
  <si>
    <t>Boca Raton</t>
  </si>
  <si>
    <t>Brandon Regional Hospital</t>
  </si>
  <si>
    <t>Brandon</t>
  </si>
  <si>
    <t>Broward Health Coral Springs</t>
  </si>
  <si>
    <t>Coral Springs</t>
  </si>
  <si>
    <t>Broward Health Imperial Point</t>
  </si>
  <si>
    <t>Fort Lauderdale</t>
  </si>
  <si>
    <t>Broward Health Medical Center</t>
  </si>
  <si>
    <t>Broward Health North</t>
  </si>
  <si>
    <t>Deerfield Beach</t>
  </si>
  <si>
    <t>Cape Coral Hospital</t>
  </si>
  <si>
    <t>Cape Coral</t>
  </si>
  <si>
    <t>Capital Regional Medical Center</t>
  </si>
  <si>
    <t>Tallahassee</t>
  </si>
  <si>
    <t>Central Florida Regional Hospital</t>
  </si>
  <si>
    <t>Sanford</t>
  </si>
  <si>
    <t>Citrus Memorial Hospital</t>
  </si>
  <si>
    <t>Inverness</t>
  </si>
  <si>
    <t>Cleveland Clinic in Florida - Weston</t>
  </si>
  <si>
    <t>Weston</t>
  </si>
  <si>
    <t>Cleveland Clinic Indian River Hospital</t>
  </si>
  <si>
    <t>Vero Beach</t>
  </si>
  <si>
    <t>Cleveland Clinic Martin Medical Center</t>
  </si>
  <si>
    <t>Stuart</t>
  </si>
  <si>
    <t>Cleveland Clinic Martin South Hospital</t>
  </si>
  <si>
    <t>Cleveland Clinic Tradition Hospital</t>
  </si>
  <si>
    <t>Port St. Lucie</t>
  </si>
  <si>
    <t>Coral Gables Hospital</t>
  </si>
  <si>
    <t>Coral Gables</t>
  </si>
  <si>
    <t>Delray Medical Center</t>
  </si>
  <si>
    <t>Delray Beach</t>
  </si>
  <si>
    <t>DeSoto Memorial Hospital</t>
  </si>
  <si>
    <t>Doctors Hospital</t>
  </si>
  <si>
    <t>Doctors Hospital of Sarasota</t>
  </si>
  <si>
    <t>Sarasota</t>
  </si>
  <si>
    <t>Doctors' Memorial Hospital</t>
  </si>
  <si>
    <t>Perry</t>
  </si>
  <si>
    <t>Dr. P. Phillips Hospital</t>
  </si>
  <si>
    <t>Ed Fraser Memorial Hospital</t>
  </si>
  <si>
    <t>MacClenny</t>
  </si>
  <si>
    <t>Englewood Community Hospital</t>
  </si>
  <si>
    <t>Fawcett Memorial Hospital</t>
  </si>
  <si>
    <t>Flagler Hospital</t>
  </si>
  <si>
    <t>Saint Augustine</t>
  </si>
  <si>
    <t>Florida Medical Center</t>
  </si>
  <si>
    <t>Florida State Hospital</t>
  </si>
  <si>
    <t>Chattahoochee</t>
  </si>
  <si>
    <t>Fort Walton Beach Medical Center</t>
  </si>
  <si>
    <t>Fort Walton Beach</t>
  </si>
  <si>
    <t>West Palm Beach</t>
  </si>
  <si>
    <t>Gulf Breeze Hospital</t>
  </si>
  <si>
    <t>Gulf Breeze</t>
  </si>
  <si>
    <t>Gulf Coast Medical Center</t>
  </si>
  <si>
    <t>Fort Myers</t>
  </si>
  <si>
    <t>Gulf Coast Regional Medical Center</t>
  </si>
  <si>
    <t>Halifax Health Medical Center of Daytona Beach</t>
  </si>
  <si>
    <t>Halifax Health Medical Center of Port Orange</t>
  </si>
  <si>
    <t>Port Orange</t>
  </si>
  <si>
    <t>Halifax Health/UF Health Medical Center of Deltona</t>
  </si>
  <si>
    <t>Deltona</t>
  </si>
  <si>
    <t>Health Central Hospital</t>
  </si>
  <si>
    <t>Ocoee</t>
  </si>
  <si>
    <t>Health First Cape Canaveral Hospital</t>
  </si>
  <si>
    <t>Cocoa Beach</t>
  </si>
  <si>
    <t>Health First Holmes Regional Medical Center</t>
  </si>
  <si>
    <t>Melbourne</t>
  </si>
  <si>
    <t>Healthmark Regional Medical Center</t>
  </si>
  <si>
    <t>Defuniak Springs</t>
  </si>
  <si>
    <t>HealthPark Medical Center</t>
  </si>
  <si>
    <t>Hialeah Hospital</t>
  </si>
  <si>
    <t>Hialeah</t>
  </si>
  <si>
    <t>Highlands Regional Medical Center</t>
  </si>
  <si>
    <t>Holy Cross Hospital</t>
  </si>
  <si>
    <t>Homestead Hospital</t>
  </si>
  <si>
    <t>Homestead</t>
  </si>
  <si>
    <t>Marianna</t>
  </si>
  <si>
    <t>Jackson Memorial Hospital</t>
  </si>
  <si>
    <t>Jackson North Medical Center</t>
  </si>
  <si>
    <t>North Miami Beach</t>
  </si>
  <si>
    <t>Jackson South Medical Center</t>
  </si>
  <si>
    <t>James A. Haley Veterans' Hospital</t>
  </si>
  <si>
    <t>Jay Hospital</t>
  </si>
  <si>
    <t>Jay</t>
  </si>
  <si>
    <t>JFK Medical Center - Main</t>
  </si>
  <si>
    <t>Atlantis</t>
  </si>
  <si>
    <t>JFK Medical Center - North Campus</t>
  </si>
  <si>
    <t>Jupiter Medical Center</t>
  </si>
  <si>
    <t>Jupiter</t>
  </si>
  <si>
    <t>Kendall Regional Medical Center</t>
  </si>
  <si>
    <t>Lake City Medical Center</t>
  </si>
  <si>
    <t>Lake City</t>
  </si>
  <si>
    <t>Lake City VA Medical Center</t>
  </si>
  <si>
    <t>Lakeland Regional Health Medical Center</t>
  </si>
  <si>
    <t>Lakeland</t>
  </si>
  <si>
    <t>Lakeside Medical Center</t>
  </si>
  <si>
    <t>Belle Glade</t>
  </si>
  <si>
    <t>Lakewood Ranch Medical Center</t>
  </si>
  <si>
    <t>Lakewood Ranch</t>
  </si>
  <si>
    <t>Largo Medical Center</t>
  </si>
  <si>
    <t>Largo</t>
  </si>
  <si>
    <t>Largo Medical Center - Indian Rocks Campus</t>
  </si>
  <si>
    <t>Larkin Community Hospital Palm Springs Campus</t>
  </si>
  <si>
    <t>Larkin Community Hospital South Miami</t>
  </si>
  <si>
    <t>South Miami</t>
  </si>
  <si>
    <t>Lawnwood Regional Medical Center &amp; Heart Institute</t>
  </si>
  <si>
    <t>Fort Pierce</t>
  </si>
  <si>
    <t>Lee Memorial Hospital</t>
  </si>
  <si>
    <t>Lehigh Regional Medical Center</t>
  </si>
  <si>
    <t>Lehigh Acres</t>
  </si>
  <si>
    <t>Lower Keys Medical Center</t>
  </si>
  <si>
    <t>Key West</t>
  </si>
  <si>
    <t>Malcom Randall VA Medical Center</t>
  </si>
  <si>
    <t>Gainesville</t>
  </si>
  <si>
    <t>Manatee Memorial Hospital</t>
  </si>
  <si>
    <t>Mayo Clinic Hospital in Florida</t>
  </si>
  <si>
    <t>Mease Countryside Hospital</t>
  </si>
  <si>
    <t>Safety Harbor</t>
  </si>
  <si>
    <t>Mease Dunedin Hospital</t>
  </si>
  <si>
    <t>Dunedin</t>
  </si>
  <si>
    <t>Medical Center of Trinity</t>
  </si>
  <si>
    <t>Trinity</t>
  </si>
  <si>
    <t>Melbourne Regional Medical Center</t>
  </si>
  <si>
    <t>Memorial Hospital</t>
  </si>
  <si>
    <t>Memorial Hospital Miramar</t>
  </si>
  <si>
    <t>Miramar</t>
  </si>
  <si>
    <t>Memorial Hospital of Tampa</t>
  </si>
  <si>
    <t>Memorial Hospital Pembroke</t>
  </si>
  <si>
    <t>Pembroke Pines</t>
  </si>
  <si>
    <t>Memorial Hospital West</t>
  </si>
  <si>
    <t>Memorial Regional Hospital</t>
  </si>
  <si>
    <t>Memorial Regional Hospital South</t>
  </si>
  <si>
    <t>Mercy Hospital</t>
  </si>
  <si>
    <t>Miami Jewish Health Systems</t>
  </si>
  <si>
    <t>Miami VA Healthcare System</t>
  </si>
  <si>
    <t>Moffitt Cancer Center</t>
  </si>
  <si>
    <t>Morton Plant Hospital</t>
  </si>
  <si>
    <t>Clearwater</t>
  </si>
  <si>
    <t>Morton Plant North Bay Hospital</t>
  </si>
  <si>
    <t>New Port Richey</t>
  </si>
  <si>
    <t>Mount Sinai Medical Center</t>
  </si>
  <si>
    <t>Miami Beach</t>
  </si>
  <si>
    <t>Naval Hospital Jacksonville</t>
  </si>
  <si>
    <t>Naval Hospital Pensacola</t>
  </si>
  <si>
    <t>NCH Baker Hospital Downtown</t>
  </si>
  <si>
    <t>Naples</t>
  </si>
  <si>
    <t>NCH North Naples Hospital</t>
  </si>
  <si>
    <t>North Florida Regional Medical Center</t>
  </si>
  <si>
    <t>North Okaloosa Medical Center</t>
  </si>
  <si>
    <t>Crestview</t>
  </si>
  <si>
    <t>North Shore Medical Center</t>
  </si>
  <si>
    <t>Northside Hospital &amp; Tampa Bay Heart Institute</t>
  </si>
  <si>
    <t>Margate</t>
  </si>
  <si>
    <t>Oak Hill Hospital</t>
  </si>
  <si>
    <t>Ocala Regional Medical Center</t>
  </si>
  <si>
    <t>Orange Park Medical Center</t>
  </si>
  <si>
    <t>Orange Park</t>
  </si>
  <si>
    <t>Orlando Health St. Cloud Hospital</t>
  </si>
  <si>
    <t>Saint Cloud</t>
  </si>
  <si>
    <t>Orlando Regional Medical Center</t>
  </si>
  <si>
    <t>Orlando VA Medical Center</t>
  </si>
  <si>
    <t>Osceola Regional Medical Center</t>
  </si>
  <si>
    <t>Oviedo Medical Center</t>
  </si>
  <si>
    <t>Oviedo</t>
  </si>
  <si>
    <t>Palm Bay Hospital</t>
  </si>
  <si>
    <t>Palm Bay</t>
  </si>
  <si>
    <t>Palm Beach Gardens Medical Center</t>
  </si>
  <si>
    <t>Palm Beach Gardens</t>
  </si>
  <si>
    <t>Palmetto General Hospital</t>
  </si>
  <si>
    <t>Palms of Pasadena Hospital</t>
  </si>
  <si>
    <t>Palms West Hospital</t>
  </si>
  <si>
    <t>Loxahatchee</t>
  </si>
  <si>
    <t>Parrish Medical Center</t>
  </si>
  <si>
    <t>Titusville</t>
  </si>
  <si>
    <t>Physicians Regional - Collier Boulevard</t>
  </si>
  <si>
    <t>Physicians Regional - Pine Ridge</t>
  </si>
  <si>
    <t>Plantation General Hospital</t>
  </si>
  <si>
    <t>Plantation</t>
  </si>
  <si>
    <t>Poinciana Medical Center</t>
  </si>
  <si>
    <t>Putnam Community Medical Center</t>
  </si>
  <si>
    <t>Palatka</t>
  </si>
  <si>
    <t>Raulerson Hospital</t>
  </si>
  <si>
    <t>Okeechobee</t>
  </si>
  <si>
    <t>Reception and Medical Center</t>
  </si>
  <si>
    <t>Lake Butler</t>
  </si>
  <si>
    <t>Regional Medical Center Bayonet Point</t>
  </si>
  <si>
    <t>Hudson</t>
  </si>
  <si>
    <t>Rockledge Regional Medical Center</t>
  </si>
  <si>
    <t>Rockledge</t>
  </si>
  <si>
    <t>Saint Anthony's Hospital</t>
  </si>
  <si>
    <t>Saint Joseph's Hospital - North</t>
  </si>
  <si>
    <t>Lutz</t>
  </si>
  <si>
    <t>Saint Joseph's Hospital - South</t>
  </si>
  <si>
    <t>Riverview</t>
  </si>
  <si>
    <t>Saint Joseph's Women's Hospital</t>
  </si>
  <si>
    <t>Saint Lucie Medical Center</t>
  </si>
  <si>
    <t>Port Saint Lucie</t>
  </si>
  <si>
    <t>Saint Petersburg General Hospital</t>
  </si>
  <si>
    <t>Santa Rosa Medical Center</t>
  </si>
  <si>
    <t>Milton</t>
  </si>
  <si>
    <t>Sarasota Memorial Hospital</t>
  </si>
  <si>
    <t>Sebastian River Medical Center</t>
  </si>
  <si>
    <t>Sebastian</t>
  </si>
  <si>
    <t>Shands Lake Shore Regional Medical Center</t>
  </si>
  <si>
    <t>South Bay Hospital</t>
  </si>
  <si>
    <t>Sun City Center</t>
  </si>
  <si>
    <t>South Florida Baptist Hospital</t>
  </si>
  <si>
    <t>Plant City</t>
  </si>
  <si>
    <t>South Lake Hospital</t>
  </si>
  <si>
    <t>Clermont</t>
  </si>
  <si>
    <t>South Miami Hospital</t>
  </si>
  <si>
    <t>South Seminole Hospital</t>
  </si>
  <si>
    <t>Longwood</t>
  </si>
  <si>
    <t>Sylvester Comprehensive Cancer Center</t>
  </si>
  <si>
    <t>Tallahassee Memorial Healthcare</t>
  </si>
  <si>
    <t>Tampa Community Hospital</t>
  </si>
  <si>
    <t>Tampa General Hospital</t>
  </si>
  <si>
    <t>Twin Cities Hospital</t>
  </si>
  <si>
    <t>Niceville</t>
  </si>
  <si>
    <t>UF Health Cancer Center at Orlando Health</t>
  </si>
  <si>
    <t>UF Health Jacksonville</t>
  </si>
  <si>
    <t>UF Health Leesburg</t>
  </si>
  <si>
    <t>Leesburg</t>
  </si>
  <si>
    <t>UF Health Shands Florida</t>
  </si>
  <si>
    <t>UF Health The Villages Hospital</t>
  </si>
  <si>
    <t>The Villages</t>
  </si>
  <si>
    <t>UHealth Tower</t>
  </si>
  <si>
    <t>University Hospital and Medical Center</t>
  </si>
  <si>
    <t>Tamarac</t>
  </si>
  <si>
    <t>Venice Regional Bayfront Health</t>
  </si>
  <si>
    <t>Venice</t>
  </si>
  <si>
    <t>Viera Hospital</t>
  </si>
  <si>
    <t>Wellington Regional Medical Center</t>
  </si>
  <si>
    <t>Wellington</t>
  </si>
  <si>
    <t>West Boca Medical Center</t>
  </si>
  <si>
    <t>West Boca Raton</t>
  </si>
  <si>
    <t>West Florida Hospital</t>
  </si>
  <si>
    <t>West Kendall Baptist Hospital</t>
  </si>
  <si>
    <t>West Marion Community Hospital</t>
  </si>
  <si>
    <t>West Palm Beach VA Medical Center</t>
  </si>
  <si>
    <t>Westchester General Hospital</t>
  </si>
  <si>
    <t>Westside Regional Medical Center</t>
  </si>
  <si>
    <t>Winter Haven Hospital</t>
  </si>
  <si>
    <t>Winter Haven</t>
  </si>
  <si>
    <t>Winter Haven Women's Hospital</t>
  </si>
  <si>
    <t>Emory Hillandale Hospital</t>
  </si>
  <si>
    <t>Lithonia</t>
  </si>
  <si>
    <t>AdventHealth Gordon</t>
  </si>
  <si>
    <t>Calhoun</t>
  </si>
  <si>
    <t>AdventHealth Murray</t>
  </si>
  <si>
    <t>Chatsworth</t>
  </si>
  <si>
    <t>Appling Hospital</t>
  </si>
  <si>
    <t>Baxley</t>
  </si>
  <si>
    <t>Archbold Medical Center</t>
  </si>
  <si>
    <t>Thomasville</t>
  </si>
  <si>
    <t>Atlanta VA Medical Center</t>
  </si>
  <si>
    <t>Augusta University Medical Center</t>
  </si>
  <si>
    <t>Augusta</t>
  </si>
  <si>
    <t>Burke Medical Center</t>
  </si>
  <si>
    <t>Waynesboro</t>
  </si>
  <si>
    <t>Cancer Treatment Centers of America Atlanta</t>
  </si>
  <si>
    <t>Newnan</t>
  </si>
  <si>
    <t>Candler Hospital</t>
  </si>
  <si>
    <t>Savannah</t>
  </si>
  <si>
    <t>Cartersville Medical Center</t>
  </si>
  <si>
    <t>Cartersville</t>
  </si>
  <si>
    <t>Charlie Norwood VA Medical Center</t>
  </si>
  <si>
    <t>CHI Memorial Hospital Georgia</t>
  </si>
  <si>
    <t>Fort Oglethorpe</t>
  </si>
  <si>
    <t>Coffee Regional Medical Center</t>
  </si>
  <si>
    <t>Douglas</t>
  </si>
  <si>
    <t>Coliseum Medical Center</t>
  </si>
  <si>
    <t>Macon</t>
  </si>
  <si>
    <t>Coliseum Northside Hospital</t>
  </si>
  <si>
    <t>Colquitt Regional Medical Center</t>
  </si>
  <si>
    <t>Moultrie</t>
  </si>
  <si>
    <t>Crisp Regional Hospital</t>
  </si>
  <si>
    <t>Cordele</t>
  </si>
  <si>
    <t>Doctors Hospital of Augusta</t>
  </si>
  <si>
    <t>Dodge County Hospital</t>
  </si>
  <si>
    <t>Eastman</t>
  </si>
  <si>
    <t>Donalsonville Hospital</t>
  </si>
  <si>
    <t>Donalsonville</t>
  </si>
  <si>
    <t>Dorminy Medical Center</t>
  </si>
  <si>
    <t>Fitzgerald</t>
  </si>
  <si>
    <t>Dublin VA Medical Center</t>
  </si>
  <si>
    <t>Dublin</t>
  </si>
  <si>
    <t>East Georgia Regional Medical Center</t>
  </si>
  <si>
    <t>Statesboro</t>
  </si>
  <si>
    <t>Eastside Medical Center</t>
  </si>
  <si>
    <t>Snellville</t>
  </si>
  <si>
    <t>Eisenhower Army Medical Center</t>
  </si>
  <si>
    <t>Fort Gordon</t>
  </si>
  <si>
    <t>Elbert Memorial Hospital</t>
  </si>
  <si>
    <t>Elberton</t>
  </si>
  <si>
    <t>Swainsboro</t>
  </si>
  <si>
    <t>Emory Decatur Hospital</t>
  </si>
  <si>
    <t>Emory Johns Creek Hospital</t>
  </si>
  <si>
    <t>Johns Creek</t>
  </si>
  <si>
    <t>Emory Saint Joseph's Hospital</t>
  </si>
  <si>
    <t>Atlanta</t>
  </si>
  <si>
    <t>Emory University Hospital</t>
  </si>
  <si>
    <t>Emory University Hospital at Wesley Woods</t>
  </si>
  <si>
    <t>Emory University Hospital Midtown</t>
  </si>
  <si>
    <t>Emory University Orthopaedics &amp; Spine Hospital</t>
  </si>
  <si>
    <t>Tucker</t>
  </si>
  <si>
    <t>Evans Memorial Hospital</t>
  </si>
  <si>
    <t>Claxton</t>
  </si>
  <si>
    <t>Fairview Park Hospital</t>
  </si>
  <si>
    <t>Fannin Regional Hospital</t>
  </si>
  <si>
    <t>Blue Ridge</t>
  </si>
  <si>
    <t>Flint River Community Hospital</t>
  </si>
  <si>
    <t>Montezuma</t>
  </si>
  <si>
    <t>Floyd Medical Center</t>
  </si>
  <si>
    <t>Rome</t>
  </si>
  <si>
    <t>Grady General Hospital</t>
  </si>
  <si>
    <t>Cairo</t>
  </si>
  <si>
    <t>Grady Memorial Hospital</t>
  </si>
  <si>
    <t>Habersham Medical Center</t>
  </si>
  <si>
    <t>Demorest</t>
  </si>
  <si>
    <t>Hamilton Medical Center</t>
  </si>
  <si>
    <t>Dalton</t>
  </si>
  <si>
    <t>Houston Medical Center</t>
  </si>
  <si>
    <t>Warner Robins</t>
  </si>
  <si>
    <t>Irwin County Hospital</t>
  </si>
  <si>
    <t>Ocilla</t>
  </si>
  <si>
    <t>Jefferson Hospital</t>
  </si>
  <si>
    <t>Martin Army Community Hospital</t>
  </si>
  <si>
    <t>Fort Benning</t>
  </si>
  <si>
    <t>Meadows Regional Medical Center</t>
  </si>
  <si>
    <t>Vidalia</t>
  </si>
  <si>
    <t>Medical Center Navicent Health</t>
  </si>
  <si>
    <t>Memorial Health University Medical Center</t>
  </si>
  <si>
    <t>Memorial Hospital and Manor</t>
  </si>
  <si>
    <t>Bainbridge</t>
  </si>
  <si>
    <t>Memorial Satilla Health</t>
  </si>
  <si>
    <t>Waycross</t>
  </si>
  <si>
    <t>Navicent Health Baldwin</t>
  </si>
  <si>
    <t>Milledgeville</t>
  </si>
  <si>
    <t>Northeast Georgia Medical Center Barrow</t>
  </si>
  <si>
    <t>Winder</t>
  </si>
  <si>
    <t>Northeast Georgia Medical Center Braselton</t>
  </si>
  <si>
    <t>Braselton</t>
  </si>
  <si>
    <t>Northeast Georgia Medical Center Gainesville</t>
  </si>
  <si>
    <t>Northridge Medical Center</t>
  </si>
  <si>
    <t>Commerce</t>
  </si>
  <si>
    <t>Northside Hospital Atlanta</t>
  </si>
  <si>
    <t>Northside Hospital Cherokee</t>
  </si>
  <si>
    <t>Canton</t>
  </si>
  <si>
    <t>Northside Hospital Duluth</t>
  </si>
  <si>
    <t>Duluth</t>
  </si>
  <si>
    <t>Northside Hospital Forsyth</t>
  </si>
  <si>
    <t>Cumming</t>
  </si>
  <si>
    <t>Northside Hospital Gwinnett</t>
  </si>
  <si>
    <t>Lawrenceville</t>
  </si>
  <si>
    <t>Perry Hospital</t>
  </si>
  <si>
    <t>Phoebe Putney Memorial Hospital</t>
  </si>
  <si>
    <t>Albany</t>
  </si>
  <si>
    <t>Phoebe Putney Memorial Hospital North Campus</t>
  </si>
  <si>
    <t>Phoebe Sumter Medical Center</t>
  </si>
  <si>
    <t>Americus</t>
  </si>
  <si>
    <t>Piedmont Athens Regional</t>
  </si>
  <si>
    <t>Piedmont Atlanta Hospital</t>
  </si>
  <si>
    <t>Piedmont Columbus Regional - Midtown Campus</t>
  </si>
  <si>
    <t>Columbus</t>
  </si>
  <si>
    <t>Piedmont Columbus Regional - Northside</t>
  </si>
  <si>
    <t>Piedmont Fayette Hospital</t>
  </si>
  <si>
    <t>Piedmont Henry Hospital</t>
  </si>
  <si>
    <t>Stockbridge</t>
  </si>
  <si>
    <t>Piedmont Mountainside Hospital</t>
  </si>
  <si>
    <t>Piedmont Newnan Hospital</t>
  </si>
  <si>
    <t>Piedmont Newton Hospital</t>
  </si>
  <si>
    <t>Covington</t>
  </si>
  <si>
    <t>Piedmont Rockdale Hospital</t>
  </si>
  <si>
    <t>Conyers</t>
  </si>
  <si>
    <t>Piedmont Walton</t>
  </si>
  <si>
    <t>Monroe</t>
  </si>
  <si>
    <t>Redmond Regional Medical Center</t>
  </si>
  <si>
    <t>Saint Mary's Sacred Heart Hospital</t>
  </si>
  <si>
    <t>Lavonia</t>
  </si>
  <si>
    <t>SGMC Berrien Campus</t>
  </si>
  <si>
    <t>Nashville</t>
  </si>
  <si>
    <t>South Georgia Medical Center</t>
  </si>
  <si>
    <t>Valdosta</t>
  </si>
  <si>
    <t>Southeast Georgia Health System - Brunswick Campus</t>
  </si>
  <si>
    <t>Brunswick</t>
  </si>
  <si>
    <t>Southeast Georgia Health System - Camden Campus</t>
  </si>
  <si>
    <t>Saint Marys</t>
  </si>
  <si>
    <t>Southern Regional Medical Center</t>
  </si>
  <si>
    <t>Riverdale</t>
  </si>
  <si>
    <t>Southwell Medical</t>
  </si>
  <si>
    <t>Adel</t>
  </si>
  <si>
    <t>St. Mary's Hospital</t>
  </si>
  <si>
    <t>Stephens County Hospital</t>
  </si>
  <si>
    <t>Toccoa</t>
  </si>
  <si>
    <t>Tanner Medical Center Carrollton</t>
  </si>
  <si>
    <t>Carrollton</t>
  </si>
  <si>
    <t>Tanner Medical Center Villa Rica</t>
  </si>
  <si>
    <t>Villa Rica</t>
  </si>
  <si>
    <t>Taylor Regional Hospital</t>
  </si>
  <si>
    <t>Hawkinsville</t>
  </si>
  <si>
    <t>Tift Regional Medical Center</t>
  </si>
  <si>
    <t>Tifton</t>
  </si>
  <si>
    <t>Turning Point Care Center</t>
  </si>
  <si>
    <t>Union General Hospital</t>
  </si>
  <si>
    <t>Blairsville</t>
  </si>
  <si>
    <t>University Hospital</t>
  </si>
  <si>
    <t>University Hospital McDuffie</t>
  </si>
  <si>
    <t>Thomson</t>
  </si>
  <si>
    <t>University Hospital Summerville</t>
  </si>
  <si>
    <t>Upson Regional Medical Center</t>
  </si>
  <si>
    <t>Thomaston</t>
  </si>
  <si>
    <t>Washington County Regional Medical Center</t>
  </si>
  <si>
    <t>Sandersville</t>
  </si>
  <si>
    <t>Wayne Memorial Hospital</t>
  </si>
  <si>
    <t>Jesup</t>
  </si>
  <si>
    <t>WellStar Atlanta Medical Center</t>
  </si>
  <si>
    <t>WellStar Atlanta Medical Center - South Campus</t>
  </si>
  <si>
    <t>East Point</t>
  </si>
  <si>
    <t>WellStar Cobb Hospital</t>
  </si>
  <si>
    <t>Austell</t>
  </si>
  <si>
    <t>WellStar Douglas Hospital</t>
  </si>
  <si>
    <t>Douglasville</t>
  </si>
  <si>
    <t>WellStar Kennestone Hospital</t>
  </si>
  <si>
    <t>Marietta</t>
  </si>
  <si>
    <t>WellStar North Fulton Regional Hospital</t>
  </si>
  <si>
    <t>Roswell</t>
  </si>
  <si>
    <t>WellStar Paulding Hospital</t>
  </si>
  <si>
    <t>Hiram</t>
  </si>
  <si>
    <t>WellStar Spalding Regional Hospital</t>
  </si>
  <si>
    <t>Griffin</t>
  </si>
  <si>
    <t>WellStar West Georgia Medical Center</t>
  </si>
  <si>
    <t>LaGrange</t>
  </si>
  <si>
    <t>Winn Army Community Hospital</t>
  </si>
  <si>
    <t>Fort Stewart</t>
  </si>
  <si>
    <t>Adventist Health Castle</t>
  </si>
  <si>
    <t>Kailua</t>
  </si>
  <si>
    <t>Hilo Medical Center</t>
  </si>
  <si>
    <t>Hilo</t>
  </si>
  <si>
    <t>Kaiser Permanente Moanalua Medical Center &amp; Clinic</t>
  </si>
  <si>
    <t>Honolulu</t>
  </si>
  <si>
    <t>Kona Community Hospital</t>
  </si>
  <si>
    <t>Kealakekua</t>
  </si>
  <si>
    <t>Kuakini Medical Center</t>
  </si>
  <si>
    <t>Maui Memorial Medical Center</t>
  </si>
  <si>
    <t>Wailuku</t>
  </si>
  <si>
    <t>North Hawaii Community Hospital</t>
  </si>
  <si>
    <t>Kamuela</t>
  </si>
  <si>
    <t>Pali Momi Medical Center</t>
  </si>
  <si>
    <t>Aiea</t>
  </si>
  <si>
    <t>Straub Medical Center</t>
  </si>
  <si>
    <t>The Queen's Medical Center</t>
  </si>
  <si>
    <t>The Queen's Medical Center West O'Ahu</t>
  </si>
  <si>
    <t>Ewa Beach</t>
  </si>
  <si>
    <t>Tripler Army Medical Center</t>
  </si>
  <si>
    <t>Wahiawa General Hospital</t>
  </si>
  <si>
    <t>Wahiawa</t>
  </si>
  <si>
    <t>Wilcox Memorial Hospital</t>
  </si>
  <si>
    <t>Lihue</t>
  </si>
  <si>
    <t>Genesis Medical Center, East Rusholme Street</t>
  </si>
  <si>
    <t>Broadlawns Medical Center</t>
  </si>
  <si>
    <t>Des Moines</t>
  </si>
  <si>
    <t>Cedar Falls Medical Center</t>
  </si>
  <si>
    <t>Cedar Falls</t>
  </si>
  <si>
    <t>CHI Health Mercy Council Bluffs</t>
  </si>
  <si>
    <t>Council Bluffs</t>
  </si>
  <si>
    <t>Fort Madison Community Hospital</t>
  </si>
  <si>
    <t>Fort Madison</t>
  </si>
  <si>
    <t>Genesis Medical Center, West Central Park</t>
  </si>
  <si>
    <t>West Burlington</t>
  </si>
  <si>
    <t>Iowa City VA Health Care System</t>
  </si>
  <si>
    <t>Iowa City</t>
  </si>
  <si>
    <t>Iowa Lutheran Hospital</t>
  </si>
  <si>
    <t>Iowa Methodist Medical Center</t>
  </si>
  <si>
    <t>Lakes Regional Hospital</t>
  </si>
  <si>
    <t>Spirit Lake</t>
  </si>
  <si>
    <t>Mary Greeley Medical Center</t>
  </si>
  <si>
    <t>Ames</t>
  </si>
  <si>
    <t>Mercy Iowa City</t>
  </si>
  <si>
    <t>Cedar Rapids</t>
  </si>
  <si>
    <t>MercyOne Clinton Medical Center</t>
  </si>
  <si>
    <t>Clinton</t>
  </si>
  <si>
    <t>MercyOne Des Moines</t>
  </si>
  <si>
    <t>MercyOne Dubuque Medical Center</t>
  </si>
  <si>
    <t>Dubuque</t>
  </si>
  <si>
    <t>MercyOne Newton Medical Center</t>
  </si>
  <si>
    <t>Newton</t>
  </si>
  <si>
    <t>MercyOne North Iowa</t>
  </si>
  <si>
    <t>Mason City</t>
  </si>
  <si>
    <t>MercyOne Siouxland Medical Center</t>
  </si>
  <si>
    <t>Sioux City</t>
  </si>
  <si>
    <t>MercyOne Waterloo Medical Center</t>
  </si>
  <si>
    <t>Waterloo</t>
  </si>
  <si>
    <t>MercyOne West Des Moines Medical Center</t>
  </si>
  <si>
    <t>West Des Moines</t>
  </si>
  <si>
    <t>Methodist Jennie Edmundson Hospital</t>
  </si>
  <si>
    <t>Methodist West Hospital</t>
  </si>
  <si>
    <t>Ottumwa Regional Health Center</t>
  </si>
  <si>
    <t>Ottumwa</t>
  </si>
  <si>
    <t>Saint Anthony Regional Hospital</t>
  </si>
  <si>
    <t>Carroll</t>
  </si>
  <si>
    <t>Saint Luke's Hospital</t>
  </si>
  <si>
    <t>Spencer Hospital</t>
  </si>
  <si>
    <t>Spencer</t>
  </si>
  <si>
    <t>Trinity Regional Medical Center</t>
  </si>
  <si>
    <t>Fort Dodge</t>
  </si>
  <si>
    <t>UnityPoint Health - Allen Hospital</t>
  </si>
  <si>
    <t>UnityPoint Health - Finley Hospital</t>
  </si>
  <si>
    <t>UnityPoint Health - Grinnell Regional Medical Center.</t>
  </si>
  <si>
    <t>Grinnell</t>
  </si>
  <si>
    <t>UnityPoint Health - Trinity</t>
  </si>
  <si>
    <t>Bettendorf</t>
  </si>
  <si>
    <t>Muscatine</t>
  </si>
  <si>
    <t>UnityPoint Health Keokuk</t>
  </si>
  <si>
    <t>Keokuk</t>
  </si>
  <si>
    <t>UnityPoint Health Marshalltown</t>
  </si>
  <si>
    <t>Marshalltown</t>
  </si>
  <si>
    <t>UnityPoint Health St. Luke's Regional Medical Center</t>
  </si>
  <si>
    <t>University of Iowa Hospitals &amp; Clinics</t>
  </si>
  <si>
    <t>VA Central Iowa Health Care System</t>
  </si>
  <si>
    <t>Boise VA Medical Center</t>
  </si>
  <si>
    <t>Boise</t>
  </si>
  <si>
    <t>Eastern Idaho Regional Medical Center</t>
  </si>
  <si>
    <t>Idaho Falls</t>
  </si>
  <si>
    <t>Grove Creek Medical Center</t>
  </si>
  <si>
    <t>Blackfoot</t>
  </si>
  <si>
    <t>Idaho Falls Community Hospital</t>
  </si>
  <si>
    <t>Kootenai Health</t>
  </si>
  <si>
    <t>Coeur d'Alene</t>
  </si>
  <si>
    <t>Madison Memorial Hospital</t>
  </si>
  <si>
    <t>Rexburg</t>
  </si>
  <si>
    <t>Mountain View Hospital</t>
  </si>
  <si>
    <t>Northwest Specialty Hospital</t>
  </si>
  <si>
    <t>Post Falls</t>
  </si>
  <si>
    <t>Portneuf Medical Center</t>
  </si>
  <si>
    <t>Pocatello</t>
  </si>
  <si>
    <t>Saint Alphonsus Medical Center - Nampa</t>
  </si>
  <si>
    <t>Nampa</t>
  </si>
  <si>
    <t>Saint Alphonsus Nampa Emergency Room - 12 Ave</t>
  </si>
  <si>
    <t>Saint Alphonsus Regional Medical Center</t>
  </si>
  <si>
    <t>Saint Joseph Regional Medical Center</t>
  </si>
  <si>
    <t>Lewiston</t>
  </si>
  <si>
    <t>St. Luke's Boise Medical Center</t>
  </si>
  <si>
    <t>St. Luke's Magic Valley Medical Center</t>
  </si>
  <si>
    <t>Twin Falls</t>
  </si>
  <si>
    <t>St. Luke's Meridian Medical Center</t>
  </si>
  <si>
    <t>Meridian</t>
  </si>
  <si>
    <t>St. Luke's Nampa Medical Center</t>
  </si>
  <si>
    <t>Treasure Valley Hospital</t>
  </si>
  <si>
    <t>West Valley Medical Center</t>
  </si>
  <si>
    <t>Caldwell</t>
  </si>
  <si>
    <t>Carle Richland Memorial Hospital</t>
  </si>
  <si>
    <t>Olney</t>
  </si>
  <si>
    <t>Northwestern Medicine Kishwaukee Hospital</t>
  </si>
  <si>
    <t>DeKalb</t>
  </si>
  <si>
    <t>375th Medical Group - Scott Air Force Base Medical Center</t>
  </si>
  <si>
    <t>Scott Air Force Base</t>
  </si>
  <si>
    <t>Advocate Christ Medical Center</t>
  </si>
  <si>
    <t>Oak Lawn</t>
  </si>
  <si>
    <t>Advocate Condell Medical Center</t>
  </si>
  <si>
    <t>Libertyville</t>
  </si>
  <si>
    <t>Advocate Good Samaritan Hospital</t>
  </si>
  <si>
    <t>Downers Grove</t>
  </si>
  <si>
    <t>Advocate Good Shepherd Hospital</t>
  </si>
  <si>
    <t>Barrington</t>
  </si>
  <si>
    <t>Advocate Illinois Masonic Medical Center</t>
  </si>
  <si>
    <t>Chicago</t>
  </si>
  <si>
    <t>Advocate Lutheran General Hospital</t>
  </si>
  <si>
    <t>Park Ridge</t>
  </si>
  <si>
    <t>Advocate Sherman Hospital</t>
  </si>
  <si>
    <t>Elgin</t>
  </si>
  <si>
    <t>Advocate South Suburban Hospital</t>
  </si>
  <si>
    <t>Hazel Crest</t>
  </si>
  <si>
    <t>Advocate Trinity Hospital</t>
  </si>
  <si>
    <t>Alton Memorial Hospital</t>
  </si>
  <si>
    <t>Alton</t>
  </si>
  <si>
    <t>AMITA Health Adventist GlenOaks Hospital</t>
  </si>
  <si>
    <t>Glendale Heights</t>
  </si>
  <si>
    <t>AMITA Health Adventist Medical Center Bolingbrook</t>
  </si>
  <si>
    <t>Bolingbrook</t>
  </si>
  <si>
    <t>AMITA Health Adventist Medical Center Hinsdale</t>
  </si>
  <si>
    <t>Hinsdale</t>
  </si>
  <si>
    <t>AMITA Health Adventist Medical Center La Grange</t>
  </si>
  <si>
    <t>La Grange</t>
  </si>
  <si>
    <t>AMITA Health Alexian Brothers Medical Center Elk Grove Village</t>
  </si>
  <si>
    <t>Elk Grove Village</t>
  </si>
  <si>
    <t>AMITA Health Mercy Medical Center Aurora</t>
  </si>
  <si>
    <t>AMITA Health Resurrection Medical Center Chicago</t>
  </si>
  <si>
    <t>AMITA Health Saint Francis Hospital Evanston</t>
  </si>
  <si>
    <t>Evanston</t>
  </si>
  <si>
    <t>AMITA Health Saint Joseph Hospital Chicago</t>
  </si>
  <si>
    <t>AMITA Health Saint Joseph Hospital Elgin</t>
  </si>
  <si>
    <t>AMITA Health Saint Joseph Medical Center Joliet</t>
  </si>
  <si>
    <t>Joliet</t>
  </si>
  <si>
    <t>AMITA Health Saints Mary and Elizabeth Medical Center Saint Elizabeth Campus</t>
  </si>
  <si>
    <t>AMITA Health Saints Mary and Elizabeth Medical Center Saint Mary Campus</t>
  </si>
  <si>
    <t>AMITA Health St. Alexius Medical Center Hoffman Estates</t>
  </si>
  <si>
    <t>Hoffman Estates</t>
  </si>
  <si>
    <t>AMITA Health St. Marys Hospital Kankakee</t>
  </si>
  <si>
    <t>Kankakee</t>
  </si>
  <si>
    <t>Anderson Hospital</t>
  </si>
  <si>
    <t>Maryville</t>
  </si>
  <si>
    <t>Blessing Hospital</t>
  </si>
  <si>
    <t>Quincy</t>
  </si>
  <si>
    <t>Cancer Treatment Centers of America Chicago</t>
  </si>
  <si>
    <t>Zion</t>
  </si>
  <si>
    <t>Captain James A. Lovell Federal Health Care Center</t>
  </si>
  <si>
    <t>North Chicago</t>
  </si>
  <si>
    <t>Carle BroMenn Medical Center</t>
  </si>
  <si>
    <t>Normal</t>
  </si>
  <si>
    <t>Carle Foundation Hospital</t>
  </si>
  <si>
    <t>Urbana</t>
  </si>
  <si>
    <t>CGH Medical Center</t>
  </si>
  <si>
    <t>Community First Medical Center</t>
  </si>
  <si>
    <t>Crossroads Community Hospital</t>
  </si>
  <si>
    <t>Mount Vernon</t>
  </si>
  <si>
    <t>Decatur Memorial Hospital</t>
  </si>
  <si>
    <t>Edward Hines, Jr. VA Hospital</t>
  </si>
  <si>
    <t>Hines</t>
  </si>
  <si>
    <t>Edward Hospital</t>
  </si>
  <si>
    <t>Naperville</t>
  </si>
  <si>
    <t>Elmhurst Hospital</t>
  </si>
  <si>
    <t>Elmhurst</t>
  </si>
  <si>
    <t>Evanston Hospital</t>
  </si>
  <si>
    <t>FHN Memorial Hospital</t>
  </si>
  <si>
    <t>Freeport</t>
  </si>
  <si>
    <t>Franciscan Health Olympia Fields Campus</t>
  </si>
  <si>
    <t>Olympia Fields</t>
  </si>
  <si>
    <t>Galesburg Cottage Hospital</t>
  </si>
  <si>
    <t>Galesburg</t>
  </si>
  <si>
    <t>Gateway Regional Medical Center</t>
  </si>
  <si>
    <t>Granite City</t>
  </si>
  <si>
    <t>Genesis Medical Center Silvis</t>
  </si>
  <si>
    <t>Silvis</t>
  </si>
  <si>
    <t>Glenbrook Hospital</t>
  </si>
  <si>
    <t>Glenview</t>
  </si>
  <si>
    <t>Graham Hospital</t>
  </si>
  <si>
    <t>Harrisburg Medical Center</t>
  </si>
  <si>
    <t>Harrisburg</t>
  </si>
  <si>
    <t>Heartland Regional Medical Center</t>
  </si>
  <si>
    <t>Marion</t>
  </si>
  <si>
    <t>Herrin Hospital</t>
  </si>
  <si>
    <t>Herrin</t>
  </si>
  <si>
    <t>Highland Park Hospital</t>
  </si>
  <si>
    <t>Highland Park</t>
  </si>
  <si>
    <t>HSHS Good Shepherd Hospital</t>
  </si>
  <si>
    <t>Shelbyville</t>
  </si>
  <si>
    <t>HSHS Holy Family Hospital</t>
  </si>
  <si>
    <t>HSHS Saint Anthony's Memorial Hospital</t>
  </si>
  <si>
    <t>Effingham</t>
  </si>
  <si>
    <t>HSHS Saint Elizabeth's Hospital</t>
  </si>
  <si>
    <t>O'Fallon</t>
  </si>
  <si>
    <t>HSHS Saint John's Hospital</t>
  </si>
  <si>
    <t>Springfield</t>
  </si>
  <si>
    <t>HSHS Saint Joseph's Hospital Breese</t>
  </si>
  <si>
    <t>Breese</t>
  </si>
  <si>
    <t>HSHS Saint Mary's Hospital</t>
  </si>
  <si>
    <t>HSHS St. John's Children's Hospital</t>
  </si>
  <si>
    <t>Illinois Valley Community Hospital</t>
  </si>
  <si>
    <t>Peru</t>
  </si>
  <si>
    <t>Iroquois Memorial Hospital</t>
  </si>
  <si>
    <t>Watseka</t>
  </si>
  <si>
    <t>Jackson Park Hospital</t>
  </si>
  <si>
    <t>Javon Bea Hospital Rockton</t>
  </si>
  <si>
    <t>Rockford</t>
  </si>
  <si>
    <t>Javon Bea Hospital-Riverside</t>
  </si>
  <si>
    <t>Jersey Community Hospital</t>
  </si>
  <si>
    <t>Jerseyville</t>
  </si>
  <si>
    <t>Jesse Brown VA Medical Center</t>
  </si>
  <si>
    <t>John H. Stroger, Jr. Hospital of Cook County</t>
  </si>
  <si>
    <t>Katherine Shaw Bethea Hospital</t>
  </si>
  <si>
    <t>Dixon</t>
  </si>
  <si>
    <t>Lake Behavioral Hospital</t>
  </si>
  <si>
    <t>Waukegan</t>
  </si>
  <si>
    <t>Loretto Hospital</t>
  </si>
  <si>
    <t>Loyola Gottlieb Memorial Hospital</t>
  </si>
  <si>
    <t>Melrose Park</t>
  </si>
  <si>
    <t>Loyola University Medical Center</t>
  </si>
  <si>
    <t>Maywood</t>
  </si>
  <si>
    <t>MacNeal Hospital</t>
  </si>
  <si>
    <t>Berwyn</t>
  </si>
  <si>
    <t>Marion VA Medical Center</t>
  </si>
  <si>
    <t>McDonough District Hospital</t>
  </si>
  <si>
    <t>Macomb</t>
  </si>
  <si>
    <t>Memorial Hospital Belleville</t>
  </si>
  <si>
    <t>Belleville</t>
  </si>
  <si>
    <t>Memorial Hospital East</t>
  </si>
  <si>
    <t>Shiloh</t>
  </si>
  <si>
    <t>Memorial Hospital of Carbondale</t>
  </si>
  <si>
    <t>Carbondale</t>
  </si>
  <si>
    <t>Mercy Hospital &amp; Medical Center</t>
  </si>
  <si>
    <t>Methodist Hospital of Chicago</t>
  </si>
  <si>
    <t>Morris Hospital</t>
  </si>
  <si>
    <t>Morris</t>
  </si>
  <si>
    <t>Mount Sinai Hospital</t>
  </si>
  <si>
    <t>Northwest Community Hospital</t>
  </si>
  <si>
    <t>Arlington Heights</t>
  </si>
  <si>
    <t>Northwestern Medicine Central DuPage Hospital</t>
  </si>
  <si>
    <t>Northwestern Medicine Delnor Hospital</t>
  </si>
  <si>
    <t>Northwestern Medicine Huntley Hospital</t>
  </si>
  <si>
    <t>Huntley</t>
  </si>
  <si>
    <t>Northwestern Medicine Lake Forest Hospital</t>
  </si>
  <si>
    <t>Lake Forest</t>
  </si>
  <si>
    <t>Northwestern Medicine McHenry Hospital</t>
  </si>
  <si>
    <t>McHenry</t>
  </si>
  <si>
    <t>Northwestern Medicine Prentice Women's Hospital</t>
  </si>
  <si>
    <t>Northwestern Medicine Woodstock Hospital</t>
  </si>
  <si>
    <t>Woodstock</t>
  </si>
  <si>
    <t>Northwestern Memorial Hospital</t>
  </si>
  <si>
    <t>Norwegian American Hospital</t>
  </si>
  <si>
    <t>OSF Children's Hospital of Illinois</t>
  </si>
  <si>
    <t>Peoria</t>
  </si>
  <si>
    <t>OSF Heart of Mary Medical Center</t>
  </si>
  <si>
    <t>OSF Little Company of Mary Medical Center</t>
  </si>
  <si>
    <t>Evergreen Park</t>
  </si>
  <si>
    <t>OSF Sacred Heart Medical Center</t>
  </si>
  <si>
    <t>OSF Saint Anthony Medical Center</t>
  </si>
  <si>
    <t>OSF Saint Anthony's Health Center</t>
  </si>
  <si>
    <t>OSF Saint Elizabeth Medical Center</t>
  </si>
  <si>
    <t>Ottawa</t>
  </si>
  <si>
    <t>OSF Saint Francis Medical Center</t>
  </si>
  <si>
    <t>OSF Saint James-John W. Albrecht Medical Center</t>
  </si>
  <si>
    <t>Pontiac</t>
  </si>
  <si>
    <t>OSF Saint Joseph Medical Center</t>
  </si>
  <si>
    <t>Bloomington</t>
  </si>
  <si>
    <t>OSF Saint Mary Medical Center</t>
  </si>
  <si>
    <t>Palos Hospital</t>
  </si>
  <si>
    <t>Palos Heights</t>
  </si>
  <si>
    <t>Passavant Area Hospital</t>
  </si>
  <si>
    <t>Provident Hospital of Cook County</t>
  </si>
  <si>
    <t>Roseland Community Hospital</t>
  </si>
  <si>
    <t>Rush Oak Park Hospital</t>
  </si>
  <si>
    <t>Oak Park</t>
  </si>
  <si>
    <t>Rush University Medical Center</t>
  </si>
  <si>
    <t>Rush-Copley Medical Center</t>
  </si>
  <si>
    <t>Saint Bernard Hospital and Health Care Center</t>
  </si>
  <si>
    <t>Saint Margaret's Hospital</t>
  </si>
  <si>
    <t>Spring Valley</t>
  </si>
  <si>
    <t>Sarah Bush Lincoln Health Center</t>
  </si>
  <si>
    <t>Mattoon</t>
  </si>
  <si>
    <t>Silver Cross Hospital</t>
  </si>
  <si>
    <t>New Lenox</t>
  </si>
  <si>
    <t>Skokie Hospital</t>
  </si>
  <si>
    <t>Skokie</t>
  </si>
  <si>
    <t>South Shore Hospital</t>
  </si>
  <si>
    <t>SSM Health Good Samaritan Hospital - Mount Vernon</t>
  </si>
  <si>
    <t>SSM Health Saint Mary's Hospital-Centralia</t>
  </si>
  <si>
    <t>Centralia</t>
  </si>
  <si>
    <t>Swedish Hospital</t>
  </si>
  <si>
    <t>SwedishAmerican Hospital</t>
  </si>
  <si>
    <t>The University of Chicago Medical Center</t>
  </si>
  <si>
    <t>Thorek Memorial Hospital</t>
  </si>
  <si>
    <t>Touchette Regional Hospital</t>
  </si>
  <si>
    <t>UChcago Medicine Ingalls Memorial Hospital</t>
  </si>
  <si>
    <t>Harvey</t>
  </si>
  <si>
    <t>UChicago Medicine Center for Care and Discovery - Hyde Park</t>
  </si>
  <si>
    <t>UChicago Medicine Mitchell Hospital - Hyde Park</t>
  </si>
  <si>
    <t>UnityPoint Health - Methodist</t>
  </si>
  <si>
    <t>UnityPoint Health - Pekin</t>
  </si>
  <si>
    <t>Pekin</t>
  </si>
  <si>
    <t>UnityPoint Health - Proctor</t>
  </si>
  <si>
    <t>UnityPoint Health Trinity - Moline</t>
  </si>
  <si>
    <t>Moline</t>
  </si>
  <si>
    <t>UnityPoint Health Trinity - Rock Island</t>
  </si>
  <si>
    <t>Rock Island</t>
  </si>
  <si>
    <t>University of Illinois Medical Center</t>
  </si>
  <si>
    <t>VA Illiana Health Care System</t>
  </si>
  <si>
    <t>Vista Medical Center East</t>
  </si>
  <si>
    <t>Weiss Memorial Hospital</t>
  </si>
  <si>
    <t>West Suburban Medical Center</t>
  </si>
  <si>
    <t>Westlake Hospital</t>
  </si>
  <si>
    <t>Ascension Saint Vincent Carmel</t>
  </si>
  <si>
    <t>Carmel</t>
  </si>
  <si>
    <t>Ascension Saint Vincent Evansville</t>
  </si>
  <si>
    <t>Evansville</t>
  </si>
  <si>
    <t>Ascension Saint Vincent Indianapolis Hospital</t>
  </si>
  <si>
    <t>Indianapolis</t>
  </si>
  <si>
    <t>Ascension St. Vincent Carmel</t>
  </si>
  <si>
    <t>Ascension St. Vincent Castleton</t>
  </si>
  <si>
    <t>Ascension St. Vincent Hospital Avon</t>
  </si>
  <si>
    <t>Avon</t>
  </si>
  <si>
    <t>Ascension St. Vincent Kokomo</t>
  </si>
  <si>
    <t>Kokomo</t>
  </si>
  <si>
    <t>Baptist Health Floyd</t>
  </si>
  <si>
    <t>New Albany</t>
  </si>
  <si>
    <t>Bluffton Regional Medical Center</t>
  </si>
  <si>
    <t>Bluffton</t>
  </si>
  <si>
    <t>Clark Memorial Hospital</t>
  </si>
  <si>
    <t>Jeffersonville</t>
  </si>
  <si>
    <t>Columbus Regional Hospital</t>
  </si>
  <si>
    <t>Community Heart And Vascular Hospital</t>
  </si>
  <si>
    <t>Munster</t>
  </si>
  <si>
    <t>Community Hospital Anderson</t>
  </si>
  <si>
    <t>Anderson</t>
  </si>
  <si>
    <t>Community Hospital East</t>
  </si>
  <si>
    <t>Community Hospital North</t>
  </si>
  <si>
    <t>Community Hospital South</t>
  </si>
  <si>
    <t>Community Howard Regional Health</t>
  </si>
  <si>
    <t>Danville Hospital Main Campus</t>
  </si>
  <si>
    <t>Daviess Community Hospital</t>
  </si>
  <si>
    <t>Deaconess Gateway Hospital</t>
  </si>
  <si>
    <t>Newburgh</t>
  </si>
  <si>
    <t>Deaconess Midtown Hospital</t>
  </si>
  <si>
    <t>Dupont Hospital</t>
  </si>
  <si>
    <t>Fort Wayne</t>
  </si>
  <si>
    <t>Elkhart General Hospital</t>
  </si>
  <si>
    <t>Elkhart</t>
  </si>
  <si>
    <t>Fairbanks Hospital</t>
  </si>
  <si>
    <t>Franciscan Health Crawfordsville</t>
  </si>
  <si>
    <t>Crawfordsville</t>
  </si>
  <si>
    <t>Franciscan Health Indianapolis</t>
  </si>
  <si>
    <t>Franciscan Health Lafayette Central</t>
  </si>
  <si>
    <t>Franciscan Health Lafayette East</t>
  </si>
  <si>
    <t>Franciscan Health Hammond</t>
  </si>
  <si>
    <t>Hammond</t>
  </si>
  <si>
    <t>Franciscan Health Michigan City</t>
  </si>
  <si>
    <t>Michigan City</t>
  </si>
  <si>
    <t>Franciscan Health Mooresville Campus</t>
  </si>
  <si>
    <t>Mooresville</t>
  </si>
  <si>
    <t>Franciscan Health Munster</t>
  </si>
  <si>
    <t>Franciscan Health Carmel</t>
  </si>
  <si>
    <t>Franciscan Health Crown Point</t>
  </si>
  <si>
    <t>Crown Point</t>
  </si>
  <si>
    <t>Franciscan Health Dyer Campus</t>
  </si>
  <si>
    <t>Dyer</t>
  </si>
  <si>
    <t>Vincennes</t>
  </si>
  <si>
    <t>Goshen Hospital</t>
  </si>
  <si>
    <t>Goshen</t>
  </si>
  <si>
    <t>Hancock Regional Hospital</t>
  </si>
  <si>
    <t>Greenfield</t>
  </si>
  <si>
    <t>Henry Community Health</t>
  </si>
  <si>
    <t>New Castle</t>
  </si>
  <si>
    <t>Highpoint Health</t>
  </si>
  <si>
    <t>Lawrenceburg</t>
  </si>
  <si>
    <t>IU Health Arnett Hospital</t>
  </si>
  <si>
    <t>IU Health Ball Memorial Hospital</t>
  </si>
  <si>
    <t>Muncie</t>
  </si>
  <si>
    <t>IU Health Bloomington Hospital</t>
  </si>
  <si>
    <t>IU Health Methodist University</t>
  </si>
  <si>
    <t>IU Health North Hospital</t>
  </si>
  <si>
    <t>IU Health Saxony Hospital</t>
  </si>
  <si>
    <t>Fishers</t>
  </si>
  <si>
    <t>IU Health University Hospital</t>
  </si>
  <si>
    <t>IU Health West Hospital</t>
  </si>
  <si>
    <t>Franklin</t>
  </si>
  <si>
    <t>King's Daughters' Hospital &amp; Health Services</t>
  </si>
  <si>
    <t>Kosciusko Community Hospital</t>
  </si>
  <si>
    <t>Warsaw</t>
  </si>
  <si>
    <t>La Porte Hospital</t>
  </si>
  <si>
    <t>La Porte</t>
  </si>
  <si>
    <t>Logansport Memorial Hospital</t>
  </si>
  <si>
    <t>Logansport</t>
  </si>
  <si>
    <t>Lutheran Health Network The Orthopedic Hospital</t>
  </si>
  <si>
    <t>Lutheran Hospital</t>
  </si>
  <si>
    <t>Marion General Hospital</t>
  </si>
  <si>
    <t>South Bend</t>
  </si>
  <si>
    <t>Memorial Hospital and Health Care Center</t>
  </si>
  <si>
    <t>Methodist Hospitals - Northlake Campus</t>
  </si>
  <si>
    <t>Gary</t>
  </si>
  <si>
    <t>Methodist Hospitals - Southlake Campus</t>
  </si>
  <si>
    <t>Merrillville</t>
  </si>
  <si>
    <t>MHP Medical Center</t>
  </si>
  <si>
    <t>Monroe Hospital</t>
  </si>
  <si>
    <t>OrthoIndy Hospital</t>
  </si>
  <si>
    <t>Parkview DeKalb Hospital</t>
  </si>
  <si>
    <t>Parkview Hospital Randallia</t>
  </si>
  <si>
    <t>Parkview Huntington Hospital</t>
  </si>
  <si>
    <t>Huntington</t>
  </si>
  <si>
    <t>Parkview Noble Hospital</t>
  </si>
  <si>
    <t>Kendallville</t>
  </si>
  <si>
    <t>Parkview Ortho Hospital</t>
  </si>
  <si>
    <t>Parkview Regional Medical Center</t>
  </si>
  <si>
    <t>Parkview Whitley Hospital</t>
  </si>
  <si>
    <t>Columbia City</t>
  </si>
  <si>
    <t>Peyton Manning Children's Hospital</t>
  </si>
  <si>
    <t>Pinnacle Hospital</t>
  </si>
  <si>
    <t>Plymouth Medical Center</t>
  </si>
  <si>
    <t>Plymouth</t>
  </si>
  <si>
    <t>PMC Regional Hospital</t>
  </si>
  <si>
    <t>Portage Hospital</t>
  </si>
  <si>
    <t>Portage</t>
  </si>
  <si>
    <t>Porter Regional Hospital</t>
  </si>
  <si>
    <t>Valparaiso</t>
  </si>
  <si>
    <t>Reid Hospital</t>
  </si>
  <si>
    <t>Richard L. Roudebush VA Medical Center</t>
  </si>
  <si>
    <t>Riverview Health Noblesville Hospital</t>
  </si>
  <si>
    <t>Noblesville</t>
  </si>
  <si>
    <t>Riverview Health Westfield Hospital</t>
  </si>
  <si>
    <t>Westfield</t>
  </si>
  <si>
    <t>Saint Catherine Hospital</t>
  </si>
  <si>
    <t>East Chicago</t>
  </si>
  <si>
    <t>Saint Joseph Health Mishawaka Medical Center</t>
  </si>
  <si>
    <t>Mishawaka</t>
  </si>
  <si>
    <t>Hobart</t>
  </si>
  <si>
    <t>Saint Vincent Anderson</t>
  </si>
  <si>
    <t>Saint Vincent Fishers Hospital</t>
  </si>
  <si>
    <t>Saint Vincent Women's Hospital</t>
  </si>
  <si>
    <t>Schneck Medical Center</t>
  </si>
  <si>
    <t>Seymour</t>
  </si>
  <si>
    <t>Sidney and Lois Eskenazi Hospital</t>
  </si>
  <si>
    <t>St. Vincent Neighborhood Hospital Indianapolis South</t>
  </si>
  <si>
    <t>St. Vincent Neighborhood Hospital Noblesville</t>
  </si>
  <si>
    <t>St. Vincent Neighborhood Hospital Plainfield</t>
  </si>
  <si>
    <t>Plainfield</t>
  </si>
  <si>
    <t>Starke Hospital</t>
  </si>
  <si>
    <t>Knox</t>
  </si>
  <si>
    <t>Terre Haute Regional Hospital</t>
  </si>
  <si>
    <t>Terre Haute</t>
  </si>
  <si>
    <t>The Heart Hospital</t>
  </si>
  <si>
    <t>The Women's Hospital</t>
  </si>
  <si>
    <t>Union Hospital</t>
  </si>
  <si>
    <t>Unity Medical and Surgical Hospital</t>
  </si>
  <si>
    <t>VA Northern Indiana Health Care System - Fort Wayne Campus</t>
  </si>
  <si>
    <t>Witham Memorial Hospital</t>
  </si>
  <si>
    <t>Lebanon</t>
  </si>
  <si>
    <t>University of Kansas Health System Saint Francis Campus</t>
  </si>
  <si>
    <t>Topeka</t>
  </si>
  <si>
    <t>AdventHealth Ottawa</t>
  </si>
  <si>
    <t>AdventHealth Shawnee Mission</t>
  </si>
  <si>
    <t>Shawnee Mission</t>
  </si>
  <si>
    <t>Ascension Via Christi Hospital in Manhattan</t>
  </si>
  <si>
    <t>Manhattan</t>
  </si>
  <si>
    <t>Ascension Via Christi Hospital in Pittsburg</t>
  </si>
  <si>
    <t>Pittsburg</t>
  </si>
  <si>
    <t>Ascension Via Christi St. Francis</t>
  </si>
  <si>
    <t>Wichita</t>
  </si>
  <si>
    <t>Ascension Via Christi St. Joseph</t>
  </si>
  <si>
    <t>Ascension Via Christi St. Teresa</t>
  </si>
  <si>
    <t>Bob Wilson Memorial Grant County Hospital</t>
  </si>
  <si>
    <t>Ulysses</t>
  </si>
  <si>
    <t>Coffeyville Regional Medical Center</t>
  </si>
  <si>
    <t>Coffeyville</t>
  </si>
  <si>
    <t>Leawood</t>
  </si>
  <si>
    <t>Geary Community Hospital</t>
  </si>
  <si>
    <t>Junction City</t>
  </si>
  <si>
    <t>Great Bend Regional Hospital</t>
  </si>
  <si>
    <t>Great Bend</t>
  </si>
  <si>
    <t>Hays Medical Center</t>
  </si>
  <si>
    <t>Hays</t>
  </si>
  <si>
    <t>Hutchinson Regional Medical Center</t>
  </si>
  <si>
    <t>Hutchinson</t>
  </si>
  <si>
    <t>Irwin Army Community Hospital</t>
  </si>
  <si>
    <t>Fort Riley</t>
  </si>
  <si>
    <t>Kansas City Orthopaedic Institute</t>
  </si>
  <si>
    <t>Kansas Heart Hospital</t>
  </si>
  <si>
    <t>Kansas Medical Center</t>
  </si>
  <si>
    <t>Andover</t>
  </si>
  <si>
    <t>Kansas Spine &amp; Specialty Hospital</t>
  </si>
  <si>
    <t>Kansas Surgery &amp; Recovery Center</t>
  </si>
  <si>
    <t>Labette Health</t>
  </si>
  <si>
    <t>Parsons</t>
  </si>
  <si>
    <t>Lawrence Memorial Hospital</t>
  </si>
  <si>
    <t>Lawrence</t>
  </si>
  <si>
    <t>Manhattan Surgical Center</t>
  </si>
  <si>
    <t>McPherson Hospital</t>
  </si>
  <si>
    <t>McPherson</t>
  </si>
  <si>
    <t>Menorah Medical Center</t>
  </si>
  <si>
    <t>Overland Park</t>
  </si>
  <si>
    <t>Moundridge</t>
  </si>
  <si>
    <t>Miami County Medical Center</t>
  </si>
  <si>
    <t>Paola</t>
  </si>
  <si>
    <t>MISH Hospital and Clinics</t>
  </si>
  <si>
    <t>Lenexa</t>
  </si>
  <si>
    <t>Morton County Hospital</t>
  </si>
  <si>
    <t>Newton Medical Center</t>
  </si>
  <si>
    <t>Olathe Medical Center</t>
  </si>
  <si>
    <t>Olathe</t>
  </si>
  <si>
    <t>Overland Park Regional Medical Center</t>
  </si>
  <si>
    <t>Pratt Regional Medical Center</t>
  </si>
  <si>
    <t>Pratt</t>
  </si>
  <si>
    <t>Premier Surgical Institute</t>
  </si>
  <si>
    <t>Galena</t>
  </si>
  <si>
    <t>Providence Medical Center</t>
  </si>
  <si>
    <t>Kansas City</t>
  </si>
  <si>
    <t>Robert J. Dole VA Medical Center</t>
  </si>
  <si>
    <t>Rock Regional Hospital</t>
  </si>
  <si>
    <t>Garden City</t>
  </si>
  <si>
    <t>Saint John Hospital</t>
  </si>
  <si>
    <t>Leavenworth</t>
  </si>
  <si>
    <t>Saint Luke's Cushing Memorial Hospital</t>
  </si>
  <si>
    <t>Saint Luke's South Hospital</t>
  </si>
  <si>
    <t>Salina Regional Health Center</t>
  </si>
  <si>
    <t>Salina</t>
  </si>
  <si>
    <t>Salina Surgical Hospital</t>
  </si>
  <si>
    <t>South Central Kansas Regional Medical Center</t>
  </si>
  <si>
    <t>Arkansas City</t>
  </si>
  <si>
    <t>Southwest Medical Center</t>
  </si>
  <si>
    <t>Liberal</t>
  </si>
  <si>
    <t>Stormont Vail Hospital</t>
  </si>
  <si>
    <t>Summit Surgical</t>
  </si>
  <si>
    <t>Susan B. Allen Memorial Hospital</t>
  </si>
  <si>
    <t>The University of Kansas Health System- Indian Creek Campus</t>
  </si>
  <si>
    <t>The University of Kansas Hospital</t>
  </si>
  <si>
    <t>VA Eastern Kansas Health Care System - Colmery-O'Neil VA Medical Center</t>
  </si>
  <si>
    <t>VA Eastern Kansas Health Care System - Dwight D. Eisenhower VA Medical Center</t>
  </si>
  <si>
    <t>Wesley Medical Center</t>
  </si>
  <si>
    <t>Wesley Woodlawn Hospital &amp; ER</t>
  </si>
  <si>
    <t>Western Plains Medical Complex</t>
  </si>
  <si>
    <t>Dodge City</t>
  </si>
  <si>
    <t>AdventHealth Manchester</t>
  </si>
  <si>
    <t>Baptist Health Corbin</t>
  </si>
  <si>
    <t>Corbin</t>
  </si>
  <si>
    <t>Baptist Health LaGrange</t>
  </si>
  <si>
    <t>Baptist Health Lexington</t>
  </si>
  <si>
    <t>Lexington</t>
  </si>
  <si>
    <t>Baptist Health Louisville</t>
  </si>
  <si>
    <t>Baptist Health Madisonville</t>
  </si>
  <si>
    <t>Madisonville</t>
  </si>
  <si>
    <t>Baptist Health Paducah</t>
  </si>
  <si>
    <t>Paducah</t>
  </si>
  <si>
    <t>Baptist Health Richmond</t>
  </si>
  <si>
    <t>Blanchfield Army Community Hospital</t>
  </si>
  <si>
    <t>Fort Campbell</t>
  </si>
  <si>
    <t>Bourbon Community Hospital</t>
  </si>
  <si>
    <t>Paris</t>
  </si>
  <si>
    <t>CHI Saint Joseph Health East</t>
  </si>
  <si>
    <t>CHI Saint Joseph Health Hospital</t>
  </si>
  <si>
    <t>CHI Saint Joseph Health London</t>
  </si>
  <si>
    <t>London</t>
  </si>
  <si>
    <t>CHI Saint Joseph Health Mount Sterling</t>
  </si>
  <si>
    <t>Mount Sterling</t>
  </si>
  <si>
    <t>Clark Regional Medical Center</t>
  </si>
  <si>
    <t>Winchester</t>
  </si>
  <si>
    <t>Crittenden Health System</t>
  </si>
  <si>
    <t>Ephraim McDowell Regional Medical Center</t>
  </si>
  <si>
    <t>Federal Medical Center Lexington</t>
  </si>
  <si>
    <t>Flaget Memorial Hospital</t>
  </si>
  <si>
    <t>Bardstown</t>
  </si>
  <si>
    <t>Fleming County Hospital</t>
  </si>
  <si>
    <t>Flemingsburg</t>
  </si>
  <si>
    <t>Frankfort Regional Medical Center</t>
  </si>
  <si>
    <t>Frankfort</t>
  </si>
  <si>
    <t>Georgetown Community Hospital</t>
  </si>
  <si>
    <t>Georgetown</t>
  </si>
  <si>
    <t>Hardin Memorial Hospital</t>
  </si>
  <si>
    <t>Elizabethtown</t>
  </si>
  <si>
    <t>Harlan ARH Hospital</t>
  </si>
  <si>
    <t>Harlan</t>
  </si>
  <si>
    <t>Harrison Memorial Hospital</t>
  </si>
  <si>
    <t>Cynthiana</t>
  </si>
  <si>
    <t>Hazard ARH Regional Medical Center</t>
  </si>
  <si>
    <t>Hazard</t>
  </si>
  <si>
    <t>Highlands ARH Regional Medical Center</t>
  </si>
  <si>
    <t>Prestonsburg</t>
  </si>
  <si>
    <t>Jackson Purchase Medical Center</t>
  </si>
  <si>
    <t>Mayfield</t>
  </si>
  <si>
    <t>Jennie Stuart Medical Center</t>
  </si>
  <si>
    <t>Hopkinsville</t>
  </si>
  <si>
    <t>Kentucky River Medical Center</t>
  </si>
  <si>
    <t>King's Daughters Medical Center</t>
  </si>
  <si>
    <t>Lake Cumberland Regional Hospital</t>
  </si>
  <si>
    <t>Somerset</t>
  </si>
  <si>
    <t>Lexington VA Medical Center-Cooper Division</t>
  </si>
  <si>
    <t>Logan Memorial Hospital</t>
  </si>
  <si>
    <t>Louisville VA Medical Center</t>
  </si>
  <si>
    <t>Meadowview Regional Medical Center</t>
  </si>
  <si>
    <t>Maysville</t>
  </si>
  <si>
    <t>Mercy Health-Lourdes Hospital</t>
  </si>
  <si>
    <t>Methodist Health Henderson County Campus</t>
  </si>
  <si>
    <t>Henderson</t>
  </si>
  <si>
    <t>Middlesboro ARH Hospital</t>
  </si>
  <si>
    <t>Middlesboro</t>
  </si>
  <si>
    <t>Monroe County Medical Center</t>
  </si>
  <si>
    <t>Tompkinsville</t>
  </si>
  <si>
    <t>Murray-Calloway County Hospital</t>
  </si>
  <si>
    <t>Murray</t>
  </si>
  <si>
    <t>Norton Audubon Hospital</t>
  </si>
  <si>
    <t>Norton Brownsboro Hospital</t>
  </si>
  <si>
    <t>Norton Hospital</t>
  </si>
  <si>
    <t>Norton Women's &amp; Children's Hospital</t>
  </si>
  <si>
    <t>Owensboro Health Muhlenberg Community Hospital</t>
  </si>
  <si>
    <t>Owensboro Health Regional Hospital</t>
  </si>
  <si>
    <t>Owensboro</t>
  </si>
  <si>
    <t>Paul B. Hall Regional Medical Center</t>
  </si>
  <si>
    <t>Paintsville</t>
  </si>
  <si>
    <t>Pikeville Medical Center</t>
  </si>
  <si>
    <t>Pikeville</t>
  </si>
  <si>
    <t>Pineville Community Hospital</t>
  </si>
  <si>
    <t>Pineville</t>
  </si>
  <si>
    <t>Rockcastle Regional Hospital</t>
  </si>
  <si>
    <t>Saint Claire Regional Medical Center</t>
  </si>
  <si>
    <t>Morehead</t>
  </si>
  <si>
    <t>Saint Elizabeth Covington</t>
  </si>
  <si>
    <t>Saint Elizabeth Edgewood</t>
  </si>
  <si>
    <t>Edgewood</t>
  </si>
  <si>
    <t>Saint Elizabeth Florence</t>
  </si>
  <si>
    <t>Saint Elizabeth Fort Thomas</t>
  </si>
  <si>
    <t>Fort Thomas</t>
  </si>
  <si>
    <t>Spring View Hospital</t>
  </si>
  <si>
    <t>T. J. Samson Community Hospital</t>
  </si>
  <si>
    <t>Glasgow</t>
  </si>
  <si>
    <t>T.J. Health Columbia</t>
  </si>
  <si>
    <t>Columbia</t>
  </si>
  <si>
    <t>Campbellsville</t>
  </si>
  <si>
    <t>The Medical Center at Albany</t>
  </si>
  <si>
    <t>The Medical Center at Bowling Green</t>
  </si>
  <si>
    <t>Bowling Green</t>
  </si>
  <si>
    <t>Three Rivers Medical Center</t>
  </si>
  <si>
    <t>Louisa</t>
  </si>
  <si>
    <t>TriStar Greenview Regional Hospital</t>
  </si>
  <si>
    <t>Tug Valley ARH Regional Medical Center</t>
  </si>
  <si>
    <t>South Williamson</t>
  </si>
  <si>
    <t>Twin Lakes Regional Medical Center</t>
  </si>
  <si>
    <t>Leitchfield</t>
  </si>
  <si>
    <t>UK Good Samaritan Hospital</t>
  </si>
  <si>
    <t>University of Kentucky Albert B. Chandler Hospital</t>
  </si>
  <si>
    <t>University of Louisville Hospital</t>
  </si>
  <si>
    <t>UofL Health - Jewish Hospital</t>
  </si>
  <si>
    <t>UofL Health- Shelbyville Hospital</t>
  </si>
  <si>
    <t>UofL Health-Mary &amp; Elizabeth Hospital</t>
  </si>
  <si>
    <t>Whitesburg ARH Hospital</t>
  </si>
  <si>
    <t>Whitesburg</t>
  </si>
  <si>
    <t>Women's Hospital Saint Joseph East</t>
  </si>
  <si>
    <t>Abbeville General Hospital</t>
  </si>
  <si>
    <t>Abbeville</t>
  </si>
  <si>
    <t>Acadia General Hospital</t>
  </si>
  <si>
    <t>Crowley</t>
  </si>
  <si>
    <t>Acadian Medical Center</t>
  </si>
  <si>
    <t>Eunice</t>
  </si>
  <si>
    <t>Alexandria VA Health Care System</t>
  </si>
  <si>
    <t>Allen Parish Community Healthcare</t>
  </si>
  <si>
    <t>Kinder</t>
  </si>
  <si>
    <t>Avala Hospital</t>
  </si>
  <si>
    <t>Avoyelles Hospital</t>
  </si>
  <si>
    <t>Marksville</t>
  </si>
  <si>
    <t>Baton Rouge General Bluebonnet Campus</t>
  </si>
  <si>
    <t>Baton Rouge</t>
  </si>
  <si>
    <t>Baton Rouge General Mid City Campus</t>
  </si>
  <si>
    <t>Bayne-Jones Army Community Hospital</t>
  </si>
  <si>
    <t>Fort Polk</t>
  </si>
  <si>
    <t>Beauregard Memorial Hospital</t>
  </si>
  <si>
    <t>DeRidder</t>
  </si>
  <si>
    <t>Byrd Regional Hospital</t>
  </si>
  <si>
    <t>Leesville</t>
  </si>
  <si>
    <t>Caldwell Memorial Hospital</t>
  </si>
  <si>
    <t>Central Louisiana Surgical Hospital</t>
  </si>
  <si>
    <t>Alexandria</t>
  </si>
  <si>
    <t>CHRISTUS Highland Medical Center</t>
  </si>
  <si>
    <t>Shreveport</t>
  </si>
  <si>
    <t>CHRISTUS Ochsner Lake Area Hospital</t>
  </si>
  <si>
    <t>Lake Charles</t>
  </si>
  <si>
    <t>CHRISTUS Ochsner St. Patrick Hospital</t>
  </si>
  <si>
    <t>CHRISTUS Saint Frances Cabrini Hospital</t>
  </si>
  <si>
    <t>Citizens Medical Center</t>
  </si>
  <si>
    <t>Claiborne Memorial Medical Center</t>
  </si>
  <si>
    <t>Homer</t>
  </si>
  <si>
    <t>Cypress Pointe Surgical Hospital</t>
  </si>
  <si>
    <t>Desoto Regional Health System</t>
  </si>
  <si>
    <t>Mansfield</t>
  </si>
  <si>
    <t>Doctors Hospital at Deer Creek</t>
  </si>
  <si>
    <t>East Carroll Parish Hospital</t>
  </si>
  <si>
    <t>Lake Providence</t>
  </si>
  <si>
    <t>East Jefferson General Hospital</t>
  </si>
  <si>
    <t>Metairie</t>
  </si>
  <si>
    <t>Franklin Medical Center</t>
  </si>
  <si>
    <t>Winnsboro</t>
  </si>
  <si>
    <t>Glenwood Regional Medical Center</t>
  </si>
  <si>
    <t>West Monroe</t>
  </si>
  <si>
    <t>Heart Hospital of Lafayette</t>
  </si>
  <si>
    <t>Iberia Medical Center</t>
  </si>
  <si>
    <t>New Iberia</t>
  </si>
  <si>
    <t>Jennings American Legion Hospital</t>
  </si>
  <si>
    <t>Jennings</t>
  </si>
  <si>
    <t>Lafayette General Medical Center</t>
  </si>
  <si>
    <t>Lafayette General Orthopaedic Hospital</t>
  </si>
  <si>
    <t>Lafayette General Surgical Hospital</t>
  </si>
  <si>
    <t>Lafayette Surgical Specialty Hospital</t>
  </si>
  <si>
    <t>Lake Charles Memorial Hospital</t>
  </si>
  <si>
    <t>Lake Charles Memorial Hospital for Women</t>
  </si>
  <si>
    <t>Lakeview Regional Medical Center</t>
  </si>
  <si>
    <t>Lane Regional Medical Center</t>
  </si>
  <si>
    <t>Zachary</t>
  </si>
  <si>
    <t>Lasalle General Hospital</t>
  </si>
  <si>
    <t>Jena</t>
  </si>
  <si>
    <t>Leonard J. Chabert Medical Center</t>
  </si>
  <si>
    <t>Houma</t>
  </si>
  <si>
    <t>Ville Platte</t>
  </si>
  <si>
    <t>Minden Medical Center</t>
  </si>
  <si>
    <t>Minden</t>
  </si>
  <si>
    <t>Monroe Surgical Hospital</t>
  </si>
  <si>
    <t>Morehouse General Hospital</t>
  </si>
  <si>
    <t>Bastrop</t>
  </si>
  <si>
    <t>Natchitoches Regional Medical Center</t>
  </si>
  <si>
    <t>Natchitoches</t>
  </si>
  <si>
    <t>New Orleans East Hospital</t>
  </si>
  <si>
    <t>New Orleans</t>
  </si>
  <si>
    <t>North Oaks Medical Center</t>
  </si>
  <si>
    <t>Northern Louisiana Medical Center</t>
  </si>
  <si>
    <t>Ruston</t>
  </si>
  <si>
    <t>Oakdale Community Hospital</t>
  </si>
  <si>
    <t>Oceans Behavioral Hospital Greater New Orleans - Marrero</t>
  </si>
  <si>
    <t>Marrero</t>
  </si>
  <si>
    <t>Ochsner Baptist - A Campus of Ochsner Medical Center</t>
  </si>
  <si>
    <t>Ochsner LSU Health Shreveport - Academic Medical Center</t>
  </si>
  <si>
    <t>Ochsner LSU Health Shreveport - Monroe Medical Center</t>
  </si>
  <si>
    <t>Ochsner Medical Center</t>
  </si>
  <si>
    <t>Ochsner Medical Center - Baton Rouge</t>
  </si>
  <si>
    <t>Ochsner Medical Center - Kenner</t>
  </si>
  <si>
    <t>Kenner</t>
  </si>
  <si>
    <t>Ochsner Medical Center - North Shore</t>
  </si>
  <si>
    <t>Slidell</t>
  </si>
  <si>
    <t>Ochsner Medical Center - West Bank</t>
  </si>
  <si>
    <t>Gretna</t>
  </si>
  <si>
    <t>Ochsner St. Mary</t>
  </si>
  <si>
    <t>Morgan City</t>
  </si>
  <si>
    <t>Omega Hospital</t>
  </si>
  <si>
    <t>Opelousas General Main Campus</t>
  </si>
  <si>
    <t>Opelousas</t>
  </si>
  <si>
    <t>Opelousas General South Campus</t>
  </si>
  <si>
    <t>Our Lady of Lourdes Regional Medical Center</t>
  </si>
  <si>
    <t>Our Lady of Lourdes Women's and Children's Hospital</t>
  </si>
  <si>
    <t>Our Lady of the Angels Hospital</t>
  </si>
  <si>
    <t>Bogalusa</t>
  </si>
  <si>
    <t>Our Lady of the Lake Ascension</t>
  </si>
  <si>
    <t>Gonzales</t>
  </si>
  <si>
    <t>Our Lady of the Lake Children's Hospital</t>
  </si>
  <si>
    <t>Our Lady of the Lake Regional Medical Center</t>
  </si>
  <si>
    <t>Overton Brooks VA Medical Center</t>
  </si>
  <si>
    <t>Park Place Surgical Hospital</t>
  </si>
  <si>
    <t>Physicians Medical Center of Houma</t>
  </si>
  <si>
    <t>Prairieville Family Hospital</t>
  </si>
  <si>
    <t>Prairieville</t>
  </si>
  <si>
    <t>Rapides Regional Medical Center</t>
  </si>
  <si>
    <t>Richardson Medical Center</t>
  </si>
  <si>
    <t>Rayville</t>
  </si>
  <si>
    <t>Sabine Medical Center</t>
  </si>
  <si>
    <t>Many</t>
  </si>
  <si>
    <t>Saint Charles Parish Hospital</t>
  </si>
  <si>
    <t>Luling</t>
  </si>
  <si>
    <t>Saint Charles Surgical Hospital</t>
  </si>
  <si>
    <t>Saint Francis Medical Center - Downtown</t>
  </si>
  <si>
    <t>Saint Tammany Parish Hospital</t>
  </si>
  <si>
    <t>Savoy Medical Center</t>
  </si>
  <si>
    <t>Mamou</t>
  </si>
  <si>
    <t>Slidell Memorial Hospital</t>
  </si>
  <si>
    <t>South Cameron Memorial Hospital</t>
  </si>
  <si>
    <t>Cameron</t>
  </si>
  <si>
    <t>Southeast Louisiana Veterans Health Care System</t>
  </si>
  <si>
    <t>Southern Surgical Hospital</t>
  </si>
  <si>
    <t>Specialists Hospital Shreveport</t>
  </si>
  <si>
    <t>Springhill</t>
  </si>
  <si>
    <t>St. Bernard Parish Hospital</t>
  </si>
  <si>
    <t>Chalmette</t>
  </si>
  <si>
    <t>St. Francis P&amp;S Surgery &amp; Heart Center</t>
  </si>
  <si>
    <t>Sterling Surgical Hospital</t>
  </si>
  <si>
    <t>Surgical Specialty Center of Baton Rouge</t>
  </si>
  <si>
    <t>Terrebonne General Medical Center</t>
  </si>
  <si>
    <t>The Spine Hospital of Louisiana</t>
  </si>
  <si>
    <t>Thibodaux Regional Health System</t>
  </si>
  <si>
    <t>Thibodaux</t>
  </si>
  <si>
    <t>Touro Infirmary</t>
  </si>
  <si>
    <t>Tulane Lakeside Hospital</t>
  </si>
  <si>
    <t>Tulane Medical Center</t>
  </si>
  <si>
    <t>University Hospital and Clinics</t>
  </si>
  <si>
    <t>University Medical Center New Orleans</t>
  </si>
  <si>
    <t>Villa Feliciana Medical Complex</t>
  </si>
  <si>
    <t>West Calcasieu Cameron Hospital</t>
  </si>
  <si>
    <t>Sulphur</t>
  </si>
  <si>
    <t>West Carroll Memorial Hospital</t>
  </si>
  <si>
    <t>Oak Grove</t>
  </si>
  <si>
    <t>West Jefferson Medical Center</t>
  </si>
  <si>
    <t>Willis-Knighton Bossier Health Center</t>
  </si>
  <si>
    <t>Bossier City</t>
  </si>
  <si>
    <t>Willis-Knighton Medical Center</t>
  </si>
  <si>
    <t>Willis-Knighton Pierremont Health Center</t>
  </si>
  <si>
    <t>Willis-Knighton South &amp; the Center for Women's Health</t>
  </si>
  <si>
    <t>Winn Parish Medical Center</t>
  </si>
  <si>
    <t>Winnfield</t>
  </si>
  <si>
    <t>Woman's Hospital</t>
  </si>
  <si>
    <t>Brockton Hospital</t>
  </si>
  <si>
    <t>Brockton</t>
  </si>
  <si>
    <t>AdCare Hospital</t>
  </si>
  <si>
    <t>Worcester</t>
  </si>
  <si>
    <t>Addison Gilbert Hospital</t>
  </si>
  <si>
    <t>Gloucester</t>
  </si>
  <si>
    <t>Anna Jaques Hospital</t>
  </si>
  <si>
    <t>Newburyport</t>
  </si>
  <si>
    <t>Baystate Franklin Medical Center</t>
  </si>
  <si>
    <t>Baystate Medical Center</t>
  </si>
  <si>
    <t>Baystate Noble Hospital</t>
  </si>
  <si>
    <t>Baystate Wing Hospital</t>
  </si>
  <si>
    <t>Berkshire Medical Center</t>
  </si>
  <si>
    <t>Pittsfield</t>
  </si>
  <si>
    <t>Beth Israel Deaconess Hospital Milton</t>
  </si>
  <si>
    <t>Beth Israel Deaconess Hospital Needham</t>
  </si>
  <si>
    <t>Needham</t>
  </si>
  <si>
    <t>Beth Israel Deaconess Hospital-Plymouth</t>
  </si>
  <si>
    <t>Beth Israel Deaconess Medical Center</t>
  </si>
  <si>
    <t>Boston</t>
  </si>
  <si>
    <t>Beverly</t>
  </si>
  <si>
    <t>Boston Medical Center</t>
  </si>
  <si>
    <t>Brigham and Women's Faulkner Hospital</t>
  </si>
  <si>
    <t>Brigham and Women's Hospital</t>
  </si>
  <si>
    <t>Cape Cod Hospital</t>
  </si>
  <si>
    <t>Hyannis</t>
  </si>
  <si>
    <t>Carney Hospital</t>
  </si>
  <si>
    <t>Dorchester</t>
  </si>
  <si>
    <t>CHA Cambridge Hospital</t>
  </si>
  <si>
    <t>Cambridge</t>
  </si>
  <si>
    <t>CHA Everett Hospital</t>
  </si>
  <si>
    <t>Everett</t>
  </si>
  <si>
    <t>CHA Somerville Hospital</t>
  </si>
  <si>
    <t>Somerville</t>
  </si>
  <si>
    <t>Charlton Memorial Hospital</t>
  </si>
  <si>
    <t>Fall River</t>
  </si>
  <si>
    <t>Cooley Dickinson Hospital</t>
  </si>
  <si>
    <t>Northampton</t>
  </si>
  <si>
    <t>Dana-Farber Cancer Institute</t>
  </si>
  <si>
    <t>Edith Nourse Rogers Memorial Veterans Hospital</t>
  </si>
  <si>
    <t>Bedford</t>
  </si>
  <si>
    <t>Emerson Hospital</t>
  </si>
  <si>
    <t>Falmouth Hospital</t>
  </si>
  <si>
    <t>Falmouth</t>
  </si>
  <si>
    <t>Framingham Union Hospital</t>
  </si>
  <si>
    <t>Framingham</t>
  </si>
  <si>
    <t>Harrington Hospital</t>
  </si>
  <si>
    <t>Southbridge</t>
  </si>
  <si>
    <t>Heywood Hospital</t>
  </si>
  <si>
    <t>Gardner</t>
  </si>
  <si>
    <t>Holy Family Hospital - Methuen</t>
  </si>
  <si>
    <t>Methuen</t>
  </si>
  <si>
    <t>Holy Family Hospital -Haverhill</t>
  </si>
  <si>
    <t>Haverhill</t>
  </si>
  <si>
    <t>Holyoke Medical Center</t>
  </si>
  <si>
    <t>Holyoke</t>
  </si>
  <si>
    <t>Lahey Hospital and Medical Center Burlington</t>
  </si>
  <si>
    <t>Burlington</t>
  </si>
  <si>
    <t>Lahey Medical Center Peabody</t>
  </si>
  <si>
    <t>Peabody</t>
  </si>
  <si>
    <t>Lawrence General Hospital</t>
  </si>
  <si>
    <t>Medford</t>
  </si>
  <si>
    <t>Leonard Morse Hospital</t>
  </si>
  <si>
    <t>Natick</t>
  </si>
  <si>
    <t>Lowell General Hospital - Main Campus</t>
  </si>
  <si>
    <t>Lowell</t>
  </si>
  <si>
    <t>Lowell General Hospital - Saints Campus</t>
  </si>
  <si>
    <t>Massachusetts Eye and Ear Infirmary</t>
  </si>
  <si>
    <t>Massachusetts General Hospital</t>
  </si>
  <si>
    <t>Melrose-Wakefield Hospital</t>
  </si>
  <si>
    <t>Melrose</t>
  </si>
  <si>
    <t>Milford Regional Medical Center</t>
  </si>
  <si>
    <t>Morton Hospital</t>
  </si>
  <si>
    <t>Taunton</t>
  </si>
  <si>
    <t>Mount Auburn Hospital</t>
  </si>
  <si>
    <t>Nantucket Cottage Hospital</t>
  </si>
  <si>
    <t>Nantucket</t>
  </si>
  <si>
    <t>Nashoba Valley Medical Center</t>
  </si>
  <si>
    <t>Ayer</t>
  </si>
  <si>
    <t>New England Baptist Hospital</t>
  </si>
  <si>
    <t>Newton-Wellesley Hospital</t>
  </si>
  <si>
    <t>Norwood Hospital</t>
  </si>
  <si>
    <t>Norwood</t>
  </si>
  <si>
    <t>NSMC Salem Hospital</t>
  </si>
  <si>
    <t>Salem</t>
  </si>
  <si>
    <t>NSMC Union Hospital</t>
  </si>
  <si>
    <t>Lynn</t>
  </si>
  <si>
    <t>Saint Anne's Hospital</t>
  </si>
  <si>
    <t>Saint Elizabeth's Medical Center</t>
  </si>
  <si>
    <t>New Bedford</t>
  </si>
  <si>
    <t>Saint Vincent Hospital at Worcester Medical Center</t>
  </si>
  <si>
    <t>South Weymouth</t>
  </si>
  <si>
    <t>Sturdy Memorial Hospital</t>
  </si>
  <si>
    <t>Attleboro</t>
  </si>
  <si>
    <t>Tobey Hospital</t>
  </si>
  <si>
    <t>Wareham</t>
  </si>
  <si>
    <t>Tufts Medical Center</t>
  </si>
  <si>
    <t>UMass Memorial Health Alliance-Clinton Hospital</t>
  </si>
  <si>
    <t>UMass Memorial HealthAlliance - Clinton Hospital - Leominster Campus</t>
  </si>
  <si>
    <t>Leominster</t>
  </si>
  <si>
    <t>UMass Memorial Marlborough Hospital</t>
  </si>
  <si>
    <t>Marlborough</t>
  </si>
  <si>
    <t>UMass Memorial Medical Center - Memorial Campus</t>
  </si>
  <si>
    <t>UMass Memorial Medical Center - University Campus</t>
  </si>
  <si>
    <t>VA Boston Healthcare System - Brockton Campus</t>
  </si>
  <si>
    <t>VA Boston Healthcare System - Jamaica Plain Division</t>
  </si>
  <si>
    <t>VA Boston Healthcare System - West Roxbury Campus</t>
  </si>
  <si>
    <t>West Roxbury</t>
  </si>
  <si>
    <t>Winchester Hospital</t>
  </si>
  <si>
    <t>Adventist HealthCare Shady Grove Medical Center</t>
  </si>
  <si>
    <t>Rockville</t>
  </si>
  <si>
    <t>Adventist HealthCare Takoma Park</t>
  </si>
  <si>
    <t>Takoma Park</t>
  </si>
  <si>
    <t>Adventist HealthCare White Oak Medical Center</t>
  </si>
  <si>
    <t>Silver Spring</t>
  </si>
  <si>
    <t>Anne Arundel Medical Center</t>
  </si>
  <si>
    <t>Annapolis</t>
  </si>
  <si>
    <t>Atlantic General Hospital</t>
  </si>
  <si>
    <t>Berlin</t>
  </si>
  <si>
    <t>CalvertHealth Medical Center</t>
  </si>
  <si>
    <t>Prince Frederick</t>
  </si>
  <si>
    <t>Carroll Hospital</t>
  </si>
  <si>
    <t>Doctors Community Hospital</t>
  </si>
  <si>
    <t>Lanham</t>
  </si>
  <si>
    <t>Fort Washington Medical Center</t>
  </si>
  <si>
    <t>Fort Washington</t>
  </si>
  <si>
    <t>Frederick Memorial Hospital</t>
  </si>
  <si>
    <t>Frederick</t>
  </si>
  <si>
    <t>Garrett Regional Medical Center</t>
  </si>
  <si>
    <t>Grace Medical Center</t>
  </si>
  <si>
    <t>Baltimore</t>
  </si>
  <si>
    <t>Greater Baltimore Medical Center</t>
  </si>
  <si>
    <t>Holy Cross Germantown Hospital</t>
  </si>
  <si>
    <t>Germantown</t>
  </si>
  <si>
    <t>Howard County General Hospital</t>
  </si>
  <si>
    <t>Johns Hopkins Bayview Medical Center</t>
  </si>
  <si>
    <t>Johns Hopkins Suburban Hospital</t>
  </si>
  <si>
    <t>Bethesda</t>
  </si>
  <si>
    <t>Levindale Hebrew Geriatric Center and Hospital</t>
  </si>
  <si>
    <t>Malcolm Grow Medical Clinics and Surgery Center</t>
  </si>
  <si>
    <t>Andrews Air Force Base</t>
  </si>
  <si>
    <t>MedStar Franklin Square Medical Center</t>
  </si>
  <si>
    <t>Medstar Good Samaritan Hospital</t>
  </si>
  <si>
    <t>MedStar Harbor Hospital</t>
  </si>
  <si>
    <t>MedStar Montgomery Medical Center</t>
  </si>
  <si>
    <t>MedStar Saint Mary's Hospital</t>
  </si>
  <si>
    <t>Leonardtown</t>
  </si>
  <si>
    <t>MedStar Southern Maryland Hospital</t>
  </si>
  <si>
    <t>MedStar Union Memorial Hospital</t>
  </si>
  <si>
    <t>Meritus Medical Center</t>
  </si>
  <si>
    <t>Hagerstown</t>
  </si>
  <si>
    <t>Northwest Hospital</t>
  </si>
  <si>
    <t>Randallstown</t>
  </si>
  <si>
    <t>Peninsula Regional Medical Center</t>
  </si>
  <si>
    <t>Salisbury</t>
  </si>
  <si>
    <t>Saint Agnes Hospital</t>
  </si>
  <si>
    <t>Sinai Hospital</t>
  </si>
  <si>
    <t>The Herman &amp; Walter Samuelson Children's Hospital at Sinai</t>
  </si>
  <si>
    <t>The Johns Hopkins Hospital</t>
  </si>
  <si>
    <t>The National Institutes of Health (NIH) Clinical Center</t>
  </si>
  <si>
    <t>UM Laurel Medical Center</t>
  </si>
  <si>
    <t>Laurel</t>
  </si>
  <si>
    <t>Elkton</t>
  </si>
  <si>
    <t>University of Maryland Baltimore Washington Medical Center</t>
  </si>
  <si>
    <t>Glen Burnie</t>
  </si>
  <si>
    <t>University of Maryland Charles Regional Medical Center</t>
  </si>
  <si>
    <t>La Plata</t>
  </si>
  <si>
    <t>University of Maryland Harford Memorial Hospital</t>
  </si>
  <si>
    <t>Havre de Grace</t>
  </si>
  <si>
    <t>University of Maryland Medical Center</t>
  </si>
  <si>
    <t>University of Maryland Medical Center Midtown Campus</t>
  </si>
  <si>
    <t>University of Maryland Prince George's Hospital Center</t>
  </si>
  <si>
    <t>Cheverly</t>
  </si>
  <si>
    <t>University of Maryland Rehabilitaion and Orthopaedic Insitute</t>
  </si>
  <si>
    <t>University of Maryland Saint Joseph Medical Center</t>
  </si>
  <si>
    <t>Towson</t>
  </si>
  <si>
    <t>University of Maryland Shore Medical Center at Chestertown</t>
  </si>
  <si>
    <t>Chestertown</t>
  </si>
  <si>
    <t>University of Maryland Shore Medical Center at Dorchester</t>
  </si>
  <si>
    <t>University of Maryland Shore Medical Center at Easton</t>
  </si>
  <si>
    <t>Easton</t>
  </si>
  <si>
    <t>University of Maryland Upper Chesapeake Medical Center</t>
  </si>
  <si>
    <t>Bel Air</t>
  </si>
  <si>
    <t>UPMC Western Maryland</t>
  </si>
  <si>
    <t>Cumberland</t>
  </si>
  <si>
    <t>VA Maryland Health Care System - Baltimore VA Medical Center</t>
  </si>
  <si>
    <t>Walter Reed National Military Medical Center</t>
  </si>
  <si>
    <t>Cary Medical Center</t>
  </si>
  <si>
    <t>Caribou</t>
  </si>
  <si>
    <t>Central Maine Medical Center</t>
  </si>
  <si>
    <t>Franklin Memorial Hospital</t>
  </si>
  <si>
    <t>Maine Medical Center</t>
  </si>
  <si>
    <t>Portland</t>
  </si>
  <si>
    <t>Maine VA Medical Center</t>
  </si>
  <si>
    <t>MaineGeneral Health</t>
  </si>
  <si>
    <t>Mid Coast Hospital</t>
  </si>
  <si>
    <t>Northern Light AR Gould Hospital</t>
  </si>
  <si>
    <t>Presque Isle</t>
  </si>
  <si>
    <t>Northern Light Eastern Maine Medical Center</t>
  </si>
  <si>
    <t>Bangor</t>
  </si>
  <si>
    <t>Northern Light Inland Hospital</t>
  </si>
  <si>
    <t>Waterville</t>
  </si>
  <si>
    <t>Northern Light Maine Coast Hospital</t>
  </si>
  <si>
    <t>Ellsworth</t>
  </si>
  <si>
    <t>Northern Light Mercy Hospital</t>
  </si>
  <si>
    <t>Northern Maine Medical Center</t>
  </si>
  <si>
    <t>Fort Kent</t>
  </si>
  <si>
    <t>Pen Bay Medical Center</t>
  </si>
  <si>
    <t>Rockport</t>
  </si>
  <si>
    <t>Saint Mary's Regional Medical Center</t>
  </si>
  <si>
    <t>SMHC Medical Center - Biddeford</t>
  </si>
  <si>
    <t>Biddeford</t>
  </si>
  <si>
    <t>The Barbara Bush Children's Hospital at Maine Medical Center</t>
  </si>
  <si>
    <t>York Hospital</t>
  </si>
  <si>
    <t>Ascension Saint John Hospital</t>
  </si>
  <si>
    <t>Detroit</t>
  </si>
  <si>
    <t>Munson Healthcare Manistee Hospital</t>
  </si>
  <si>
    <t>Manistee</t>
  </si>
  <si>
    <t>Spectrum Health Zeeland Community Hospital</t>
  </si>
  <si>
    <t>Zeeland</t>
  </si>
  <si>
    <t>Aleda E. Lutz VA Medical Center</t>
  </si>
  <si>
    <t>Saginaw</t>
  </si>
  <si>
    <t>Ascension Borgess Hospital</t>
  </si>
  <si>
    <t>Kalamazoo</t>
  </si>
  <si>
    <t>Ascension Brighton Center for Recovery</t>
  </si>
  <si>
    <t>Ascension Genesys Hospital</t>
  </si>
  <si>
    <t>Grand Blanc</t>
  </si>
  <si>
    <t>Ascension Macomb - Oakland Hospital Warren Campus</t>
  </si>
  <si>
    <t>Warren</t>
  </si>
  <si>
    <t>Ascension Macomb-Oakland Hospital, Madison Heights Campus</t>
  </si>
  <si>
    <t>Madison Heights</t>
  </si>
  <si>
    <t>Ascension Providence Hospital Novi Campus</t>
  </si>
  <si>
    <t>Novi</t>
  </si>
  <si>
    <t>Ascension Providence Hospital, Southfield Campus</t>
  </si>
  <si>
    <t>Southfield</t>
  </si>
  <si>
    <t>Ascension Providence Rochester Hospital</t>
  </si>
  <si>
    <t>Rochester</t>
  </si>
  <si>
    <t>Ascension River District Hospital</t>
  </si>
  <si>
    <t>East China Township</t>
  </si>
  <si>
    <t>Ascension St. Joseph Hospital</t>
  </si>
  <si>
    <t>Tawas City</t>
  </si>
  <si>
    <t>Ascension St. Mary's Hospital</t>
  </si>
  <si>
    <t>Battle Creek VA Medical Center</t>
  </si>
  <si>
    <t>Battle Creek</t>
  </si>
  <si>
    <t>Beaumont Hospital, Dearborn</t>
  </si>
  <si>
    <t>Dearborn</t>
  </si>
  <si>
    <t>Beaumont Hospital, Farmington Hills</t>
  </si>
  <si>
    <t>Farmington Hills</t>
  </si>
  <si>
    <t>Beaumont Hospital, Grosse Pointe</t>
  </si>
  <si>
    <t>Grosse Pointe</t>
  </si>
  <si>
    <t>Beaumont Hospital, Royal Oak</t>
  </si>
  <si>
    <t>Royal Oak</t>
  </si>
  <si>
    <t>Beaumont Hospital, Taylor</t>
  </si>
  <si>
    <t>Taylor</t>
  </si>
  <si>
    <t>Beaumont Hospital, Trenton</t>
  </si>
  <si>
    <t>Trenton</t>
  </si>
  <si>
    <t>Beaumont Hospital, Troy</t>
  </si>
  <si>
    <t>Beaumont Hospital, Wayne</t>
  </si>
  <si>
    <t>Wayne</t>
  </si>
  <si>
    <t>Bronson Battle Creek</t>
  </si>
  <si>
    <t>Bronson Methodist Hospital</t>
  </si>
  <si>
    <t>Bronson South Haven Hospital</t>
  </si>
  <si>
    <t>South Haven</t>
  </si>
  <si>
    <t>Covenant Medical Center Cooper</t>
  </si>
  <si>
    <t>Covenant Medical Center Harrison</t>
  </si>
  <si>
    <t>Dickinson County Healthcare System</t>
  </si>
  <si>
    <t>Iron Mountain</t>
  </si>
  <si>
    <t>DMC Detroit Receiving Hospital</t>
  </si>
  <si>
    <t>DMC Harper University Hospital</t>
  </si>
  <si>
    <t>DMC Huron Valley-Sinai Hospital</t>
  </si>
  <si>
    <t>DMC Sinai-Grace Hospital</t>
  </si>
  <si>
    <t>Forest Health Medical Center Michigan</t>
  </si>
  <si>
    <t>Ypsilanti</t>
  </si>
  <si>
    <t>Garden City Hospital</t>
  </si>
  <si>
    <t>Healthsource Saginaw</t>
  </si>
  <si>
    <t>Henry Ford Allegiance Health Hospital</t>
  </si>
  <si>
    <t>Henry Ford Hospital</t>
  </si>
  <si>
    <t>Henry Ford Macomb Hospital - Clinton Township</t>
  </si>
  <si>
    <t>Clinton Township</t>
  </si>
  <si>
    <t>Henry Ford West Bloomfield Hospital</t>
  </si>
  <si>
    <t>West Bloomfield</t>
  </si>
  <si>
    <t>Henry Ford Wyandotte Hospital</t>
  </si>
  <si>
    <t>Wyandotte</t>
  </si>
  <si>
    <t>Hillsdale Hospital</t>
  </si>
  <si>
    <t>Hillsdale</t>
  </si>
  <si>
    <t>Holland Hospital</t>
  </si>
  <si>
    <t>Holland</t>
  </si>
  <si>
    <t>Hurley Medical Center</t>
  </si>
  <si>
    <t>Flint</t>
  </si>
  <si>
    <t>John D. Dingell VA Medical Center</t>
  </si>
  <si>
    <t>Karmanos Cancer Institute</t>
  </si>
  <si>
    <t>Lake Huron Medical Center</t>
  </si>
  <si>
    <t>Port Huron</t>
  </si>
  <si>
    <t>Lakeland Hospital Niles</t>
  </si>
  <si>
    <t>Niles</t>
  </si>
  <si>
    <t>Lakeland Hospital, Watervliet</t>
  </si>
  <si>
    <t>Watervliet</t>
  </si>
  <si>
    <t>Lakeland Medical Center, Saint Joseph</t>
  </si>
  <si>
    <t>Saint Joseph</t>
  </si>
  <si>
    <t>McLaren Bay Region</t>
  </si>
  <si>
    <t>Bay City</t>
  </si>
  <si>
    <t>McLaren Central Michigan</t>
  </si>
  <si>
    <t>Mount Pleasant</t>
  </si>
  <si>
    <t>McLaren Flint</t>
  </si>
  <si>
    <t>McLaren Greater Lansing</t>
  </si>
  <si>
    <t>Lansing</t>
  </si>
  <si>
    <t>McLaren Lapeer Region</t>
  </si>
  <si>
    <t>Lapeer</t>
  </si>
  <si>
    <t>McLaren Macomb</t>
  </si>
  <si>
    <t>Mount Clemens</t>
  </si>
  <si>
    <t>McLaren Northern Michigan</t>
  </si>
  <si>
    <t>Petoskey</t>
  </si>
  <si>
    <t>McLaren Oakland</t>
  </si>
  <si>
    <t>McLaren Orthopedic Hospital</t>
  </si>
  <si>
    <t>McLaren Port Huron Hospital</t>
  </si>
  <si>
    <t>McLaren Thumb Region</t>
  </si>
  <si>
    <t>Bad Axe</t>
  </si>
  <si>
    <t>Memorial Healthcare</t>
  </si>
  <si>
    <t>Owosso</t>
  </si>
  <si>
    <t>Mercy Health Hackley Campus</t>
  </si>
  <si>
    <t>Muskegon</t>
  </si>
  <si>
    <t>Mercy Health Mercy Campus</t>
  </si>
  <si>
    <t>Mercy Health Saint Mary's</t>
  </si>
  <si>
    <t>Grand Rapids</t>
  </si>
  <si>
    <t>Metro Health Hospital</t>
  </si>
  <si>
    <t>Wyoming</t>
  </si>
  <si>
    <t>Michigan Surgical Hospital</t>
  </si>
  <si>
    <t>MidMichigan Medical Center - Alpena</t>
  </si>
  <si>
    <t>Alpena</t>
  </si>
  <si>
    <t>MidMichigan Medical Center - Clare</t>
  </si>
  <si>
    <t>Clare</t>
  </si>
  <si>
    <t>MidMichigan Medical Center - Gratiot</t>
  </si>
  <si>
    <t>Alma</t>
  </si>
  <si>
    <t>MidMichigan Medical Center - Midland</t>
  </si>
  <si>
    <t>Midland</t>
  </si>
  <si>
    <t>MidMichigan Medical Center-West Branch</t>
  </si>
  <si>
    <t>West Branch</t>
  </si>
  <si>
    <t>Munson Healthcare Cadillac Hospital</t>
  </si>
  <si>
    <t>Cadillac</t>
  </si>
  <si>
    <t>Munson Healthcare Grayling Hospital</t>
  </si>
  <si>
    <t>Grayling</t>
  </si>
  <si>
    <t>Munson Medical Center</t>
  </si>
  <si>
    <t>Traverse City</t>
  </si>
  <si>
    <t>North Ottawa Community Hospital</t>
  </si>
  <si>
    <t>Grand Haven</t>
  </si>
  <si>
    <t>Oaklawn Hospital</t>
  </si>
  <si>
    <t>Marshall</t>
  </si>
  <si>
    <t>Oscar G. Johnson VA Medical Center</t>
  </si>
  <si>
    <t>Otsego Memorial Hospital</t>
  </si>
  <si>
    <t>Gaylord</t>
  </si>
  <si>
    <t>Pontiac General Hospital</t>
  </si>
  <si>
    <t>ProMedica Bixby Hospital</t>
  </si>
  <si>
    <t>Adrian</t>
  </si>
  <si>
    <t>ProMedica Coldwater Regional Hospital</t>
  </si>
  <si>
    <t>Coldwater</t>
  </si>
  <si>
    <t>ProMedica Monroe Regional Hospital</t>
  </si>
  <si>
    <t>Saint Joseph Mercy Chelsea</t>
  </si>
  <si>
    <t>Chelsea</t>
  </si>
  <si>
    <t>Saint Joseph Mercy Livingston Hospital</t>
  </si>
  <si>
    <t>Howell</t>
  </si>
  <si>
    <t>Saint Joseph Mercy Oakland</t>
  </si>
  <si>
    <t>Saint Mary Mercy Livonia Hospital</t>
  </si>
  <si>
    <t>Livonia</t>
  </si>
  <si>
    <t>Sparrow Carson Hospital</t>
  </si>
  <si>
    <t>Carson City</t>
  </si>
  <si>
    <t>Sparrow Hospital</t>
  </si>
  <si>
    <t>Spectrum Health Big Rapids Hospital</t>
  </si>
  <si>
    <t>Big Rapids</t>
  </si>
  <si>
    <t>Spectrum Health Blodgett Hospital</t>
  </si>
  <si>
    <t>Spectrum Health Butterworth Hospital</t>
  </si>
  <si>
    <t>Spectrum Health Ludington Hospital</t>
  </si>
  <si>
    <t>Ludington</t>
  </si>
  <si>
    <t>Spectrum Health United Hospital</t>
  </si>
  <si>
    <t>St. Joseph Mercy Ann Arbor</t>
  </si>
  <si>
    <t>Straith Hospital</t>
  </si>
  <si>
    <t>Sturgis Hospital</t>
  </si>
  <si>
    <t>Sturgis</t>
  </si>
  <si>
    <t>Surgeons Choice Medical Center</t>
  </si>
  <si>
    <t>Three Rivers Health Medical Center</t>
  </si>
  <si>
    <t>Three Rivers</t>
  </si>
  <si>
    <t>University of Michigan Hospitals and Health Centers</t>
  </si>
  <si>
    <t>Ann Arbor</t>
  </si>
  <si>
    <t>UP Health System Portage</t>
  </si>
  <si>
    <t>Hancock</t>
  </si>
  <si>
    <t>UPHS - Marquette</t>
  </si>
  <si>
    <t>Marquette</t>
  </si>
  <si>
    <t>VA Ann Arbor Healthcare System</t>
  </si>
  <si>
    <t>War Memorial Hospital</t>
  </si>
  <si>
    <t>Sault Saint Marie</t>
  </si>
  <si>
    <t>M Health Fairview Lakes Medical Center</t>
  </si>
  <si>
    <t>Abbott Northwestern Hospital</t>
  </si>
  <si>
    <t>Minneapolis</t>
  </si>
  <si>
    <t>Alomere Health</t>
  </si>
  <si>
    <t>Buffalo Hospital</t>
  </si>
  <si>
    <t>Buffalo</t>
  </si>
  <si>
    <t>Cambridge Medical Center</t>
  </si>
  <si>
    <t>Carris Health - Rice Memorial Hospital</t>
  </si>
  <si>
    <t>Willmar</t>
  </si>
  <si>
    <t>District One Hospital</t>
  </si>
  <si>
    <t>Faribault</t>
  </si>
  <si>
    <t>Essentia Health - Saint Joseph's Medical Center</t>
  </si>
  <si>
    <t>Brainerd</t>
  </si>
  <si>
    <t>Essentia Health - Virginia</t>
  </si>
  <si>
    <t>Virginia</t>
  </si>
  <si>
    <t>Essentia Health Duluth</t>
  </si>
  <si>
    <t>Essentia Health Saint Mary's - Detroit Lakes</t>
  </si>
  <si>
    <t>Detroit Lakes</t>
  </si>
  <si>
    <t>Essentia Health Saint Mary's Medical Center</t>
  </si>
  <si>
    <t>Fairview Range</t>
  </si>
  <si>
    <t>Hibbing</t>
  </si>
  <si>
    <t>Grand Itasca Clinic &amp; Hospital</t>
  </si>
  <si>
    <t>HealthEast Saint Joseph's Hospital</t>
  </si>
  <si>
    <t>Saint Paul</t>
  </si>
  <si>
    <t>Hennepin Healthcare</t>
  </si>
  <si>
    <t>Hutchinson Health Hospital</t>
  </si>
  <si>
    <t>Lake Region Hospital</t>
  </si>
  <si>
    <t>Fergus Falls</t>
  </si>
  <si>
    <t>Lakeview Hospital</t>
  </si>
  <si>
    <t>Stillwater</t>
  </si>
  <si>
    <t>M Health Fairview Northland Medical Center</t>
  </si>
  <si>
    <t>Princeton</t>
  </si>
  <si>
    <t>M Health Fairview Ridges Hospital</t>
  </si>
  <si>
    <t>Burnsville</t>
  </si>
  <si>
    <t>M Health Fairview Southdale Hospital</t>
  </si>
  <si>
    <t>Edina</t>
  </si>
  <si>
    <t>M Health Fairview St. John's Hospital</t>
  </si>
  <si>
    <t>Maplewood</t>
  </si>
  <si>
    <t>M Health Fairview University of Minnesota Medical Center</t>
  </si>
  <si>
    <t>M Health Fairview University of Minnesota Medical Center - West Bank Campus</t>
  </si>
  <si>
    <t>Maple Grove Hospital</t>
  </si>
  <si>
    <t>Maple Grove</t>
  </si>
  <si>
    <t>Mayo Clinic Health System in Albert Lea</t>
  </si>
  <si>
    <t>Albert Lea</t>
  </si>
  <si>
    <t>Mayo Clinic Health System in Austin</t>
  </si>
  <si>
    <t>Austin</t>
  </si>
  <si>
    <t>Mayo Clinic Health System in Fairmont</t>
  </si>
  <si>
    <t>Fairmont</t>
  </si>
  <si>
    <t>Mayo Clinic Health System in Mankato</t>
  </si>
  <si>
    <t>Mankato</t>
  </si>
  <si>
    <t>Mayo Clinic Health System in Red Wing</t>
  </si>
  <si>
    <t>Red Wing</t>
  </si>
  <si>
    <t>Mayo Clinic Hospital - Methodist Campus</t>
  </si>
  <si>
    <t>Mayo Clinic Hospital - Saint Mary's Campus</t>
  </si>
  <si>
    <t>Coon Rapids</t>
  </si>
  <si>
    <t>Mercy Hospital - Unity Campus</t>
  </si>
  <si>
    <t>Fridley</t>
  </si>
  <si>
    <t>Saint Louis Park</t>
  </si>
  <si>
    <t>Minneapolis VA Medical Center</t>
  </si>
  <si>
    <t>North Memorial Health Hospital</t>
  </si>
  <si>
    <t>Robbinsdale</t>
  </si>
  <si>
    <t>Northfield Hospital</t>
  </si>
  <si>
    <t>Northfield</t>
  </si>
  <si>
    <t>Olmsted Medical Center</t>
  </si>
  <si>
    <t>Owatonna Hospital</t>
  </si>
  <si>
    <t>Owatonna</t>
  </si>
  <si>
    <t>Phillips Eye Institute</t>
  </si>
  <si>
    <t>Red Lake IHS Hospital</t>
  </si>
  <si>
    <t>Redlake</t>
  </si>
  <si>
    <t>Regina Hospital</t>
  </si>
  <si>
    <t>Hastings</t>
  </si>
  <si>
    <t>Regions Hospital</t>
  </si>
  <si>
    <t>Ridgeview Medical Center</t>
  </si>
  <si>
    <t>Waconia</t>
  </si>
  <si>
    <t>Saint Cloud Hospital</t>
  </si>
  <si>
    <t>Saint Cloud VA Medical Center</t>
  </si>
  <si>
    <t>Saint Francis Regional Medical Center</t>
  </si>
  <si>
    <t>Shakopee</t>
  </si>
  <si>
    <t>Sanford Bemidji Medical Center</t>
  </si>
  <si>
    <t>Bemidji</t>
  </si>
  <si>
    <t>Sanford Worthington Medical Center</t>
  </si>
  <si>
    <t>Worthington</t>
  </si>
  <si>
    <t>United Hospital</t>
  </si>
  <si>
    <t>Winona Community Memorial Hospital</t>
  </si>
  <si>
    <t>Winona</t>
  </si>
  <si>
    <t>Woodwinds Health Campus</t>
  </si>
  <si>
    <t>Woodbury</t>
  </si>
  <si>
    <t>University of Missouri Women's and Children's Hospital</t>
  </si>
  <si>
    <t>Barnes-Jewish Hospital</t>
  </si>
  <si>
    <t>Saint Louis</t>
  </si>
  <si>
    <t>Barnes-Jewish Saint Peters Hospital</t>
  </si>
  <si>
    <t>Saint Peters</t>
  </si>
  <si>
    <t>Barnes-Jewish West County Hospital</t>
  </si>
  <si>
    <t>Creve Coeur</t>
  </si>
  <si>
    <t>Bates County Memorial Hospital</t>
  </si>
  <si>
    <t>Butler</t>
  </si>
  <si>
    <t>Belton Regional Medical Center</t>
  </si>
  <si>
    <t>Belton</t>
  </si>
  <si>
    <t>Boone Hospital Center</t>
  </si>
  <si>
    <t>Bothwell Regional Health Center</t>
  </si>
  <si>
    <t>Sedalia</t>
  </si>
  <si>
    <t>Cameron Regional Medical Center</t>
  </si>
  <si>
    <t>Capital Region Medical Center</t>
  </si>
  <si>
    <t>Jefferson City</t>
  </si>
  <si>
    <t>Capital Region Southwest Campus</t>
  </si>
  <si>
    <t>Centerpoint Medical Center</t>
  </si>
  <si>
    <t>Independence</t>
  </si>
  <si>
    <t>Christian Hospital</t>
  </si>
  <si>
    <t>Citizens Memorial Hospital</t>
  </si>
  <si>
    <t>Bolivar</t>
  </si>
  <si>
    <t>Cox Medical Center Branson</t>
  </si>
  <si>
    <t>Branson</t>
  </si>
  <si>
    <t>Cox Medical Center South</t>
  </si>
  <si>
    <t>Cox North Hospital</t>
  </si>
  <si>
    <t>Fitzgibbon Hospital</t>
  </si>
  <si>
    <t>Freeman West</t>
  </si>
  <si>
    <t>Joplin</t>
  </si>
  <si>
    <t>Fulton Medical Center</t>
  </si>
  <si>
    <t>Fulton</t>
  </si>
  <si>
    <t>General Leonard Wood Army Community Hospital</t>
  </si>
  <si>
    <t>Fort Leonard Wood</t>
  </si>
  <si>
    <t>Golden Valley Memorial Hospital</t>
  </si>
  <si>
    <t>Hannibal Regional Hospital</t>
  </si>
  <si>
    <t>Hannibal</t>
  </si>
  <si>
    <t>Harry S. Truman Memorial Veterans' Hospital</t>
  </si>
  <si>
    <t>John Cochran Division</t>
  </si>
  <si>
    <t>John J. Pershing VA Medical Center</t>
  </si>
  <si>
    <t>Poplar Bluff</t>
  </si>
  <si>
    <t>Kansas City VA Medical Center</t>
  </si>
  <si>
    <t>Lake Regional Hospital</t>
  </si>
  <si>
    <t>Osage Beach</t>
  </si>
  <si>
    <t>Lee's Summit Medical Center</t>
  </si>
  <si>
    <t>Lee's Summit</t>
  </si>
  <si>
    <t>Liberty Hospital</t>
  </si>
  <si>
    <t>Liberty</t>
  </si>
  <si>
    <t>Mercy Children's Hospital Saint Louis</t>
  </si>
  <si>
    <t>Mercy Children's Hospital Springfield</t>
  </si>
  <si>
    <t>Mercy Heart and Vascular Hospital Saint Louis</t>
  </si>
  <si>
    <t>Mercy Hospital Jefferson</t>
  </si>
  <si>
    <t>Festus</t>
  </si>
  <si>
    <t>Mercy Hospital Joplin</t>
  </si>
  <si>
    <t>Mercy Hospital Lebanon</t>
  </si>
  <si>
    <t>Mercy Hospital Saint Louis</t>
  </si>
  <si>
    <t>Mercy Hospital South</t>
  </si>
  <si>
    <t>Mercy Hospital Springfield</t>
  </si>
  <si>
    <t>Mercy Hospital Washington</t>
  </si>
  <si>
    <t>Missouri Baptist Medical Center</t>
  </si>
  <si>
    <t>Missouri Delta Medical Center</t>
  </si>
  <si>
    <t>Sikeston</t>
  </si>
  <si>
    <t>Moberly Regional Medical Center</t>
  </si>
  <si>
    <t>Moberly</t>
  </si>
  <si>
    <t>Mosaic Life Care at St. Joseph Medical Center</t>
  </si>
  <si>
    <t>Mosaic Medical Center - Maryville</t>
  </si>
  <si>
    <t>Nevada Regional Medical Center</t>
  </si>
  <si>
    <t>Nevada</t>
  </si>
  <si>
    <t>North Kansas City Hospital</t>
  </si>
  <si>
    <t>North Kansas City</t>
  </si>
  <si>
    <t>Northeast Regional Medical Center</t>
  </si>
  <si>
    <t>Kirksville</t>
  </si>
  <si>
    <t>Ozarks Medical Center</t>
  </si>
  <si>
    <t>West Plains</t>
  </si>
  <si>
    <t>Parkland Health Center - Farmington</t>
  </si>
  <si>
    <t>Pemiscot Memorial Main Hospital</t>
  </si>
  <si>
    <t>Hayti</t>
  </si>
  <si>
    <t>Phelps Health Hospital</t>
  </si>
  <si>
    <t>Rolla</t>
  </si>
  <si>
    <t>Poplar Bluff Regional Medical Center - Oak Grove</t>
  </si>
  <si>
    <t>Progress West Hospital</t>
  </si>
  <si>
    <t>Research Medical Center</t>
  </si>
  <si>
    <t>Saint Alexius Hospital - Broadway Campus</t>
  </si>
  <si>
    <t>Cape Girardeau</t>
  </si>
  <si>
    <t>Saint Joseph Medical Center</t>
  </si>
  <si>
    <t>Saint Luke's Des Peres Hospital</t>
  </si>
  <si>
    <t>Saint Luke's East Hospital</t>
  </si>
  <si>
    <t>Chesterfield</t>
  </si>
  <si>
    <t>Saint Luke's Hospital of Kansas City</t>
  </si>
  <si>
    <t>Saint Luke's North Hospital - Barry Road</t>
  </si>
  <si>
    <t>Saint Luke's North Hospital - Smithville</t>
  </si>
  <si>
    <t>Smithville</t>
  </si>
  <si>
    <t>Blue Springs</t>
  </si>
  <si>
    <t>Southeast Health Center of Stoddard County</t>
  </si>
  <si>
    <t>Dexter</t>
  </si>
  <si>
    <t>Southeast Hospital</t>
  </si>
  <si>
    <t>SSM Health Saint Clare Hospital - Fenton</t>
  </si>
  <si>
    <t>Fenton</t>
  </si>
  <si>
    <t>SSM Health Saint Joseph Hospital-Saint Charles</t>
  </si>
  <si>
    <t>Saint Charles</t>
  </si>
  <si>
    <t>SSM Health DePaul Hospital - St. Louis</t>
  </si>
  <si>
    <t>Bridgeton</t>
  </si>
  <si>
    <t>SSM Health Rehabilitation Hospital - Bridgeton</t>
  </si>
  <si>
    <t>SSM Health Rehabilitation Hospital- Lake Saint Louis</t>
  </si>
  <si>
    <t>Lake Saint Louis</t>
  </si>
  <si>
    <t>SSM Health Saint Joseph Health Center - Wentzville</t>
  </si>
  <si>
    <t>Wentzville</t>
  </si>
  <si>
    <t>SSM Health Saint Joseph Hospital - Lake Saint Louis</t>
  </si>
  <si>
    <t>SSM Health Saint Louis University Hospital</t>
  </si>
  <si>
    <t>SSM Health Saint Mary's Hospital - Audrain</t>
  </si>
  <si>
    <t>Mexico</t>
  </si>
  <si>
    <t>SSM Health Saint Mary's Hospital - Jefferson City</t>
  </si>
  <si>
    <t>SSM Health Saint Mary's Hospital - Saint Louis</t>
  </si>
  <si>
    <t>Texas County Memorial Hospital</t>
  </si>
  <si>
    <t>Houston</t>
  </si>
  <si>
    <t>TMC Health Sciences District</t>
  </si>
  <si>
    <t>Truman Medical Center Lakewood</t>
  </si>
  <si>
    <t>University of Missouri Hospital</t>
  </si>
  <si>
    <t>Western Missouri Medical Center</t>
  </si>
  <si>
    <t>Warrensburg</t>
  </si>
  <si>
    <t>81st Medical Group - Keesler Medical Center</t>
  </si>
  <si>
    <t>Keesler Air Force Base</t>
  </si>
  <si>
    <t>Alliance Health Center</t>
  </si>
  <si>
    <t>Alliance Hospital</t>
  </si>
  <si>
    <t>Holly Springs</t>
  </si>
  <si>
    <t>Anderson Regional Medical Center North</t>
  </si>
  <si>
    <t>Anderson Regional Medical Center South</t>
  </si>
  <si>
    <t>Baptist Memorial Hospital - Booneville</t>
  </si>
  <si>
    <t>Booneville</t>
  </si>
  <si>
    <t>Baptist Memorial Hospital - DeSoto</t>
  </si>
  <si>
    <t>Southaven</t>
  </si>
  <si>
    <t>Baptist Memorial Hospital - Golden Triangle</t>
  </si>
  <si>
    <t>Baptist Memorial Hospital - North Mississippi</t>
  </si>
  <si>
    <t>Oxford</t>
  </si>
  <si>
    <t>Baptist Memorial Hospital - Union County</t>
  </si>
  <si>
    <t>Beacham Memorial Hospital</t>
  </si>
  <si>
    <t>Bolivar Medical Center</t>
  </si>
  <si>
    <t>Cleveland</t>
  </si>
  <si>
    <t>Choctaw Hospital</t>
  </si>
  <si>
    <t>Philadelphia</t>
  </si>
  <si>
    <t>Conerly Critical Care Hospital</t>
  </si>
  <si>
    <t>Delta Regional Medical Center</t>
  </si>
  <si>
    <t>Forrest General Hospital</t>
  </si>
  <si>
    <t>Hattiesburg</t>
  </si>
  <si>
    <t>G.V. Sonny Montgomery VA Medical Center</t>
  </si>
  <si>
    <t>Garden Park Medical Center</t>
  </si>
  <si>
    <t>Gulfport</t>
  </si>
  <si>
    <t>George Regional Hospital</t>
  </si>
  <si>
    <t>Lucedale</t>
  </si>
  <si>
    <t>Greenwood Leflore Hospital</t>
  </si>
  <si>
    <t>Greenwood</t>
  </si>
  <si>
    <t>Gulf Coast Veterans Health Care System</t>
  </si>
  <si>
    <t>Biloxi</t>
  </si>
  <si>
    <t>Highland Community Hospital</t>
  </si>
  <si>
    <t>Picayune</t>
  </si>
  <si>
    <t>Jasper General Hospital</t>
  </si>
  <si>
    <t>Bay Springs</t>
  </si>
  <si>
    <t>Jefferson Comprehensive Health Center</t>
  </si>
  <si>
    <t>Brookhaven</t>
  </si>
  <si>
    <t>Magee General Hospital</t>
  </si>
  <si>
    <t>Magee</t>
  </si>
  <si>
    <t>Magnolia Regional Health Center</t>
  </si>
  <si>
    <t>Corinth</t>
  </si>
  <si>
    <t>Memorial Hospital at Gulfport</t>
  </si>
  <si>
    <t>Merit Health Biloxi</t>
  </si>
  <si>
    <t>Merit Health Central</t>
  </si>
  <si>
    <t>Merit Health Madison</t>
  </si>
  <si>
    <t>Merit Health Natchez</t>
  </si>
  <si>
    <t>Natchez</t>
  </si>
  <si>
    <t>Merit Health Rankin</t>
  </si>
  <si>
    <t>Merit Health River Oaks</t>
  </si>
  <si>
    <t>Flowood</t>
  </si>
  <si>
    <t>Merit Health River Region</t>
  </si>
  <si>
    <t>Vicksburg</t>
  </si>
  <si>
    <t>Merit Health Wesley</t>
  </si>
  <si>
    <t>Merit Health Woman's Hospital</t>
  </si>
  <si>
    <t>Methodist Olive Branch Hospital</t>
  </si>
  <si>
    <t>Olive Branch</t>
  </si>
  <si>
    <t>Methodist Rehabilitation Center</t>
  </si>
  <si>
    <t>Mississippi Baptist Medical Center</t>
  </si>
  <si>
    <t>Neshoba County General Hospital</t>
  </si>
  <si>
    <t>North Mississippi Medical Center - Eupora</t>
  </si>
  <si>
    <t>Eupora</t>
  </si>
  <si>
    <t>North Mississippi Medical Center - Iuka</t>
  </si>
  <si>
    <t>Iuka</t>
  </si>
  <si>
    <t>North Mississippi Medical Center - Tupelo</t>
  </si>
  <si>
    <t>Tupelo</t>
  </si>
  <si>
    <t>North Mississippi Medical Center - West Point</t>
  </si>
  <si>
    <t>West Point</t>
  </si>
  <si>
    <t>North Mississippi Medical Center Gilmore - Amory</t>
  </si>
  <si>
    <t>Amory</t>
  </si>
  <si>
    <t>North Mississippi Medical Center Women's Hospital</t>
  </si>
  <si>
    <t>Northwest Mississippi Medical Center</t>
  </si>
  <si>
    <t>Clarksdale</t>
  </si>
  <si>
    <t>Ocean Springs Hospital</t>
  </si>
  <si>
    <t>Ocean Springs</t>
  </si>
  <si>
    <t>OCH Regional Medical Center</t>
  </si>
  <si>
    <t>Starkville</t>
  </si>
  <si>
    <t>Ochsner Medical Center - Hancock</t>
  </si>
  <si>
    <t>Bay Saint Louis</t>
  </si>
  <si>
    <t>Panola Medical Center</t>
  </si>
  <si>
    <t>Pascagoula Hospital</t>
  </si>
  <si>
    <t>Pascagoula</t>
  </si>
  <si>
    <t>Patients Choice Medical Center of Smith County</t>
  </si>
  <si>
    <t>Raleigh</t>
  </si>
  <si>
    <t>Rush Foundation Hospital</t>
  </si>
  <si>
    <t>Saint Dominic Hospital</t>
  </si>
  <si>
    <t>South Central Regional Medical Center</t>
  </si>
  <si>
    <t>South Sunflower County Hospital</t>
  </si>
  <si>
    <t>Indianola</t>
  </si>
  <si>
    <t>Southwest Mississippi Regional Medical Center</t>
  </si>
  <si>
    <t>McComb</t>
  </si>
  <si>
    <t>Trace Regional Hospital</t>
  </si>
  <si>
    <t>UMMC Grenada</t>
  </si>
  <si>
    <t>Grenada</t>
  </si>
  <si>
    <t>University of Mississippi Medical Center</t>
  </si>
  <si>
    <t>Wayne General Hospital</t>
  </si>
  <si>
    <t>West Campus of Delta Regional Medical Center</t>
  </si>
  <si>
    <t>Whitfield Medical Surgical Hospital</t>
  </si>
  <si>
    <t>Whitfield</t>
  </si>
  <si>
    <t>Winfred L Wiser Hospital for Women and Infants</t>
  </si>
  <si>
    <t>Winston Medical Center</t>
  </si>
  <si>
    <t>Yalobusha General Hospital</t>
  </si>
  <si>
    <t>Water Valley</t>
  </si>
  <si>
    <t>Benefis East Campus</t>
  </si>
  <si>
    <t>Great Falls</t>
  </si>
  <si>
    <t>Benefis Healthcare - West Campus</t>
  </si>
  <si>
    <t>Billings Clinic Hospital</t>
  </si>
  <si>
    <t>Billings</t>
  </si>
  <si>
    <t>Blackfeet Community Hospital</t>
  </si>
  <si>
    <t>Browning</t>
  </si>
  <si>
    <t>Bozeman Health Big Sky Medical Center</t>
  </si>
  <si>
    <t>Big Sky</t>
  </si>
  <si>
    <t>Bozeman Health Deaconess Hospital</t>
  </si>
  <si>
    <t>Bozeman</t>
  </si>
  <si>
    <t>Community Medical Center</t>
  </si>
  <si>
    <t>Missoula</t>
  </si>
  <si>
    <t>Great Falls Clinic Hospital</t>
  </si>
  <si>
    <t>Kalispell Regional Medical Center</t>
  </si>
  <si>
    <t>Kalispell</t>
  </si>
  <si>
    <t>Montana Children's Medical Center</t>
  </si>
  <si>
    <t>Northern Montana Hospital</t>
  </si>
  <si>
    <t>Havre</t>
  </si>
  <si>
    <t>Providence Saint Patrick Hospital</t>
  </si>
  <si>
    <t>Saint Vincent Healthcare</t>
  </si>
  <si>
    <t>St. James Healthcare</t>
  </si>
  <si>
    <t>Butte</t>
  </si>
  <si>
    <t>St. Peter's Health Regional Medical Center</t>
  </si>
  <si>
    <t>The HealthCenter</t>
  </si>
  <si>
    <t>VA Medical Center and Ambulatory Care Clinic</t>
  </si>
  <si>
    <t>Fort Harrison</t>
  </si>
  <si>
    <t>AdventHealth Hendersonville</t>
  </si>
  <si>
    <t>Hendersonville</t>
  </si>
  <si>
    <t>Alamance Regional Medical Center</t>
  </si>
  <si>
    <t>Atrium Health Anson</t>
  </si>
  <si>
    <t>Wadesboro</t>
  </si>
  <si>
    <t>Atrium Health Cabarrus</t>
  </si>
  <si>
    <t>Atrium Health Cleveland</t>
  </si>
  <si>
    <t>Shelby</t>
  </si>
  <si>
    <t>Atrium Health Kings Mountain</t>
  </si>
  <si>
    <t>Kings Mountain</t>
  </si>
  <si>
    <t>Atrium Health Lincoln</t>
  </si>
  <si>
    <t>Lincolnton</t>
  </si>
  <si>
    <t>Atrium Health Mercy</t>
  </si>
  <si>
    <t>Charlotte</t>
  </si>
  <si>
    <t>Atrium Health Pineville</t>
  </si>
  <si>
    <t>Atrium Health Stanly</t>
  </si>
  <si>
    <t>Albemarle</t>
  </si>
  <si>
    <t>Atrium Health Union</t>
  </si>
  <si>
    <t>Atrium Health University City</t>
  </si>
  <si>
    <t>Betsy Johnson Regional Hospital</t>
  </si>
  <si>
    <t>Dunn</t>
  </si>
  <si>
    <t>Brenner Children's Hospital</t>
  </si>
  <si>
    <t>Winston-Salem</t>
  </si>
  <si>
    <t>Lenoir</t>
  </si>
  <si>
    <t>Cape Fear Valley Hoke Hospital</t>
  </si>
  <si>
    <t>Raeford</t>
  </si>
  <si>
    <t>Cape Fear Valley Medical Center</t>
  </si>
  <si>
    <t>CarolinaEast Medical Center</t>
  </si>
  <si>
    <t>New Bern</t>
  </si>
  <si>
    <t>Carolinas HealthCare System - Blue Ridge</t>
  </si>
  <si>
    <t>Morgantown</t>
  </si>
  <si>
    <t>Carolinas Medical Center</t>
  </si>
  <si>
    <t>CaroMont Regional Medical Center</t>
  </si>
  <si>
    <t>Gastonia</t>
  </si>
  <si>
    <t>Carteret Healthcare</t>
  </si>
  <si>
    <t>Morehead City</t>
  </si>
  <si>
    <t>Catawba Valley Medical Center</t>
  </si>
  <si>
    <t>Hickory</t>
  </si>
  <si>
    <t>Central Carolina Hospital</t>
  </si>
  <si>
    <t>Central Harnett Hospital</t>
  </si>
  <si>
    <t>Lillington</t>
  </si>
  <si>
    <t>Central Prison Hospital</t>
  </si>
  <si>
    <t>Charles George VA Medical Center - Asheville NC</t>
  </si>
  <si>
    <t>Asheville</t>
  </si>
  <si>
    <t>Cherokee Indian Hospital</t>
  </si>
  <si>
    <t>Cherokee</t>
  </si>
  <si>
    <t>Columbus Regional Healthcare System</t>
  </si>
  <si>
    <t>Whiteville</t>
  </si>
  <si>
    <t>Cone Health Annie Penn Hospital</t>
  </si>
  <si>
    <t>Reidsville</t>
  </si>
  <si>
    <t>Cone Health Wesley Long Hospital</t>
  </si>
  <si>
    <t>Cone Health Women's Hospital</t>
  </si>
  <si>
    <t>Davie Medical Center</t>
  </si>
  <si>
    <t>Bermuda Run</t>
  </si>
  <si>
    <t>Davis Regional Medical Center</t>
  </si>
  <si>
    <t>Statesville</t>
  </si>
  <si>
    <t>Duke Raleigh Hospital</t>
  </si>
  <si>
    <t>Duke Regional Hospital</t>
  </si>
  <si>
    <t>Durham</t>
  </si>
  <si>
    <t>Duke University Hospital</t>
  </si>
  <si>
    <t>Durham VA Medical Center</t>
  </si>
  <si>
    <t>Fayetteville VA Medical Center</t>
  </si>
  <si>
    <t>FirstHealth Moore Regional Hospital</t>
  </si>
  <si>
    <t>Pinehurst</t>
  </si>
  <si>
    <t>FirstHealth Moore Regional Hospital-Hoke Campus</t>
  </si>
  <si>
    <t>FirstHealth Moore Regional Hospital-Richmond</t>
  </si>
  <si>
    <t>Rockingham</t>
  </si>
  <si>
    <t>Frye Regional Medical Center</t>
  </si>
  <si>
    <t>Granville Medical Center</t>
  </si>
  <si>
    <t>Harris Regional Hospital</t>
  </si>
  <si>
    <t>Sylva</t>
  </si>
  <si>
    <t>Haywood Regional Medical Center</t>
  </si>
  <si>
    <t>Clyde</t>
  </si>
  <si>
    <t>Hugh Chatham Memorial Hospital</t>
  </si>
  <si>
    <t>Elkin</t>
  </si>
  <si>
    <t>Iredell Memorial Hospital</t>
  </si>
  <si>
    <t>Johnston Health Clayton</t>
  </si>
  <si>
    <t>Clayton</t>
  </si>
  <si>
    <t>Johnston Health Smithfield</t>
  </si>
  <si>
    <t>Smithfield</t>
  </si>
  <si>
    <t>Lake Norman Regional Medical Center</t>
  </si>
  <si>
    <t>Lenoir UNC Health Care</t>
  </si>
  <si>
    <t>Kinston</t>
  </si>
  <si>
    <t>Maria Parham Medical Center</t>
  </si>
  <si>
    <t>Martin General Hospital</t>
  </si>
  <si>
    <t>Williamston</t>
  </si>
  <si>
    <t>Maynard Children's Hospital</t>
  </si>
  <si>
    <t>Mission Hospital - Memorial Campus</t>
  </si>
  <si>
    <t>Mission Hospital McDowell</t>
  </si>
  <si>
    <t>Mission Saint Joseph Campus</t>
  </si>
  <si>
    <t>Nash General Hospital</t>
  </si>
  <si>
    <t>Rocky Mount</t>
  </si>
  <si>
    <t>Naval Hospital Camp Lejeune</t>
  </si>
  <si>
    <t>Camp Lejeune</t>
  </si>
  <si>
    <t>New Hanover Regional Medical Center</t>
  </si>
  <si>
    <t>New Hanover Regional Medical Center - Orthopedic Hospital</t>
  </si>
  <si>
    <t>North Carolina Specialty Hospital</t>
  </si>
  <si>
    <t>Northern Hospital of Surry County</t>
  </si>
  <si>
    <t>Mount Airy</t>
  </si>
  <si>
    <t>Novant Health Brunswick Medical Center</t>
  </si>
  <si>
    <t>Bolivia</t>
  </si>
  <si>
    <t>Novant Health Charlotte Orthopaedic Hospital</t>
  </si>
  <si>
    <t>Novant Health Forsyth Medical Center</t>
  </si>
  <si>
    <t>Novant Health Huntersville Medical Center</t>
  </si>
  <si>
    <t>Huntersville</t>
  </si>
  <si>
    <t>Novant Health Kernersville Medical Center</t>
  </si>
  <si>
    <t>Kernersville</t>
  </si>
  <si>
    <t>Novant Health Matthews Medical Center</t>
  </si>
  <si>
    <t>Matthews</t>
  </si>
  <si>
    <t>Novant Health Medical Park Hospital</t>
  </si>
  <si>
    <t>Novant Health Mint Hill Medical Center</t>
  </si>
  <si>
    <t>Mint Hill</t>
  </si>
  <si>
    <t>Novant Health Presbyterian Medical Center</t>
  </si>
  <si>
    <t>Novant Health Rowan Medical Center</t>
  </si>
  <si>
    <t>Novant Health Thomasville Medical Center</t>
  </si>
  <si>
    <t>Onslow Memorial Hospital</t>
  </si>
  <si>
    <t>Pardee Hospital</t>
  </si>
  <si>
    <t>Person Memorial Hospital</t>
  </si>
  <si>
    <t>Roxboro</t>
  </si>
  <si>
    <t>Randolph Hospital</t>
  </si>
  <si>
    <t>Asheboro</t>
  </si>
  <si>
    <t>Rutherford Hospital</t>
  </si>
  <si>
    <t>Rutherfordton</t>
  </si>
  <si>
    <t>Sampson Regional Medical Center</t>
  </si>
  <si>
    <t>Scotland Memorial Hospital</t>
  </si>
  <si>
    <t>Laurinburg</t>
  </si>
  <si>
    <t>Sentara Albemarle Medical Center</t>
  </si>
  <si>
    <t>Elizabeth City</t>
  </si>
  <si>
    <t>Southeastern Regional Medical Center</t>
  </si>
  <si>
    <t>Lumberton</t>
  </si>
  <si>
    <t>The Moses H. Cone Memorial Hospital</t>
  </si>
  <si>
    <t>UNC Hospitals Hillsborough Campus</t>
  </si>
  <si>
    <t>Hillsborough</t>
  </si>
  <si>
    <t>UNC Medical Center</t>
  </si>
  <si>
    <t>Chapel Hill</t>
  </si>
  <si>
    <t>UNC Rex Healthcare</t>
  </si>
  <si>
    <t>UNC Rockingham Health Care</t>
  </si>
  <si>
    <t>Eden</t>
  </si>
  <si>
    <t>Vidant Beaufort Hospital</t>
  </si>
  <si>
    <t>Vidant Duplin Hospital</t>
  </si>
  <si>
    <t>Kenansville</t>
  </si>
  <si>
    <t>Vidant Edgecombe Hospital</t>
  </si>
  <si>
    <t>Tarboro</t>
  </si>
  <si>
    <t>Vidant Medical Center</t>
  </si>
  <si>
    <t>Vidant North Hospital</t>
  </si>
  <si>
    <t>Roanoke Rapids</t>
  </si>
  <si>
    <t>Vidant Roanoke-Chowan Hospital</t>
  </si>
  <si>
    <t>Ahoskie</t>
  </si>
  <si>
    <t>W. G. (Bill) Hefner VA Medical Center - Salisbury, NC</t>
  </si>
  <si>
    <t>Wake Forest Baptist Health - Wilkes Medical Center</t>
  </si>
  <si>
    <t>North Wilkesboro</t>
  </si>
  <si>
    <t>Wake Forest Baptist Health -High Point Medical Center</t>
  </si>
  <si>
    <t>High Point</t>
  </si>
  <si>
    <t>Wake Forest Baptist Health Lexington Medical Center</t>
  </si>
  <si>
    <t>Wake Forest Baptist Medical Center</t>
  </si>
  <si>
    <t>WakeMed Cary Hospital</t>
  </si>
  <si>
    <t>Cary</t>
  </si>
  <si>
    <t>WakeMed North Family Health and Women's Hospital</t>
  </si>
  <si>
    <t>WakeMed Raleigh Campus</t>
  </si>
  <si>
    <t>Watauga Medical Center</t>
  </si>
  <si>
    <t>Boone</t>
  </si>
  <si>
    <t>Wayne UNC Health Care</t>
  </si>
  <si>
    <t>Goldsboro</t>
  </si>
  <si>
    <t>Wilmington Treatment Center</t>
  </si>
  <si>
    <t>Wilson Medical Center</t>
  </si>
  <si>
    <t>Wilson</t>
  </si>
  <si>
    <t>Womack Army Medical Center</t>
  </si>
  <si>
    <t>Fort Bragg</t>
  </si>
  <si>
    <t>Altru Hospital</t>
  </si>
  <si>
    <t>Grand Forks</t>
  </si>
  <si>
    <t>CHI Saint Alexius Health Bismarck</t>
  </si>
  <si>
    <t>Bismarck</t>
  </si>
  <si>
    <t>Essentia Health Fargo</t>
  </si>
  <si>
    <t>Fargo</t>
  </si>
  <si>
    <t>Fargo VA Health Care System</t>
  </si>
  <si>
    <t>Fort Yates Hospital</t>
  </si>
  <si>
    <t>Fort Yates</t>
  </si>
  <si>
    <t>Quentin N. Burdick Memorial Health Care Facility</t>
  </si>
  <si>
    <t>Belcourt</t>
  </si>
  <si>
    <t>Sanford Bismarck Medical Center</t>
  </si>
  <si>
    <t>Sanford Medical Center Fargo</t>
  </si>
  <si>
    <t>Sanford South University Medical Center</t>
  </si>
  <si>
    <t>Trinity Hospital</t>
  </si>
  <si>
    <t>Minot</t>
  </si>
  <si>
    <t>Bryan Medical Center - East Campus</t>
  </si>
  <si>
    <t>Lincoln</t>
  </si>
  <si>
    <t>Bryan Medical Center - West Campus</t>
  </si>
  <si>
    <t>CHI Health Creighton University Medical Center - Bergan Mercy</t>
  </si>
  <si>
    <t>Omaha</t>
  </si>
  <si>
    <t>CHI Health Good Samaritan</t>
  </si>
  <si>
    <t>Kearney</t>
  </si>
  <si>
    <t>CHI Health Immanuel</t>
  </si>
  <si>
    <t>CHI Health Lakeside</t>
  </si>
  <si>
    <t>CHI Health Midlands</t>
  </si>
  <si>
    <t>Papillion</t>
  </si>
  <si>
    <t>CHI Health Nebraska Heart</t>
  </si>
  <si>
    <t>CHI Health Saint Elizabeth</t>
  </si>
  <si>
    <t>CHI Health Saint Francis</t>
  </si>
  <si>
    <t>Grand Island</t>
  </si>
  <si>
    <t>Columbus Community Hospital</t>
  </si>
  <si>
    <t>Faith Regional Health Services</t>
  </si>
  <si>
    <t>Norfolk</t>
  </si>
  <si>
    <t>Great Plains Health</t>
  </si>
  <si>
    <t>North Platte</t>
  </si>
  <si>
    <t>Kearney Regional Medical Center</t>
  </si>
  <si>
    <t>Lincoln Surgical Hospital</t>
  </si>
  <si>
    <t>Mary Lanning Memorial Hospital</t>
  </si>
  <si>
    <t>Methodist Fremont Health</t>
  </si>
  <si>
    <t>Methodist Women's Hospital</t>
  </si>
  <si>
    <t>Midwest Surgical Hospital</t>
  </si>
  <si>
    <t>Nebraska Medicine- Bellevue</t>
  </si>
  <si>
    <t>Bellevue</t>
  </si>
  <si>
    <t>Nebraska Spine Hospital</t>
  </si>
  <si>
    <t>Omaha VA Medical Center</t>
  </si>
  <si>
    <t>OrthoNebraska</t>
  </si>
  <si>
    <t>Regional West Medical Center</t>
  </si>
  <si>
    <t>Scottsbluff</t>
  </si>
  <si>
    <t>The Nebraska Medical Center</t>
  </si>
  <si>
    <t>Catholic Medical Center</t>
  </si>
  <si>
    <t>Cheshire Medical Center</t>
  </si>
  <si>
    <t>Keene</t>
  </si>
  <si>
    <t>Concord Hospital</t>
  </si>
  <si>
    <t>Dartmouth-Hitchcock Medical Center</t>
  </si>
  <si>
    <t>Elliot Hospital</t>
  </si>
  <si>
    <t>Exeter Hospital</t>
  </si>
  <si>
    <t>Exeter</t>
  </si>
  <si>
    <t>Frisbie Memorial Hospital</t>
  </si>
  <si>
    <t>Lakes Region General Hospital</t>
  </si>
  <si>
    <t>Laconia</t>
  </si>
  <si>
    <t>Manchester VA Medical Center</t>
  </si>
  <si>
    <t>Parkland Medical Center</t>
  </si>
  <si>
    <t>Derry</t>
  </si>
  <si>
    <t>Portsmouth Regional Hospital</t>
  </si>
  <si>
    <t>Portsmouth</t>
  </si>
  <si>
    <t>Nashua</t>
  </si>
  <si>
    <t>Southern New Hampshire Medical Center</t>
  </si>
  <si>
    <t>Wentworth-Douglass Hospital</t>
  </si>
  <si>
    <t>Palisades Medical Center</t>
  </si>
  <si>
    <t>North Bergen</t>
  </si>
  <si>
    <t>AtlantiCare Regional Medical Center - Mainland Campus</t>
  </si>
  <si>
    <t>AtlantiCare Regional Medical Center -Atlantic City Campus</t>
  </si>
  <si>
    <t>Atlantic City</t>
  </si>
  <si>
    <t>Bayonne Medical Center</t>
  </si>
  <si>
    <t>Bayonne</t>
  </si>
  <si>
    <t>Bayshore Medical Center</t>
  </si>
  <si>
    <t>Holmdel</t>
  </si>
  <si>
    <t>Bergen New Bridge Medical Center</t>
  </si>
  <si>
    <t>Paramus</t>
  </si>
  <si>
    <t>Cape Regional Medical Center</t>
  </si>
  <si>
    <t>Cape May Court House</t>
  </si>
  <si>
    <t>Capital Health Medical Center - Hopewell</t>
  </si>
  <si>
    <t>Pennington</t>
  </si>
  <si>
    <t>Capital Health Regional Medical Center</t>
  </si>
  <si>
    <t>CentraState Medical Center</t>
  </si>
  <si>
    <t>Freehold</t>
  </si>
  <si>
    <t>Chilton Medical Center</t>
  </si>
  <si>
    <t>Pompton Plains</t>
  </si>
  <si>
    <t>Christ Hospital</t>
  </si>
  <si>
    <t>Jersey City</t>
  </si>
  <si>
    <t>Clara Maass Medical Center</t>
  </si>
  <si>
    <t>Toms River</t>
  </si>
  <si>
    <t>Cooper University Hospital</t>
  </si>
  <si>
    <t>Deborah Heart and Lung Center</t>
  </si>
  <si>
    <t>Browns Mills</t>
  </si>
  <si>
    <t>East Orange General Hospital</t>
  </si>
  <si>
    <t>East Orange</t>
  </si>
  <si>
    <t>Englewood Hospital and Medical Center</t>
  </si>
  <si>
    <t>Hackensack Meridian Health JFK Medical Center</t>
  </si>
  <si>
    <t>Edison</t>
  </si>
  <si>
    <t>Hackensack Meridian Health Mountainside Medical Center</t>
  </si>
  <si>
    <t>Hackensack Meridian Health Pascack Valley Medical Center</t>
  </si>
  <si>
    <t>Westwood</t>
  </si>
  <si>
    <t>Hackensack University Medical Center</t>
  </si>
  <si>
    <t>Hackensack</t>
  </si>
  <si>
    <t>Hackettstown Medical Center</t>
  </si>
  <si>
    <t>Hackettstown</t>
  </si>
  <si>
    <t>Hoboken University Medical Center</t>
  </si>
  <si>
    <t>Hoboken</t>
  </si>
  <si>
    <t>Holy Name Medical Center</t>
  </si>
  <si>
    <t>Teaneck</t>
  </si>
  <si>
    <t>Hudson Regional Hospital</t>
  </si>
  <si>
    <t>Secaucus</t>
  </si>
  <si>
    <t>Hunterdon Medical Center</t>
  </si>
  <si>
    <t>Flemington</t>
  </si>
  <si>
    <t>Inspira Medical Center Elmer</t>
  </si>
  <si>
    <t>Elmer</t>
  </si>
  <si>
    <t>Inspira Medical Center Mullica Hill</t>
  </si>
  <si>
    <t>Mullica Hill</t>
  </si>
  <si>
    <t>Inspira Medical Center Vineland</t>
  </si>
  <si>
    <t>Vineland</t>
  </si>
  <si>
    <t>Inspira Medical Center Woodbury</t>
  </si>
  <si>
    <t>Jefferson Washington Township Hospital</t>
  </si>
  <si>
    <t>Turnersville</t>
  </si>
  <si>
    <t>Jefferson Cherry Hill Hospital</t>
  </si>
  <si>
    <t>Cherry Hill</t>
  </si>
  <si>
    <t>Jefferson Stratford Hospital</t>
  </si>
  <si>
    <t>Stratford</t>
  </si>
  <si>
    <t>Jersey City Medical Center</t>
  </si>
  <si>
    <t>Jersey Shore University Medical Center</t>
  </si>
  <si>
    <t>Neptune</t>
  </si>
  <si>
    <t>LTACH - CareOne at Hackensack University Medical Center, Pascack Valley</t>
  </si>
  <si>
    <t>LTACH - CareOne at Trinitas Regional Medical Center</t>
  </si>
  <si>
    <t>Elizabeth</t>
  </si>
  <si>
    <t>Monmouth Medical Center</t>
  </si>
  <si>
    <t>Long Branch</t>
  </si>
  <si>
    <t>Monmouth Medical Center, Southern Campus</t>
  </si>
  <si>
    <t>Morristown Medical Center</t>
  </si>
  <si>
    <t>Morristown</t>
  </si>
  <si>
    <t>Newark Beth Israel Medical Center</t>
  </si>
  <si>
    <t>Ocean Medical Center</t>
  </si>
  <si>
    <t>Brick</t>
  </si>
  <si>
    <t>Overlook Medical Center</t>
  </si>
  <si>
    <t>Summit</t>
  </si>
  <si>
    <t>Princeton House Behavioral Health</t>
  </si>
  <si>
    <t>Princeton Medical Center</t>
  </si>
  <si>
    <t>Plainsboro</t>
  </si>
  <si>
    <t>Raritan Bay Medical Center - Old Bridge Division</t>
  </si>
  <si>
    <t>Old Bridge</t>
  </si>
  <si>
    <t>Raritan Bay Medical Center - Perth Amboy Division</t>
  </si>
  <si>
    <t>Perth Amboy</t>
  </si>
  <si>
    <t>Riverview Medical Center</t>
  </si>
  <si>
    <t>Red Bank</t>
  </si>
  <si>
    <t>Robert Wood Johnson University Hospital</t>
  </si>
  <si>
    <t>New Brunswick</t>
  </si>
  <si>
    <t>Robert Wood Johnson University Hospital at Rahway</t>
  </si>
  <si>
    <t>Rahway</t>
  </si>
  <si>
    <t>Robert Wood Johnson University Hospital Somerset</t>
  </si>
  <si>
    <t>RWJ University Hospital Hamilton</t>
  </si>
  <si>
    <t>Saint Barnabas Medical Center</t>
  </si>
  <si>
    <t>Livingston</t>
  </si>
  <si>
    <t>Saint Clare's Denville Hospital</t>
  </si>
  <si>
    <t>Denville</t>
  </si>
  <si>
    <t>Saint Clare's Hospital - Dover</t>
  </si>
  <si>
    <t>Saint Joseph's University Medical Center</t>
  </si>
  <si>
    <t>Paterson</t>
  </si>
  <si>
    <t>Saint Joseph's Wayne Medical Center</t>
  </si>
  <si>
    <t>Saint Luke's Warren Campus</t>
  </si>
  <si>
    <t>Phillipsburg</t>
  </si>
  <si>
    <t>Saint Mary's General Hospital</t>
  </si>
  <si>
    <t>Passaic</t>
  </si>
  <si>
    <t>Saint Michael's Medical Center</t>
  </si>
  <si>
    <t>Saint Peter's University Hospital</t>
  </si>
  <si>
    <t>Salem Medical Center</t>
  </si>
  <si>
    <t>Shore Medical Center</t>
  </si>
  <si>
    <t>Somers Point</t>
  </si>
  <si>
    <t>Southern Ocean Medical Center</t>
  </si>
  <si>
    <t>Manahawkin</t>
  </si>
  <si>
    <t>The University Hospital</t>
  </si>
  <si>
    <t>The Valley Hospital</t>
  </si>
  <si>
    <t>Ridgewood</t>
  </si>
  <si>
    <t>Trinitas Regional Medical Center</t>
  </si>
  <si>
    <t>VA New Jersey Health Care System - Lyons Campus</t>
  </si>
  <si>
    <t>Lyons</t>
  </si>
  <si>
    <t>VA New Jersey Healthcare System - East Orange Campus</t>
  </si>
  <si>
    <t>Valley-Mount Sinai Comprehensive Cancer Care</t>
  </si>
  <si>
    <t>Virtua Marlton Hospital</t>
  </si>
  <si>
    <t>Marlton</t>
  </si>
  <si>
    <t>Virtua Memorial Hospital</t>
  </si>
  <si>
    <t>Mount Holly</t>
  </si>
  <si>
    <t>Virtua Our Lady of Lourdes Hospital</t>
  </si>
  <si>
    <t>Virtua Voorhees Hospital</t>
  </si>
  <si>
    <t>Voorhees</t>
  </si>
  <si>
    <t>Virtua Willingboro Hospital</t>
  </si>
  <si>
    <t>Willingboro</t>
  </si>
  <si>
    <t>Santa Fe Indian Hospital</t>
  </si>
  <si>
    <t>Santa Fe</t>
  </si>
  <si>
    <t>Acoma-Canoncito-Laguna Hospital</t>
  </si>
  <si>
    <t>Acoma</t>
  </si>
  <si>
    <t>Alta Vista Regional Hospital</t>
  </si>
  <si>
    <t>Las Vegas</t>
  </si>
  <si>
    <t>Artesia General Hospital</t>
  </si>
  <si>
    <t>Artesia</t>
  </si>
  <si>
    <t>Carlsbad Medical Center</t>
  </si>
  <si>
    <t>Carlsbad</t>
  </si>
  <si>
    <t>CHRISTUS Saint Vincent Physicians Medical Center</t>
  </si>
  <si>
    <t>CHRISTUS Saint Vincent Regional Medical Center</t>
  </si>
  <si>
    <t>Crownpoint Health Care Facility</t>
  </si>
  <si>
    <t>Crownpoint</t>
  </si>
  <si>
    <t>Eastern New Mexico Medical Center</t>
  </si>
  <si>
    <t>Gallup Indian Medical Center</t>
  </si>
  <si>
    <t>Gallup</t>
  </si>
  <si>
    <t>Gerald Champion Regional Medical Center</t>
  </si>
  <si>
    <t>Alamogordo</t>
  </si>
  <si>
    <t>Gila Regional Medical Center</t>
  </si>
  <si>
    <t>Silver City</t>
  </si>
  <si>
    <t>Guadalupe County Hospital</t>
  </si>
  <si>
    <t>Lea Regional Medical Center</t>
  </si>
  <si>
    <t>Hobbs</t>
  </si>
  <si>
    <t>Los Alamos Medical Center</t>
  </si>
  <si>
    <t>Los Alamos</t>
  </si>
  <si>
    <t>Lovelace Medical Center</t>
  </si>
  <si>
    <t>Albuquerque</t>
  </si>
  <si>
    <t>Lovelace Regional Hospital - Roswell</t>
  </si>
  <si>
    <t>Lovelace Westside Hospital</t>
  </si>
  <si>
    <t>Lovelace Women's Hospital</t>
  </si>
  <si>
    <t>Las Cruces</t>
  </si>
  <si>
    <t>Mescalero Hospital</t>
  </si>
  <si>
    <t>Mescalero</t>
  </si>
  <si>
    <t>MountainView Regional Medical Center</t>
  </si>
  <si>
    <t>Plains Regional Medical Center</t>
  </si>
  <si>
    <t>Presbyterian Espanola Hospital</t>
  </si>
  <si>
    <t>Espanola</t>
  </si>
  <si>
    <t>Presbyterian Hospital</t>
  </si>
  <si>
    <t>Presbyterian Kaseman Hospital</t>
  </si>
  <si>
    <t>Presbyterian Rust Medical Center</t>
  </si>
  <si>
    <t>Rio Rancho</t>
  </si>
  <si>
    <t>Presbyterian Santa Fe Medical Center</t>
  </si>
  <si>
    <t>Raymond G. Murphy VA Medical Center</t>
  </si>
  <si>
    <t>Rehoboth McKinley Christian Health Care Services Hospital</t>
  </si>
  <si>
    <t>Roosevelt General Hospital</t>
  </si>
  <si>
    <t>Portales</t>
  </si>
  <si>
    <t>San Juan Regional Medical Center</t>
  </si>
  <si>
    <t>The Heart Hospital of New Mexico at Lovelace Medical Center</t>
  </si>
  <si>
    <t>The Northern Navajo Medical Center</t>
  </si>
  <si>
    <t>Shiprock</t>
  </si>
  <si>
    <t>UNM Hospital</t>
  </si>
  <si>
    <t>UNM Sandoval Regional Medical Center</t>
  </si>
  <si>
    <t>Zuni Hospital</t>
  </si>
  <si>
    <t>Zuni</t>
  </si>
  <si>
    <t>Carson Tahoe Regional Medical Center</t>
  </si>
  <si>
    <t>Carson Tahoe Sierra Surgery Hospital</t>
  </si>
  <si>
    <t>Centennial Hills Hospital Medical Center</t>
  </si>
  <si>
    <t>Children's Hospital of Nevada</t>
  </si>
  <si>
    <t>Desert Springs Hospital Medical Center</t>
  </si>
  <si>
    <t>Dignity Health - Saint Rose Dominican Sahara Campus</t>
  </si>
  <si>
    <t>Dignity Health - St. Rose Dominican Rose de Lima Campus</t>
  </si>
  <si>
    <t>Dignity Health - St. Rose Dominican Siena Campus</t>
  </si>
  <si>
    <t>Dignity Health Saint Rose Dominican North Las Vegas Campus</t>
  </si>
  <si>
    <t>North Las Vegas</t>
  </si>
  <si>
    <t>Dignity Health St. Rose Dominican's Blue Diamond Campus</t>
  </si>
  <si>
    <t>Dignity Health-Saint Rose Dominican, West Flamingo Campus</t>
  </si>
  <si>
    <t>Dignity Health-St. Rose Dominican San Martin Campus</t>
  </si>
  <si>
    <t>Henderson Hospital</t>
  </si>
  <si>
    <t>Mike O'Callaghan Military Medical Center</t>
  </si>
  <si>
    <t>Nellis Air Force Base</t>
  </si>
  <si>
    <t>MountainView Hospital</t>
  </si>
  <si>
    <t>North Vista Hospital</t>
  </si>
  <si>
    <t>Northeastern Nevada Regional Hospital</t>
  </si>
  <si>
    <t>Elko</t>
  </si>
  <si>
    <t>Northern Nevada Medical Center</t>
  </si>
  <si>
    <t>Sparks</t>
  </si>
  <si>
    <t>Orthopedic Specialty Hospital of Nevada</t>
  </si>
  <si>
    <t>Renown Regional Medical Center</t>
  </si>
  <si>
    <t>Reno</t>
  </si>
  <si>
    <t>Renown South Meadows Medical Center</t>
  </si>
  <si>
    <t>Southern Hills Hospital &amp; Medical Center</t>
  </si>
  <si>
    <t>Spring Valley Hospital Medical Center</t>
  </si>
  <si>
    <t>Summerlin Hospital Medical Center</t>
  </si>
  <si>
    <t>Sunrise Children's Hospital</t>
  </si>
  <si>
    <t>Sunrise Hospital &amp; Medical Center</t>
  </si>
  <si>
    <t>University Medical Center</t>
  </si>
  <si>
    <t>VA Sierra Nevada Health Care System</t>
  </si>
  <si>
    <t>VA Southern Nevada Healthcare System</t>
  </si>
  <si>
    <t>Valley Hospital Medical Center</t>
  </si>
  <si>
    <t>Long Island Community Hospital</t>
  </si>
  <si>
    <t>Patchogue</t>
  </si>
  <si>
    <t>A.O. Fox Hospital</t>
  </si>
  <si>
    <t>Oneonta</t>
  </si>
  <si>
    <t>Adirondack Medical Center at Saranac Lake</t>
  </si>
  <si>
    <t>Saranac Lake</t>
  </si>
  <si>
    <t>Albany Medical Center Hospital</t>
  </si>
  <si>
    <t>Albany Stratton VA Medical Center</t>
  </si>
  <si>
    <t>Alice Hyde Medical Center</t>
  </si>
  <si>
    <t>Malone</t>
  </si>
  <si>
    <t>Arnot Ogden Medical Center</t>
  </si>
  <si>
    <t>Elmira</t>
  </si>
  <si>
    <t>Auburn Community Hospital</t>
  </si>
  <si>
    <t>Bassett Medical Center</t>
  </si>
  <si>
    <t>Cooperstown</t>
  </si>
  <si>
    <t>Batavia VA Medical Center</t>
  </si>
  <si>
    <t>Batavia</t>
  </si>
  <si>
    <t>Bath VA Medical Center</t>
  </si>
  <si>
    <t>Bath</t>
  </si>
  <si>
    <t>Bellevue Woman's Center</t>
  </si>
  <si>
    <t>Niskayuna</t>
  </si>
  <si>
    <t>Bertrand Chaffee Hospital</t>
  </si>
  <si>
    <t>Springville</t>
  </si>
  <si>
    <t>Bon Secours Community Hospital</t>
  </si>
  <si>
    <t>Port Jervis</t>
  </si>
  <si>
    <t>BronxCare Dr. Martin Luther King, Jr. Health Center</t>
  </si>
  <si>
    <t>Bronx</t>
  </si>
  <si>
    <t>BronxCare Special Care Center</t>
  </si>
  <si>
    <t>Brooks Memorial Hospital</t>
  </si>
  <si>
    <t>Dunkirk</t>
  </si>
  <si>
    <t>Buffalo General Medical Center</t>
  </si>
  <si>
    <t>Buffalo VA Medical Center</t>
  </si>
  <si>
    <t>Burdett Birth Center</t>
  </si>
  <si>
    <t>Canandaigua VA Medical Center</t>
  </si>
  <si>
    <t>Canandaigua</t>
  </si>
  <si>
    <t>Canton-Potsdam Hospital</t>
  </si>
  <si>
    <t>Potsdam</t>
  </si>
  <si>
    <t>Catskill Regional Medical Center - Harris Campus</t>
  </si>
  <si>
    <t>Harris</t>
  </si>
  <si>
    <t>Cayuga Medical Center at Ithaca</t>
  </si>
  <si>
    <t>Ithaca</t>
  </si>
  <si>
    <t>Claxton-Hepburn Medical Center</t>
  </si>
  <si>
    <t>Ogdensburg</t>
  </si>
  <si>
    <t>Clifton Springs Hospital and Clinic</t>
  </si>
  <si>
    <t>Clifton Springs</t>
  </si>
  <si>
    <t>Columbia Memorial Hospital</t>
  </si>
  <si>
    <t>Cornerstone of Fresh Meadows</t>
  </si>
  <si>
    <t>Fresh Meadows</t>
  </si>
  <si>
    <t>Crouse Hospital</t>
  </si>
  <si>
    <t>Syracuse</t>
  </si>
  <si>
    <t>Eastern Niagara Hospital-Lockport</t>
  </si>
  <si>
    <t>Lockport</t>
  </si>
  <si>
    <t>Ellis Hospital</t>
  </si>
  <si>
    <t>Schenectady</t>
  </si>
  <si>
    <t>Erie County Medical Center</t>
  </si>
  <si>
    <t>F.F. Thompson Hospital</t>
  </si>
  <si>
    <t>Flushing Hospital Medical Center</t>
  </si>
  <si>
    <t>Flushing</t>
  </si>
  <si>
    <t>Garnet Health Medical Center</t>
  </si>
  <si>
    <t>Geneva General Hospital</t>
  </si>
  <si>
    <t>Glen Cove Hospital</t>
  </si>
  <si>
    <t>Glen Cove</t>
  </si>
  <si>
    <t>Glens Falls Hospital</t>
  </si>
  <si>
    <t>Glens Falls</t>
  </si>
  <si>
    <t>Suffern</t>
  </si>
  <si>
    <t>Good Samaritan Hospital Medical Center</t>
  </si>
  <si>
    <t>West Islip</t>
  </si>
  <si>
    <t>Guthrie Corning Hospital</t>
  </si>
  <si>
    <t>Corning</t>
  </si>
  <si>
    <t>Guthrie Cortland Regional Medical Center</t>
  </si>
  <si>
    <t>Cortland</t>
  </si>
  <si>
    <t>HealthAlliance Hospital - Broadway Campus</t>
  </si>
  <si>
    <t>Kingston</t>
  </si>
  <si>
    <t>HealthAlliance Hospital Mary's Avenue Campus</t>
  </si>
  <si>
    <t>Helen Hayes Hospital</t>
  </si>
  <si>
    <t>West Haverstraw</t>
  </si>
  <si>
    <t>Hospital for Special Surgery</t>
  </si>
  <si>
    <t>New York</t>
  </si>
  <si>
    <t>Interfaith Medical Center</t>
  </si>
  <si>
    <t>Brooklyn</t>
  </si>
  <si>
    <t>Ira Davenport Memorial Hospital</t>
  </si>
  <si>
    <t>Jack D. Weiler Hospital</t>
  </si>
  <si>
    <t>Jamaica Hospital Medical Center</t>
  </si>
  <si>
    <t>Jamaica</t>
  </si>
  <si>
    <t>James J. Peters VA Medical Center</t>
  </si>
  <si>
    <t>John T. Mather Memorial Hospital</t>
  </si>
  <si>
    <t>Port Jefferson</t>
  </si>
  <si>
    <t>Jones Memorial Hospital</t>
  </si>
  <si>
    <t>Wellsville</t>
  </si>
  <si>
    <t>Keller Army Community Hospital</t>
  </si>
  <si>
    <t>Kenmore Mercy Hospital</t>
  </si>
  <si>
    <t>Kenmore</t>
  </si>
  <si>
    <t>Kingsbrook Jewish Medical Center</t>
  </si>
  <si>
    <t>Lenox Hill Hospital</t>
  </si>
  <si>
    <t>Long Island Jewish Forest Hills Hospital</t>
  </si>
  <si>
    <t>Forest Hills</t>
  </si>
  <si>
    <t>Long Island Jewish Medical Center</t>
  </si>
  <si>
    <t>New Hyde Park</t>
  </si>
  <si>
    <t>Long Island Jewish Valley Stream</t>
  </si>
  <si>
    <t>Valley Stream</t>
  </si>
  <si>
    <t>Maimonides Medical Center</t>
  </si>
  <si>
    <t>Massena Hospital</t>
  </si>
  <si>
    <t>Massena</t>
  </si>
  <si>
    <t>Memorial Sloan-Kettering Cancer Center</t>
  </si>
  <si>
    <t>Mercy Hospital of Buffalo</t>
  </si>
  <si>
    <t>Rockville Centre</t>
  </si>
  <si>
    <t>Midhudson Regional Hospital of Westchester Medical Center</t>
  </si>
  <si>
    <t>Poughkeepsie</t>
  </si>
  <si>
    <t>Millard Fillmore Suburban Hospital</t>
  </si>
  <si>
    <t>Williamsville</t>
  </si>
  <si>
    <t>Monroe Community Hospital</t>
  </si>
  <si>
    <t>Montefiore Hospital- Moses Campus</t>
  </si>
  <si>
    <t>Montefiore Mount Vernon Hospital</t>
  </si>
  <si>
    <t>Montefiore New Rochelle Hospital</t>
  </si>
  <si>
    <t>New Rochelle</t>
  </si>
  <si>
    <t>Montefiore Nyack Hospital</t>
  </si>
  <si>
    <t>Nyack</t>
  </si>
  <si>
    <t>Montefiore St. Lukes Cornwall</t>
  </si>
  <si>
    <t>Montefiore Wakefield Campus</t>
  </si>
  <si>
    <t>Montefiore Westchester Square Campus</t>
  </si>
  <si>
    <t>Mount Saint Mary's Hospital</t>
  </si>
  <si>
    <t>Mount Sinai Brooklyn</t>
  </si>
  <si>
    <t>Mount Sinai Queens</t>
  </si>
  <si>
    <t>Astoria</t>
  </si>
  <si>
    <t>Mount Sinai Beth Israel Medical Center</t>
  </si>
  <si>
    <t>Mount Sinai Morningside</t>
  </si>
  <si>
    <t>Mount Sinai South Nassau</t>
  </si>
  <si>
    <t>Mount Sinai West</t>
  </si>
  <si>
    <t>MVHS - St. Luke's Campus</t>
  </si>
  <si>
    <t>Utica</t>
  </si>
  <si>
    <t>MVHS - Faxton Campus</t>
  </si>
  <si>
    <t>MVHS - St. Elizabeth Campus</t>
  </si>
  <si>
    <t>Nassau University Medical Center</t>
  </si>
  <si>
    <t>East Meadow</t>
  </si>
  <si>
    <t>Nathan Littauer Hospital</t>
  </si>
  <si>
    <t>Gloversville</t>
  </si>
  <si>
    <t>New York Community Hospital</t>
  </si>
  <si>
    <t>New York Presbyterian/Columbia University Irving Medical Center</t>
  </si>
  <si>
    <t>New York Presbyterian/Weill Cornell Medical Center</t>
  </si>
  <si>
    <t>Newark-Wayne Community Hospital</t>
  </si>
  <si>
    <t>NewYork-Presbyterian Queens Hospital</t>
  </si>
  <si>
    <t>NewYork-Presbyterian Allen Hospital</t>
  </si>
  <si>
    <t>NewYork-Presbyterian Brooklyn Methodist Hospital</t>
  </si>
  <si>
    <t>NewYork-Presbyterian Hudson Valley Hospital</t>
  </si>
  <si>
    <t>Cortlandt Manor</t>
  </si>
  <si>
    <t>NewYork-Presbyterian Lawrence Hospital</t>
  </si>
  <si>
    <t>Bronxville</t>
  </si>
  <si>
    <t>NewYork-Presbyterian, Lower Manhattan Hospital</t>
  </si>
  <si>
    <t>Niagara Falls Memorial Medical Center</t>
  </si>
  <si>
    <t>Niagara Falls</t>
  </si>
  <si>
    <t>North Shore University Hospital</t>
  </si>
  <si>
    <t>Manhasset</t>
  </si>
  <si>
    <t>Northern Dutchess Hospital</t>
  </si>
  <si>
    <t>Rhinebeck</t>
  </si>
  <si>
    <t>Northern Westchester Hospital</t>
  </si>
  <si>
    <t>Mount Kisco</t>
  </si>
  <si>
    <t>NYC Health + Hospitals Bellevue</t>
  </si>
  <si>
    <t>NYC Health + Hospitals Coney Island</t>
  </si>
  <si>
    <t>NYC Health + Hospitals Elmhurst</t>
  </si>
  <si>
    <t>NYC Health + Hospitals Harlem</t>
  </si>
  <si>
    <t>NYC Health + Hospitals Jacobi</t>
  </si>
  <si>
    <t>NYC Health + Hospitals Kings County</t>
  </si>
  <si>
    <t>NYC Health + Hospitals Lincoln</t>
  </si>
  <si>
    <t>NYC Health + Hospitals Metropolitan</t>
  </si>
  <si>
    <t>NYC Health + Hospitals North Central Bronx</t>
  </si>
  <si>
    <t>NYC Health + Hospitals Queens</t>
  </si>
  <si>
    <t>NYC Health + Hospitals Woodhull</t>
  </si>
  <si>
    <t>NYU Langone Hospital - Brooklyn</t>
  </si>
  <si>
    <t>NYU Langone Orthopedic Hospital</t>
  </si>
  <si>
    <t>NYU Langone Tisch Hospital</t>
  </si>
  <si>
    <t>NYU Winthrop Hospital</t>
  </si>
  <si>
    <t>Mineola</t>
  </si>
  <si>
    <t>Olean General Hospital</t>
  </si>
  <si>
    <t>Olean</t>
  </si>
  <si>
    <t>Oneida Healthcare Center</t>
  </si>
  <si>
    <t>Oneida</t>
  </si>
  <si>
    <t>Oswego Hospital</t>
  </si>
  <si>
    <t>Oswego</t>
  </si>
  <si>
    <t>Our Lady of Lourdes Memorial Hospital</t>
  </si>
  <si>
    <t>Binghamton</t>
  </si>
  <si>
    <t>Peconic Bay Medical Center</t>
  </si>
  <si>
    <t>Riverhead</t>
  </si>
  <si>
    <t>Phelps Hospital</t>
  </si>
  <si>
    <t>Sleepy Hollow</t>
  </si>
  <si>
    <t>Plainview Hospital</t>
  </si>
  <si>
    <t>Plainview</t>
  </si>
  <si>
    <t>Putnam Hospital Center</t>
  </si>
  <si>
    <t>Richmond University Medical Center</t>
  </si>
  <si>
    <t>Staten Island</t>
  </si>
  <si>
    <t>Rochester General Hospital</t>
  </si>
  <si>
    <t>Rockefeller University Hospital</t>
  </si>
  <si>
    <t>Rome Memorial Hospital</t>
  </si>
  <si>
    <t>Roswell Park Cancer Institute</t>
  </si>
  <si>
    <t>Saint Anthony Community Hospital</t>
  </si>
  <si>
    <t>Warwick</t>
  </si>
  <si>
    <t>Saint Barnabas Hospital</t>
  </si>
  <si>
    <t>Saint Catherine of Siena Medical Center</t>
  </si>
  <si>
    <t>Smithtown</t>
  </si>
  <si>
    <t>Saint Charles Hospital</t>
  </si>
  <si>
    <t>Saint Francis Hospital The Heart Center</t>
  </si>
  <si>
    <t>Roslyn</t>
  </si>
  <si>
    <t>Saint James Hospital</t>
  </si>
  <si>
    <t>Hornell</t>
  </si>
  <si>
    <t>Saint John's Episcopal Hospital</t>
  </si>
  <si>
    <t>Far Rockaway</t>
  </si>
  <si>
    <t>Saint John's Riverside Hospital - Andrus Pavilion</t>
  </si>
  <si>
    <t>Yonkers</t>
  </si>
  <si>
    <t>Saint John's Riverside Hospital - Dobbs Ferry Pavilion</t>
  </si>
  <si>
    <t>Dobbs Ferry</t>
  </si>
  <si>
    <t>Saint Joseph's Hospital Health Center</t>
  </si>
  <si>
    <t>Saint Mary's Hospital at Amsterdam</t>
  </si>
  <si>
    <t>Amsterdam</t>
  </si>
  <si>
    <t>Saint Peter's Hospital</t>
  </si>
  <si>
    <t>Samaritan Hospital - Main Campus</t>
  </si>
  <si>
    <t>Samaritan Hospital-Albany Memorial Campus</t>
  </si>
  <si>
    <t>Samaritan Medical Center</t>
  </si>
  <si>
    <t>Watertown</t>
  </si>
  <si>
    <t>Saratoga Hospital</t>
  </si>
  <si>
    <t>Saratoga Springs</t>
  </si>
  <si>
    <t>Sisters of Charity Hospital</t>
  </si>
  <si>
    <t>Sisters of Charity Hospital - Saint Joseph Campus</t>
  </si>
  <si>
    <t>Southside Hospital</t>
  </si>
  <si>
    <t>Bay Shore</t>
  </si>
  <si>
    <t>St. John's Riverside Hospital ParkCare Pavilion</t>
  </si>
  <si>
    <t>St. Joseph Hospital</t>
  </si>
  <si>
    <t>Bethpage</t>
  </si>
  <si>
    <t>Staten Island University Hospital</t>
  </si>
  <si>
    <t>Stony Brook Eastern Long Island Hospital</t>
  </si>
  <si>
    <t>Greenport</t>
  </si>
  <si>
    <t>Stony Brook Southampton Hospital</t>
  </si>
  <si>
    <t>Southampton</t>
  </si>
  <si>
    <t>Stony Brook University Hospital</t>
  </si>
  <si>
    <t>Stony Brook</t>
  </si>
  <si>
    <t>Strong Memorial Hospital</t>
  </si>
  <si>
    <t>Sunnyview Rehabilitation Hospital</t>
  </si>
  <si>
    <t>Syosset Hospital</t>
  </si>
  <si>
    <t>Syosset</t>
  </si>
  <si>
    <t>Syracuse VA Medical Center</t>
  </si>
  <si>
    <t>The Brookdale University Hospital and Medical Center</t>
  </si>
  <si>
    <t>The Brooklyn Hospital Center</t>
  </si>
  <si>
    <t>The Mount Sinai Hospital</t>
  </si>
  <si>
    <t>The New York Eye and Ear Infirmary</t>
  </si>
  <si>
    <t>The University of Vermont Health Network Champlain Valley Physicians Hospital</t>
  </si>
  <si>
    <t>Plattsburgh</t>
  </si>
  <si>
    <t>UHS Binghamton General Hospital</t>
  </si>
  <si>
    <t>UHS Chenango Memorial Hospital</t>
  </si>
  <si>
    <t>UHS Wilson Medical Center</t>
  </si>
  <si>
    <t>Johnson City</t>
  </si>
  <si>
    <t>United Memorial Medical Center</t>
  </si>
  <si>
    <t>Unity Hospital</t>
  </si>
  <si>
    <t>University Hospital of Brooklyn</t>
  </si>
  <si>
    <t>UPMC Chautauqua</t>
  </si>
  <si>
    <t>Jamestown</t>
  </si>
  <si>
    <t>Upstate University Hospital</t>
  </si>
  <si>
    <t>Upstate University Hospital - Community Campus</t>
  </si>
  <si>
    <t>UR Medicine Noyes Health</t>
  </si>
  <si>
    <t>Dansville</t>
  </si>
  <si>
    <t>VA Hudson Valley Health Care System - Montrose Campus</t>
  </si>
  <si>
    <t>VA New York Harbor Healthcare System - Brooklyn Campus</t>
  </si>
  <si>
    <t>VA New York Harbor Healthcare System - Manhattan Campus</t>
  </si>
  <si>
    <t>Vassar Brothers Medical Center</t>
  </si>
  <si>
    <t>Westchester Medical Center</t>
  </si>
  <si>
    <t>Valhalla</t>
  </si>
  <si>
    <t>Westfield Memorial Hospital</t>
  </si>
  <si>
    <t>White Plains Hospital</t>
  </si>
  <si>
    <t>White Plains</t>
  </si>
  <si>
    <t>Wyckoff Heights Medical Center</t>
  </si>
  <si>
    <t>Wyoming County Community Health System</t>
  </si>
  <si>
    <t>Mercy Health - Anderson Hospital</t>
  </si>
  <si>
    <t>Cincinnati</t>
  </si>
  <si>
    <t>88th Medical Group - Wright-Patterson Air Force Base Medical Center</t>
  </si>
  <si>
    <t>Wright-Patterson AirForce Base</t>
  </si>
  <si>
    <t>Adena Regional Medical Center</t>
  </si>
  <si>
    <t>Chillicothe</t>
  </si>
  <si>
    <t>Alliance Community Hospital</t>
  </si>
  <si>
    <t>Alliance</t>
  </si>
  <si>
    <t>Ashtabula County Medical Center</t>
  </si>
  <si>
    <t>Ashtabula</t>
  </si>
  <si>
    <t>Atrium Medical Center</t>
  </si>
  <si>
    <t>Aultman Hospital</t>
  </si>
  <si>
    <t>Avita Ontario Hospital</t>
  </si>
  <si>
    <t>Beachwood Medical Center</t>
  </si>
  <si>
    <t>Beachwood</t>
  </si>
  <si>
    <t>Berger Hospital</t>
  </si>
  <si>
    <t>Circleville</t>
  </si>
  <si>
    <t>Bethesda Butler Hospital</t>
  </si>
  <si>
    <t>Bethesda North Hospital</t>
  </si>
  <si>
    <t>Blanchard Valley Hospital</t>
  </si>
  <si>
    <t>Findlay</t>
  </si>
  <si>
    <t>Bryan Hospital</t>
  </si>
  <si>
    <t>Bryan</t>
  </si>
  <si>
    <t>Chillicothe VA Medical Center</t>
  </si>
  <si>
    <t>Cincinnati VA Medical Center</t>
  </si>
  <si>
    <t>Cleveland Clinic Akron General</t>
  </si>
  <si>
    <t>Akron</t>
  </si>
  <si>
    <t>Cleveland Clinic Avon Hospital</t>
  </si>
  <si>
    <t>Cleveland Clinic Lutheran Hospital</t>
  </si>
  <si>
    <t>Cleveland Clinic Medina Hospital</t>
  </si>
  <si>
    <t>Medina</t>
  </si>
  <si>
    <t>Cleveland Clinic Rehabilitation Hospital Edwin Shaw</t>
  </si>
  <si>
    <t>Copley</t>
  </si>
  <si>
    <t>Cleveland Clinic Union Hospital</t>
  </si>
  <si>
    <t>Cleveland VA Medical Center</t>
  </si>
  <si>
    <t>Clinton Memorial Hospital</t>
  </si>
  <si>
    <t>Coshocton Regional Medical Center</t>
  </si>
  <si>
    <t>Coshocton</t>
  </si>
  <si>
    <t>Crystal Clinic Orthopaedic Center</t>
  </si>
  <si>
    <t>Dayton VA Medical Center</t>
  </si>
  <si>
    <t>Dayton</t>
  </si>
  <si>
    <t>Diley Ridge Medical Center</t>
  </si>
  <si>
    <t>Canal Winchester</t>
  </si>
  <si>
    <t>East Liverpool City Hospital</t>
  </si>
  <si>
    <t>East Liverpool</t>
  </si>
  <si>
    <t>Euclid Hospital</t>
  </si>
  <si>
    <t>Euclid</t>
  </si>
  <si>
    <t>Fairfield Medical Center</t>
  </si>
  <si>
    <t>Fairview Hospital</t>
  </si>
  <si>
    <t>Firelands Regional Medical Center - South Campus</t>
  </si>
  <si>
    <t>Sandusky</t>
  </si>
  <si>
    <t>Firelands Regional Medical Center Main Campus</t>
  </si>
  <si>
    <t>Fisher-Titus Medical Center</t>
  </si>
  <si>
    <t>Fort Hamilton Hospital</t>
  </si>
  <si>
    <t>Genesis Hospital</t>
  </si>
  <si>
    <t>Zanesville</t>
  </si>
  <si>
    <t>Greene Memorial Hospital</t>
  </si>
  <si>
    <t>Xenia</t>
  </si>
  <si>
    <t>Grove City Methodist Hospital</t>
  </si>
  <si>
    <t>Grove City</t>
  </si>
  <si>
    <t>Hillcrest Hospital</t>
  </si>
  <si>
    <t>Mayfield Heights</t>
  </si>
  <si>
    <t>Holzer Gallipolis Medical Center</t>
  </si>
  <si>
    <t>Gallipolis</t>
  </si>
  <si>
    <t>Institute for Orthopaedic Surgery</t>
  </si>
  <si>
    <t>Lima</t>
  </si>
  <si>
    <t>Joint Township District Memorial Hospital</t>
  </si>
  <si>
    <t>Kettering Medical Center</t>
  </si>
  <si>
    <t>Kettering</t>
  </si>
  <si>
    <t>King's Daughters Medical Center Ohio</t>
  </si>
  <si>
    <t>Knox Community Hospital</t>
  </si>
  <si>
    <t>Licking Memorial Hospital</t>
  </si>
  <si>
    <t>Lima Memorial Hospital</t>
  </si>
  <si>
    <t>Madison Health</t>
  </si>
  <si>
    <t>Marietta Memorial Hospital</t>
  </si>
  <si>
    <t>Mary Rutan Hospital</t>
  </si>
  <si>
    <t>Bellefontaine</t>
  </si>
  <si>
    <t>Marymount Hospital</t>
  </si>
  <si>
    <t>Garfield Heights</t>
  </si>
  <si>
    <t>McCullough-Hyde Memorial Hospital (Oxford Campus)</t>
  </si>
  <si>
    <t>Mercer County Community Hospital</t>
  </si>
  <si>
    <t>Mercy Health - Clermont Hospital</t>
  </si>
  <si>
    <t>Mercy Health - Defiance Hospital</t>
  </si>
  <si>
    <t>Defiance</t>
  </si>
  <si>
    <t>Mercy Health - Saint Anne Hospital</t>
  </si>
  <si>
    <t>Toledo</t>
  </si>
  <si>
    <t>Mercy Health - Saint Charles Hospital</t>
  </si>
  <si>
    <t>Oregon</t>
  </si>
  <si>
    <t>Mercy Health - Saint Elizabeth Youngstown Hospital</t>
  </si>
  <si>
    <t>Youngstown</t>
  </si>
  <si>
    <t>Mercy Health - Saint Joseph Warren Hospital</t>
  </si>
  <si>
    <t>Mercy Health - Saint Rita's Medical Center</t>
  </si>
  <si>
    <t>Mercy Health - Springfield Regional Medical Center</t>
  </si>
  <si>
    <t>Mercy Health - West Hospital</t>
  </si>
  <si>
    <t>Mercy Health- Children's Hospital</t>
  </si>
  <si>
    <t>Mercy Health- Fairfield Hospital</t>
  </si>
  <si>
    <t>Mercy Health- Saint Vincent Medical Center</t>
  </si>
  <si>
    <t>Mercy Health-Lorain Hospital</t>
  </si>
  <si>
    <t>Lorain</t>
  </si>
  <si>
    <t>Mercy Health-Perrysburg Hospital</t>
  </si>
  <si>
    <t>Perrysburg</t>
  </si>
  <si>
    <t>Mercy Health-Saint Elizabeth Boardman Hospital</t>
  </si>
  <si>
    <t>Boardman</t>
  </si>
  <si>
    <t>Mercy Health-Tiffin Hospital</t>
  </si>
  <si>
    <t>Tiffin</t>
  </si>
  <si>
    <t>MetroHealth Medical Center</t>
  </si>
  <si>
    <t>Miami Valley Hospital</t>
  </si>
  <si>
    <t>Miami Valley Hospital North</t>
  </si>
  <si>
    <t>Miami Valley Hospital South</t>
  </si>
  <si>
    <t>Centerville</t>
  </si>
  <si>
    <t>Mount Carmel East</t>
  </si>
  <si>
    <t>Mount Carmel Grove City</t>
  </si>
  <si>
    <t>Mount Carmel New Albany</t>
  </si>
  <si>
    <t>Mount Carmel Saint Ann's</t>
  </si>
  <si>
    <t>Westerville</t>
  </si>
  <si>
    <t>Ohio State University Comprehensive Cancer Center - Arthur G. James Cancer Hospital</t>
  </si>
  <si>
    <t>Ohio State University Hospital East</t>
  </si>
  <si>
    <t>Ohio State University Wexner Medical Center</t>
  </si>
  <si>
    <t>Ohio Valley Surgical Hospital</t>
  </si>
  <si>
    <t>OhioHealth Doctors Hospital</t>
  </si>
  <si>
    <t>OhioHealth Dublin Methodist Hospital</t>
  </si>
  <si>
    <t>OhioHealth Grady Memorial Hospital</t>
  </si>
  <si>
    <t>Delaware</t>
  </si>
  <si>
    <t>OhioHealth Grant Medical Center</t>
  </si>
  <si>
    <t>OhioHealth Mansfield Hospital</t>
  </si>
  <si>
    <t>OhioHealth Marion General Hospital</t>
  </si>
  <si>
    <t>OhioHealth O'Bleness Hospital</t>
  </si>
  <si>
    <t>OhioHealth Riverside Methodist Hospital</t>
  </si>
  <si>
    <t>Pomerene Hospital</t>
  </si>
  <si>
    <t>Millersburg</t>
  </si>
  <si>
    <t>ProMedica Bay Park Hospital</t>
  </si>
  <si>
    <t>ProMedica Flower Hospital</t>
  </si>
  <si>
    <t>Sylvania</t>
  </si>
  <si>
    <t>ProMedica Memorial Hospital</t>
  </si>
  <si>
    <t>ProMedica Toledo Hospital</t>
  </si>
  <si>
    <t>Maumee</t>
  </si>
  <si>
    <t>Saint Vincent Charity Medical Center</t>
  </si>
  <si>
    <t>Salem Regional Medical Center</t>
  </si>
  <si>
    <t>Soin Medical Center</t>
  </si>
  <si>
    <t>Beavercreek</t>
  </si>
  <si>
    <t>South Pointe Hospital</t>
  </si>
  <si>
    <t>Warrensville Heights</t>
  </si>
  <si>
    <t>Southeastern Ohio Regional Medical Center</t>
  </si>
  <si>
    <t>Southern Ohio Medical Center</t>
  </si>
  <si>
    <t>Southview Medical Center</t>
  </si>
  <si>
    <t>Southwest General Health Center</t>
  </si>
  <si>
    <t>Middleburg Heights</t>
  </si>
  <si>
    <t>Summa Health System - Akron Campus</t>
  </si>
  <si>
    <t>Summa Health System-Barberton Campus</t>
  </si>
  <si>
    <t>Barberton</t>
  </si>
  <si>
    <t>Summa Health System-St. Thomas Campus</t>
  </si>
  <si>
    <t>Sycamore Medical Center</t>
  </si>
  <si>
    <t>Miamisburg</t>
  </si>
  <si>
    <t>The Bellevue Hospital</t>
  </si>
  <si>
    <t>The Christ Hospital</t>
  </si>
  <si>
    <t>The Cleveland Clinic</t>
  </si>
  <si>
    <t>The Jewish Hospital - Mercy Health</t>
  </si>
  <si>
    <t>The Surgical Hospital at Southwoods</t>
  </si>
  <si>
    <t>The University of Toledo Medical Center</t>
  </si>
  <si>
    <t>The Woods at Parkside</t>
  </si>
  <si>
    <t>Gahanna</t>
  </si>
  <si>
    <t>Three Gables Surgery Center</t>
  </si>
  <si>
    <t>Proctorville</t>
  </si>
  <si>
    <t>TriHealth Evendale Hospital</t>
  </si>
  <si>
    <t>Evandale</t>
  </si>
  <si>
    <t>Trinity East</t>
  </si>
  <si>
    <t>Steubenville</t>
  </si>
  <si>
    <t>Trinity West</t>
  </si>
  <si>
    <t>TriPoint Medical Center</t>
  </si>
  <si>
    <t>Troy Hospital</t>
  </si>
  <si>
    <t>Trumbull Regional Medical Center</t>
  </si>
  <si>
    <t>UH Ahuja Medical Center</t>
  </si>
  <si>
    <t>UH Bedford Medical Center</t>
  </si>
  <si>
    <t>UH Cleveland Medical Center</t>
  </si>
  <si>
    <t>UH Elyria Medical Center</t>
  </si>
  <si>
    <t>Elyria</t>
  </si>
  <si>
    <t>UH Geauga Medical Center</t>
  </si>
  <si>
    <t>Chardon</t>
  </si>
  <si>
    <t>UH Parma Medical Center</t>
  </si>
  <si>
    <t>Parma</t>
  </si>
  <si>
    <t>UH Portage Medical Center</t>
  </si>
  <si>
    <t>Ravenna</t>
  </si>
  <si>
    <t>UH Richmond Medical Center</t>
  </si>
  <si>
    <t>Richmond Heights</t>
  </si>
  <si>
    <t>UH Saint John Medical Center</t>
  </si>
  <si>
    <t>Westlake</t>
  </si>
  <si>
    <t>UH Samaritan Medical Center</t>
  </si>
  <si>
    <t>University of Cincinnati Medical Center</t>
  </si>
  <si>
    <t>Upper Valley Medical Center</t>
  </si>
  <si>
    <t>Van Wert County Hospital</t>
  </si>
  <si>
    <t>Van Wert</t>
  </si>
  <si>
    <t>Wayne Hospital</t>
  </si>
  <si>
    <t>West Chester Medical Center</t>
  </si>
  <si>
    <t>West Chester</t>
  </si>
  <si>
    <t>West Medical Center</t>
  </si>
  <si>
    <t>Willoughby</t>
  </si>
  <si>
    <t>Western Reserve Hospital</t>
  </si>
  <si>
    <t>Cuyahoga Falls</t>
  </si>
  <si>
    <t>Wilson Health</t>
  </si>
  <si>
    <t>Sidney</t>
  </si>
  <si>
    <t>Wood County Hospital</t>
  </si>
  <si>
    <t>Wooster Community Hospital</t>
  </si>
  <si>
    <t>Wooster</t>
  </si>
  <si>
    <t>INTEGRIS Miami Hospital</t>
  </si>
  <si>
    <t>AllianceHealth Clinton</t>
  </si>
  <si>
    <t>AllianceHealth Durant</t>
  </si>
  <si>
    <t>Durant</t>
  </si>
  <si>
    <t>AllianceHealth Midwest</t>
  </si>
  <si>
    <t>Midwest City</t>
  </si>
  <si>
    <t>AllianceHealth Ponca City</t>
  </si>
  <si>
    <t>Ponca City</t>
  </si>
  <si>
    <t>AllianceHealth Seminole</t>
  </si>
  <si>
    <t>Seminole</t>
  </si>
  <si>
    <t>AllianceHealth Woodward</t>
  </si>
  <si>
    <t>Woodward</t>
  </si>
  <si>
    <t>Ascension Jane Phillips Medical Center</t>
  </si>
  <si>
    <t>Bartlesville</t>
  </si>
  <si>
    <t>Ascension Saint John Owasso</t>
  </si>
  <si>
    <t>Owasso</t>
  </si>
  <si>
    <t>Bailey Medical Center</t>
  </si>
  <si>
    <t>Blackwell Regional Hospital</t>
  </si>
  <si>
    <t>Blackwell</t>
  </si>
  <si>
    <t>Bristow Medical Center</t>
  </si>
  <si>
    <t>Bristow</t>
  </si>
  <si>
    <t>Cancer Treatment Centers of America Tulsa</t>
  </si>
  <si>
    <t>Tulsa</t>
  </si>
  <si>
    <t>Chickasaw Nation Medical Center</t>
  </si>
  <si>
    <t>Ada</t>
  </si>
  <si>
    <t>Choctaw Memorial Hospital</t>
  </si>
  <si>
    <t>Hugo</t>
  </si>
  <si>
    <t>Choctaw Nation Health Care Center</t>
  </si>
  <si>
    <t>Talihina</t>
  </si>
  <si>
    <t>Claremore IHS Hospital</t>
  </si>
  <si>
    <t>Claremore</t>
  </si>
  <si>
    <t>Comanche County Memorial Hospital</t>
  </si>
  <si>
    <t>Lawton</t>
  </si>
  <si>
    <t>Oklahoma City</t>
  </si>
  <si>
    <t>Duncan Regional Hospital</t>
  </si>
  <si>
    <t>Duncan</t>
  </si>
  <si>
    <t>Elkview General Hospital</t>
  </si>
  <si>
    <t>Chickasha</t>
  </si>
  <si>
    <t>Great Plains Regional Medical Center</t>
  </si>
  <si>
    <t>Elk City</t>
  </si>
  <si>
    <t>Heart Hospital at Saint Francis</t>
  </si>
  <si>
    <t>Hillcrest Hospital Claremore</t>
  </si>
  <si>
    <t>Hillcrest Hospital Cushing</t>
  </si>
  <si>
    <t>Cushing</t>
  </si>
  <si>
    <t>Hillcrest Hospital Henryetta</t>
  </si>
  <si>
    <t>Henryetta</t>
  </si>
  <si>
    <t>Hillcrest Hospital Pryor</t>
  </si>
  <si>
    <t>Pryor</t>
  </si>
  <si>
    <t>Hillcrest Hospital South</t>
  </si>
  <si>
    <t>Hillcrest Medical Center</t>
  </si>
  <si>
    <t>INTEGRIS Baptist Medical Center</t>
  </si>
  <si>
    <t>INTEGRIS Baptist Medical Center Portland Avenue</t>
  </si>
  <si>
    <t>INTEGRIS Bass Baptist Health Center</t>
  </si>
  <si>
    <t>Enid</t>
  </si>
  <si>
    <t>INTEGRIS Canadian Valley Regional Hospital</t>
  </si>
  <si>
    <t>Yukon</t>
  </si>
  <si>
    <t>INTEGRIS Community Hospital at Council Crossing</t>
  </si>
  <si>
    <t>INTEGRIS Community Hospital at OKC West</t>
  </si>
  <si>
    <t>INTEGRIS Community Hospital in Del City</t>
  </si>
  <si>
    <t>Del City</t>
  </si>
  <si>
    <t>INTEGRIS Community Hospital in Moore</t>
  </si>
  <si>
    <t>Moore</t>
  </si>
  <si>
    <t>INTEGRIS Grove Hospital</t>
  </si>
  <si>
    <t>Grove</t>
  </si>
  <si>
    <t>INTEGRIS Health Edmond</t>
  </si>
  <si>
    <t>Edmond</t>
  </si>
  <si>
    <t>INTEGRIS Southwest Medical Center</t>
  </si>
  <si>
    <t>Jack C. Montgomery VA Medical Center</t>
  </si>
  <si>
    <t>Muskogee</t>
  </si>
  <si>
    <t>Jackson County Memorial Hospital</t>
  </si>
  <si>
    <t>Altus</t>
  </si>
  <si>
    <t>Lakeside Women's Hospital</t>
  </si>
  <si>
    <t>Lawton Indian Hospital</t>
  </si>
  <si>
    <t>Lindsay Municipal Hospital</t>
  </si>
  <si>
    <t>Lindsay</t>
  </si>
  <si>
    <t>McAlester Regional Health Center</t>
  </si>
  <si>
    <t>McAlester</t>
  </si>
  <si>
    <t>McBride Clinic Orthopedic Hospital</t>
  </si>
  <si>
    <t>Stilwell</t>
  </si>
  <si>
    <t>Mercy Hospital Ada</t>
  </si>
  <si>
    <t>Mercy Hospital Ardmore</t>
  </si>
  <si>
    <t>Ardmore</t>
  </si>
  <si>
    <t>Mercy Hospital Oklahoma City</t>
  </si>
  <si>
    <t>Muscogee Creek Nation Medical Center</t>
  </si>
  <si>
    <t>Okmulgee</t>
  </si>
  <si>
    <t>Norman Regional HealthPlex Hospital</t>
  </si>
  <si>
    <t>Norman</t>
  </si>
  <si>
    <t>Norman Regional Hospital</t>
  </si>
  <si>
    <t>Northeastern Health System</t>
  </si>
  <si>
    <t>Tahlequah</t>
  </si>
  <si>
    <t>Northwest Surgery Hospital</t>
  </si>
  <si>
    <t>Oklahoma City VA Medical Center</t>
  </si>
  <si>
    <t>Oklahoma Heart Hospital North</t>
  </si>
  <si>
    <t>Oklahoma Heart Hospital South</t>
  </si>
  <si>
    <t>Oklahoma Heart Institute at Hillcrest Medical Center</t>
  </si>
  <si>
    <t>Oklahoma Spine Hospital</t>
  </si>
  <si>
    <t>Oklahoma State University Medical Center</t>
  </si>
  <si>
    <t>Oklahoma Surgical Hospital</t>
  </si>
  <si>
    <t>Oklahoma University Medical Center</t>
  </si>
  <si>
    <t>Oklahoma University Medical Center Edmond</t>
  </si>
  <si>
    <t>One Core Health Orthopedic Hospital</t>
  </si>
  <si>
    <t>Perry Memorial Hospital</t>
  </si>
  <si>
    <t>Purcell Municipal Hospital</t>
  </si>
  <si>
    <t>Purcell</t>
  </si>
  <si>
    <t>Pushmataha Hospital</t>
  </si>
  <si>
    <t>Antlers</t>
  </si>
  <si>
    <t>Saint Francis Hospital Muskogee</t>
  </si>
  <si>
    <t>Saint Francis Hospital Muskogee East</t>
  </si>
  <si>
    <t>Saint Francis Hospital South</t>
  </si>
  <si>
    <t>Saint Francis Hospital Vinita</t>
  </si>
  <si>
    <t>Vinita</t>
  </si>
  <si>
    <t>Saint John Broken Arrow</t>
  </si>
  <si>
    <t>Broken Arrow</t>
  </si>
  <si>
    <t>Saint John Medical Center</t>
  </si>
  <si>
    <t>Sequoyah Memorial Hospital</t>
  </si>
  <si>
    <t>Sallisaw</t>
  </si>
  <si>
    <t>Southwest Orthopaedic and Reconstructive Specialists</t>
  </si>
  <si>
    <t>Southwestern Medical Center</t>
  </si>
  <si>
    <t>SSM Health Bone &amp; Joint Hospital at St. Anthony</t>
  </si>
  <si>
    <t>SSM Health Saint Anthony Hospital - Oklahoma City</t>
  </si>
  <si>
    <t>SSM Health St. Anthony Hospital-Shawnee</t>
  </si>
  <si>
    <t>Shawnee</t>
  </si>
  <si>
    <t>Stillwater Medical Center</t>
  </si>
  <si>
    <t>Summit Medical Center</t>
  </si>
  <si>
    <t>Surgical Hospital Of Oklahoma</t>
  </si>
  <si>
    <t>Tulsa Spine And Specialty Hospital</t>
  </si>
  <si>
    <t>W. W. Hastings Indian Hospital</t>
  </si>
  <si>
    <t>Wagoner Community Hospital</t>
  </si>
  <si>
    <t>Wagoner</t>
  </si>
  <si>
    <t>Adventist Medical Center</t>
  </si>
  <si>
    <t>Asante Ashland Community Hospital</t>
  </si>
  <si>
    <t>Asante Rogue Regional Medical Center</t>
  </si>
  <si>
    <t>Asante Three Rivers Medical Center</t>
  </si>
  <si>
    <t>Grants Pass</t>
  </si>
  <si>
    <t>Bay Area Hospital</t>
  </si>
  <si>
    <t>Coos Bay</t>
  </si>
  <si>
    <t>Good Samaritan Regional Medical Center</t>
  </si>
  <si>
    <t>Corvallis</t>
  </si>
  <si>
    <t>Kaiser Permanente Westside Medical Center</t>
  </si>
  <si>
    <t>Hillsboro</t>
  </si>
  <si>
    <t>Kaiser Sunnyside Medical Center</t>
  </si>
  <si>
    <t>Clackamas</t>
  </si>
  <si>
    <t>Legacy Emanuel Medical Center</t>
  </si>
  <si>
    <t>Legacy Good Samaritan Hospital</t>
  </si>
  <si>
    <t>Legacy Meridian Park Hospital</t>
  </si>
  <si>
    <t>Tualatin</t>
  </si>
  <si>
    <t>Legacy Mount Hood Medical Center</t>
  </si>
  <si>
    <t>Gresham</t>
  </si>
  <si>
    <t>Legacy Silverton Medical Center</t>
  </si>
  <si>
    <t>Silverton</t>
  </si>
  <si>
    <t>McKenzie-Willamette Medical Center</t>
  </si>
  <si>
    <t>Roseburg</t>
  </si>
  <si>
    <t>Mid-Columbia Medical Center</t>
  </si>
  <si>
    <t>The Dalles</t>
  </si>
  <si>
    <t>Oregon Health &amp; Science University Hospital</t>
  </si>
  <si>
    <t>PeaceHealth Sacred Heart Medical Center at RiverBend</t>
  </si>
  <si>
    <t>PeaceHealth Sacred Heart Medical Center University District</t>
  </si>
  <si>
    <t>Eugene</t>
  </si>
  <si>
    <t>Portland VA Medical Center</t>
  </si>
  <si>
    <t>Providence Medford Medical Center</t>
  </si>
  <si>
    <t>Providence Milwaukie Hospital</t>
  </si>
  <si>
    <t>Milwaukie</t>
  </si>
  <si>
    <t>Providence Newberg Medical Center</t>
  </si>
  <si>
    <t>Newberg</t>
  </si>
  <si>
    <t>Providence Portland Medical Center</t>
  </si>
  <si>
    <t>Providence Saint Vincent Medical Center</t>
  </si>
  <si>
    <t>Providence Willamette Falls Medical Center</t>
  </si>
  <si>
    <t>Oregon City</t>
  </si>
  <si>
    <t>Roseburg VA Health Care System</t>
  </si>
  <si>
    <t>Saint Alphonsus Medical Center - Ontario</t>
  </si>
  <si>
    <t>Saint Charles Bend Medical Center</t>
  </si>
  <si>
    <t>Bend</t>
  </si>
  <si>
    <t>Salem Hospital</t>
  </si>
  <si>
    <t>Samaritan Albany General Hospital</t>
  </si>
  <si>
    <t>Santiam Hospital</t>
  </si>
  <si>
    <t>Stayton</t>
  </si>
  <si>
    <t>Sky Lakes Medical Center</t>
  </si>
  <si>
    <t>Klamath Falls</t>
  </si>
  <si>
    <t>St. Charles Prineville</t>
  </si>
  <si>
    <t>Prineville</t>
  </si>
  <si>
    <t>St. Charles Redmond</t>
  </si>
  <si>
    <t>Redmond</t>
  </si>
  <si>
    <t>Tuality Community Hospital</t>
  </si>
  <si>
    <t>Willamette Valley Medical Center</t>
  </si>
  <si>
    <t>McMinnville</t>
  </si>
  <si>
    <t>Chester County Hospital</t>
  </si>
  <si>
    <t>Reading Hospital</t>
  </si>
  <si>
    <t>West Reading</t>
  </si>
  <si>
    <t>UPMC Hamot</t>
  </si>
  <si>
    <t>Erie</t>
  </si>
  <si>
    <t>UPMC Lititz</t>
  </si>
  <si>
    <t>Lititz</t>
  </si>
  <si>
    <t>UPMC Magee-Womens Hospital</t>
  </si>
  <si>
    <t>Pittsburgh</t>
  </si>
  <si>
    <t>VA Pittsburgh Healthcare System - H.J. Heinz Campus</t>
  </si>
  <si>
    <t>Abington - Lansdale Hospital</t>
  </si>
  <si>
    <t>Lansdale</t>
  </si>
  <si>
    <t>Abington Hospital - Jefferson Health</t>
  </si>
  <si>
    <t>Abington</t>
  </si>
  <si>
    <t>Advanced Surgical Hospital</t>
  </si>
  <si>
    <t>AHN Grove City</t>
  </si>
  <si>
    <t>Allegheny General Hospital</t>
  </si>
  <si>
    <t>Allegheny Valley Hospital</t>
  </si>
  <si>
    <t>Natrona Heights</t>
  </si>
  <si>
    <t>Armstrong County Memorial Hospital</t>
  </si>
  <si>
    <t>Kittanning</t>
  </si>
  <si>
    <t>Berwick Hospital Center</t>
  </si>
  <si>
    <t>Berwick</t>
  </si>
  <si>
    <t>Bradford Regional Medical Center</t>
  </si>
  <si>
    <t>Bradford</t>
  </si>
  <si>
    <t>Brandywine Hospital</t>
  </si>
  <si>
    <t>Coatesville</t>
  </si>
  <si>
    <t>Bryn Mawr Hospital</t>
  </si>
  <si>
    <t>Bryn Mawr</t>
  </si>
  <si>
    <t>Butler Memorial Hospital</t>
  </si>
  <si>
    <t>Cancer Treatment Centers of America Philadelphia</t>
  </si>
  <si>
    <t>Canonsburg Hospital</t>
  </si>
  <si>
    <t>Canonsburg</t>
  </si>
  <si>
    <t>Chan Soon-Shiong Medical Center at Windber</t>
  </si>
  <si>
    <t>Windber</t>
  </si>
  <si>
    <t>Chestnut Hill Hospital</t>
  </si>
  <si>
    <t>Clarion Hospital</t>
  </si>
  <si>
    <t>Clarion</t>
  </si>
  <si>
    <t>Conemaugh Memorial Medical Center - Lee Campus</t>
  </si>
  <si>
    <t>Johnstown</t>
  </si>
  <si>
    <t>Conemaugh Memorial Medical Center - Main Campus</t>
  </si>
  <si>
    <t>Conemaugh Miners Medical Center</t>
  </si>
  <si>
    <t>Conemaugh Nason Medical Center</t>
  </si>
  <si>
    <t>Roaring Spring</t>
  </si>
  <si>
    <t>Coordinated Health Bethlehem Hospital</t>
  </si>
  <si>
    <t>Bethlehem</t>
  </si>
  <si>
    <t>Coordinated Health Hospital of Allentown</t>
  </si>
  <si>
    <t>Allentown</t>
  </si>
  <si>
    <t>Corporal Michael J.Crescenz VAMC</t>
  </si>
  <si>
    <t>Crozer-Chester Medical Center</t>
  </si>
  <si>
    <t>Delaware County Memorial Hospital</t>
  </si>
  <si>
    <t>Drexel Hill</t>
  </si>
  <si>
    <t>Doylestown Hospital</t>
  </si>
  <si>
    <t>Doylestown</t>
  </si>
  <si>
    <t>Eagleville Hospital</t>
  </si>
  <si>
    <t>Eagleville</t>
  </si>
  <si>
    <t>Edgewood Surgical Hospital</t>
  </si>
  <si>
    <t>Transfer</t>
  </si>
  <si>
    <t>Einstein Medical Center Elkins Park</t>
  </si>
  <si>
    <t>Elkins Park</t>
  </si>
  <si>
    <t>Einstein Medical Center Montgomery</t>
  </si>
  <si>
    <t>East Norriton</t>
  </si>
  <si>
    <t>Einstein Medical Center Philadelphia</t>
  </si>
  <si>
    <t>Erie VA Medical Center</t>
  </si>
  <si>
    <t>Evangelical Community Hospital</t>
  </si>
  <si>
    <t>Lewisburg</t>
  </si>
  <si>
    <t>Excela Frick Hospital</t>
  </si>
  <si>
    <t>Excela Latrobe Hospital</t>
  </si>
  <si>
    <t>Latrobe</t>
  </si>
  <si>
    <t>Excela Westmoreland Hospital</t>
  </si>
  <si>
    <t>Greensburg</t>
  </si>
  <si>
    <t>Forbes Hospital</t>
  </si>
  <si>
    <t>Fox Chase Cancer Center</t>
  </si>
  <si>
    <t>Geisinger Bloomsburg Hospital</t>
  </si>
  <si>
    <t>Bloomsburg</t>
  </si>
  <si>
    <t>Geisinger Holy Spirit</t>
  </si>
  <si>
    <t>Camp Hill</t>
  </si>
  <si>
    <t>Geisinger Janet Weis Children's Hospital</t>
  </si>
  <si>
    <t>Geisinger Lewistown Hospital</t>
  </si>
  <si>
    <t>Lewistown</t>
  </si>
  <si>
    <t>Geisinger Medical Center</t>
  </si>
  <si>
    <t>Geisinger Shamokin Area Community Hospital</t>
  </si>
  <si>
    <t>Coal Township</t>
  </si>
  <si>
    <t>Geisinger South Wilkes-Barre</t>
  </si>
  <si>
    <t>Wilkes-Barre</t>
  </si>
  <si>
    <t>Geisinger St. Luke's Hospital</t>
  </si>
  <si>
    <t>Orwigsburg</t>
  </si>
  <si>
    <t>Geisinger Wyoming Valley Medical Center</t>
  </si>
  <si>
    <t>Geisinger-Community Medical Center</t>
  </si>
  <si>
    <t>Scranton</t>
  </si>
  <si>
    <t>Grand View Hospital</t>
  </si>
  <si>
    <t>Sellersville</t>
  </si>
  <si>
    <t>Guthrie Robert Packer Hospital</t>
  </si>
  <si>
    <t>Sayre</t>
  </si>
  <si>
    <t>Guthrie Towanda Memorial Hospital</t>
  </si>
  <si>
    <t>Towanda</t>
  </si>
  <si>
    <t>Heritage Valley Beaver</t>
  </si>
  <si>
    <t>Beaver</t>
  </si>
  <si>
    <t>Heritage Valley Sewickley</t>
  </si>
  <si>
    <t>Sewickley</t>
  </si>
  <si>
    <t>Highlands Hospital</t>
  </si>
  <si>
    <t>Connellsville</t>
  </si>
  <si>
    <t>Holy Redeemer Hospital and Medical Center</t>
  </si>
  <si>
    <t>Meadowbrook</t>
  </si>
  <si>
    <t>Hospital of the University of Pennsylvania</t>
  </si>
  <si>
    <t>Indiana Regional Medical Center</t>
  </si>
  <si>
    <t>Indiana</t>
  </si>
  <si>
    <t>James E. Van Zandt VA Medical Center - Altoona, PA</t>
  </si>
  <si>
    <t>Altoona</t>
  </si>
  <si>
    <t>Jeanes Hospital</t>
  </si>
  <si>
    <t>Jefferson Bucks Hospital</t>
  </si>
  <si>
    <t>Langhorne</t>
  </si>
  <si>
    <t>Jefferson Frankford Hospital</t>
  </si>
  <si>
    <t>Jefferson Hills</t>
  </si>
  <si>
    <t>Jefferson Methodist Hospital</t>
  </si>
  <si>
    <t>Jefferson Torresdale Hospital</t>
  </si>
  <si>
    <t>Jennersville Hospital</t>
  </si>
  <si>
    <t>West Grove</t>
  </si>
  <si>
    <t>Kensington Hospital</t>
  </si>
  <si>
    <t>Lancaster General Hospital</t>
  </si>
  <si>
    <t>Lankenau Hospital</t>
  </si>
  <si>
    <t>Wynnewood</t>
  </si>
  <si>
    <t>Lebanon VA Medical Center</t>
  </si>
  <si>
    <t>Lehigh Valley Hospital - Cedar Crest</t>
  </si>
  <si>
    <t>Lehigh Valley Hospital - Muhlenberg</t>
  </si>
  <si>
    <t>Lehigh Valley Hospital - Pocono</t>
  </si>
  <si>
    <t>East Stroudsburg</t>
  </si>
  <si>
    <t>Lehigh Valley Hospital Schuylkill E. Norwegian Street</t>
  </si>
  <si>
    <t>Pottsville</t>
  </si>
  <si>
    <t>Lehigh Valley Hospital-Hazleton</t>
  </si>
  <si>
    <t>Hazleton</t>
  </si>
  <si>
    <t>Lehigh Valley Hospital-Schuylkill S. Jackson Street</t>
  </si>
  <si>
    <t>Lower Bucks Hospital</t>
  </si>
  <si>
    <t>Meadville Medical Center</t>
  </si>
  <si>
    <t>Meadville</t>
  </si>
  <si>
    <t>Mercy Catholic Medical Center - Mercy Fitzgerald Campus</t>
  </si>
  <si>
    <t>Darby</t>
  </si>
  <si>
    <t>Mercy Catholic Medical Center - Mercy Philadelphia Campus</t>
  </si>
  <si>
    <t>Millcreek Community Hospital</t>
  </si>
  <si>
    <t>Milton S. Hershey Medical Center</t>
  </si>
  <si>
    <t>Hershey</t>
  </si>
  <si>
    <t>Monongahela Valley Hospital</t>
  </si>
  <si>
    <t>Monongahela</t>
  </si>
  <si>
    <t>Moses Taylor Hospital</t>
  </si>
  <si>
    <t>Mount Nittany Medical Center</t>
  </si>
  <si>
    <t>State College</t>
  </si>
  <si>
    <t>Nazareth Hospital</t>
  </si>
  <si>
    <t>Ohio Valley Hospital</t>
  </si>
  <si>
    <t>Kennedy Township</t>
  </si>
  <si>
    <t>OSS Orthopaedic Hospital</t>
  </si>
  <si>
    <t>Paoli Hospital</t>
  </si>
  <si>
    <t>Paoli</t>
  </si>
  <si>
    <t>Penn Highlands Clearfield</t>
  </si>
  <si>
    <t>Clearfield</t>
  </si>
  <si>
    <t>Penn Highlands DuBois</t>
  </si>
  <si>
    <t>DuBois</t>
  </si>
  <si>
    <t>Penn Highlands Huntingdon</t>
  </si>
  <si>
    <t>Huntingdon</t>
  </si>
  <si>
    <t>Penn Presbyterian Medical Center</t>
  </si>
  <si>
    <t>Penn State Health Saint Joseph - Downtown Reading Campus</t>
  </si>
  <si>
    <t>Reading</t>
  </si>
  <si>
    <t>Penn State Health Saint Joseph - Main Campus</t>
  </si>
  <si>
    <t>Pennsylvania Hospital</t>
  </si>
  <si>
    <t>Phoenixville Hospital</t>
  </si>
  <si>
    <t>Phoenixville</t>
  </si>
  <si>
    <t>Physician's Care Surgical Hospital</t>
  </si>
  <si>
    <t>Royersford</t>
  </si>
  <si>
    <t>Pottstown Hospital</t>
  </si>
  <si>
    <t>Pottstown</t>
  </si>
  <si>
    <t>Punxsutawney Area Hospital</t>
  </si>
  <si>
    <t>Punxsutawney</t>
  </si>
  <si>
    <t>Regional Hospital of Scranton</t>
  </si>
  <si>
    <t>Riddle Memorial Hospital</t>
  </si>
  <si>
    <t>Media</t>
  </si>
  <si>
    <t>Rothman Orthopaedic Specialty Hospital</t>
  </si>
  <si>
    <t>Bensalem</t>
  </si>
  <si>
    <t>Roxborough Memorial Hospital</t>
  </si>
  <si>
    <t>Saint Clair Hospital</t>
  </si>
  <si>
    <t>Saint Luke's Anderson Campus</t>
  </si>
  <si>
    <t>Saint Luke's Allentown Campus</t>
  </si>
  <si>
    <t>Saint Luke's Hospital - Monroe Campus</t>
  </si>
  <si>
    <t>Stroudsburg</t>
  </si>
  <si>
    <t>Saint Luke's Hospital Lehighton Campus</t>
  </si>
  <si>
    <t>Lehighton</t>
  </si>
  <si>
    <t>Saint Luke's Miners Campus</t>
  </si>
  <si>
    <t>Coaldale</t>
  </si>
  <si>
    <t>Saint Luke's Quakertown Campus</t>
  </si>
  <si>
    <t>Quakertown</t>
  </si>
  <si>
    <t>Saint Luke's Sacred Heart Campus</t>
  </si>
  <si>
    <t>Saint Luke's University Hospital - Bethlehem</t>
  </si>
  <si>
    <t>Saint Vincent Hospital</t>
  </si>
  <si>
    <t>Sharon Regional Medical Center</t>
  </si>
  <si>
    <t>Springfield Hospital</t>
  </si>
  <si>
    <t>St. Luke's Easton Campus</t>
  </si>
  <si>
    <t>St. Luke's Upper Bucks Campus</t>
  </si>
  <si>
    <t>Suburban Community Hospital</t>
  </si>
  <si>
    <t>Surgical Institute of Reading</t>
  </si>
  <si>
    <t>Wyomissing</t>
  </si>
  <si>
    <t>Taylor Hospital</t>
  </si>
  <si>
    <t>Ridley Park</t>
  </si>
  <si>
    <t>Temple University Hospital</t>
  </si>
  <si>
    <t>Temple University Hospital - Episcopal Campus</t>
  </si>
  <si>
    <t>Thomas Jefferson University Hospital - Center City Campus</t>
  </si>
  <si>
    <t>Tyler Memorial Hospital</t>
  </si>
  <si>
    <t>Tunkhannock</t>
  </si>
  <si>
    <t>Uniontown Hospital</t>
  </si>
  <si>
    <t>Uniontown</t>
  </si>
  <si>
    <t>UPMC Altoona</t>
  </si>
  <si>
    <t>UPMC Bedford</t>
  </si>
  <si>
    <t>UPMC Carlisle</t>
  </si>
  <si>
    <t>Carlisle</t>
  </si>
  <si>
    <t>UPMC East</t>
  </si>
  <si>
    <t>UPMC Hanover</t>
  </si>
  <si>
    <t>Hanover</t>
  </si>
  <si>
    <t>UPMC Horizon - Greenville</t>
  </si>
  <si>
    <t>UPMC Horizon - Shenango Valley</t>
  </si>
  <si>
    <t>Farrell</t>
  </si>
  <si>
    <t>UPMC Jameson</t>
  </si>
  <si>
    <t>UPMC Kane</t>
  </si>
  <si>
    <t>Kane</t>
  </si>
  <si>
    <t>UPMC McKeesport</t>
  </si>
  <si>
    <t>McKeesport</t>
  </si>
  <si>
    <t>UPMC Memorial</t>
  </si>
  <si>
    <t>UPMC Mercy</t>
  </si>
  <si>
    <t>UPMC Montefiore</t>
  </si>
  <si>
    <t>UPMC Northwest</t>
  </si>
  <si>
    <t>Seneca</t>
  </si>
  <si>
    <t>UPMC Passavant - Cranberry</t>
  </si>
  <si>
    <t>Cranberry Township</t>
  </si>
  <si>
    <t>UPMC Passavant - McCandless</t>
  </si>
  <si>
    <t>UPMC Pinnacle Community Osteopathic Campus</t>
  </si>
  <si>
    <t>UPMC Pinnacle Harrisburg</t>
  </si>
  <si>
    <t>UPMC Pinnacle West Shore</t>
  </si>
  <si>
    <t>Mechanicsburg</t>
  </si>
  <si>
    <t>UPMC Presbyterian</t>
  </si>
  <si>
    <t>UPMC Saint Margaret</t>
  </si>
  <si>
    <t>UPMC Shadyside</t>
  </si>
  <si>
    <t>UPMC Somerset</t>
  </si>
  <si>
    <t>UPMC Susquehanna Lock Haven</t>
  </si>
  <si>
    <t>Lock Haven</t>
  </si>
  <si>
    <t>UPMC Susquehanna Williamsport Regional Medical Center</t>
  </si>
  <si>
    <t>Williamsport</t>
  </si>
  <si>
    <t>VA Butler Healthcare</t>
  </si>
  <si>
    <t>VA Pittsburgh Healthcare System - University Drive Campus</t>
  </si>
  <si>
    <t>Valley Forge Medical Center</t>
  </si>
  <si>
    <t>Norristown</t>
  </si>
  <si>
    <t>Warren General Hospital</t>
  </si>
  <si>
    <t>Washington Health System Greene</t>
  </si>
  <si>
    <t>Waynesburg</t>
  </si>
  <si>
    <t>Honesdale</t>
  </si>
  <si>
    <t>WellSpan Chambersburg Hospital</t>
  </si>
  <si>
    <t>Chambersburg</t>
  </si>
  <si>
    <t>WellSpan Ephrata Community Hospital</t>
  </si>
  <si>
    <t>Ephrata</t>
  </si>
  <si>
    <t>Wellspan Gettysburg Hospital</t>
  </si>
  <si>
    <t>Gettysburg</t>
  </si>
  <si>
    <t>WellSpan Good Samaritan Hospital</t>
  </si>
  <si>
    <t>Wellspan Surgery and Rehabilitation Hospital</t>
  </si>
  <si>
    <t>Wellspan Waynesboro Hospital</t>
  </si>
  <si>
    <t>WellSpan York Hospital</t>
  </si>
  <si>
    <t>West Penn Hospital</t>
  </si>
  <si>
    <t>Wilkes-Barre General Hospital</t>
  </si>
  <si>
    <t>Wilkes-Barre VA Medical Center</t>
  </si>
  <si>
    <t>Wills Eye Hospital</t>
  </si>
  <si>
    <t>Kent Hospital</t>
  </si>
  <si>
    <t>Landmark Medical Center</t>
  </si>
  <si>
    <t>Woonsocket</t>
  </si>
  <si>
    <t>Newport Hospital</t>
  </si>
  <si>
    <t>Our Lady of Fatima Hospital</t>
  </si>
  <si>
    <t>North Providence</t>
  </si>
  <si>
    <t>Providence VA Medical Center</t>
  </si>
  <si>
    <t>Providence</t>
  </si>
  <si>
    <t>Rhode Island Hospital</t>
  </si>
  <si>
    <t>Roger Williams Medical Center</t>
  </si>
  <si>
    <t>South County Health</t>
  </si>
  <si>
    <t>Wakefield</t>
  </si>
  <si>
    <t>The Miriam Hospital</t>
  </si>
  <si>
    <t>The Westerly Hospital</t>
  </si>
  <si>
    <t>Westerly</t>
  </si>
  <si>
    <t>Women &amp; Infants Hospital</t>
  </si>
  <si>
    <t>Aiken Regional Medical Centers</t>
  </si>
  <si>
    <t>Aiken</t>
  </si>
  <si>
    <t>AnMed Health Cannon</t>
  </si>
  <si>
    <t>Pickens</t>
  </si>
  <si>
    <t>AnMed Health Medical Center</t>
  </si>
  <si>
    <t>Baptist Easley Hospital</t>
  </si>
  <si>
    <t>Easley</t>
  </si>
  <si>
    <t>Beaufort Memorial Hospital</t>
  </si>
  <si>
    <t>Beaufort</t>
  </si>
  <si>
    <t>Bon Secours Saint Francis Hospital</t>
  </si>
  <si>
    <t>Charleston</t>
  </si>
  <si>
    <t>Carolina Pines Regional Medical Center</t>
  </si>
  <si>
    <t>Hartsville</t>
  </si>
  <si>
    <t>Cherokee Medical Center</t>
  </si>
  <si>
    <t>Gaffney</t>
  </si>
  <si>
    <t>Coastal Carolina Hospital</t>
  </si>
  <si>
    <t>Hardeeville</t>
  </si>
  <si>
    <t>Colleton Medical Center</t>
  </si>
  <si>
    <t>Walterboro</t>
  </si>
  <si>
    <t>Columbia VA Health Care System</t>
  </si>
  <si>
    <t>Conway Medical Center</t>
  </si>
  <si>
    <t>East Cooper Medical Center</t>
  </si>
  <si>
    <t>Grand Strand Regional Medical Center</t>
  </si>
  <si>
    <t>Myrtle Beach</t>
  </si>
  <si>
    <t>Greenville Memorial Hospital</t>
  </si>
  <si>
    <t>Greer Memorial Hospital</t>
  </si>
  <si>
    <t>Greer</t>
  </si>
  <si>
    <t>Hampton Regional Medical Center</t>
  </si>
  <si>
    <t>Varnville</t>
  </si>
  <si>
    <t>Hillcrest Memorial Hospital</t>
  </si>
  <si>
    <t>Simpsonville</t>
  </si>
  <si>
    <t>Hilton Head Hospital</t>
  </si>
  <si>
    <t>Hilton Head</t>
  </si>
  <si>
    <t>Kershaw Health Medical Center</t>
  </si>
  <si>
    <t>Lake City Community Hospital</t>
  </si>
  <si>
    <t>Laurens County Hospital</t>
  </si>
  <si>
    <t>Lexington Medical Center</t>
  </si>
  <si>
    <t>West Columbia</t>
  </si>
  <si>
    <t>McLeod Darlington</t>
  </si>
  <si>
    <t>Darlington</t>
  </si>
  <si>
    <t>McLeod Health Cheraw</t>
  </si>
  <si>
    <t>Cheraw</t>
  </si>
  <si>
    <t>McLeod Health Clarendon</t>
  </si>
  <si>
    <t>Manning</t>
  </si>
  <si>
    <t>McLeod Health Dillon</t>
  </si>
  <si>
    <t>Dillon</t>
  </si>
  <si>
    <t>McLeod Health Seacoast</t>
  </si>
  <si>
    <t>Little River</t>
  </si>
  <si>
    <t>McLeod Loris</t>
  </si>
  <si>
    <t>Loris</t>
  </si>
  <si>
    <t>McLeod Regional Medical Center</t>
  </si>
  <si>
    <t>MUSC Health Ashley River Tower</t>
  </si>
  <si>
    <t>MUSC Health Chester Medical Center</t>
  </si>
  <si>
    <t>Chester</t>
  </si>
  <si>
    <t>MUSC Health Florence Medical Center</t>
  </si>
  <si>
    <t>MUSC Health Lancaster Medical Center</t>
  </si>
  <si>
    <t>MUSC Health Marion Medical Center</t>
  </si>
  <si>
    <t>Mullins</t>
  </si>
  <si>
    <t>MUSC Health University Hospital</t>
  </si>
  <si>
    <t>MUSC Shawn Jenkins Children's Hospital and Pearl Tourville Women's Pavilion</t>
  </si>
  <si>
    <t>Naval Hospital Beaufort</t>
  </si>
  <si>
    <t>Newberry County Memorial Hospital</t>
  </si>
  <si>
    <t>Newberry</t>
  </si>
  <si>
    <t>Oconee Memorial Hospital</t>
  </si>
  <si>
    <t>Patewood Hospital</t>
  </si>
  <si>
    <t>Pelham Medical Center</t>
  </si>
  <si>
    <t>Piedmont Medical Center</t>
  </si>
  <si>
    <t>Rock Hill</t>
  </si>
  <si>
    <t>Prisma Health Baptist Hospital</t>
  </si>
  <si>
    <t>Prisma Health Baptist Parkridge Hospital</t>
  </si>
  <si>
    <t>Prisma Health Heart Hospital</t>
  </si>
  <si>
    <t>Prisma Health Richland Hospital</t>
  </si>
  <si>
    <t>Prisma Health Tuomey</t>
  </si>
  <si>
    <t>Sumter</t>
  </si>
  <si>
    <t>Providence Health</t>
  </si>
  <si>
    <t>Providence Health Northeast</t>
  </si>
  <si>
    <t>Ralph H. Johnson VA Medical Center</t>
  </si>
  <si>
    <t>Orangeburg</t>
  </si>
  <si>
    <t>Roper Hospital</t>
  </si>
  <si>
    <t>Roper Rehabilitation Hospital</t>
  </si>
  <si>
    <t>Roper St. Francis Berkeley Hospital</t>
  </si>
  <si>
    <t>Summerville</t>
  </si>
  <si>
    <t>Roper St. Francis Mount Pleasant Hospital</t>
  </si>
  <si>
    <t>Saint Francis Downtown</t>
  </si>
  <si>
    <t>Saint Francis Eastside</t>
  </si>
  <si>
    <t>Self Regional Healthcare</t>
  </si>
  <si>
    <t>Spartanburg Medical Center</t>
  </si>
  <si>
    <t>Spartanburg</t>
  </si>
  <si>
    <t>Spartanburg Medical Center - Mary Black Campus</t>
  </si>
  <si>
    <t>Summerville Medical Center</t>
  </si>
  <si>
    <t>Tidelands Georgetown Memorial Hospital</t>
  </si>
  <si>
    <t>Tidelands Waccamaw Community Hospital</t>
  </si>
  <si>
    <t>Murrells Inlet</t>
  </si>
  <si>
    <t>Trident Medical Center</t>
  </si>
  <si>
    <t>Union Medical Center</t>
  </si>
  <si>
    <t>Union</t>
  </si>
  <si>
    <t>Avera Dakota Plains Surgery Center</t>
  </si>
  <si>
    <t>Aberdeen</t>
  </si>
  <si>
    <t>Avera Fox Run Health Campus</t>
  </si>
  <si>
    <t>Yankton</t>
  </si>
  <si>
    <t>Avera Heart Hospital</t>
  </si>
  <si>
    <t>Sioux Falls</t>
  </si>
  <si>
    <t>Avera McKennan Hospital &amp; University Health Center</t>
  </si>
  <si>
    <t>Avera Queen of Peace Hospital</t>
  </si>
  <si>
    <t>Mitchell</t>
  </si>
  <si>
    <t>Avera Sacred Heart Hospital</t>
  </si>
  <si>
    <t>Avera Saint Luke's Hospital</t>
  </si>
  <si>
    <t>Avera Saint Mary's Hospital</t>
  </si>
  <si>
    <t>Pierre</t>
  </si>
  <si>
    <t>Black Hills Surgical Hospital</t>
  </si>
  <si>
    <t>Rapid City</t>
  </si>
  <si>
    <t>Brookings Hospital</t>
  </si>
  <si>
    <t>Brookings</t>
  </si>
  <si>
    <t>Cheyenne River Health Service</t>
  </si>
  <si>
    <t>Eagle Butte</t>
  </si>
  <si>
    <t>Dunes Surgery Hospital</t>
  </si>
  <si>
    <t>Dakota Dunes</t>
  </si>
  <si>
    <t>Monument Health Rapid City Hospital</t>
  </si>
  <si>
    <t>Monument Health Spearfish Hospital</t>
  </si>
  <si>
    <t>Spearfish</t>
  </si>
  <si>
    <t>Pine Ridge Hospital</t>
  </si>
  <si>
    <t>Pine Ridge</t>
  </si>
  <si>
    <t>Prairie Lakes Hospital</t>
  </si>
  <si>
    <t>Rosebud Hospital</t>
  </si>
  <si>
    <t>Rosebud</t>
  </si>
  <si>
    <t>Same Day Surgery Center</t>
  </si>
  <si>
    <t>Sanford Aberdeen Medical Center</t>
  </si>
  <si>
    <t>Sanford USD Medical Center</t>
  </si>
  <si>
    <t>Sioux Falls Specialty Hospital</t>
  </si>
  <si>
    <t>Sioux Falls VA Medical Center</t>
  </si>
  <si>
    <t>VA Black Hills Health Care System - Fort Meade Campus</t>
  </si>
  <si>
    <t>Fort Meade</t>
  </si>
  <si>
    <t>VA Black Hills Health Care System - Hot Springs Campus</t>
  </si>
  <si>
    <t>CHI Memorial Hospital Chattanooga</t>
  </si>
  <si>
    <t>Chattanooga</t>
  </si>
  <si>
    <t>Ascension Saint Thomas Highlands Hospital</t>
  </si>
  <si>
    <t>Sparta</t>
  </si>
  <si>
    <t>Ascension Saint Thomas Stones River Hospital</t>
  </si>
  <si>
    <t>Ascension Saint Thomas West</t>
  </si>
  <si>
    <t>Baptist Memorial Hospital - Caroll County</t>
  </si>
  <si>
    <t>Baptist Memorial Hospital - Collierville</t>
  </si>
  <si>
    <t>Collierville</t>
  </si>
  <si>
    <t>Baptist Memorial Hospital - Memphis</t>
  </si>
  <si>
    <t>Memphis</t>
  </si>
  <si>
    <t>Baptist Memorial Hospital - Tipton</t>
  </si>
  <si>
    <t>Baptist Memorial Hospital - Union City</t>
  </si>
  <si>
    <t>Union City</t>
  </si>
  <si>
    <t>Baptist Memorial Hospital for Women</t>
  </si>
  <si>
    <t>Big South Fork Medical Center</t>
  </si>
  <si>
    <t>Blount Memorial Hospital</t>
  </si>
  <si>
    <t>Bristol Regional Medical Center</t>
  </si>
  <si>
    <t>CHI Memorial Hospital Hixson</t>
  </si>
  <si>
    <t>Hixson</t>
  </si>
  <si>
    <t>Claiborne Medical Center</t>
  </si>
  <si>
    <t>Tazewell</t>
  </si>
  <si>
    <t>Cookeville Regional Medical Center</t>
  </si>
  <si>
    <t>Cookeville</t>
  </si>
  <si>
    <t>Cumberland Medical Center</t>
  </si>
  <si>
    <t>Crossville</t>
  </si>
  <si>
    <t>Delta Medical Center</t>
  </si>
  <si>
    <t>Dyersburg Hospital</t>
  </si>
  <si>
    <t>Dyersburg</t>
  </si>
  <si>
    <t>Erlanger Baroness Hospital</t>
  </si>
  <si>
    <t>Erlanger East Hospital</t>
  </si>
  <si>
    <t>Erlanger North Hospital</t>
  </si>
  <si>
    <t>Fort Loudoun Medical Center</t>
  </si>
  <si>
    <t>Lenoir City</t>
  </si>
  <si>
    <t>Fort Sanders Regional Medical Center</t>
  </si>
  <si>
    <t>Knoxville</t>
  </si>
  <si>
    <t>Franklin Woods Community Hospital</t>
  </si>
  <si>
    <t>Greeneville Community Hospital East</t>
  </si>
  <si>
    <t>Greeneville</t>
  </si>
  <si>
    <t>Hardin Medical Center</t>
  </si>
  <si>
    <t>Hawkins County Memorial Hospital</t>
  </si>
  <si>
    <t>Rogersville</t>
  </si>
  <si>
    <t>Henderson County Community Hospital</t>
  </si>
  <si>
    <t>Henry County Medical Center</t>
  </si>
  <si>
    <t>Holston Valley Medical Center</t>
  </si>
  <si>
    <t>Kingsport</t>
  </si>
  <si>
    <t>Indian Path Community Hospital</t>
  </si>
  <si>
    <t>Jackson-Madison County General Hospital</t>
  </si>
  <si>
    <t>James H. Quillen VA Medical Center</t>
  </si>
  <si>
    <t>Jefferson Memorial Hospital</t>
  </si>
  <si>
    <t>Jellico Community Hospital</t>
  </si>
  <si>
    <t>Jellico</t>
  </si>
  <si>
    <t>Johnson City Medical Center</t>
  </si>
  <si>
    <t>LaFollette Medical Center</t>
  </si>
  <si>
    <t>LaFollette</t>
  </si>
  <si>
    <t>LeConte Medical Center</t>
  </si>
  <si>
    <t>Sevierville</t>
  </si>
  <si>
    <t>Lincoln Medical Center</t>
  </si>
  <si>
    <t>Livingston Regional Hospital</t>
  </si>
  <si>
    <t>Maury Regional Medical Center</t>
  </si>
  <si>
    <t>Memphis VA Medical Center</t>
  </si>
  <si>
    <t>Methodist Le Bonheur Germantown Hospital</t>
  </si>
  <si>
    <t>Methodist Medical Center of Oak Ridge</t>
  </si>
  <si>
    <t>Oak Ridge</t>
  </si>
  <si>
    <t>Methodist North Hospital</t>
  </si>
  <si>
    <t>Methodist South Hospital</t>
  </si>
  <si>
    <t>Methodist University Hospital</t>
  </si>
  <si>
    <t>Milan Hospital</t>
  </si>
  <si>
    <t>Milan</t>
  </si>
  <si>
    <t>Morristown-Hamblen Hospital</t>
  </si>
  <si>
    <t>Nashville General Hospital at Meharry</t>
  </si>
  <si>
    <t>Newport Medical Center</t>
  </si>
  <si>
    <t>North Knoxville Medical Center</t>
  </si>
  <si>
    <t>Powell</t>
  </si>
  <si>
    <t>NorthCrest Medical Center</t>
  </si>
  <si>
    <t>Parkridge East Hospital</t>
  </si>
  <si>
    <t>Parkridge Medical Center</t>
  </si>
  <si>
    <t>Parkwest Medical Center</t>
  </si>
  <si>
    <t>Perry Community Hospital</t>
  </si>
  <si>
    <t>Linden</t>
  </si>
  <si>
    <t>Pinewood Springs</t>
  </si>
  <si>
    <t>Regional One Medical Center</t>
  </si>
  <si>
    <t>Roane Medical Center</t>
  </si>
  <si>
    <t>Harriman</t>
  </si>
  <si>
    <t>Saint Francis Hospital - Bartlett</t>
  </si>
  <si>
    <t>Bartlett</t>
  </si>
  <si>
    <t>Saint Francis Hospital-Memphis</t>
  </si>
  <si>
    <t>Saint Thomas DeKalb Hospital</t>
  </si>
  <si>
    <t>Saint Thomas Hospital for Specialty Surgery</t>
  </si>
  <si>
    <t>Saint Thomas Midtown Hospital</t>
  </si>
  <si>
    <t>Saint Thomas River Park Hospital</t>
  </si>
  <si>
    <t>Saint Thomas Rutherford Hospital</t>
  </si>
  <si>
    <t>Murfreesboro</t>
  </si>
  <si>
    <t>Southern Tennessee - Lawrenceburg</t>
  </si>
  <si>
    <t>Southern Tennessee - Winchester</t>
  </si>
  <si>
    <t>Southern Tennessee Regional Health System</t>
  </si>
  <si>
    <t>Pulaski</t>
  </si>
  <si>
    <t>Southern Tennessee Regional Health System Sewanee</t>
  </si>
  <si>
    <t>Sewanee</t>
  </si>
  <si>
    <t>Starr Regional Medical Center - Athens</t>
  </si>
  <si>
    <t>Sumner Regional Medical Center</t>
  </si>
  <si>
    <t>Gallatin</t>
  </si>
  <si>
    <t>Sweetwater Hospital Association</t>
  </si>
  <si>
    <t>Sweetwater</t>
  </si>
  <si>
    <t>Sycamore Shoals Hospital</t>
  </si>
  <si>
    <t>Elizabethton</t>
  </si>
  <si>
    <t>Tennova Healthcare - Cleveland Main Campus</t>
  </si>
  <si>
    <t>Tennova Healthcare - Harton</t>
  </si>
  <si>
    <t>Tullahoma</t>
  </si>
  <si>
    <t>Tennova Healthcare - Shelbyville</t>
  </si>
  <si>
    <t>Tennova Healthcare Clarksville</t>
  </si>
  <si>
    <t>TriStar Centennial Medical Center</t>
  </si>
  <si>
    <t>TriStar Hendersonville Medical Center</t>
  </si>
  <si>
    <t>TriStar Horizon Medical Center</t>
  </si>
  <si>
    <t>Dickson</t>
  </si>
  <si>
    <t>TriStar Skyline Madison Campus</t>
  </si>
  <si>
    <t>TriStar Skyline Medical Center</t>
  </si>
  <si>
    <t>TriStar Southern Hills Medical Center</t>
  </si>
  <si>
    <t>TriStar StoneCrest Medical Center</t>
  </si>
  <si>
    <t>Smyrna</t>
  </si>
  <si>
    <t>TriStar Summit Medical Center</t>
  </si>
  <si>
    <t>Hermitage</t>
  </si>
  <si>
    <t>TrustPoint Hospital</t>
  </si>
  <si>
    <t>Turkey Creek Medical Center</t>
  </si>
  <si>
    <t>Unicoi County Hospital</t>
  </si>
  <si>
    <t>Erwin</t>
  </si>
  <si>
    <t>Unity Medical Center</t>
  </si>
  <si>
    <t>University of Tennessee Medical Center</t>
  </si>
  <si>
    <t>VA Tennessee Valley Healthcare System - Nashville Campus</t>
  </si>
  <si>
    <t>Vanderbilt University Hospital</t>
  </si>
  <si>
    <t>Vanderbilt Wilson County Hospital</t>
  </si>
  <si>
    <t>Volunteer Hospital</t>
  </si>
  <si>
    <t>Martin</t>
  </si>
  <si>
    <t>Wayne Medical Center</t>
  </si>
  <si>
    <t>West Tennessee Healthcare North Hospital</t>
  </si>
  <si>
    <t>Williamson Medical Center</t>
  </si>
  <si>
    <t>Baylor Scott &amp; White Medical Center Plano</t>
  </si>
  <si>
    <t>Plano</t>
  </si>
  <si>
    <t>Baylor Scott &amp; White Medical Center Grapevine</t>
  </si>
  <si>
    <t>Grapevine</t>
  </si>
  <si>
    <t>Baylor Scott &amp; White Medical Center Temple</t>
  </si>
  <si>
    <t>Temple</t>
  </si>
  <si>
    <t>CHI St. Joseph Health Bellville Hospital</t>
  </si>
  <si>
    <t>Bellville</t>
  </si>
  <si>
    <t>CHRISTUS Good Shepherd Medical Center - Marshall</t>
  </si>
  <si>
    <t>CHRISTUS Good Shepherd Medical Center Longview</t>
  </si>
  <si>
    <t>Longview</t>
  </si>
  <si>
    <t>Cuero Regional Hospital</t>
  </si>
  <si>
    <t>Cuero</t>
  </si>
  <si>
    <t>HCA Houston Healthcare Kingwood</t>
  </si>
  <si>
    <t>Kingwood</t>
  </si>
  <si>
    <t>HCA Houston Healthcare Medical Center</t>
  </si>
  <si>
    <t>Medical City North Hills</t>
  </si>
  <si>
    <t>North Richland Hills</t>
  </si>
  <si>
    <t>Texas Health Presbyterian Hospital of Rockwall</t>
  </si>
  <si>
    <t>Rockwall</t>
  </si>
  <si>
    <t>The University of Texas Medical Branch Health Angleton Danbury Campus</t>
  </si>
  <si>
    <t>Angleton</t>
  </si>
  <si>
    <t>Abilene Regional Medical Center</t>
  </si>
  <si>
    <t>Abilene</t>
  </si>
  <si>
    <t>Advanced Diagnostics Hospitals and Clinics</t>
  </si>
  <si>
    <t>AdventHealth Central Texas</t>
  </si>
  <si>
    <t>Killeen</t>
  </si>
  <si>
    <t>Altus Baytown Hospital</t>
  </si>
  <si>
    <t>Baytown</t>
  </si>
  <si>
    <t>Altus Hospital Houston</t>
  </si>
  <si>
    <t>Anson General Hospital</t>
  </si>
  <si>
    <t>Anson</t>
  </si>
  <si>
    <t>Arise Austin Medical Center</t>
  </si>
  <si>
    <t>Ascension Providence</t>
  </si>
  <si>
    <t>Waco</t>
  </si>
  <si>
    <t>Ascension Seton Hays</t>
  </si>
  <si>
    <t>Kyle</t>
  </si>
  <si>
    <t>Ascension Seton Medical Center Austin</t>
  </si>
  <si>
    <t>Ascension Seton Northwest</t>
  </si>
  <si>
    <t>Ascension Seton Smithville</t>
  </si>
  <si>
    <t>Ascension Seton Southwest</t>
  </si>
  <si>
    <t>Ascension Seton Williamson</t>
  </si>
  <si>
    <t>Round Rock</t>
  </si>
  <si>
    <t>Aspire Hospital</t>
  </si>
  <si>
    <t>Conroe</t>
  </si>
  <si>
    <t>Audie L. Murphy Memorial VA Hospital</t>
  </si>
  <si>
    <t>San Antonio</t>
  </si>
  <si>
    <t>Baptist Emergency Hospital Hausman</t>
  </si>
  <si>
    <t>Baptist Emergency Hospital at Kelly</t>
  </si>
  <si>
    <t>Baptist Emergency Hospital Overlook</t>
  </si>
  <si>
    <t>Baptist Emergency Hospital Schertz</t>
  </si>
  <si>
    <t>Schertz</t>
  </si>
  <si>
    <t>Baptist Emergency Hospital Westover Hills</t>
  </si>
  <si>
    <t>Baptist Emergency Hospital- Thousand Oaks</t>
  </si>
  <si>
    <t>Baptist Hospitals of Southeast Texas</t>
  </si>
  <si>
    <t>Beaumont</t>
  </si>
  <si>
    <t>Baptist Medical Center</t>
  </si>
  <si>
    <t>Baylor Scott &amp; White All Saints Medical Center</t>
  </si>
  <si>
    <t>Fort Worth</t>
  </si>
  <si>
    <t>Baylor Scott &amp; White Emergency Hospital - Colleyville</t>
  </si>
  <si>
    <t>Colleyville</t>
  </si>
  <si>
    <t>Baylor Scott &amp; White Emergency Hospital - Grand Prairie</t>
  </si>
  <si>
    <t>Grand Prairie</t>
  </si>
  <si>
    <t>Baylor Scott &amp; White Emergency Hospital - Keller</t>
  </si>
  <si>
    <t>Keller</t>
  </si>
  <si>
    <t>Baylor Scott &amp; White Emergency Hospital - Mansfield</t>
  </si>
  <si>
    <t>Baylor Scott &amp; White Emergency Hospital - Murphy</t>
  </si>
  <si>
    <t>Murphy</t>
  </si>
  <si>
    <t>Baylor Scott &amp; White Emergency Hospital - Rockwall</t>
  </si>
  <si>
    <t>Baylor Scott &amp; White Emergency Hospital-Aubrey</t>
  </si>
  <si>
    <t>Aubrey</t>
  </si>
  <si>
    <t>Baylor Scott &amp; White Emergency Hospital-Burleson</t>
  </si>
  <si>
    <t>Burleson</t>
  </si>
  <si>
    <t>Baylor Scott &amp; White Heart and Vascular Hospital</t>
  </si>
  <si>
    <t>Dallas</t>
  </si>
  <si>
    <t>Baylor Scott &amp; White McLane Children's</t>
  </si>
  <si>
    <t>Baylor Scott &amp; White Medical Center - Pflugerville</t>
  </si>
  <si>
    <t>Pflugerville</t>
  </si>
  <si>
    <t>Baylor Scott &amp; White Medical Center - Sunnyvale</t>
  </si>
  <si>
    <t>Sunnyvale</t>
  </si>
  <si>
    <t>Baylor Scott &amp; White Medical Center Austin</t>
  </si>
  <si>
    <t>Baylor Scott &amp; White Medical Center Brenham</t>
  </si>
  <si>
    <t>Brenham</t>
  </si>
  <si>
    <t>Baylor Scott &amp; White Medical Center Carrollton</t>
  </si>
  <si>
    <t>Baylor Scott &amp; White Medical Center Centennial</t>
  </si>
  <si>
    <t>Baylor Scott &amp; White Medical Center College Station</t>
  </si>
  <si>
    <t>College Station</t>
  </si>
  <si>
    <t>Baylor Scott &amp; White Medical Center Hillcrest</t>
  </si>
  <si>
    <t>Baylor Scott &amp; White Medical Center Irving</t>
  </si>
  <si>
    <t>Irving</t>
  </si>
  <si>
    <t>Baylor Scott &amp; White Medical Center Lake Pointe</t>
  </si>
  <si>
    <t>Rowlett</t>
  </si>
  <si>
    <t>Baylor Scott &amp; White Medical Center Lakeway</t>
  </si>
  <si>
    <t>Lakeway</t>
  </si>
  <si>
    <t>Baylor Scott &amp; White Medical Center Llano</t>
  </si>
  <si>
    <t>Llano</t>
  </si>
  <si>
    <t>Baylor Scott &amp; White Medical Center Marble Falls</t>
  </si>
  <si>
    <t>Marble Falls</t>
  </si>
  <si>
    <t>Baylor Scott &amp; White Medical Center McKinney</t>
  </si>
  <si>
    <t>McKinney</t>
  </si>
  <si>
    <t>Baylor Scott &amp; White Medical Center Round Rock</t>
  </si>
  <si>
    <t>Baylor Scott &amp; White Medical Center Trophy Club</t>
  </si>
  <si>
    <t>Trophy Club</t>
  </si>
  <si>
    <t>Baylor Scott &amp; White Medical Center Uptown</t>
  </si>
  <si>
    <t>Baylor Scott &amp; White Medical Center Waxahachie</t>
  </si>
  <si>
    <t>Waxahachie</t>
  </si>
  <si>
    <t>Baylor Scott &amp; White Orthopedic and Spine Hospital Arlington</t>
  </si>
  <si>
    <t>Arlington</t>
  </si>
  <si>
    <t>Baylor Scott &amp; White Surgical Hospital at Sherman</t>
  </si>
  <si>
    <t>Sherman</t>
  </si>
  <si>
    <t>Baylor Scott &amp; White Surgical Hospital Fort Worth</t>
  </si>
  <si>
    <t>Baylor Scott &amp; White Texas Spine &amp; Joint Hospital</t>
  </si>
  <si>
    <t>Tyler</t>
  </si>
  <si>
    <t>Baylor Scott and White Medical Center Frisco</t>
  </si>
  <si>
    <t>Baylor Scott and White The Heart Hospital - Plano</t>
  </si>
  <si>
    <t>Baylor Scott and White The Heart Hospital Denton</t>
  </si>
  <si>
    <t>Denton</t>
  </si>
  <si>
    <t>Baylor Surgical Hospital at Las Colinas</t>
  </si>
  <si>
    <t>Baylor University Medical Center</t>
  </si>
  <si>
    <t>Ben Taub General Hospital</t>
  </si>
  <si>
    <t>Brooke Army Medical Center</t>
  </si>
  <si>
    <t>Fort Sam Houston</t>
  </si>
  <si>
    <t>Brownfield Regional Medical Center</t>
  </si>
  <si>
    <t>Brownfield</t>
  </si>
  <si>
    <t>Brownwood Regional Medical Center</t>
  </si>
  <si>
    <t>Brownwood</t>
  </si>
  <si>
    <t>BSA Hospital</t>
  </si>
  <si>
    <t>Amarillo</t>
  </si>
  <si>
    <t>Carl R. Darnall Army Medical Center</t>
  </si>
  <si>
    <t>Fort Hood</t>
  </si>
  <si>
    <t>Cedar Park Regional Medical Center</t>
  </si>
  <si>
    <t>Cedar Park</t>
  </si>
  <si>
    <t>Central Texas Veterans Health Care System - Olin E. Teague Veterans' Center</t>
  </si>
  <si>
    <t>CHI Saint Luke's Health - Memorial Lufkin</t>
  </si>
  <si>
    <t>Lufkin</t>
  </si>
  <si>
    <t>CHI Saint Luke's Health - The Woodlands</t>
  </si>
  <si>
    <t>The Woodlands</t>
  </si>
  <si>
    <t>CHI Saint Luke's Health Lakeside Hospital</t>
  </si>
  <si>
    <t>CHI Saint Luke's Health-Baylor Saint Luke's Medical Center</t>
  </si>
  <si>
    <t>CHI St. Joseph Health College Station Hospital</t>
  </si>
  <si>
    <t>CHI St. Joseph Health Regional Hospital</t>
  </si>
  <si>
    <t>CHI St. Luke's Health - Patients Medical Center</t>
  </si>
  <si>
    <t>South Pasadena</t>
  </si>
  <si>
    <t>CHI St. Luke's Health - The Vintage Hospital</t>
  </si>
  <si>
    <t>CHI St. Luke's Health-Memorial Livingston</t>
  </si>
  <si>
    <t>CHI St. Luke's Sugar Land Hospital</t>
  </si>
  <si>
    <t>Sugar Land</t>
  </si>
  <si>
    <t>CHI St.Luke's Health Brazosport Hospital</t>
  </si>
  <si>
    <t>Lake Jackson</t>
  </si>
  <si>
    <t>Childress Regional Medical Center</t>
  </si>
  <si>
    <t>Childress</t>
  </si>
  <si>
    <t>CHRISTUS Jasper Memorial Hospital</t>
  </si>
  <si>
    <t>CHRISTUS Mother Frances Hospital - South Tyler</t>
  </si>
  <si>
    <t>CHRISTUS Mother Frances Hospital - Tyler</t>
  </si>
  <si>
    <t>CHRISTUS Mother Frances Hospital-Sulphur Springs</t>
  </si>
  <si>
    <t>Sulphur Springs</t>
  </si>
  <si>
    <t>CHRISTUS Saint Michael Hospital</t>
  </si>
  <si>
    <t>Texarkana</t>
  </si>
  <si>
    <t>CHRISTUS Saint Michael Hospital - Atlanta</t>
  </si>
  <si>
    <t>CHRISTUS Santa Rosa Hospital Alamo Heights</t>
  </si>
  <si>
    <t>CHRISTUS Santa Rosa Hospital - Medical Center</t>
  </si>
  <si>
    <t>CHRISTUS Santa Rosa Hospital - New Braunfels</t>
  </si>
  <si>
    <t>New Braunfels</t>
  </si>
  <si>
    <t>Christus Santa Rosa Hospital-San Marcos</t>
  </si>
  <si>
    <t>San Marcos</t>
  </si>
  <si>
    <t>CHRISTUS Santa Rosa Hospital-Westover Hills</t>
  </si>
  <si>
    <t>CHRISTUS Southeast Texas - Saint Elizabeth</t>
  </si>
  <si>
    <t>CHRISTUS Spohn Hospital Alice</t>
  </si>
  <si>
    <t>Alice</t>
  </si>
  <si>
    <t>CHRISTUS Spohn Hospital Beeville</t>
  </si>
  <si>
    <t>Beeville</t>
  </si>
  <si>
    <t>CHRISTUS Spohn Hospital Corpus Christi - South</t>
  </si>
  <si>
    <t>Corpus Christi</t>
  </si>
  <si>
    <t>CHRISTUS Spohn Hospital Corpus Christi -Shoreline</t>
  </si>
  <si>
    <t>CHRISTUS Spohn Hospital Kleberg</t>
  </si>
  <si>
    <t>Kingsville</t>
  </si>
  <si>
    <t>CHRISTUS Trinity Mother Frances Louis and Peaches Owen Heart Hospital</t>
  </si>
  <si>
    <t>Victoria</t>
  </si>
  <si>
    <t>City Hospital at White Rock</t>
  </si>
  <si>
    <t>Clear Lake Campus Hospital</t>
  </si>
  <si>
    <t>Webster</t>
  </si>
  <si>
    <t>Cleveland Emergency Hospital</t>
  </si>
  <si>
    <t>Cobalt Rehabilitation El Paso</t>
  </si>
  <si>
    <t>El Paso</t>
  </si>
  <si>
    <t>Connally Memorial Medical Center</t>
  </si>
  <si>
    <t>Floresville</t>
  </si>
  <si>
    <t>Cornerstone Regional Hospital</t>
  </si>
  <si>
    <t>Edinburg</t>
  </si>
  <si>
    <t>Corpus Christi Medical Center - Bay Area</t>
  </si>
  <si>
    <t>Corpus Christi Medical Center - Doctors Regional</t>
  </si>
  <si>
    <t>Corpus Christi Medical Center - Northwest</t>
  </si>
  <si>
    <t>Corpus Christi Medical Center - The Heart Hospital</t>
  </si>
  <si>
    <t>Covenant Health Levelland</t>
  </si>
  <si>
    <t>Levelland</t>
  </si>
  <si>
    <t>Covenant Health Plainview</t>
  </si>
  <si>
    <t>Covenant Medical Center</t>
  </si>
  <si>
    <t>Lubbock</t>
  </si>
  <si>
    <t>Crescent Medical Center Lancaster</t>
  </si>
  <si>
    <t>Dallas Medical Center</t>
  </si>
  <si>
    <t>Dallas Regional Medical Center</t>
  </si>
  <si>
    <t>Mesquite</t>
  </si>
  <si>
    <t>Dallas VA Medical Center</t>
  </si>
  <si>
    <t>Del Sol Medical Center</t>
  </si>
  <si>
    <t>Dell Seton Medical Center at The University of Texas</t>
  </si>
  <si>
    <t>DeTar Hospital Navarro</t>
  </si>
  <si>
    <t>DeTar Hospital North</t>
  </si>
  <si>
    <t>DHR Health</t>
  </si>
  <si>
    <t>Doctors Hospital of Laredo</t>
  </si>
  <si>
    <t>Laredo</t>
  </si>
  <si>
    <t>Eastland Memorial Hospital</t>
  </si>
  <si>
    <t>Eastland</t>
  </si>
  <si>
    <t>Edinburg Regional Medical Center</t>
  </si>
  <si>
    <t>El Campo Memorial Hospital</t>
  </si>
  <si>
    <t>El Campo</t>
  </si>
  <si>
    <t>El Paso Ltac Hospital</t>
  </si>
  <si>
    <t>Ennis Regional Medical Center</t>
  </si>
  <si>
    <t>Ennis</t>
  </si>
  <si>
    <t>Faith Community Hospital</t>
  </si>
  <si>
    <t>Jacksboro</t>
  </si>
  <si>
    <t>Falls Community Hospital</t>
  </si>
  <si>
    <t>Marlin</t>
  </si>
  <si>
    <t>First Surgical Hospital</t>
  </si>
  <si>
    <t>Bellaire</t>
  </si>
  <si>
    <t>First Texas Hospital</t>
  </si>
  <si>
    <t>Fort Duncan Regional Medical Center</t>
  </si>
  <si>
    <t>Eagle Pass</t>
  </si>
  <si>
    <t>Foundation Surgical Hospital of El Paso</t>
  </si>
  <si>
    <t>Foundation Surgical Hospital of San Antonio</t>
  </si>
  <si>
    <t>Freestone Medical Center</t>
  </si>
  <si>
    <t>Glen Rose Medical Center</t>
  </si>
  <si>
    <t>Glen Rose</t>
  </si>
  <si>
    <t>Gonzales Memorial Hospital</t>
  </si>
  <si>
    <t>Graham Regional Medical Center</t>
  </si>
  <si>
    <t>Graham</t>
  </si>
  <si>
    <t>Guadalupe Regional Medical Center</t>
  </si>
  <si>
    <t>Seguin</t>
  </si>
  <si>
    <t>Harlingen Medical Center</t>
  </si>
  <si>
    <t>Harlingen</t>
  </si>
  <si>
    <t>HCA Houston Healthcare Clear Lake</t>
  </si>
  <si>
    <t>HCA Houston Healthcare Conroe</t>
  </si>
  <si>
    <t>HCA Houston Healthcare Mainland</t>
  </si>
  <si>
    <t>Texas City</t>
  </si>
  <si>
    <t>HCA Houston Healthcare North Cypress</t>
  </si>
  <si>
    <t>Cypress</t>
  </si>
  <si>
    <t>HCA Houston Healthcare Northwest</t>
  </si>
  <si>
    <t>HCA Houston Healthcare Pearland</t>
  </si>
  <si>
    <t>Pearland</t>
  </si>
  <si>
    <t>HCA Houston Healthcare Southeast</t>
  </si>
  <si>
    <t>HCA Houston Healthcare Tomball</t>
  </si>
  <si>
    <t>Tomball</t>
  </si>
  <si>
    <t>HCA Houston Healthcare West</t>
  </si>
  <si>
    <t>Heart Hospital of Austin</t>
  </si>
  <si>
    <t>Hemphill County Hospital</t>
  </si>
  <si>
    <t>Canadian</t>
  </si>
  <si>
    <t>Hendrick Medical Center</t>
  </si>
  <si>
    <t>Hereford Regional Medical Center</t>
  </si>
  <si>
    <t>Hereford</t>
  </si>
  <si>
    <t>Hill Country Memorial Hospital</t>
  </si>
  <si>
    <t>Fredericksburg</t>
  </si>
  <si>
    <t>Houston Methodist Baytown Hospital</t>
  </si>
  <si>
    <t>Houston Methodist Clear Lake Hospital</t>
  </si>
  <si>
    <t>Nassau Bay</t>
  </si>
  <si>
    <t>Houston Methodist Hospital</t>
  </si>
  <si>
    <t>Houston Methodist Sugar Land Hospital</t>
  </si>
  <si>
    <t>Houston Methodist The Woodlands Hospital</t>
  </si>
  <si>
    <t>Houston Methodist West Hospital</t>
  </si>
  <si>
    <t>Houston Methodist Willowbrook Hospital</t>
  </si>
  <si>
    <t>Houston Physicians' Hospital</t>
  </si>
  <si>
    <t>Hunt Regional Medical Center at Greenville</t>
  </si>
  <si>
    <t>Huntsville Memorial Hospital</t>
  </si>
  <si>
    <t>John Peter Smith Hospital</t>
  </si>
  <si>
    <t>Kell West Regional Hospital</t>
  </si>
  <si>
    <t>Wichita Falls</t>
  </si>
  <si>
    <t>Kerrville VA Hospital</t>
  </si>
  <si>
    <t>Kerrville</t>
  </si>
  <si>
    <t>Knapp Medical Center</t>
  </si>
  <si>
    <t>Weslaco</t>
  </si>
  <si>
    <t>Lake Granbury Medical Center</t>
  </si>
  <si>
    <t>Granbury</t>
  </si>
  <si>
    <t>Lamb Healthcare Center</t>
  </si>
  <si>
    <t>Littlefield</t>
  </si>
  <si>
    <t>Laredo Medical Center</t>
  </si>
  <si>
    <t>Las Palmas Medical Center</t>
  </si>
  <si>
    <t>Legent Orthopedic and Spine</t>
  </si>
  <si>
    <t>Longview Regional Medical Center</t>
  </si>
  <si>
    <t>Lubbock Heart &amp; Surgical Hospital</t>
  </si>
  <si>
    <t>Lyndon B. Johnson Hospital</t>
  </si>
  <si>
    <t>Matagorda Regional Medical Center</t>
  </si>
  <si>
    <t>Mayhill Hospital</t>
  </si>
  <si>
    <t>McAllen Medical Center</t>
  </si>
  <si>
    <t>McAllen</t>
  </si>
  <si>
    <t>Medical Arts Hospital</t>
  </si>
  <si>
    <t>Lamesa</t>
  </si>
  <si>
    <t>Medical Center Hospital</t>
  </si>
  <si>
    <t>Odessa</t>
  </si>
  <si>
    <t>Medical City Alliance</t>
  </si>
  <si>
    <t>Medical City Arlington</t>
  </si>
  <si>
    <t>Medical City Dallas</t>
  </si>
  <si>
    <t>Medical City Denton</t>
  </si>
  <si>
    <t>Medical City Fort Worth</t>
  </si>
  <si>
    <t>Medical City Frisco</t>
  </si>
  <si>
    <t>Medical City Las Colinas</t>
  </si>
  <si>
    <t>Medical City Lewisville</t>
  </si>
  <si>
    <t>Lewisville</t>
  </si>
  <si>
    <t>Medical City McKinney</t>
  </si>
  <si>
    <t>Medical City Plano</t>
  </si>
  <si>
    <t>Medical City Weatherford</t>
  </si>
  <si>
    <t>Weatherford</t>
  </si>
  <si>
    <t>Memorial Hermann - Texas Medical Center</t>
  </si>
  <si>
    <t>Memorial Hermann Cypress Hospital</t>
  </si>
  <si>
    <t>Memorial Hermann Greater Heights Hospital</t>
  </si>
  <si>
    <t>Memorial Hermann Katy Hospital</t>
  </si>
  <si>
    <t>Katy</t>
  </si>
  <si>
    <t>Memorial Hermann Memorial City Medical Center</t>
  </si>
  <si>
    <t>Memorial Hermann Northeast Hospital</t>
  </si>
  <si>
    <t>Humble</t>
  </si>
  <si>
    <t>Memorial Hermann Orthopedic &amp; Spine Hospital</t>
  </si>
  <si>
    <t>Memorial Hermann Pearland Hospital</t>
  </si>
  <si>
    <t>Memorial Hermann Southeast Hospital</t>
  </si>
  <si>
    <t>Memorial Hermann Southwest Hospital</t>
  </si>
  <si>
    <t>Memorial Hermann Sugar Land Hospital</t>
  </si>
  <si>
    <t>Memorial Hermann Surgical Hospital First Colony</t>
  </si>
  <si>
    <t>Memorial Hermann Surgical Hospital Kingwood</t>
  </si>
  <si>
    <t>Memorial Hermann Surgical Hospital-First Colony</t>
  </si>
  <si>
    <t>Memorial Hermann The Woodlands Medical Center</t>
  </si>
  <si>
    <t>Memorial Hermann Tomball</t>
  </si>
  <si>
    <t>Methodist Ambulatory Surgery Hospital</t>
  </si>
  <si>
    <t>Methodist Charlton Medical Center</t>
  </si>
  <si>
    <t>Methodist Children's Hospital</t>
  </si>
  <si>
    <t>Methodist Dallas Medical Center</t>
  </si>
  <si>
    <t>Methodist Hospital for Surgery</t>
  </si>
  <si>
    <t>Addison</t>
  </si>
  <si>
    <t>Methodist Hospital South</t>
  </si>
  <si>
    <t>Jourdanton</t>
  </si>
  <si>
    <t>Methodist Mansfield Medical Center</t>
  </si>
  <si>
    <t>Methodist McKinney Hospital</t>
  </si>
  <si>
    <t>Methodist Richardson Medical Center</t>
  </si>
  <si>
    <t>Richardson</t>
  </si>
  <si>
    <t>Methodist Southlake Hospital</t>
  </si>
  <si>
    <t>Southlake</t>
  </si>
  <si>
    <t>Methodist Specialty and Transplant Hospital</t>
  </si>
  <si>
    <t>Methodist Stone Oak Hospital</t>
  </si>
  <si>
    <t>Methodist Texsan Hospital</t>
  </si>
  <si>
    <t>Metropolitan Methodist Hospital</t>
  </si>
  <si>
    <t>Michael E. DeBakey VA Medical Center</t>
  </si>
  <si>
    <t>Midland Memorial Hospital</t>
  </si>
  <si>
    <t>Mission Regional Medical Center</t>
  </si>
  <si>
    <t>Mission</t>
  </si>
  <si>
    <t>Mission Trail Baptist Hospital</t>
  </si>
  <si>
    <t>Nacogdoches Medical Center</t>
  </si>
  <si>
    <t>Nacogdoches</t>
  </si>
  <si>
    <t>Nacogdoches Memorial Hospital</t>
  </si>
  <si>
    <t>Navarro Regional Hospital</t>
  </si>
  <si>
    <t>Corsicana</t>
  </si>
  <si>
    <t>Nocona General Hospital</t>
  </si>
  <si>
    <t>Nocona</t>
  </si>
  <si>
    <t>North Central Baptist Hospital</t>
  </si>
  <si>
    <t>North Central Surgical Center</t>
  </si>
  <si>
    <t>North Texas Medical Center</t>
  </si>
  <si>
    <t>Northeast Baptist Hospital</t>
  </si>
  <si>
    <t>Northeast Methodist Hospital</t>
  </si>
  <si>
    <t>Northwest Hills Surgical Hospital</t>
  </si>
  <si>
    <t>Northwest Texas Healthcare System</t>
  </si>
  <si>
    <t>Northwest Texas Surgical Hospital</t>
  </si>
  <si>
    <t>OakBend Medical Center</t>
  </si>
  <si>
    <t>Odessa Regional Medical Center</t>
  </si>
  <si>
    <t>Palestine Regional Medical Center</t>
  </si>
  <si>
    <t>Palestine</t>
  </si>
  <si>
    <t>Palo Pinto General Hospital</t>
  </si>
  <si>
    <t>Mineral Wells</t>
  </si>
  <si>
    <t>Pampa Regional Medical Center</t>
  </si>
  <si>
    <t>Pampa</t>
  </si>
  <si>
    <t>Panhandle Surgical Hospital</t>
  </si>
  <si>
    <t>Paris Regional Medical Center</t>
  </si>
  <si>
    <t>Parkland Hospital</t>
  </si>
  <si>
    <t>Parkview Regional Hospital</t>
  </si>
  <si>
    <t>Mexia</t>
  </si>
  <si>
    <t>Permian Regional Medical Center</t>
  </si>
  <si>
    <t>Andrews</t>
  </si>
  <si>
    <t>Peterson Regional Medical Center</t>
  </si>
  <si>
    <t>Providence Hospital of North Houston</t>
  </si>
  <si>
    <t>Quail Creek Surgical Hospital</t>
  </si>
  <si>
    <t>Resolute Health Hospital</t>
  </si>
  <si>
    <t>Rio Grande Regional Hospital</t>
  </si>
  <si>
    <t>Rolling Plains Memorial Hospital</t>
  </si>
  <si>
    <t>SageCrest Hospital of Carrollton</t>
  </si>
  <si>
    <t>Saint Camillus Medical Center</t>
  </si>
  <si>
    <t>Hurst</t>
  </si>
  <si>
    <t>Saint David's Georgetown Hospital</t>
  </si>
  <si>
    <t>Saint David's North Austin Medical Center</t>
  </si>
  <si>
    <t>Saint David's Round Rock Medical Center</t>
  </si>
  <si>
    <t>Saint David's South Austin Medical Center</t>
  </si>
  <si>
    <t>Saint Joseph Medical Center in The Heights</t>
  </si>
  <si>
    <t>Saint Luke's Baptist Hospital</t>
  </si>
  <si>
    <t>Saint Mark's Medical Center</t>
  </si>
  <si>
    <t>San Angelo Community Medical Center</t>
  </si>
  <si>
    <t>San Angelo</t>
  </si>
  <si>
    <t>Scenic Mountain Medical Center</t>
  </si>
  <si>
    <t>Big Spring</t>
  </si>
  <si>
    <t>Seton Medical Center Harker Heights</t>
  </si>
  <si>
    <t>Harker Heights</t>
  </si>
  <si>
    <t>Seymour Hospital</t>
  </si>
  <si>
    <t>Shannon Medical Center</t>
  </si>
  <si>
    <t>South Texas Spine &amp; Surgical Hospital</t>
  </si>
  <si>
    <t>South Texas Surgical Hospital</t>
  </si>
  <si>
    <t>Southwest General Hospital</t>
  </si>
  <si>
    <t>St. David's Medical Center</t>
  </si>
  <si>
    <t>Starr County Memorial Hospital</t>
  </si>
  <si>
    <t>Rio Grande City</t>
  </si>
  <si>
    <t>Stephens Memorial Hospital</t>
  </si>
  <si>
    <t>Breckenridge</t>
  </si>
  <si>
    <t>Surgery Specialty Hospitals of America</t>
  </si>
  <si>
    <t>Texas Center for Infectious Disease</t>
  </si>
  <si>
    <t>Texas Emergency Hospital</t>
  </si>
  <si>
    <t>Texas Health Allen</t>
  </si>
  <si>
    <t>Allen</t>
  </si>
  <si>
    <t>Texas Health Alliance</t>
  </si>
  <si>
    <t>Texas Health Arlington Medical Hospital</t>
  </si>
  <si>
    <t>Texas Health Azle</t>
  </si>
  <si>
    <t>Azle</t>
  </si>
  <si>
    <t>Texas Health Center for Diagnostics &amp; Surgery</t>
  </si>
  <si>
    <t>Texas Health Cleburne</t>
  </si>
  <si>
    <t>Cleburne</t>
  </si>
  <si>
    <t>Texas Health Dallas</t>
  </si>
  <si>
    <t>Texas Health Denton</t>
  </si>
  <si>
    <t>Texas Health Fort Worth</t>
  </si>
  <si>
    <t>Texas Health Harris Methodist Hospital Southlake</t>
  </si>
  <si>
    <t>Texas Health Heart &amp; Vascular Hospital Arlington</t>
  </si>
  <si>
    <t>Texas Health HEB</t>
  </si>
  <si>
    <t>Texas Health Huguley Hospital Fort Worth South</t>
  </si>
  <si>
    <t>Texas Health Kaufman</t>
  </si>
  <si>
    <t>Kaufman</t>
  </si>
  <si>
    <t>Texas Health Plano</t>
  </si>
  <si>
    <t>Texas Health Presbyterian Hospital Flower Mound</t>
  </si>
  <si>
    <t>Flower Mound</t>
  </si>
  <si>
    <t>Texas Health Southwest</t>
  </si>
  <si>
    <t>Texas Health Stephenville</t>
  </si>
  <si>
    <t>Stephenville</t>
  </si>
  <si>
    <t>Texas Institute for Surgery</t>
  </si>
  <si>
    <t>Texas Orthopedic Hospital</t>
  </si>
  <si>
    <t>Texoma Medical Center</t>
  </si>
  <si>
    <t>Denison</t>
  </si>
  <si>
    <t>The Hospital at Westlake Medical Center</t>
  </si>
  <si>
    <t>West Lake Hills</t>
  </si>
  <si>
    <t>The Hospitals of Providence East Campus</t>
  </si>
  <si>
    <t>The Hospitals of Providence Horizon City Campus</t>
  </si>
  <si>
    <t>Horizon City</t>
  </si>
  <si>
    <t>The Hospitals of Providence Memorial Campus</t>
  </si>
  <si>
    <t>The Hospitals of Providence Sierra Campus</t>
  </si>
  <si>
    <t>The Hospitals of Providence Transmountain Campus</t>
  </si>
  <si>
    <t>The Medical Center of Southeast Texas</t>
  </si>
  <si>
    <t>Port Arthur</t>
  </si>
  <si>
    <t>The Physicians Centre Hospital</t>
  </si>
  <si>
    <t>The University of Texas M. D. Anderson Cancer Center</t>
  </si>
  <si>
    <t>The University of Texas Medical Branch Galveston Campus</t>
  </si>
  <si>
    <t>Galveston</t>
  </si>
  <si>
    <t>The Woman's Hospital of Texas</t>
  </si>
  <si>
    <t>Thomas E. Creek VA Medical Center</t>
  </si>
  <si>
    <t>Titus Regional Medical Center</t>
  </si>
  <si>
    <t>TOPS Surgical Specialty Hospital</t>
  </si>
  <si>
    <t>Townsen Memorial Hospital</t>
  </si>
  <si>
    <t>Tyler County Hospital</t>
  </si>
  <si>
    <t>Woodville</t>
  </si>
  <si>
    <t>United Regional Eleventh Street Campus</t>
  </si>
  <si>
    <t>University Medical Center of El Paso</t>
  </si>
  <si>
    <t>USMD Hospital at Arlington</t>
  </si>
  <si>
    <t>UT Health Athens</t>
  </si>
  <si>
    <t>UT Health Carthage</t>
  </si>
  <si>
    <t>Carthage</t>
  </si>
  <si>
    <t>UT Health Henderson</t>
  </si>
  <si>
    <t>UT Health Jacksonville</t>
  </si>
  <si>
    <t>UT Health North Campus Tyler</t>
  </si>
  <si>
    <t>UT Health Tyler</t>
  </si>
  <si>
    <t>Val Verde Regional Medical Center</t>
  </si>
  <si>
    <t>Del Rio</t>
  </si>
  <si>
    <t>Valley Baptist Medical Center - Harlingen</t>
  </si>
  <si>
    <t>Valley Baptist Micro Hospital- Weslaco</t>
  </si>
  <si>
    <t>Valley Regional Medical Center</t>
  </si>
  <si>
    <t>Brownsville</t>
  </si>
  <si>
    <t>VBMC - Brownsville</t>
  </si>
  <si>
    <t>Wadley Regional Medical Center</t>
  </si>
  <si>
    <t>West Texas VA Health Care System</t>
  </si>
  <si>
    <t>Wilbarger General Hospital</t>
  </si>
  <si>
    <t>William Beaumont Army Medical Center</t>
  </si>
  <si>
    <t>William P. Clements Jr. University Hospital</t>
  </si>
  <si>
    <t>Wilson N. Jones Regional Medical Center</t>
  </si>
  <si>
    <t>Wise Health Surgical Hospital at Argyle</t>
  </si>
  <si>
    <t>Argyle</t>
  </si>
  <si>
    <t>Wise Health Surgical Hospital at Parkway</t>
  </si>
  <si>
    <t>Wise Health System - East Campus</t>
  </si>
  <si>
    <t>Women's Memorial Hermann Memorial City Hospital</t>
  </si>
  <si>
    <t>Woodland Heights Medical Center</t>
  </si>
  <si>
    <t>Zale Lipshy Pavilion-William P. Clements Jr. University Hospital</t>
  </si>
  <si>
    <t>Alta View Hospital</t>
  </si>
  <si>
    <t>Sandy</t>
  </si>
  <si>
    <t>American Fork Hospital</t>
  </si>
  <si>
    <t>American Fork</t>
  </si>
  <si>
    <t>Ashley Regional Medical Center</t>
  </si>
  <si>
    <t>Vernal</t>
  </si>
  <si>
    <t>Bear River Valley Hospital</t>
  </si>
  <si>
    <t>Tremonton</t>
  </si>
  <si>
    <t>Brigham City Community Hospital</t>
  </si>
  <si>
    <t>Brigham City</t>
  </si>
  <si>
    <t>Cache Valley Hospital</t>
  </si>
  <si>
    <t>North Logan</t>
  </si>
  <si>
    <t>Castleview Hospital</t>
  </si>
  <si>
    <t>Price</t>
  </si>
  <si>
    <t>Cedar City Hospital</t>
  </si>
  <si>
    <t>Cedar City</t>
  </si>
  <si>
    <t>Davis Hospital and Medical Center</t>
  </si>
  <si>
    <t>Layton</t>
  </si>
  <si>
    <t>Dixie Regional Medical Center</t>
  </si>
  <si>
    <t>Saint George</t>
  </si>
  <si>
    <t>George E. Wahlen Department of Veterans Affairs Medical Center</t>
  </si>
  <si>
    <t>Salt Lake City</t>
  </si>
  <si>
    <t>Intermountain Layton Hospital</t>
  </si>
  <si>
    <t>Intermountain Medical Center</t>
  </si>
  <si>
    <t>Jordan Valley Medical Center</t>
  </si>
  <si>
    <t>West Jordan</t>
  </si>
  <si>
    <t>Jordan Valley Medical Center - West Valley Campus</t>
  </si>
  <si>
    <t>West Valley City</t>
  </si>
  <si>
    <t>Bountiful</t>
  </si>
  <si>
    <t>LDS Hospital</t>
  </si>
  <si>
    <t>Logan Regional Hospital</t>
  </si>
  <si>
    <t>Logan</t>
  </si>
  <si>
    <t>Lone Peak Hospital</t>
  </si>
  <si>
    <t>Draper</t>
  </si>
  <si>
    <t>McKay-Dee Hospital</t>
  </si>
  <si>
    <t>Ogden</t>
  </si>
  <si>
    <t>Mountain Point Medical Center</t>
  </si>
  <si>
    <t>Lehi</t>
  </si>
  <si>
    <t>Payson</t>
  </si>
  <si>
    <t>Mountain West Medical Center</t>
  </si>
  <si>
    <t>Tooele</t>
  </si>
  <si>
    <t>Ogden Regional Medical Center</t>
  </si>
  <si>
    <t>Orem Community Hospital</t>
  </si>
  <si>
    <t>Orem</t>
  </si>
  <si>
    <t>Park City Hospital</t>
  </si>
  <si>
    <t>Park City</t>
  </si>
  <si>
    <t>Riverton Hospital</t>
  </si>
  <si>
    <t>Riverton</t>
  </si>
  <si>
    <t>Saint Mark's Hospital</t>
  </si>
  <si>
    <t>Salt Lake Regional Medical Center</t>
  </si>
  <si>
    <t>Sevier Valley Hospital</t>
  </si>
  <si>
    <t>Richfield</t>
  </si>
  <si>
    <t>The Orthopedic Specialty Hospital (TOSH)</t>
  </si>
  <si>
    <t>Timpanogos Regional Hospital</t>
  </si>
  <si>
    <t>Uintah Basin Medical Center</t>
  </si>
  <si>
    <t>Roosevelt</t>
  </si>
  <si>
    <t>University of Utah Hospital</t>
  </si>
  <si>
    <t>Utah Valley Hospital</t>
  </si>
  <si>
    <t>Provo</t>
  </si>
  <si>
    <t>VCU Community Memorial Hospital</t>
  </si>
  <si>
    <t>South Hill</t>
  </si>
  <si>
    <t>633d Medical Group -Langley Air Force Base</t>
  </si>
  <si>
    <t>Hampton</t>
  </si>
  <si>
    <t>Augusta Health</t>
  </si>
  <si>
    <t>Fishersville</t>
  </si>
  <si>
    <t>Bon Secours DePaul Medical Center</t>
  </si>
  <si>
    <t>Bon Secours Mary Immaculate Hospital</t>
  </si>
  <si>
    <t>Newport News</t>
  </si>
  <si>
    <t>Bon Secours Maryview Medical Center</t>
  </si>
  <si>
    <t>Buchanan General Hospital</t>
  </si>
  <si>
    <t>Grundy</t>
  </si>
  <si>
    <t>Capital Caring</t>
  </si>
  <si>
    <t>Carilion Franklin Memorial Hospital</t>
  </si>
  <si>
    <t>Carilion New River Valley Medical Center</t>
  </si>
  <si>
    <t>Christiansburg</t>
  </si>
  <si>
    <t>Carilion Roanoke Community Hospital</t>
  </si>
  <si>
    <t>Roanoke</t>
  </si>
  <si>
    <t>Carilion Roanoke Memorial Hospital</t>
  </si>
  <si>
    <t>Carilion Tazewell Community Hospital</t>
  </si>
  <si>
    <t>Catawba Hospital</t>
  </si>
  <si>
    <t>Catawba</t>
  </si>
  <si>
    <t>Centra Bedford Memorial Hospital</t>
  </si>
  <si>
    <t>Centra Lynchburg General Hospital</t>
  </si>
  <si>
    <t>Lynchburg</t>
  </si>
  <si>
    <t>Centra Southside Community Hospital</t>
  </si>
  <si>
    <t>Farmville</t>
  </si>
  <si>
    <t>Centra Virginia Baptist Hospital</t>
  </si>
  <si>
    <t>Chesapeake Regional Medical Center</t>
  </si>
  <si>
    <t>Chesapeake</t>
  </si>
  <si>
    <t>Chippenham Hospital</t>
  </si>
  <si>
    <t>Clinch Valley Medical Center</t>
  </si>
  <si>
    <t>Richlands</t>
  </si>
  <si>
    <t>Fauquier Hospital</t>
  </si>
  <si>
    <t>Warrenton</t>
  </si>
  <si>
    <t>Fort Belvoir Community Hospital</t>
  </si>
  <si>
    <t>Fort Belvoir</t>
  </si>
  <si>
    <t>Hampton VA Medical Center</t>
  </si>
  <si>
    <t>Henrico Doctors' Hospital</t>
  </si>
  <si>
    <t>Hiram W. Davis Medical Center</t>
  </si>
  <si>
    <t>Petersburg</t>
  </si>
  <si>
    <t>Hunter Holmes McGuire VA Medical Center</t>
  </si>
  <si>
    <t>Inova Alexandria Hospital</t>
  </si>
  <si>
    <t>Inova Fair Oaks Hospital</t>
  </si>
  <si>
    <t>Fairfax</t>
  </si>
  <si>
    <t>Inova Fairfax Hospital</t>
  </si>
  <si>
    <t>Falls Church</t>
  </si>
  <si>
    <t>Inova Loudoun Hospital</t>
  </si>
  <si>
    <t>Inova Mount Vernon Hospital</t>
  </si>
  <si>
    <t>John Randolph Medical Center</t>
  </si>
  <si>
    <t>Hopewell</t>
  </si>
  <si>
    <t>Johnston Memorial Hospital</t>
  </si>
  <si>
    <t>Abingdon</t>
  </si>
  <si>
    <t>Johnston-Willis Hospital</t>
  </si>
  <si>
    <t>LewisGale Hospital - Alleghany</t>
  </si>
  <si>
    <t>Low Moor</t>
  </si>
  <si>
    <t>LewisGale Hospital - Montgomery</t>
  </si>
  <si>
    <t>Blacksburg</t>
  </si>
  <si>
    <t>LewisGale Hospital - Pulaski</t>
  </si>
  <si>
    <t>LewisGale Medical Center</t>
  </si>
  <si>
    <t>Lonesome Pine Hospital</t>
  </si>
  <si>
    <t>Big Stone Gap</t>
  </si>
  <si>
    <t>Mary Washington Hospital</t>
  </si>
  <si>
    <t>McDonald Army Health Center</t>
  </si>
  <si>
    <t>Fort Eustis</t>
  </si>
  <si>
    <t>Memorial Regional Medical Center</t>
  </si>
  <si>
    <t>Mechanicsville</t>
  </si>
  <si>
    <t>Mountain View Regional Hospital</t>
  </si>
  <si>
    <t>Norton</t>
  </si>
  <si>
    <t>Naval Medical Center Portsmouth</t>
  </si>
  <si>
    <t>Norton Community Hospital</t>
  </si>
  <si>
    <t>Novant Health UVA Health System Culpeper Medical Center</t>
  </si>
  <si>
    <t>Culpeper</t>
  </si>
  <si>
    <t>Novant Health UVA Health System Haymarket Medical Center</t>
  </si>
  <si>
    <t>Haymarket</t>
  </si>
  <si>
    <t>Novant Health UVA Health System Prince William Medical Center</t>
  </si>
  <si>
    <t>Manassas</t>
  </si>
  <si>
    <t>Parham Doctor's Hospital - A Campus of Henrico Doctor's Hospital</t>
  </si>
  <si>
    <t>Reston Hospital Center</t>
  </si>
  <si>
    <t>Reston</t>
  </si>
  <si>
    <t>Retreat Doctors Hospital - A Campus of Henrico Doctor's Hospital</t>
  </si>
  <si>
    <t>Richmond Community Hospital</t>
  </si>
  <si>
    <t>Riverside Doctors Hospital Williamsburg</t>
  </si>
  <si>
    <t>Williamsburg</t>
  </si>
  <si>
    <t>Riverside Regional Medical Center</t>
  </si>
  <si>
    <t>Riverside Shore Memorial Hospital</t>
  </si>
  <si>
    <t>Onancock</t>
  </si>
  <si>
    <t>Riverside Tappahannock Hospital</t>
  </si>
  <si>
    <t>Tappahannock</t>
  </si>
  <si>
    <t>Riverside Walter Reed Hospital</t>
  </si>
  <si>
    <t>Russell County Hospital</t>
  </si>
  <si>
    <t>Midlothian</t>
  </si>
  <si>
    <t>Salem VA Medical Center</t>
  </si>
  <si>
    <t>Sentara CarePlex Hospital</t>
  </si>
  <si>
    <t>Sentara Halifax Regional Hospital</t>
  </si>
  <si>
    <t>South Boston</t>
  </si>
  <si>
    <t>Sentara Heart Hospital</t>
  </si>
  <si>
    <t>Sentara Leigh Hospital</t>
  </si>
  <si>
    <t>Sentara Martha Jefferson Hospital</t>
  </si>
  <si>
    <t>Charlottesville</t>
  </si>
  <si>
    <t>Sentara Norfolk General Hospital</t>
  </si>
  <si>
    <t>Sentara Northern Virginia Medical Center</t>
  </si>
  <si>
    <t>Woodbridge</t>
  </si>
  <si>
    <t>Sentara Obici Hospital</t>
  </si>
  <si>
    <t>Suffolk</t>
  </si>
  <si>
    <t>Sentara Princess Anne Hospital</t>
  </si>
  <si>
    <t>Virginia Beach</t>
  </si>
  <si>
    <t>Sentara RMH Medical Center</t>
  </si>
  <si>
    <t>Harrisonburg</t>
  </si>
  <si>
    <t>Sentara Virginia Beach General Hospital</t>
  </si>
  <si>
    <t>Sentara Williamsburg Regional Medical Center</t>
  </si>
  <si>
    <t>Smyth County Community Hospital</t>
  </si>
  <si>
    <t>Southampton Memorial Hospital</t>
  </si>
  <si>
    <t>Southern Virginia Regional Medical Center</t>
  </si>
  <si>
    <t>Emporia</t>
  </si>
  <si>
    <t>Southside Regional Medical Center</t>
  </si>
  <si>
    <t>SOVAH Health Danville</t>
  </si>
  <si>
    <t>SOVAH Health Martinsville</t>
  </si>
  <si>
    <t>Martinsville</t>
  </si>
  <si>
    <t>Spotsylvania Regional Medical Center</t>
  </si>
  <si>
    <t>Stafford Hospital</t>
  </si>
  <si>
    <t>Stafford</t>
  </si>
  <si>
    <t>StoneSprings Hospital Center</t>
  </si>
  <si>
    <t>Dulles</t>
  </si>
  <si>
    <t>Twin County Regional Hospital</t>
  </si>
  <si>
    <t>Galax</t>
  </si>
  <si>
    <t>VCU Medical Center</t>
  </si>
  <si>
    <t>Virginia Hospital Center</t>
  </si>
  <si>
    <t>Warren Memorial Hospital</t>
  </si>
  <si>
    <t>Front Royal</t>
  </si>
  <si>
    <t>Winchester Medical Center</t>
  </si>
  <si>
    <t>Wythe County Community Hospital</t>
  </si>
  <si>
    <t>Wytheville</t>
  </si>
  <si>
    <t>Northwestern Medical Center</t>
  </si>
  <si>
    <t>Saint Albans</t>
  </si>
  <si>
    <t>Rutland Regional Medical Center</t>
  </si>
  <si>
    <t>Rutland</t>
  </si>
  <si>
    <t>Southwestern Vermont Medical Center</t>
  </si>
  <si>
    <t>Bennington</t>
  </si>
  <si>
    <t>The University of Vermont Health Network Central Vermont Medical Center</t>
  </si>
  <si>
    <t>The University of Vermont Medical Center</t>
  </si>
  <si>
    <t>White River Junction VA Medical Center</t>
  </si>
  <si>
    <t>White River Junction</t>
  </si>
  <si>
    <t>Providence Holy Family Hospital</t>
  </si>
  <si>
    <t>Spokane</t>
  </si>
  <si>
    <t>Astria Toppenish Hospital</t>
  </si>
  <si>
    <t>Toppenish</t>
  </si>
  <si>
    <t>Capital Medical Center</t>
  </si>
  <si>
    <t>Olympia</t>
  </si>
  <si>
    <t>Cascade Valley Hospital</t>
  </si>
  <si>
    <t>Central Washington Hospital</t>
  </si>
  <si>
    <t>Wenatchee</t>
  </si>
  <si>
    <t>CHI Franciscan Health - St. Francis Hospital</t>
  </si>
  <si>
    <t>Federal Way</t>
  </si>
  <si>
    <t>EvergreenHealth Kirkland</t>
  </si>
  <si>
    <t>Kirkland</t>
  </si>
  <si>
    <t>EvergreenHealth Monroe</t>
  </si>
  <si>
    <t>Grays Harbor Community Hospital</t>
  </si>
  <si>
    <t>Harborview Medical Center</t>
  </si>
  <si>
    <t>Seattle</t>
  </si>
  <si>
    <t>Harrison Medical Center - Silverdale</t>
  </si>
  <si>
    <t>Silverdale</t>
  </si>
  <si>
    <t>Highline Medical Center</t>
  </si>
  <si>
    <t>Burien</t>
  </si>
  <si>
    <t>Island Hospital</t>
  </si>
  <si>
    <t>Anacortes</t>
  </si>
  <si>
    <t>Jonathon M. Wainwright Memorial VA Medical Center</t>
  </si>
  <si>
    <t>Walla Walla</t>
  </si>
  <si>
    <t>Kadlec Regional Medical Center</t>
  </si>
  <si>
    <t>Richland</t>
  </si>
  <si>
    <t>Legacy Salmon Creek Hospital</t>
  </si>
  <si>
    <t>Vancouver</t>
  </si>
  <si>
    <t>Madigan Army Medical Center</t>
  </si>
  <si>
    <t>Tacoma</t>
  </si>
  <si>
    <t>Multicare Allenmore Hospital</t>
  </si>
  <si>
    <t>Multicare Auburn Medical Center</t>
  </si>
  <si>
    <t>MultiCare Covington Medical Center</t>
  </si>
  <si>
    <t>MultiCare Deaconess Hospital</t>
  </si>
  <si>
    <t>MultiCare Good Samaritan Hospital</t>
  </si>
  <si>
    <t>Puyallup</t>
  </si>
  <si>
    <t>Multicare Tacoma General Hospital</t>
  </si>
  <si>
    <t>MultiCare Valley Hospital</t>
  </si>
  <si>
    <t>Spokane Valley</t>
  </si>
  <si>
    <t>Naval Hospital Bremerton</t>
  </si>
  <si>
    <t>Bremerton</t>
  </si>
  <si>
    <t>Naval Hospital Oak Harbor</t>
  </si>
  <si>
    <t>Oak Harbor</t>
  </si>
  <si>
    <t>Olympic Medical Center</t>
  </si>
  <si>
    <t>Port Angeles</t>
  </si>
  <si>
    <t>Overlake Medical Center</t>
  </si>
  <si>
    <t>PeaceHealth Saint John Medical Center</t>
  </si>
  <si>
    <t>PeaceHealth Saint Joseph Medical Center</t>
  </si>
  <si>
    <t>Bellingham</t>
  </si>
  <si>
    <t>PeaceHealth Southwest Medical Center</t>
  </si>
  <si>
    <t>Providence Centralia Hospital</t>
  </si>
  <si>
    <t>Providence Pavilion for Women and Children</t>
  </si>
  <si>
    <t>Providence Regional Medical Center Everett</t>
  </si>
  <si>
    <t>Providence Regional Medical Center Everett Pacific Campus</t>
  </si>
  <si>
    <t>Providence Sacred Heart Medical Center and Children's Hospital</t>
  </si>
  <si>
    <t>Providence Saint Mary Medical Center</t>
  </si>
  <si>
    <t>Providence Saint Peter Hospital</t>
  </si>
  <si>
    <t>Gig Harbor</t>
  </si>
  <si>
    <t>Samaritan Hospital</t>
  </si>
  <si>
    <t>Moses Lake</t>
  </si>
  <si>
    <t>Schick Shadel Hospital</t>
  </si>
  <si>
    <t>Seattle Cancer Care Alliance</t>
  </si>
  <si>
    <t>Skagit Valley Hospital</t>
  </si>
  <si>
    <t>Spokane VA Medical Center</t>
  </si>
  <si>
    <t>St. Clare Hospital</t>
  </si>
  <si>
    <t>St. Michael Medical Center</t>
  </si>
  <si>
    <t>Swedish Ballard Campus</t>
  </si>
  <si>
    <t>Swedish Cherry Hill Campus</t>
  </si>
  <si>
    <t>Swedish Edmonds Campus</t>
  </si>
  <si>
    <t>Edmonds</t>
  </si>
  <si>
    <t>Swedish First Hill Campus</t>
  </si>
  <si>
    <t>Swedish Issaquah Campus</t>
  </si>
  <si>
    <t>Issaquah</t>
  </si>
  <si>
    <t>Trios Southridge Hospital</t>
  </si>
  <si>
    <t>Kennewick</t>
  </si>
  <si>
    <t>Trios Women's and Children's Hospital</t>
  </si>
  <si>
    <t>University of Washington Medical Center - Montlake</t>
  </si>
  <si>
    <t>University of Washington Medical Center-Northwest</t>
  </si>
  <si>
    <t>VA Puget Sound Health Care System - Seattle Division</t>
  </si>
  <si>
    <t>Valley Medical Center</t>
  </si>
  <si>
    <t>Renton</t>
  </si>
  <si>
    <t>Virginia Mason Hospital and Seattle Medical Center</t>
  </si>
  <si>
    <t>Virginia Mason Memorial</t>
  </si>
  <si>
    <t>Yakima</t>
  </si>
  <si>
    <t>Washington State Penitentiary Hospital</t>
  </si>
  <si>
    <t>Wenatchee Valley Hospital and Clinics</t>
  </si>
  <si>
    <t>Ascension Columbia Saint Mary's Hospital Ozaukee</t>
  </si>
  <si>
    <t>Mequon</t>
  </si>
  <si>
    <t>Ascension Columbia Saint Mary's Women's Hospital</t>
  </si>
  <si>
    <t>Milwaukee</t>
  </si>
  <si>
    <t>Ascension Saint Michael's Hospital</t>
  </si>
  <si>
    <t>Stevens Point</t>
  </si>
  <si>
    <t>American Family Children's Hospital</t>
  </si>
  <si>
    <t>Ascension All Saints Hospital - Spring Street Campus</t>
  </si>
  <si>
    <t>Racine</t>
  </si>
  <si>
    <t>Ascension All Saints Hospital Wisconsin Avenue Campus</t>
  </si>
  <si>
    <t>Ascension Columbia Saint Mary's Hospital Milwaukee</t>
  </si>
  <si>
    <t>Ascension North East Wisconsin - Mercy Campus</t>
  </si>
  <si>
    <t>Oshkosh</t>
  </si>
  <si>
    <t>Ascension Northeast Wisconsin Saint Elizabeth Campus</t>
  </si>
  <si>
    <t>Appleton</t>
  </si>
  <si>
    <t>Ascension Saint Clare's Hospital</t>
  </si>
  <si>
    <t>Ascension Saint Mary's Hospital</t>
  </si>
  <si>
    <t>Rhinelander</t>
  </si>
  <si>
    <t>Ascension SE Wisconsin Hospital Franklin Campus</t>
  </si>
  <si>
    <t>Ascension SE Wisconsin Hospital-Elmbrook Campus</t>
  </si>
  <si>
    <t>Brookfield</t>
  </si>
  <si>
    <t>Ascension SE Wisconsin Hospital-St. Joseph Campus</t>
  </si>
  <si>
    <t>Ascension St. Francis Hospital</t>
  </si>
  <si>
    <t>Aspirus Riverview Hospital</t>
  </si>
  <si>
    <t>Wisconsin Rapids</t>
  </si>
  <si>
    <t>Aspirus Wausau Hospital</t>
  </si>
  <si>
    <t>Wausau</t>
  </si>
  <si>
    <t>Aurora BayCare Medical Center</t>
  </si>
  <si>
    <t>Green Bay</t>
  </si>
  <si>
    <t>Aurora Lakeland Medical Center</t>
  </si>
  <si>
    <t>Elkhorn</t>
  </si>
  <si>
    <t>Aurora Medical Center Grafton</t>
  </si>
  <si>
    <t>Grafton</t>
  </si>
  <si>
    <t>Aurora Medical Center in Burlington</t>
  </si>
  <si>
    <t>Aurora Medical Center in Summit</t>
  </si>
  <si>
    <t>Aurora Medical Center Kenosha</t>
  </si>
  <si>
    <t>Kenosha</t>
  </si>
  <si>
    <t>Aurora Medical Center Manitowoc County</t>
  </si>
  <si>
    <t>Two Rivers</t>
  </si>
  <si>
    <t>Aurora Medical Center Oshkosh</t>
  </si>
  <si>
    <t>Aurora Medical Center Washington County</t>
  </si>
  <si>
    <t>Aurora Medical Center-Bay Area</t>
  </si>
  <si>
    <t>Marinette</t>
  </si>
  <si>
    <t>Aurora Saint Luke's Medical Center</t>
  </si>
  <si>
    <t>Aurora Saint Luke's South Shore</t>
  </si>
  <si>
    <t>Cudahy</t>
  </si>
  <si>
    <t>Aurora Sheboygan Memorial Medical Center</t>
  </si>
  <si>
    <t>Sheboygan</t>
  </si>
  <si>
    <t>Aurora Sinai Medical Center</t>
  </si>
  <si>
    <t>Aurora West Allis Medical Center</t>
  </si>
  <si>
    <t>West Allis</t>
  </si>
  <si>
    <t>Bellin Hospital</t>
  </si>
  <si>
    <t>Beloit Memorial Hospital</t>
  </si>
  <si>
    <t>Beloit</t>
  </si>
  <si>
    <t>Divine Savior Healthcare</t>
  </si>
  <si>
    <t>Fort Memorial Hospital</t>
  </si>
  <si>
    <t>Fort Atkinson</t>
  </si>
  <si>
    <t>Froedtert Hospital</t>
  </si>
  <si>
    <t>Froedtert Kenosha Hospital</t>
  </si>
  <si>
    <t>Froedtert Menomonee Falls Hospital</t>
  </si>
  <si>
    <t>Menomonee Falls</t>
  </si>
  <si>
    <t>Froedtert Pleasant Prairie Hospital</t>
  </si>
  <si>
    <t>Pleasant Prairie</t>
  </si>
  <si>
    <t>Froedtert West Bend Hospital</t>
  </si>
  <si>
    <t>West Bend</t>
  </si>
  <si>
    <t>Gundersen Lutheran Medical Center</t>
  </si>
  <si>
    <t>La Crosse</t>
  </si>
  <si>
    <t>Holy Family Memorial Medical Center</t>
  </si>
  <si>
    <t>Manitowoc</t>
  </si>
  <si>
    <t>Howard Young Medical Center</t>
  </si>
  <si>
    <t>Woodruff</t>
  </si>
  <si>
    <t>HSHS Sacred Heart Hospital</t>
  </si>
  <si>
    <t>Eau Claire</t>
  </si>
  <si>
    <t>HSHS Saint Joseph's Hospital</t>
  </si>
  <si>
    <t>Chippewa Falls</t>
  </si>
  <si>
    <t>HSHS Saint Mary's Hospital Medical Center</t>
  </si>
  <si>
    <t>HSHS Saint Nicholas Hospital</t>
  </si>
  <si>
    <t>HSHS Saint Vincent Hospital</t>
  </si>
  <si>
    <t>Marshfield Medical Center</t>
  </si>
  <si>
    <t>Marshfield</t>
  </si>
  <si>
    <t>Marshfield Medical Center – Minocqua</t>
  </si>
  <si>
    <t>Minocqua</t>
  </si>
  <si>
    <t>Marshfield Medical Center - Eau Claire</t>
  </si>
  <si>
    <t>Marshfield Medical Center Beaver Dam</t>
  </si>
  <si>
    <t>Beaver Dam</t>
  </si>
  <si>
    <t>Marshfield Medical Center Rice Lake</t>
  </si>
  <si>
    <t>Rice Lake</t>
  </si>
  <si>
    <t>Mayo Clinic Health System - Franciscan Healthcare in La Crosse</t>
  </si>
  <si>
    <t>Mayo Clinic Health System in Eau Claire</t>
  </si>
  <si>
    <t>Mercyhealth Hospital and Trauma Center-Janesville</t>
  </si>
  <si>
    <t>Janesville</t>
  </si>
  <si>
    <t>Midwest Orthopedic Specialty Hospital</t>
  </si>
  <si>
    <t>Mile Bluff Medical Center</t>
  </si>
  <si>
    <t>Mauston</t>
  </si>
  <si>
    <t>Milwaukee VA Medical Center</t>
  </si>
  <si>
    <t>Oakleaf Surgical Hospital</t>
  </si>
  <si>
    <t>Orthopaedic Hospital of Wisconsin</t>
  </si>
  <si>
    <t>ProHealth Oconomowoc Memorial Hospital</t>
  </si>
  <si>
    <t>Oconomowoc</t>
  </si>
  <si>
    <t>ProHealth Waukesha Memorial Hospital</t>
  </si>
  <si>
    <t>Waukesha</t>
  </si>
  <si>
    <t>Fond du Lac</t>
  </si>
  <si>
    <t>Sauk Prairie Memorial Hospital</t>
  </si>
  <si>
    <t>Prairie du Sac</t>
  </si>
  <si>
    <t>SSM Health Saint Clare Hospital -Baraboo</t>
  </si>
  <si>
    <t>Baraboo</t>
  </si>
  <si>
    <t>SSM Health Saint Mary's Hospital - Madison</t>
  </si>
  <si>
    <t>SSM Health Saint Mary's Hospital-Janesville</t>
  </si>
  <si>
    <t>The Monroe Clinic Hospital</t>
  </si>
  <si>
    <t>ThedaCare Regional Medical Center-Appleton</t>
  </si>
  <si>
    <t>ThedaCare Regional Medical Center-Neenah</t>
  </si>
  <si>
    <t>Neenah</t>
  </si>
  <si>
    <t>Tomah VA Medical Center</t>
  </si>
  <si>
    <t>Tomah</t>
  </si>
  <si>
    <t>UnityPoint Health Meriter</t>
  </si>
  <si>
    <t>Watertown Regional Medical Center</t>
  </si>
  <si>
    <t>William S. Middleton Memorial Veterans Hospital</t>
  </si>
  <si>
    <t>Acuity Specialty Hospital of Morgantown</t>
  </si>
  <si>
    <t>Beckley ARH Hospital</t>
  </si>
  <si>
    <t>Beckley</t>
  </si>
  <si>
    <t>Beckley VA Medical Center</t>
  </si>
  <si>
    <t>Berkeley Medical Center</t>
  </si>
  <si>
    <t>Martinsburg</t>
  </si>
  <si>
    <t>Bluefield Regional Medical Center</t>
  </si>
  <si>
    <t>Bluefield</t>
  </si>
  <si>
    <t>Cabell Huntington Hospital</t>
  </si>
  <si>
    <t>Camden Clark Medical Center</t>
  </si>
  <si>
    <t>Parkersburg</t>
  </si>
  <si>
    <t>Charleston Area Medical Center Women and Children's Hospital</t>
  </si>
  <si>
    <t>Charleston Area Medical Center General Hospital</t>
  </si>
  <si>
    <t>Charleston Area Medical Center Memorial Hospital</t>
  </si>
  <si>
    <t>Charleston Area Medical Center Teays Valley Hospital</t>
  </si>
  <si>
    <t>Hurricane</t>
  </si>
  <si>
    <t>Charleston Surgical Hospital</t>
  </si>
  <si>
    <t>Davis Medical Center</t>
  </si>
  <si>
    <t>Elkins</t>
  </si>
  <si>
    <t>Greenbrier Valley Medical Center</t>
  </si>
  <si>
    <t>Ronceverte</t>
  </si>
  <si>
    <t>Hershel Woody Williams VA Medical Center</t>
  </si>
  <si>
    <t>Hoops Family Children's Hospital</t>
  </si>
  <si>
    <t>J.W. Ruby Memorial Hospital</t>
  </si>
  <si>
    <t>Logan Regional Medical Center</t>
  </si>
  <si>
    <t>Louis A. Johnson VA Medical Center</t>
  </si>
  <si>
    <t>Clarksburg</t>
  </si>
  <si>
    <t>Martinsburg VA Medical Center</t>
  </si>
  <si>
    <t>Mon Health Medical Center</t>
  </si>
  <si>
    <t>Pleasant Valley Hospital</t>
  </si>
  <si>
    <t>Point Pleasant</t>
  </si>
  <si>
    <t>Princeton Community Hospital</t>
  </si>
  <si>
    <t>Raleigh General Hospital</t>
  </si>
  <si>
    <t>Reynolds Memorial Hospital</t>
  </si>
  <si>
    <t>Glen Dale</t>
  </si>
  <si>
    <t>Stonewall Jackson Memorial Hospital</t>
  </si>
  <si>
    <t>Summersville Regional Medical Center</t>
  </si>
  <si>
    <t>Summersville</t>
  </si>
  <si>
    <t>Thomas Memorial Hospital</t>
  </si>
  <si>
    <t>South Charleston</t>
  </si>
  <si>
    <t>United Hospital Center</t>
  </si>
  <si>
    <t>Weirton Medical Center</t>
  </si>
  <si>
    <t>Weirton</t>
  </si>
  <si>
    <t>Welch Community Hospital</t>
  </si>
  <si>
    <t>Welch</t>
  </si>
  <si>
    <t>Wetzel County Hospital</t>
  </si>
  <si>
    <t>New Martinsville</t>
  </si>
  <si>
    <t>Wheeling Hospital</t>
  </si>
  <si>
    <t>Wheeling</t>
  </si>
  <si>
    <t>Aspen Mountain Medical Center</t>
  </si>
  <si>
    <t>Rock Springs</t>
  </si>
  <si>
    <t>Campbell County Memorial Hospital</t>
  </si>
  <si>
    <t>Gillette</t>
  </si>
  <si>
    <t>Cheyenne Regional Medical Center</t>
  </si>
  <si>
    <t>Cheyenne</t>
  </si>
  <si>
    <t>Cheyenne VA Medical Center</t>
  </si>
  <si>
    <t>Evanston Regional Hospital</t>
  </si>
  <si>
    <t>Ivinson Memorial Hospital</t>
  </si>
  <si>
    <t>Laramie</t>
  </si>
  <si>
    <t>Memorial Hospital of Sweetwater County</t>
  </si>
  <si>
    <t>SageWest Health Care at Lander</t>
  </si>
  <si>
    <t>Lander</t>
  </si>
  <si>
    <t>SageWest Health Care at Riverton</t>
  </si>
  <si>
    <t>Saint John's Medical Center</t>
  </si>
  <si>
    <t>Sheridan Memorial Hospital</t>
  </si>
  <si>
    <t>Sheridan</t>
  </si>
  <si>
    <t>Sheridan VA Medical Center</t>
  </si>
  <si>
    <t>Casper</t>
  </si>
  <si>
    <t>Wyoming Medical Center</t>
  </si>
  <si>
    <t>The 917 core-based statistical areas of the United States of America</t>
  </si>
  <si>
    <t>Rank</t>
  </si>
  <si>
    <t>Core-based statistical area</t>
  </si>
  <si>
    <t>2012 estimate</t>
  </si>
  <si>
    <t>2010 Census</t>
  </si>
  <si>
    <t>Change</t>
  </si>
  <si>
    <t>Encompassing combined statistical area</t>
  </si>
  <si>
    <t>New York-Newark-Jersey City, NY-NJ-PA Metropolitan Statistical Area</t>
  </si>
  <si>
    <t>New York-Newark, NY-NJ-CT-PA Combined Statistical Area</t>
  </si>
  <si>
    <t>Los Angeles-Long Beach-Anaheim, CA Metropolitan Statistical Area</t>
  </si>
  <si>
    <t>Los Angeles-Long Beach, CA Combined Statistical Area</t>
  </si>
  <si>
    <t>Chicago-Naperville-Elgin, IL-IN-WI Metropolitan Statistical Area</t>
  </si>
  <si>
    <t>Chicago-Naperville, IL-IN-WI Combined Statistical Area</t>
  </si>
  <si>
    <t>Dallas-Fort Worth-Arlington, TX Metropolitan Statistical Area</t>
  </si>
  <si>
    <t>Dallas-Fort Worth, TX-OK Combined Statistical Area</t>
  </si>
  <si>
    <t>Houston-The Woodlands-Sugar Land, TX Metropolitan Statistical Area</t>
  </si>
  <si>
    <t>Houston-The Woodlands, TX Combined Statistical Area</t>
  </si>
  <si>
    <t>Philadelphia-Camden-Wilmington, PA-NJ-DE-MD Metropolitan Statistical Area</t>
  </si>
  <si>
    <t>Philadelphia-Reading-Camden, PA-NJ-DE-MD Combined Statistical Area</t>
  </si>
  <si>
    <t>Washington-Arlington-Alexandria, DC-VA-MD-WV Metropolitan Statistical Area</t>
  </si>
  <si>
    <t>Washington-Baltimore-Arlington, DC-MD-VA-WV-PA Combined Statistical Area</t>
  </si>
  <si>
    <t>Miami-Fort Lauderdale-West Palm Beach, FL Metropolitan Statistical Area</t>
  </si>
  <si>
    <t>Miami-Fort Lauderdale-Port St. Lucie, FL Combined Statistical Area</t>
  </si>
  <si>
    <t>Atlanta-Sandy Springs-Roswell, GA Metropolitan Statistical Area</t>
  </si>
  <si>
    <t>Atlanta–Athens-Clarke County–Sandy Springs, GA Combined Statistical Area</t>
  </si>
  <si>
    <t>Boston-Cambridge-Newton, MA-NH Metropolitan Statistical Area</t>
  </si>
  <si>
    <t>Boston-Worcester-Providence, MA-RI-NH-CT Combined Statistical Area</t>
  </si>
  <si>
    <t>San Francisco-Oakland-Hayward, CA Metropolitan Statistical Area</t>
  </si>
  <si>
    <t>San Jose-San Francisco-Oakland, CA Combined Statistical Area</t>
  </si>
  <si>
    <t>Riverside-San Bernardino-Ontario, CA Metropolitan Statistical Area</t>
  </si>
  <si>
    <t>Phoenix-Mesa-Scottsdale, AZ Metropolitan Statistical Area</t>
  </si>
  <si>
    <t>Detroit-Warren-Dearborn, MI Metropolitan Statistical Area</t>
  </si>
  <si>
    <t>−0.10%</t>
  </si>
  <si>
    <t>Detroit-Warren-Ann Arbor, MI Combined Statistical Area</t>
  </si>
  <si>
    <t>Seattle-Tacoma-Bellevue, WA Metropolitan Statistical Area</t>
  </si>
  <si>
    <t>Seattle-Tacoma, WA Combined Statistical Area</t>
  </si>
  <si>
    <t>Minneapolis-St. Paul-Bloomington, MN-WI Metropolitan Statistical Area</t>
  </si>
  <si>
    <t>Minneapolis-St. Paul, MN-WI Combined Statistical Area</t>
  </si>
  <si>
    <t>San Diego-Carlsbad, CA Metropolitan Statistical Area</t>
  </si>
  <si>
    <t>Tampa-St. Petersburg-Clearwater, FL Metropolitan Statistical Area</t>
  </si>
  <si>
    <t>St. Louis, MO-IL Metropolitan Statistical Area</t>
  </si>
  <si>
    <t>St. Louis-St. Charles-Farmington, MO-IL Combined Statistical Area</t>
  </si>
  <si>
    <t>Baltimore-Columbia-Towson, MD Metropolitan Statistical Area</t>
  </si>
  <si>
    <t>Denver-Aurora-Lakewood, CO Metropolitan Statistical Area</t>
  </si>
  <si>
    <t>Denver-Aurora, CO Combined Statistical Area</t>
  </si>
  <si>
    <t>Pittsburgh, PA Metropolitan Statistical Area</t>
  </si>
  <si>
    <t>Pittsburgh-New Castle-Weirton, PA-OH-WV Combined Statistical Area</t>
  </si>
  <si>
    <t>Charlotte-Concord-Gastonia, NC-SC Metropolitan Statistical Area</t>
  </si>
  <si>
    <t>Charlotte-Concord, NC-SC Combined Statistical Area</t>
  </si>
  <si>
    <t>Portland-Vancouver-Hillsboro, OR-WA Metropolitan Statistical Area</t>
  </si>
  <si>
    <t>Portland-Vancouver-Salem, OR-WA Combined Statistical Area</t>
  </si>
  <si>
    <t>San Antonio-New Braunfels, TX Metropolitan Statistical Area</t>
  </si>
  <si>
    <t>Orlando-Kissimmee-Sanford, FL Metropolitan Statistical Area</t>
  </si>
  <si>
    <t>Orlando-Deltona-Daytona Beach, FL Combined Statistical Area</t>
  </si>
  <si>
    <t>Sacramento–Roseville–Arden-Arcade, CA Metropolitan Statistical Area</t>
  </si>
  <si>
    <t>Sacramento-Roseville, CA Combined Statistical Area</t>
  </si>
  <si>
    <t>Cincinnati, OH-KY-IN Metropolitan Statistical Area</t>
  </si>
  <si>
    <t>Cincinnati-Wilmington-Maysville, OH-KY-IN Combined Statistical Area</t>
  </si>
  <si>
    <t>Cleveland-Elyria, OH Metropolitan Statistical Area</t>
  </si>
  <si>
    <t>−0.66%</t>
  </si>
  <si>
    <t>Cleveland-Akron-Canton, OH Combined Statistical Area</t>
  </si>
  <si>
    <t>Kansas City, MO-KS Metropolitan Statistical Area</t>
  </si>
  <si>
    <t>Kansas City-Overland Park-Kansas City, MO-KS Combined Statistical Area</t>
  </si>
  <si>
    <t>Las Vegas-Henderson-Paradise, NV Metropolitan Statistical Area</t>
  </si>
  <si>
    <t>Las Vegas-Henderson, NV-AZ Combined Statistical Area</t>
  </si>
  <si>
    <t>Columbus, OH Metropolitan Statistical Area</t>
  </si>
  <si>
    <t>Columbus-Marion-Zanesville, OH Combined Statistical Area</t>
  </si>
  <si>
    <t>Indianapolis-Carmel-Anderson, IN Metropolitan Statistical Area</t>
  </si>
  <si>
    <t>Indianapolis-Carmel-Muncie, IN Combined Statistical Area</t>
  </si>
  <si>
    <t>San Jose-Sunnyvale-Santa Clara, CA Metropolitan Statistical Area</t>
  </si>
  <si>
    <t>Austin-Round Rock, TX Metropolitan Statistical Area</t>
  </si>
  <si>
    <t>Nashville-Davidson–Murfreesboro–Franklin, TN Metropolitan Statistical Area</t>
  </si>
  <si>
    <t>Nashville-Davidson–Murfreesboro, TN Combined Statistical Area</t>
  </si>
  <si>
    <t>Virginia Beach-Norfolk-Newport News, VA-NC Metropolitan Statistical Area</t>
  </si>
  <si>
    <t>Virginia Beach-Norfolk, VA-NC Combined Statistical Area</t>
  </si>
  <si>
    <t>Providence-Warwick, RI-MA Metropolitan Statistical Area</t>
  </si>
  <si>
    <t>Milwaukee-Waukesha-West Allis, WI Metropolitan Statistical Area</t>
  </si>
  <si>
    <t>Milwaukee-Racine-Waukesha, WI Combined Statistical Area</t>
  </si>
  <si>
    <t>Jacksonville, FL Metropolitan Statistical Area</t>
  </si>
  <si>
    <t>Jacksonville-St. Marys-Palatka, FL-GA Combined Statistical Area</t>
  </si>
  <si>
    <t>Memphis, TN-MS-AR Metropolitan Statistical Area</t>
  </si>
  <si>
    <t>Memphis-Forrest City, TN-MS-AR Combined Statistical Area</t>
  </si>
  <si>
    <t>Oklahoma City, OK Metropolitan Statistical Area</t>
  </si>
  <si>
    <t>Oklahoma City-Shawnee, OK Combined Statistical Area</t>
  </si>
  <si>
    <t>Louisville/Jefferson County, KY-IN Metropolitan Statistical Area</t>
  </si>
  <si>
    <t>Louisville/Jefferson County–Elizabethtown–Bardstown, KY-IN Combined Statistical Area</t>
  </si>
  <si>
    <t>Richmond, VA Metropolitan Statistical Area</t>
  </si>
  <si>
    <t>New Orleans-Metairie, LA Metropolitan Statistical Area</t>
  </si>
  <si>
    <t>New Orleans-Metairie-Hammond, LA-MS Combined Statistical Area</t>
  </si>
  <si>
    <t>Hartford-East Hartford-Middletown, CT Metropolitan Statistical Area</t>
  </si>
  <si>
    <t>Hartford-East Hartford, CT Combined Statistical Area</t>
  </si>
  <si>
    <t>Raleigh, NC Metropolitan Statistical Area</t>
  </si>
  <si>
    <t>Raleigh-Durham-Chapel Hill, NC Combined Statistical Area</t>
  </si>
  <si>
    <t>Birmingham-Hoover, AL Metropolitan Statistical Area</t>
  </si>
  <si>
    <t>Birmingham-Hoover-Talladega, AL Combined Statistical Area</t>
  </si>
  <si>
    <t>Buffalo-Cheektowaga-Niagara Falls, NY Metropolitan Statistical Area</t>
  </si>
  <si>
    <t>−0.11%</t>
  </si>
  <si>
    <t>Buffalo-Cheektowaga-Olean, NY Combined Statistical Area</t>
  </si>
  <si>
    <t>Salt Lake City, UT Metropolitan Statistical Area</t>
  </si>
  <si>
    <t>Salt Lake City-Provo-Orem, UT Combined Statistical Area</t>
  </si>
  <si>
    <t>Rochester, NY Metropolitan Statistical Area</t>
  </si>
  <si>
    <t>Rochester-Batavia-Seneca Falls, NY Combined Statistical Area</t>
  </si>
  <si>
    <t>Grand Rapids-Wyoming, MI Metropolitan Statistical Area</t>
  </si>
  <si>
    <t>Grand Rapids-Wyoming-Muskegon, MI Combined Statistical Area</t>
  </si>
  <si>
    <t>Tucson, AZ Metropolitan Statistical Area</t>
  </si>
  <si>
    <t>Tucson-Nogales, AZ Combined Statistical Area</t>
  </si>
  <si>
    <t>Urban Honolulu, HI Metropolitan Statistical Area</t>
  </si>
  <si>
    <t>Tulsa, OK Metropolitan Statistical Area</t>
  </si>
  <si>
    <t>Tulsa-Muskogee-Bartlesville, OK Combined Statistical Area</t>
  </si>
  <si>
    <t>Fresno, CA Metropolitan Statistical Area</t>
  </si>
  <si>
    <t>Fresno-Madera, CA Combined Statistical Area</t>
  </si>
  <si>
    <t>Bridgeport-Stamford-Norwalk, CT Metropolitan Statistical Area</t>
  </si>
  <si>
    <t>Worcester, MA-CT Metropolitan Statistical Area</t>
  </si>
  <si>
    <t>Albuquerque, NM Metropolitan Statistical Area</t>
  </si>
  <si>
    <t>Albuquerque-Santa Fe-Las Vegas, NM Combined Statistical Area</t>
  </si>
  <si>
    <t>Omaha-Council Bluffs, NE-IA Metropolitan Statistical Area</t>
  </si>
  <si>
    <t>Omaha-Council Bluffs-Fremont, NE-IA Combined Statistical Area</t>
  </si>
  <si>
    <t>Albany-Schenectady-Troy, NY Metropolitan Statistical Area</t>
  </si>
  <si>
    <t>Albany-Schenectady, NY Combined Statistical Area</t>
  </si>
  <si>
    <t>New Haven-Milford, CT Metropolitan Statistical Area</t>
  </si>
  <si>
    <t>Bakersfield, CA Metropolitan Statistical Area</t>
  </si>
  <si>
    <t>Knoxville, TN Metropolitan Statistical Area</t>
  </si>
  <si>
    <t>Knoxville-Morristown-Sevierville, TN Combined Statistical Area</t>
  </si>
  <si>
    <t>Greenville-Anderson-Mauldin, SC Metropolitan Statistical Area</t>
  </si>
  <si>
    <t>Greenville-Spartanburg-Anderson, SC Combined Statistical Area</t>
  </si>
  <si>
    <t>Oxnard-Thousand Oaks-Ventura, CA Metropolitan Statistical Area</t>
  </si>
  <si>
    <t>El Paso, TX Metropolitan Statistical Area</t>
  </si>
  <si>
    <t>El Paso-Las Cruces, TX-NM Combined Statistical Area</t>
  </si>
  <si>
    <t>Allentown-Bethlehem-Easton, PA-NJ Metropolitan Statistical Area</t>
  </si>
  <si>
    <t>Baton Rouge, LA Metropolitan Statistical Area</t>
  </si>
  <si>
    <t>McAllen-Edinburg-Mission, TX Metropolitan Statistical Area</t>
  </si>
  <si>
    <t>McAllen-Edinburg, TX Combined Statistical Area</t>
  </si>
  <si>
    <t>Dayton, OH Metropolitan Statistical Area</t>
  </si>
  <si>
    <t>Dayton-Springfield-Sidney, OH Combined Statistical Area</t>
  </si>
  <si>
    <t>Columbia, SC Metropolitan Statistical Area</t>
  </si>
  <si>
    <t>Columbia-Orangeburg-Newberry, SC Combined Statistical Area</t>
  </si>
  <si>
    <t>Greensboro-High Point, NC Metropolitan Statistical Area</t>
  </si>
  <si>
    <t>Greensboro–Winston-Salem–High Point, NC Combined Statistical Area</t>
  </si>
  <si>
    <t>North Port-Sarasota-Bradenton, FL Metropolitan Statistical Area</t>
  </si>
  <si>
    <t>North Port-Sarasota, FL Combined Statistical Area</t>
  </si>
  <si>
    <t>Little Rock-North Little Rock-Conway, AR Metropolitan Statistical Area</t>
  </si>
  <si>
    <t>Little Rock-North Little Rock, AR Combined Statistical Area</t>
  </si>
  <si>
    <t>Stockton-Lodi, CA Metropolitan Statistical Area</t>
  </si>
  <si>
    <t>Akron, OH Metropolitan Statistical Area</t>
  </si>
  <si>
    <t>−0.13%</t>
  </si>
  <si>
    <t>Charleston-North Charleston, SC Metropolitan Statistical Area</t>
  </si>
  <si>
    <t>Colorado Springs, CO Metropolitan Statistical Area</t>
  </si>
  <si>
    <t>Syracuse, NY Metropolitan Statistical Area</t>
  </si>
  <si>
    <t>−0.25%</t>
  </si>
  <si>
    <t>Syracuse-Auburn, NY Combined Statistical Area</t>
  </si>
  <si>
    <t>Winston-Salem, NC Metropolitan Statistical Area</t>
  </si>
  <si>
    <t>Cape Coral-Fort Myers, FL Metropolitan Statistical Area</t>
  </si>
  <si>
    <t>Cape Coral-Fort Myers-Naples, FL Combined Statistical Area</t>
  </si>
  <si>
    <t>Boise City, ID Metropolitan Statistical Area</t>
  </si>
  <si>
    <t>Boise City-Mountain Home-Ontario, ID-OR Combined Statistical Area</t>
  </si>
  <si>
    <t>Wichita, KS Metropolitan Statistical Area</t>
  </si>
  <si>
    <t>Wichita-Arkansas City-Winfield, KS Combined Statistical Area</t>
  </si>
  <si>
    <t>Springfield, MA Metropolitan Statistical Area</t>
  </si>
  <si>
    <t>Springfield-Greenfield Town, MA Combined Statistical Area</t>
  </si>
  <si>
    <t>Madison, WI Metropolitan Statistical Area</t>
  </si>
  <si>
    <t>Madison-Janesville-Beloit, WI Combined Statistical Area</t>
  </si>
  <si>
    <t>Lakeland-Winter Haven, FL Metropolitan Statistical Area</t>
  </si>
  <si>
    <t>Ogden-Clearfield, UT Metropolitan Statistical Area</t>
  </si>
  <si>
    <t>Toledo, OH Metropolitan Statistical Area</t>
  </si>
  <si>
    <t>−0.21%</t>
  </si>
  <si>
    <t>Toledo-Port Clinton, OH Combined Statistical Area</t>
  </si>
  <si>
    <t>Deltona-Daytona Beach-Ormond Beach, FL Metropolitan Statistical Area</t>
  </si>
  <si>
    <t>Des Moines-West Des Moines, IA Metropolitan Statistical Area</t>
  </si>
  <si>
    <t>Des Moines-Ames-West Des Moines, IA Combined Statistical Area</t>
  </si>
  <si>
    <t>Jackson, MS Metropolitan Statistical Area</t>
  </si>
  <si>
    <t>Jackson-Vicksburg-Brookhaven, MS Combined Statistical Area</t>
  </si>
  <si>
    <t>Augusta-Richmond County, GA-SC Metropolitan Statistical Area</t>
  </si>
  <si>
    <t>Scranton–Wilkes-Barre–Hazleton, PA Metropolitan Statistical Area</t>
  </si>
  <si>
    <t>Youngstown-Warren-Boardman, OH-PA Metropolitan Statistical Area</t>
  </si>
  <si>
    <t>−1.34%</t>
  </si>
  <si>
    <t>Youngstown-Warren, OH-PA Combined Statistical Area</t>
  </si>
  <si>
    <t>Harrisburg-Carlisle, PA Metropolitan Statistical Area</t>
  </si>
  <si>
    <t>Harrisburg-York-Lebanon, PA Combined Statistical Area</t>
  </si>
  <si>
    <t>Provo-Orem, UT Metropolitan Statistical Area</t>
  </si>
  <si>
    <t>Palm Bay-Melbourne-Titusville, FL Metropolitan Statistical Area</t>
  </si>
  <si>
    <t>Chattanooga, TN-GA Metropolitan Statistical Area</t>
  </si>
  <si>
    <t>Chattanooga-Cleveland-Dalton, TN-GA-AL Combined Statistical Area</t>
  </si>
  <si>
    <t>Spokane-Spokane Valley, WA Metropolitan Statistical Area</t>
  </si>
  <si>
    <t>Spokane-Spokane Valley-Coeur d'Alene, WA-ID Combined Statistical Area</t>
  </si>
  <si>
    <t>Lancaster, PA Metropolitan Statistical Area</t>
  </si>
  <si>
    <t>Durham-Chapel Hill, NC Metropolitan Statistical Area</t>
  </si>
  <si>
    <t>Modesto, CA Metropolitan Statistical Area</t>
  </si>
  <si>
    <t>Modesto-Merced, CA Combined Statistical Area</t>
  </si>
  <si>
    <t>Portland-South Portland, ME Metropolitan Statistical Area</t>
  </si>
  <si>
    <t>Portland-Lewiston-South Portland, ME Combined Statistical Area</t>
  </si>
  <si>
    <t>Santa Rosa, CA Metropolitan Statistical Area</t>
  </si>
  <si>
    <t>Lexington-Fayette, KY Metropolitan Statistical Area</t>
  </si>
  <si>
    <t>Lexington-Fayette–Richmond–Frankfort, KY Combined Statistical Area</t>
  </si>
  <si>
    <t>Fayetteville-Springdale-Rogers, AR-MO Metropolitan Statistical Area</t>
  </si>
  <si>
    <t>Lafayette, LA Metropolitan Statistical Area</t>
  </si>
  <si>
    <t>Lafayette-Opelousas-Morgan City, LA Combined Statistical Area</t>
  </si>
  <si>
    <t>Lansing-East Lansing, MI Metropolitan Statistical Area</t>
  </si>
  <si>
    <t>Lansing-East Lansing-Owosso, MI Combined Statistical Area</t>
  </si>
  <si>
    <t>Pensacola-Ferry Pass-Brent, FL Metropolitan Statistical Area</t>
  </si>
  <si>
    <t>Visalia-Porterville, CA Metropolitan Statistical Area</t>
  </si>
  <si>
    <t>Visalia-Porterville-Hanford, CA Combined Statistical Area</t>
  </si>
  <si>
    <t>Shreveport-Bossier City, LA Metropolitan Statistical Area</t>
  </si>
  <si>
    <t>Springfield, MO Metropolitan Statistical Area</t>
  </si>
  <si>
    <t>Springfield-Branson, MO Combined Statistical Area</t>
  </si>
  <si>
    <t>York-Hanover, PA Metropolitan Statistical Area</t>
  </si>
  <si>
    <t>Corpus Christi, TX Metropolitan Statistical Area</t>
  </si>
  <si>
    <t>Corpus Christi-Kingsville-Alice, TX Combined Statistical Area</t>
  </si>
  <si>
    <t>Reno, NV Metropolitan Statistical Area</t>
  </si>
  <si>
    <t>Reno-Carson City-Fernley, NV Combined Statistical Area</t>
  </si>
  <si>
    <t>Port St. Lucie, FL Metropolitan Statistical Area</t>
  </si>
  <si>
    <t>Asheville, NC Metropolitan Statistical Area</t>
  </si>
  <si>
    <t>Asheville-Brevard, NC Combined Statistical Area</t>
  </si>
  <si>
    <t>Santa Maria-Santa Barbara, CA Metropolitan Statistical Area</t>
  </si>
  <si>
    <t>Huntsville, AL Metropolitan Statistical Area</t>
  </si>
  <si>
    <t>Huntsville-Decatur-Albertville, AL Combined Statistical Area</t>
  </si>
  <si>
    <t>Salinas, CA Metropolitan Statistical Area</t>
  </si>
  <si>
    <t>Fort Wayne, IN Metropolitan Statistical Area</t>
  </si>
  <si>
    <t>Fort Wayne-Huntington-Auburn, IN Combined Statistical Area</t>
  </si>
  <si>
    <t>Vallejo-Fairfield, CA Metropolitan Statistical Area</t>
  </si>
  <si>
    <t>Killeen-Temple, TX Metropolitan Statistical Area</t>
  </si>
  <si>
    <t>Flint, MI Metropolitan Statistical Area</t>
  </si>
  <si>
    <t>−1.73%</t>
  </si>
  <si>
    <t>Brownsville-Harlingen, TX Metropolitan Statistical Area</t>
  </si>
  <si>
    <t>Brownsville-Harlingen-Raymondville, TX Combined Statistical Area</t>
  </si>
  <si>
    <t>Mobile, AL Metropolitan Statistical Area</t>
  </si>
  <si>
    <t>Mobile-Daphne-Fairhope, AL Combined Statistical Area</t>
  </si>
  <si>
    <t>Reading, PA Metropolitan Statistical Area</t>
  </si>
  <si>
    <t>Beaumont-Port Arthur, TX Metropolitan Statistical Area</t>
  </si>
  <si>
    <t>Canton-Massillon, OH Metropolitan Statistical Area</t>
  </si>
  <si>
    <t>−0.24%</t>
  </si>
  <si>
    <t>Manchester-Nashua, NH Metropolitan Statistical Area</t>
  </si>
  <si>
    <t>Salem, OR Metropolitan Statistical Area</t>
  </si>
  <si>
    <t>Myrtle Beach-Conway-North Myrtle Beach, SC-NC Metropolitan Statistical Area</t>
  </si>
  <si>
    <t>Myrtle Beach-Conway, SC-NC Combined Statistical Area</t>
  </si>
  <si>
    <t>Anchorage, AK Metropolitan Statistical Area</t>
  </si>
  <si>
    <t>Davenport-Moline-Rock Island, IA-IL Metropolitan Statistical Area</t>
  </si>
  <si>
    <t>Davenport-Moline, IA-IL Combined Statistical Area</t>
  </si>
  <si>
    <t>Salisbury, MD-DE Metropolitan Statistical Area</t>
  </si>
  <si>
    <t>Peoria, IL Metropolitan Statistical Area</t>
  </si>
  <si>
    <t>Peoria-Canton, IL Combined Statistical Area</t>
  </si>
  <si>
    <t>Gulfport-Biloxi-Pascagoula, MS Metropolitan Statistical Area</t>
  </si>
  <si>
    <t>Montgomery, AL Metropolitan Statistical Area</t>
  </si>
  <si>
    <t>Tallahassee, FL Metropolitan Statistical Area</t>
  </si>
  <si>
    <t>Tallahassee-Bainbridge, FL-GA Combined Statistical Area</t>
  </si>
  <si>
    <t>Fayetteville, NC Metropolitan Statistical Area</t>
  </si>
  <si>
    <t>Fayetteville-Lumberton-Laurinburg, NC Combined Statistical Area</t>
  </si>
  <si>
    <t>Trenton-Princeton, NJ Metropolitan Statistical Area</t>
  </si>
  <si>
    <t>Huntington-Ashland, WV-KY-OH Metropolitan Statistical Area</t>
  </si>
  <si>
    <t>−0.07%</t>
  </si>
  <si>
    <t>Charleston-Huntington-Ashland, WV-OH-KY Combined Statistical Area</t>
  </si>
  <si>
    <t>Hickory-Lenoir-Morganton, NC Metropolitan Statistical Area</t>
  </si>
  <si>
    <t>−0.51%</t>
  </si>
  <si>
    <t>Hickory-Lenoir, NC Combined Statistical Area</t>
  </si>
  <si>
    <t>Savannah, GA Metropolitan Statistical Area</t>
  </si>
  <si>
    <t>Savannah-Hinesville-Statesboro, GA Combined Statistical Area</t>
  </si>
  <si>
    <t>Eugene, OR Metropolitan Statistical Area</t>
  </si>
  <si>
    <t>Ann Arbor, MI Metropolitan Statistical Area</t>
  </si>
  <si>
    <t>Rockford, IL Metropolitan Statistical Area</t>
  </si>
  <si>
    <t>−0.98%</t>
  </si>
  <si>
    <t>Rockford-Freeport-Rochelle, IL Combined Statistical Area</t>
  </si>
  <si>
    <t>Ocala, FL Metropolitan Statistical Area</t>
  </si>
  <si>
    <t>Naples-Immokalee-Marco Island, FL Metropolitan Statistical Area</t>
  </si>
  <si>
    <t>Kalamazoo-Portage, MI Metropolitan Statistical Area</t>
  </si>
  <si>
    <t>Kalamazoo-Battle Creek-Portage, MI Combined Statistical Area</t>
  </si>
  <si>
    <t>South Bend-Mishawaka, IN-MI Metropolitan Statistical Area</t>
  </si>
  <si>
    <t>−0.20%</t>
  </si>
  <si>
    <t>South Bend-Elkhart-Mishawaka, IN-MI Combined Statistical Area</t>
  </si>
  <si>
    <t>Spartanburg, SC Metropolitan Statistical Area</t>
  </si>
  <si>
    <t>Evansville, IN-KY Metropolitan Statistical Area</t>
  </si>
  <si>
    <t>Green Bay, WI Metropolitan Statistical Area</t>
  </si>
  <si>
    <t>Green Bay-Shawano, WI Combined Statistical Area</t>
  </si>
  <si>
    <t>Columbus, GA-AL Metropolitan Statistical Area</t>
  </si>
  <si>
    <t>Columbus-Auburn-Opelika, GA-AL Combined Statistical Area</t>
  </si>
  <si>
    <t>Fort Collins, CO Metropolitan Statistical Area</t>
  </si>
  <si>
    <t>Lincoln, NE Metropolitan Statistical Area</t>
  </si>
  <si>
    <t>Lincoln-Beatrice, NE Combined Statistical Area</t>
  </si>
  <si>
    <t>Roanoke, VA Metropolitan Statistical Area</t>
  </si>
  <si>
    <t>Kingsport-Bristol-Bristol, TN-VA Metropolitan Statistical Area</t>
  </si>
  <si>
    <t>−0.17%</t>
  </si>
  <si>
    <t>Johnson City-Kingsport-Bristol, TN-VA Combined Statistical Area</t>
  </si>
  <si>
    <t>Boulder, CO Metropolitan Statistical Area</t>
  </si>
  <si>
    <t>Utica-Rome, NY Metropolitan Statistical Area</t>
  </si>
  <si>
    <t>−0.45%</t>
  </si>
  <si>
    <t>Lubbock, TX Metropolitan Statistical Area</t>
  </si>
  <si>
    <t>Lubbock-Levelland, TX Combined Statistical Area</t>
  </si>
  <si>
    <t>Erie, PA Metropolitan Statistical Area</t>
  </si>
  <si>
    <t>Erie-Meadville, PA Combined Statistical Area</t>
  </si>
  <si>
    <t>Fort Smith, AR-OK Metropolitan Statistical Area</t>
  </si>
  <si>
    <t>Duluth, MN-WI Metropolitan Statistical Area</t>
  </si>
  <si>
    <t>Atlantic City-Hammonton, NJ Metropolitan Statistical Area</t>
  </si>
  <si>
    <t>San Luis Obispo-Paso Robles-Arroyo Grande, CA Metropolitan Statistical Area</t>
  </si>
  <si>
    <t>Clarksville, TN-KY Metropolitan Statistical Area</t>
  </si>
  <si>
    <t>Norwich-New London, CT Metropolitan Statistical Area</t>
  </si>
  <si>
    <t>Kennewick-Richland, WA Metropolitan Statistical Area</t>
  </si>
  <si>
    <t>Gainesville, FL Metropolitan Statistical Area</t>
  </si>
  <si>
    <t>Gainesville-Lake City, FL Combined Statistical Area</t>
  </si>
  <si>
    <t>Santa Cruz-Watsonville, CA Metropolitan Statistical Area</t>
  </si>
  <si>
    <t>Greeley, CO Metropolitan Statistical Area</t>
  </si>
  <si>
    <t>Wilmington, NC Metropolitan Statistical Area</t>
  </si>
  <si>
    <t>Merced, CA Metropolitan Statistical Area</t>
  </si>
  <si>
    <t>Cedar Rapids, IA Metropolitan Statistical Area</t>
  </si>
  <si>
    <t>Cedar Rapids-Iowa City, IA Combined Statistical Area</t>
  </si>
  <si>
    <t>Laredo, TX Metropolitan Statistical Area</t>
  </si>
  <si>
    <t>Olympia-Tumwater, WA Metropolitan Statistical Area</t>
  </si>
  <si>
    <t>Amarillo, TX Metropolitan Statistical Area</t>
  </si>
  <si>
    <t>Amarillo-Borger, TX Combined Statistical Area</t>
  </si>
  <si>
    <t>Waco, TX Metropolitan Statistical Area</t>
  </si>
  <si>
    <t>Hagerstown-Martinsburg, MD-WV Metropolitan Statistical Area</t>
  </si>
  <si>
    <t>Lynchburg, VA Metropolitan Statistical Area</t>
  </si>
  <si>
    <t>Bremerton-Silverdale, WA Metropolitan Statistical Area</t>
  </si>
  <si>
    <t>Binghamton, NY Metropolitan Statistical Area</t>
  </si>
  <si>
    <t>−1.27%</t>
  </si>
  <si>
    <t>Crestview-Fort Walton Beach-Destin, FL Metropolitan Statistical Area</t>
  </si>
  <si>
    <t>Yakima, WA Metropolitan Statistical Area</t>
  </si>
  <si>
    <t>Sioux Falls, SD Metropolitan Statistical Area</t>
  </si>
  <si>
    <t>Topeka, KS Metropolitan Statistical Area</t>
  </si>
  <si>
    <t>College Station-Bryan, TX Metropolitan Statistical Area</t>
  </si>
  <si>
    <t>Champaign-Urbana, IL Metropolitan Statistical Area</t>
  </si>
  <si>
    <t>Tuscaloosa, AL Metropolitan Statistical Area</t>
  </si>
  <si>
    <t>Macon, GA Metropolitan Statistical Area</t>
  </si>
  <si>
    <t>Macon-Warner Robins, GA Combined Statistical Area</t>
  </si>
  <si>
    <t>Appleton, WI Metropolitan Statistical Area</t>
  </si>
  <si>
    <t>Appleton-Oshkosh-Neenah, WI Combined Statistical Area</t>
  </si>
  <si>
    <t>Charleston, WV Metropolitan Statistical Area</t>
  </si>
  <si>
    <t>−0.49%</t>
  </si>
  <si>
    <t>Charlottesville, VA Metropolitan Statistical Area</t>
  </si>
  <si>
    <t>Chico, CA Metropolitan Statistical Area</t>
  </si>
  <si>
    <t>Claremont-Lebanon, NH-VT Micropolitan Statistical Area</t>
  </si>
  <si>
    <t>Longview, TX Metropolitan Statistical Area</t>
  </si>
  <si>
    <t>Longview-Marshall, TX Combined Statistical Area</t>
  </si>
  <si>
    <t>Fargo, ND-MN Metropolitan Statistical Area</t>
  </si>
  <si>
    <t>Fargo-Wahpeton, ND-MN Combined Statistical Area</t>
  </si>
  <si>
    <t>Barnstable Town, MA Metropolitan Statistical Area</t>
  </si>
  <si>
    <t>−0.22%</t>
  </si>
  <si>
    <t>Tyler, TX Metropolitan Statistical Area</t>
  </si>
  <si>
    <t>Tyler-Jacksonville, TX Combined Statistical Area</t>
  </si>
  <si>
    <t>Las Cruces, NM Metropolitan Statistical Area</t>
  </si>
  <si>
    <t>Burlington-South Burlington, VT Metropolitan Statistical Area</t>
  </si>
  <si>
    <t>Prescott, AZ Metropolitan Statistical Area</t>
  </si>
  <si>
    <t>Springfield, IL Metropolitan Statistical Area</t>
  </si>
  <si>
    <t>Springfield-Jacksonville-Lincoln, IL Combined Statistical Area</t>
  </si>
  <si>
    <t>Rochester, MN Metropolitan Statistical Area</t>
  </si>
  <si>
    <t>Rochester-Austin, MN Combined Statistical Area</t>
  </si>
  <si>
    <t>Houma-Thibodaux, LA Metropolitan Statistical Area</t>
  </si>
  <si>
    <t>Medford, OR Metropolitan Statistical Area</t>
  </si>
  <si>
    <t>Medford-Grants Pass, OR Combined Statistical Area</t>
  </si>
  <si>
    <t>Lafayette-West Lafayette, IN Metropolitan Statistical Area</t>
  </si>
  <si>
    <t>Lafayette-West Lafayette-Frankfort, IN Combined Statistical Area</t>
  </si>
  <si>
    <t>Florence, SC Metropolitan Statistical Area</t>
  </si>
  <si>
    <t>Bellingham, WA Metropolitan Statistical Area</t>
  </si>
  <si>
    <t>Lake Havasu City-Kingman, AZ Metropolitan Statistical Area</t>
  </si>
  <si>
    <t>Lake Charles, LA Metropolitan Statistical Area</t>
  </si>
  <si>
    <t>Johnson City, TN Metropolitan Statistical Area</t>
  </si>
  <si>
    <t>Yuma, AZ Metropolitan Statistical Area</t>
  </si>
  <si>
    <t>Elkhart-Goshen, IN Metropolitan Statistical Area</t>
  </si>
  <si>
    <t>Saginaw, MI Metropolitan Statistical Area</t>
  </si>
  <si>
    <t>−0.91%</t>
  </si>
  <si>
    <t>Saginaw-Midland-Bay City, MI Combined Statistical Area</t>
  </si>
  <si>
    <t>Athens-Clarke County, GA Metropolitan Statistical Area</t>
  </si>
  <si>
    <t>Racine, WI Metropolitan Statistical Area</t>
  </si>
  <si>
    <t>−0.31%</t>
  </si>
  <si>
    <t>Hilton Head Island-Bluffton-Beaufort, SC Metropolitan Statistical Area</t>
  </si>
  <si>
    <t>Daphne-Fairhope-Foley, AL Metropolitan Statistical Area</t>
  </si>
  <si>
    <t>St. Cloud, MN Metropolitan Statistical Area</t>
  </si>
  <si>
    <t>Hilo, HI Micropolitan Statistical Area</t>
  </si>
  <si>
    <t>Bloomington, IL Metropolitan Statistical Area</t>
  </si>
  <si>
    <t>Bloomington-Pontiac, IL Combined Statistical Area</t>
  </si>
  <si>
    <t>Panama City, FL Metropolitan Statistical Area</t>
  </si>
  <si>
    <t>Torrington, CT Micropolitan Statistical Area</t>
  </si>
  <si>
    <t>−1.26%</t>
  </si>
  <si>
    <t>Warner Robins, GA Metropolitan Statistical Area</t>
  </si>
  <si>
    <t>Gainesville, GA Metropolitan Statistical Area</t>
  </si>
  <si>
    <t>Jacksonville, NC Metropolitan Statistical Area</t>
  </si>
  <si>
    <t>Kingston, NY Metropolitan Statistical Area</t>
  </si>
  <si>
    <t>−0.38%</t>
  </si>
  <si>
    <t>Blacksburg-Christiansburg, VA Metropolitan Statistical Area</t>
  </si>
  <si>
    <t>Redding, CA Metropolitan Statistical Area</t>
  </si>
  <si>
    <t>Redding-Red Bluff, CA Combined Statistical Area</t>
  </si>
  <si>
    <t>Monroe, LA Metropolitan Statistical Area</t>
  </si>
  <si>
    <t>Monroe-Ruston-Bastrop, LA Combined Statistical Area</t>
  </si>
  <si>
    <t>El Centro, CA Metropolitan Statistical Area</t>
  </si>
  <si>
    <t>Joplin, MO Metropolitan Statistical Area</t>
  </si>
  <si>
    <t>−0.68%</t>
  </si>
  <si>
    <t>Joplin-Miami, MO-OK Combined Statistical Area</t>
  </si>
  <si>
    <t>Greenville, NC Metropolitan Statistical Area</t>
  </si>
  <si>
    <t>Greenville-Washington, NC Combined Statistical Area</t>
  </si>
  <si>
    <t>Terre Haute, IN Metropolitan Statistical Area</t>
  </si>
  <si>
    <t>Muskegon, MI Metropolitan Statistical Area</t>
  </si>
  <si>
    <t>−1.17%</t>
  </si>
  <si>
    <t>Sioux City, IA-NE-SD Metropolitan Statistical Area</t>
  </si>
  <si>
    <t>Sioux City-Vermillion, IA-SD-NE Combined Statistical Area</t>
  </si>
  <si>
    <t>East Stroudsburg, PA Metropolitan Statistical Area</t>
  </si>
  <si>
    <t>−0.61%</t>
  </si>
  <si>
    <t>Oshkosh-Neenah, WI Metropolitan Statistical Area</t>
  </si>
  <si>
    <t>Waterloo-Cedar Falls, IA Metropolitan Statistical Area</t>
  </si>
  <si>
    <t>Columbia, MO Metropolitan Statistical Area</t>
  </si>
  <si>
    <t>Columbia-Moberly-Mexico, MO Combined Statistical Area</t>
  </si>
  <si>
    <t>Yuba City, CA Metropolitan Statistical Area</t>
  </si>
  <si>
    <t>Dover, DE Metropolitan Statistical Area</t>
  </si>
  <si>
    <t>Abilene, TX Metropolitan Statistical Area</t>
  </si>
  <si>
    <t>Eau Claire, WI Metropolitan Statistical Area</t>
  </si>
  <si>
    <t>Eau Claire-Menomonie, WI Combined Statistical Area</t>
  </si>
  <si>
    <t>Billings, MT Metropolitan Statistical Area</t>
  </si>
  <si>
    <t>Punta Gorda, FL Metropolitan Statistical Area</t>
  </si>
  <si>
    <t>Bloomington, IN Metropolitan Statistical Area</t>
  </si>
  <si>
    <t>Bloomington-Bedford, IN Combined Statistical Area</t>
  </si>
  <si>
    <t>Bend, OR Metropolitan Statistical Area</t>
  </si>
  <si>
    <t>Bend-Prineville, OR Combined Statistical Area</t>
  </si>
  <si>
    <t>Bowling Green, KY Metropolitan Statistical Area</t>
  </si>
  <si>
    <t>Bowling Green-Glasgow, KY Combined Statistical Area</t>
  </si>
  <si>
    <t>Pueblo, CO Metropolitan Statistical Area</t>
  </si>
  <si>
    <t>Pueblo-Cañon City, CO Combined Statistical Area</t>
  </si>
  <si>
    <t>Janesville-Beloit, WI Metropolitan Statistical Area</t>
  </si>
  <si>
    <t>Jackson, MI Metropolitan Statistical Area</t>
  </si>
  <si>
    <t>Kahului-Wailuku-Lahaina, HI Metropolitan Statistical Area</t>
  </si>
  <si>
    <t>Iowa City, IA Metropolitan Statistical Area</t>
  </si>
  <si>
    <t>Vineland-Bridgeton, NJ Metropolitan Statistical Area</t>
  </si>
  <si>
    <t>Albany, GA Metropolitan Statistical Area</t>
  </si>
  <si>
    <t>Niles-Benton Harbor, MI Metropolitan Statistical Area</t>
  </si>
  <si>
    <t>−0.48%</t>
  </si>
  <si>
    <t>State College, PA Metropolitan Statistical Area</t>
  </si>
  <si>
    <t>State College-DuBois, PA Combined Statistical Area</t>
  </si>
  <si>
    <t>Alexandria, LA Metropolitan Statistical Area</t>
  </si>
  <si>
    <t>Decatur, AL Metropolitan Statistical Area</t>
  </si>
  <si>
    <t>Burlington, NC Metropolitan Statistical Area</t>
  </si>
  <si>
    <t>Bangor, ME Metropolitan Statistical Area</t>
  </si>
  <si>
    <t>Ottawa, IL Micropolitan Statistical Area</t>
  </si>
  <si>
    <t>−1.11%</t>
  </si>
  <si>
    <t>Madera, CA Metropolitan Statistical Area</t>
  </si>
  <si>
    <t>Rocky Mount, NC Metropolitan Statistical Area</t>
  </si>
  <si>
    <t>Rocky Mount-Wilson-Roanoke Rapids, NC Combined Statistical Area</t>
  </si>
  <si>
    <t>Midland, TX Metropolitan Statistical Area</t>
  </si>
  <si>
    <t>Midland-Odessa, TX Combined Statistical Area</t>
  </si>
  <si>
    <t>Hanford-Corcoran, CA Metropolitan Statistical Area</t>
  </si>
  <si>
    <t>−1.06%</t>
  </si>
  <si>
    <t>Chambersburg-Waynesboro, PA Metropolitan Statistical Area</t>
  </si>
  <si>
    <t>Monroe, MI Metropolitan Statistical Area</t>
  </si>
  <si>
    <t>−0.64%</t>
  </si>
  <si>
    <t>Wichita Falls, TX Metropolitan Statistical Area</t>
  </si>
  <si>
    <t>−0.32%</t>
  </si>
  <si>
    <t>Elizabethtown-Fort Knox, KY Metropolitan Statistical Area</t>
  </si>
  <si>
    <t>Jefferson City, MO Metropolitan Statistical Area</t>
  </si>
  <si>
    <t>Texarkana, TX-AR Metropolitan Statistical Area</t>
  </si>
  <si>
    <t>Grand Junction, CO Metropolitan Statistical Area</t>
  </si>
  <si>
    <t>Dothan, AL Metropolitan Statistical Area</t>
  </si>
  <si>
    <t>Dothan-Enterprise-Ozark, AL Combined Statistical Area</t>
  </si>
  <si>
    <t>Auburn-Opelika, AL Metropolitan Statistical Area</t>
  </si>
  <si>
    <t>Pottsville, PA Micropolitan Statistical Area</t>
  </si>
  <si>
    <t>−0.83%</t>
  </si>
  <si>
    <t>Florence-Muscle Shoals, AL Metropolitan Statistical Area</t>
  </si>
  <si>
    <t>Hattiesburg, MS Metropolitan Statistical Area</t>
  </si>
  <si>
    <t>Concord, NH Micropolitan Statistical Area</t>
  </si>
  <si>
    <t>Wheeling, WV-OH Metropolitan Statistical Area</t>
  </si>
  <si>
    <t>−1.03%</t>
  </si>
  <si>
    <t>Santa Fe, NM Metropolitan Statistical Area</t>
  </si>
  <si>
    <t>Traverse City, MI Micropolitan Statistical Area</t>
  </si>
  <si>
    <t>St. George, UT Metropolitan Statistical Area</t>
  </si>
  <si>
    <t>Valdosta, GA Metropolitan Statistical Area</t>
  </si>
  <si>
    <t>Odessa, TX Metropolitan Statistical Area</t>
  </si>
  <si>
    <t>Dalton, GA Metropolitan Statistical Area</t>
  </si>
  <si>
    <t>Coeur d'Alene, ID Metropolitan Statistical Area</t>
  </si>
  <si>
    <t>Johnstown, PA Metropolitan Statistical Area</t>
  </si>
  <si>
    <t>−1.46%</t>
  </si>
  <si>
    <t>Johnstown-Somerset, PA Combined Statistical Area</t>
  </si>
  <si>
    <t>Sebastian-Vero Beach, FL Metropolitan Statistical Area</t>
  </si>
  <si>
    <t>Homosassa Springs, FL Metropolitan Statistical Area</t>
  </si>
  <si>
    <t>−1.33%</t>
  </si>
  <si>
    <t>Napa, CA Metropolitan Statistical Area</t>
  </si>
  <si>
    <t>Tupelo, MS Micropolitan Statistical Area</t>
  </si>
  <si>
    <t>Rapid City, SD Metropolitan Statistical Area</t>
  </si>
  <si>
    <t>Rapid City-Spearfish, SD Combined Statistical Area</t>
  </si>
  <si>
    <t>Springfield, OH Metropolitan Statistical Area</t>
  </si>
  <si>
    <t>−0.81%</t>
  </si>
  <si>
    <t>Idaho Falls, ID Metropolitan Statistical Area</t>
  </si>
  <si>
    <t>Idaho Falls-Rexburg-Blackfoot, ID Combined Statistical Area</t>
  </si>
  <si>
    <t>Flagstaff, AZ Metropolitan Statistical Area</t>
  </si>
  <si>
    <t>Lumberton, NC Micropolitan Statistical Area</t>
  </si>
  <si>
    <t>La Crosse-Onalaska, WI-MN Metropolitan Statistical Area</t>
  </si>
  <si>
    <t>Lebanon, PA Metropolitan Statistical Area</t>
  </si>
  <si>
    <t>Battle Creek, MI Metropolitan Statistical Area</t>
  </si>
  <si>
    <t>−0.77%</t>
  </si>
  <si>
    <t>Eureka-Arcata-Fortuna, CA Micropolitan Statistical Area</t>
  </si>
  <si>
    <t>Wausau, WI Metropolitan Statistical Area</t>
  </si>
  <si>
    <t>Wausau-Stevens Point-Wisconsin Rapids, WI Combined Statistical Area</t>
  </si>
  <si>
    <t>Morgantown, WV Metropolitan Statistical Area</t>
  </si>
  <si>
    <t>Morgantown-Fairmont, WV Combined Statistical Area</t>
  </si>
  <si>
    <t>Jamestown-Dunkirk-Fredonia, NY Micropolitan Statistical Area</t>
  </si>
  <si>
    <t>−1.01%</t>
  </si>
  <si>
    <t>Lawton, OK Metropolitan Statistical Area</t>
  </si>
  <si>
    <t>Sierra Vista-Douglas, AZ Metropolitan Statistical Area</t>
  </si>
  <si>
    <t>Winchester, VA-WV Metropolitan Statistical Area</t>
  </si>
  <si>
    <t>Jackson, TN Metropolitan Statistical Area</t>
  </si>
  <si>
    <t>Pittsfield, MA Metropolitan Statistical Area</t>
  </si>
  <si>
    <t>−0.92%</t>
  </si>
  <si>
    <t>Farmington, NM Metropolitan Statistical Area</t>
  </si>
  <si>
    <t>−1.16%</t>
  </si>
  <si>
    <t>Glens Falls, NY Metropolitan Statistical Area</t>
  </si>
  <si>
    <t>−0.35%</t>
  </si>
  <si>
    <t>Harrisonburg, VA Metropolitan Statistical Area</t>
  </si>
  <si>
    <t>Harrisonburg-Staunton-Waynesboro, VA Combined Statistical Area</t>
  </si>
  <si>
    <t>Logan, UT-ID Metropolitan Statistical Area</t>
  </si>
  <si>
    <t>New Bern, NC Metropolitan Statistical Area</t>
  </si>
  <si>
    <t>New Bern-Morehead City, NC Combined Statistical Area</t>
  </si>
  <si>
    <t>St. Joseph, MO-KS Metropolitan Statistical Area</t>
  </si>
  <si>
    <t>Altoona, PA Metropolitan Statistical Area</t>
  </si>
  <si>
    <t>Carbondale-Marion, IL Metropolitan Statistical Area</t>
  </si>
  <si>
    <t>London, KY Micropolitan Statistical Area</t>
  </si>
  <si>
    <t>Beckley, WV Metropolitan Statistical Area</t>
  </si>
  <si>
    <t>−0.01%</t>
  </si>
  <si>
    <t>Goldsboro, NC Metropolitan Statistical Area</t>
  </si>
  <si>
    <t>Jonesboro, AR Metropolitan Statistical Area</t>
  </si>
  <si>
    <t>Jonesboro-Paragould, AR Combined Statistical Area</t>
  </si>
  <si>
    <t>Hammond, LA Metropolitan Statistical Area</t>
  </si>
  <si>
    <t>Mansfield, OH Metropolitan Statistical Area</t>
  </si>
  <si>
    <t>−1.45%</t>
  </si>
  <si>
    <t>Mansfield-Ashland-Bucyrus, OH Combined Statistical Area</t>
  </si>
  <si>
    <t>Weirton-Steubenville, WV-OH Metropolitan Statistical Area</t>
  </si>
  <si>
    <t>−1.53%</t>
  </si>
  <si>
    <t>Dunn, NC Micropolitan Statistical Area</t>
  </si>
  <si>
    <t>Sherman-Denison, TX Metropolitan Statistical Area</t>
  </si>
  <si>
    <t>Augusta-Waterville, ME Micropolitan Statistical Area</t>
  </si>
  <si>
    <t>Watertown-Fort Drum, NY Metropolitan Statistical Area</t>
  </si>
  <si>
    <t>Bismarck, ND Metropolitan Statistical Area</t>
  </si>
  <si>
    <t>Staunton-Waynesboro, VA Metropolitan Statistical Area</t>
  </si>
  <si>
    <t>Albany, OR Metropolitan Statistical Area</t>
  </si>
  <si>
    <t>Mount Vernon-Anacortes, WA Metropolitan Statistical Area</t>
  </si>
  <si>
    <t>Cleveland, TN Metropolitan Statistical Area</t>
  </si>
  <si>
    <t>Muncie, IN Metropolitan Statistical Area</t>
  </si>
  <si>
    <t>−0.26%</t>
  </si>
  <si>
    <t>Anniston-Oxford-Jacksonville, AL Metropolitan Statistical Area</t>
  </si>
  <si>
    <t>−1.08%</t>
  </si>
  <si>
    <t>Williamsport, PA Metropolitan Statistical Area</t>
  </si>
  <si>
    <t>Williamsport-Lock Haven, PA Combined Statistical Area</t>
  </si>
  <si>
    <t>Owensboro, KY Metropolitan Statistical Area</t>
  </si>
  <si>
    <t>Sheboygan, WI Metropolitan Statistical Area</t>
  </si>
  <si>
    <t>−0.43%</t>
  </si>
  <si>
    <t>Morristown, TN Metropolitan Statistical Area</t>
  </si>
  <si>
    <t>San Angelo, TX Metropolitan Statistical Area</t>
  </si>
  <si>
    <t>Wooster, OH Micropolitan Statistical Area</t>
  </si>
  <si>
    <t>Brunswick, GA Metropolitan Statistical Area</t>
  </si>
  <si>
    <t>Kankakee, IL Metropolitan Statistical Area</t>
  </si>
  <si>
    <t>−0.36%</t>
  </si>
  <si>
    <t>Wenatchee, WA Metropolitan Statistical Area</t>
  </si>
  <si>
    <t>Lawrence, KS Metropolitan Statistical Area</t>
  </si>
  <si>
    <t>Ogdensburg-Massena, NY Micropolitan Statistical Area</t>
  </si>
  <si>
    <t>Holland, MI Micropolitan Statistical Area</t>
  </si>
  <si>
    <t>Michigan City-La Porte, IN Metropolitan Statistical Area</t>
  </si>
  <si>
    <t>Missoula, MT Metropolitan Statistical Area</t>
  </si>
  <si>
    <t>Decatur, IL Metropolitan Statistical Area</t>
  </si>
  <si>
    <t>−0.58%</t>
  </si>
  <si>
    <t>California-Lexington Park, MD Metropolitan Statistical Area</t>
  </si>
  <si>
    <t>Sumter, SC Metropolitan Statistical Area</t>
  </si>
  <si>
    <t>Lewiston-Auburn, ME Metropolitan Statistical Area</t>
  </si>
  <si>
    <t>−0.09%</t>
  </si>
  <si>
    <t>Roseburg, OR Micropolitan Statistical Area</t>
  </si>
  <si>
    <t>−0.47%</t>
  </si>
  <si>
    <t>Meridian, MS Micropolitan Statistical Area</t>
  </si>
  <si>
    <t>Show Low, AZ Micropolitan Statistical Area</t>
  </si>
  <si>
    <t>−0.33%</t>
  </si>
  <si>
    <t>Bay City, MI Metropolitan Statistical Area</t>
  </si>
  <si>
    <t>−0.78%</t>
  </si>
  <si>
    <t>Cookeville, TN Micropolitan Statistical Area</t>
  </si>
  <si>
    <t>Bluefield, WV-VA Micropolitan Statistical Area</t>
  </si>
  <si>
    <t>Salem, OH Micropolitan Statistical Area</t>
  </si>
  <si>
    <t>−1.24%</t>
  </si>
  <si>
    <t>Danville, VA Micropolitan Statistical Area</t>
  </si>
  <si>
    <t>−0.71%</t>
  </si>
  <si>
    <t>Lima, OH Metropolitan Statistical Area</t>
  </si>
  <si>
    <t>−1.12%</t>
  </si>
  <si>
    <t>Lima-Van Wert-Celina, OH Combined Statistical Area</t>
  </si>
  <si>
    <t>Gadsden, AL Metropolitan Statistical Area</t>
  </si>
  <si>
    <t>−0.04%</t>
  </si>
  <si>
    <t>Whitewater-Elkhorn, WI Micropolitan Statistical Area</t>
  </si>
  <si>
    <t>Ithaca, NY Metropolitan Statistical Area</t>
  </si>
  <si>
    <t>Ithaca-Cortland, NY Combined Statistical Area</t>
  </si>
  <si>
    <t>Longview, WA Metropolitan Statistical Area</t>
  </si>
  <si>
    <t>−0.40%</t>
  </si>
  <si>
    <t>Cumberland, MD-WV Metropolitan Statistical Area</t>
  </si>
  <si>
    <t>−1.29%</t>
  </si>
  <si>
    <t>Fond du Lac, WI Metropolitan Statistical Area</t>
  </si>
  <si>
    <t>Richmond-Berea, KY Micropolitan Statistical Area</t>
  </si>
  <si>
    <t>The Villages, FL Metropolitan Statistical Area</t>
  </si>
  <si>
    <t>Gettysburg, PA Metropolitan Statistical Area</t>
  </si>
  <si>
    <t>Twin Falls, ID Micropolitan Statistical Area</t>
  </si>
  <si>
    <t>Ashtabula, OH Micropolitan Statistical Area</t>
  </si>
  <si>
    <t>−1.09%</t>
  </si>
  <si>
    <t>Tullahoma-Manchester, TN Micropolitan Statistical Area</t>
  </si>
  <si>
    <t>Fairbanks, AK Metropolitan Statistical Area</t>
  </si>
  <si>
    <t>Corning, NY Micropolitan Statistical Area</t>
  </si>
  <si>
    <t>Elmira-Corning, NY Combined Statistical Area</t>
  </si>
  <si>
    <t>Adrian, MI Micropolitan Statistical Area</t>
  </si>
  <si>
    <t>Grand Forks, ND-MN Metropolitan Statistical Area</t>
  </si>
  <si>
    <t>Paducah, KY-IL Micropolitan Statistical Area</t>
  </si>
  <si>
    <t>−0.23%</t>
  </si>
  <si>
    <t>Paducah-Mayfield, KY-IL Combined Statistical Area</t>
  </si>
  <si>
    <t>Truckee-Grass Valley, CA Micropolitan Statistical Area</t>
  </si>
  <si>
    <t>Sebring, FL Metropolitan Statistical Area</t>
  </si>
  <si>
    <t>−0.67%</t>
  </si>
  <si>
    <t>Mankato-North Mankato, MN Metropolitan Statistical Area</t>
  </si>
  <si>
    <t>Mankato-New Ulm-North Mankato, MN Combined Statistical Area</t>
  </si>
  <si>
    <t>Manhattan, KS Metropolitan Statistical Area</t>
  </si>
  <si>
    <t>Manhattan-Junction City, KS Combined Statistical Area</t>
  </si>
  <si>
    <t>Shelby, NC Micropolitan Statistical Area</t>
  </si>
  <si>
    <t>−0.62%</t>
  </si>
  <si>
    <t>Pine Bluff, AR Metropolitan Statistical Area</t>
  </si>
  <si>
    <t>−2.80%</t>
  </si>
  <si>
    <t>Cape Girardeau, MO-IL Metropolitan Statistical Area</t>
  </si>
  <si>
    <t>Cape Girardeau-Sikeston, MO-IL Combined Statistical Area</t>
  </si>
  <si>
    <t>Hot Springs, AR Metropolitan Statistical Area</t>
  </si>
  <si>
    <t>Hot Springs-Malvern, AR Combined Statistical Area</t>
  </si>
  <si>
    <t>Victoria, TX Metropolitan Statistical Area</t>
  </si>
  <si>
    <t>Victoria-Port Lavaca, TX Combined Statistical Area</t>
  </si>
  <si>
    <t>Ocean City, NJ Metropolitan Statistical Area</t>
  </si>
  <si>
    <t>−0.99%</t>
  </si>
  <si>
    <t>Rome, GA Metropolitan Statistical Area</t>
  </si>
  <si>
    <t>−0.15%</t>
  </si>
  <si>
    <t>Rome-Summerville, GA Combined Statistical Area</t>
  </si>
  <si>
    <t>Dubuque, IA Metropolitan Statistical Area</t>
  </si>
  <si>
    <t>Greenwood, SC Micropolitan Statistical Area</t>
  </si>
  <si>
    <t>Albertville, AL Micropolitan Statistical Area</t>
  </si>
  <si>
    <t>Cheyenne, WY Metropolitan Statistical Area</t>
  </si>
  <si>
    <t>Sunbury, PA Micropolitan Statistical Area</t>
  </si>
  <si>
    <t>Bloomsburg-Berwick-Sunbury, PA Combined Statistical Area</t>
  </si>
  <si>
    <t>Clarksburg, WV Micropolitan Statistical Area</t>
  </si>
  <si>
    <t>Talladega-Sylacauga, AL Micropolitan Statistical Area</t>
  </si>
  <si>
    <t>Bozeman, MT Micropolitan Statistical Area</t>
  </si>
  <si>
    <t>Parkersburg-Vienna, WV Metropolitan Statistical Area</t>
  </si>
  <si>
    <t>Parkersburg-Marietta-Vienna, WV-OH Combined Statistical Area</t>
  </si>
  <si>
    <t>Sevierville, TN Micropolitan Statistical Area</t>
  </si>
  <si>
    <t>New Philadelphia-Dover, OH Micropolitan Statistical Area</t>
  </si>
  <si>
    <t>Moses Lake, WA Micropolitan Statistical Area</t>
  </si>
  <si>
    <t>Moses Lake-Othello, WA Combined Statistical Area</t>
  </si>
  <si>
    <t>Kalispell, MT Micropolitan Statistical Area</t>
  </si>
  <si>
    <t>Orangeburg, SC Micropolitan Statistical Area</t>
  </si>
  <si>
    <t>Brainerd, MN Micropolitan Statistical Area</t>
  </si>
  <si>
    <t>Ames, IA Metropolitan Statistical Area</t>
  </si>
  <si>
    <t>Pinehurst-Southern Pines, NC Micropolitan Statistical Area</t>
  </si>
  <si>
    <t>New Castle, PA Micropolitan Statistical Area</t>
  </si>
  <si>
    <t>−1.36%</t>
  </si>
  <si>
    <t>Elmira, NY Metropolitan Statistical Area</t>
  </si>
  <si>
    <t>Beaver Dam, WI Micropolitan Statistical Area</t>
  </si>
  <si>
    <t>−0.39%</t>
  </si>
  <si>
    <t>Indiana, PA Micropolitan Statistical Area</t>
  </si>
  <si>
    <t>−0.74%</t>
  </si>
  <si>
    <t>Hermiston-Pendleton, OR Micropolitan Statistical Area</t>
  </si>
  <si>
    <t>Meadville, PA Micropolitan Statistical Area</t>
  </si>
  <si>
    <t>−1.31%</t>
  </si>
  <si>
    <t>Lufkin, TX Micropolitan Statistical Area</t>
  </si>
  <si>
    <t>Ukiah, CA Micropolitan Statistical Area</t>
  </si>
  <si>
    <t>Corvallis, OR Metropolitan Statistical Area</t>
  </si>
  <si>
    <t>Zanesville, OH Micropolitan Statistical Area</t>
  </si>
  <si>
    <t>−0.14%</t>
  </si>
  <si>
    <t>Bloomsburg-Berwick, PA Metropolitan Statistical Area</t>
  </si>
  <si>
    <t>−0.37%</t>
  </si>
  <si>
    <t>Laurel, MS Micropolitan Statistical Area</t>
  </si>
  <si>
    <t>Russellville, AR Micropolitan Statistical Area</t>
  </si>
  <si>
    <t>Branson, MO Micropolitan Statistical Area</t>
  </si>
  <si>
    <t>Watertown-Fort Atkinson, WI Micropolitan Statistical Area</t>
  </si>
  <si>
    <t>Midland, MI Metropolitan Statistical Area</t>
  </si>
  <si>
    <t>Pocatello, ID Metropolitan Statistical Area</t>
  </si>
  <si>
    <t>Opelousas, LA Micropolitan Statistical Area</t>
  </si>
  <si>
    <t>Grand Island, NE Metropolitan Statistical Area</t>
  </si>
  <si>
    <t>Grants Pass, OR Metropolitan Statistical Area</t>
  </si>
  <si>
    <t>Kokomo, IN Metropolitan Statistical Area</t>
  </si>
  <si>
    <t>Kokomo-Peru, IN Combined Statistical Area</t>
  </si>
  <si>
    <t>Huntsville, TX Micropolitan Statistical Area</t>
  </si>
  <si>
    <t>Wilson, NC Micropolitan Statistical Area</t>
  </si>
  <si>
    <t>Great Falls, MT Metropolitan Statistical Area</t>
  </si>
  <si>
    <t>Plattsburgh, NY Micropolitan Statistical Area</t>
  </si>
  <si>
    <t>Hinesville, GA Metropolitan Statistical Area</t>
  </si>
  <si>
    <t>DuBois, PA Micropolitan Statistical Area</t>
  </si>
  <si>
    <t>−0.56%</t>
  </si>
  <si>
    <t>Danville, IL Metropolitan Statistical Area</t>
  </si>
  <si>
    <t>−1.10%</t>
  </si>
  <si>
    <t>Manitowoc, WI Micropolitan Statistical Area</t>
  </si>
  <si>
    <t>−0.95%</t>
  </si>
  <si>
    <t>Cullman, AL Micropolitan Statistical Area</t>
  </si>
  <si>
    <t>Auburn, NY Micropolitan Statistical Area</t>
  </si>
  <si>
    <t>−0.59%</t>
  </si>
  <si>
    <t>Olean, NY Micropolitan Statistical Area</t>
  </si>
  <si>
    <t>−1.07%</t>
  </si>
  <si>
    <t>Buffalo-Cheektowaga, NY Combined Statistical Area</t>
  </si>
  <si>
    <t>Oak Harbor, WA Micropolitan Statistical Area</t>
  </si>
  <si>
    <t>Columbus, IN Metropolitan Statistical Area</t>
  </si>
  <si>
    <t>Athens, TX Micropolitan Statistical Area</t>
  </si>
  <si>
    <t>Casper, WY Metropolitan Statistical Area</t>
  </si>
  <si>
    <t>Searcy, AR Micropolitan Statistical Area</t>
  </si>
  <si>
    <t>Portsmouth, OH Micropolitan Statistical Area</t>
  </si>
  <si>
    <t>Stillwater, OK Micropolitan Statistical Area</t>
  </si>
  <si>
    <t>Warsaw, IN Micropolitan Statistical Area</t>
  </si>
  <si>
    <t>Chillicothe, OH Micropolitan Statistical Area</t>
  </si>
  <si>
    <t>Quincy, IL-MO Micropolitan Statistical Area</t>
  </si>
  <si>
    <t>Quincy-Hannibal, IL-MO Combined Statistical Area</t>
  </si>
  <si>
    <t>Somerset, PA Micropolitan Statistical Area</t>
  </si>
  <si>
    <t>Keene, NH Micropolitan Statistical Area</t>
  </si>
  <si>
    <t>−0.34%</t>
  </si>
  <si>
    <t>Sandusky, OH Micropolitan Statistical Area</t>
  </si>
  <si>
    <t>−0.88%</t>
  </si>
  <si>
    <t>Helena, MT Micropolitan Statistical Area</t>
  </si>
  <si>
    <t>Findlay, OH Micropolitan Statistical Area</t>
  </si>
  <si>
    <t>Findlay-Tiffin, OH Combined Statistical Area</t>
  </si>
  <si>
    <t>Centralia, WA Micropolitan Statistical Area</t>
  </si>
  <si>
    <t>Roanoke Rapids, NC Micropolitan Statistical Area</t>
  </si>
  <si>
    <t>−1.77%</t>
  </si>
  <si>
    <t>Key West, FL Micropolitan Statistical Area</t>
  </si>
  <si>
    <t>Seneca, SC Micropolitan Statistical Area</t>
  </si>
  <si>
    <t>Wisconsin Rapids-Marshfield, WI Micropolitan Statistical Area</t>
  </si>
  <si>
    <t>Glenwood Springs, CO Micropolitan Statistical Area</t>
  </si>
  <si>
    <t>Edwards-Glenwood Springs, CO Combined Statistical Area</t>
  </si>
  <si>
    <t>Mount Airy, NC Micropolitan Statistical Area</t>
  </si>
  <si>
    <t>Palatka, FL Micropolitan Statistical Area</t>
  </si>
  <si>
    <t>−1.48%</t>
  </si>
  <si>
    <t>Minot, ND Micropolitan Statistical Area</t>
  </si>
  <si>
    <t>Gallup, NM Micropolitan Statistical Area</t>
  </si>
  <si>
    <t>Statesboro, GA Micropolitan Statistical Area</t>
  </si>
  <si>
    <t>Port Angeles, WA Micropolitan Statistical Area</t>
  </si>
  <si>
    <t>Aberdeen, WA Micropolitan Statistical Area</t>
  </si>
  <si>
    <t>−1.52%</t>
  </si>
  <si>
    <t>Greenfield Town, MA Micropolitan Statistical Area</t>
  </si>
  <si>
    <t>Frankfort, KY Micropolitan Statistical Area</t>
  </si>
  <si>
    <t>Shawnee, OK Micropolitan Statistical Area</t>
  </si>
  <si>
    <t>Mount Pleasant, MI Micropolitan Statistical Area</t>
  </si>
  <si>
    <t>Mount Pleasant-Alma, MI Combined Statistical Area</t>
  </si>
  <si>
    <t>Muskogee, OK Micropolitan Statistical Area</t>
  </si>
  <si>
    <t>Stevens Point, WI Micropolitan Statistical Area</t>
  </si>
  <si>
    <t>Marion, IN Micropolitan Statistical Area</t>
  </si>
  <si>
    <t>−1.04%</t>
  </si>
  <si>
    <t>North Wilkesboro, NC Micropolitan Statistical Area</t>
  </si>
  <si>
    <t>−0.05%</t>
  </si>
  <si>
    <t>Owosso, MI Micropolitan Statistical Area</t>
  </si>
  <si>
    <t>−2.00%</t>
  </si>
  <si>
    <t>Greeneville, TN Micropolitan Statistical Area</t>
  </si>
  <si>
    <t>−0.02%</t>
  </si>
  <si>
    <t>LaGrange, GA Micropolitan Statistical Area</t>
  </si>
  <si>
    <t>Kapaa, HI Micropolitan Statistical Area</t>
  </si>
  <si>
    <t>Richmond, IN Micropolitan Statistical Area</t>
  </si>
  <si>
    <t>Richmond-Connersville, IN Combined Statistical Area</t>
  </si>
  <si>
    <t>Lake City, FL Micropolitan Statistical Area</t>
  </si>
  <si>
    <t>Marquette, MI Micropolitan Statistical Area</t>
  </si>
  <si>
    <t>Morehead City, NC Micropolitan Statistical Area</t>
  </si>
  <si>
    <t>Marshall, TX Micropolitan Statistical Area</t>
  </si>
  <si>
    <t>Forest City, NC Micropolitan Statistical Area</t>
  </si>
  <si>
    <t>−0.72%</t>
  </si>
  <si>
    <t>Martinsville, VA Micropolitan Statistical Area</t>
  </si>
  <si>
    <t>−1.87%</t>
  </si>
  <si>
    <t>Hobbs, NM Micropolitan Statistical Area</t>
  </si>
  <si>
    <t>Marion, OH Micropolitan Statistical Area</t>
  </si>
  <si>
    <t>Alamogordo, NM Micropolitan Statistical Area</t>
  </si>
  <si>
    <t>Nacogdoches, TX Micropolitan Statistical Area</t>
  </si>
  <si>
    <t>Farmington, MO Micropolitan Statistical Area</t>
  </si>
  <si>
    <t>Klamath Falls, OR Micropolitan Statistical Area</t>
  </si>
  <si>
    <t>Roswell, NM Micropolitan Statistical Area</t>
  </si>
  <si>
    <t>Marinette, WI-MI Micropolitan Statistical Area</t>
  </si>
  <si>
    <t>Faribault-Northfield, MN Micropolitan Statistical Area</t>
  </si>
  <si>
    <t>Charleston-Mattoon, IL Micropolitan Statistical Area</t>
  </si>
  <si>
    <t>−0.46%</t>
  </si>
  <si>
    <t>Hutchinson, KS Micropolitan Statistical Area</t>
  </si>
  <si>
    <t>Athens, OH Micropolitan Statistical Area</t>
  </si>
  <si>
    <t>−0.70%</t>
  </si>
  <si>
    <t>Elizabeth City, NC Micropolitan Statistical Area</t>
  </si>
  <si>
    <t>Clearlake, CA Micropolitan Statistical Area</t>
  </si>
  <si>
    <t>−1.05%</t>
  </si>
  <si>
    <t>Ionia, MI Micropolitan Statistical Area</t>
  </si>
  <si>
    <t>Somerset, KY Micropolitan Statistical Area</t>
  </si>
  <si>
    <t>Red Bluff, CA Micropolitan Statistical Area</t>
  </si>
  <si>
    <t>Walla Walla, WA Metropolitan Statistical Area</t>
  </si>
  <si>
    <t>Sayre, PA Micropolitan Statistical Area</t>
  </si>
  <si>
    <t>Baraboo, WI Micropolitan Statistical Area</t>
  </si>
  <si>
    <t>Coos Bay, OR Micropolitan Statistical Area</t>
  </si>
  <si>
    <t>Hudson, NY Micropolitan Statistical Area</t>
  </si>
  <si>
    <t>Salina, KS Micropolitan Statistical Area</t>
  </si>
  <si>
    <t>Oneonta, NY Micropolitan Statistical Area</t>
  </si>
  <si>
    <t>Rio Grande City, TX Micropolitan Statistical Area</t>
  </si>
  <si>
    <t>Fort Madison-Keokuk, IA-IL-MO Micropolitan Statistical Area</t>
  </si>
  <si>
    <t>Marietta, OH Micropolitan Statistical Area</t>
  </si>
  <si>
    <t>Lewiston, ID-WA Metropolitan Statistical Area</t>
  </si>
  <si>
    <t>Enid, OK Micropolitan Statistical Area</t>
  </si>
  <si>
    <t>Rutland, VT Micropolitan Statistical Area</t>
  </si>
  <si>
    <t>−1.25%</t>
  </si>
  <si>
    <t>Shelton, WA Micropolitan Statistical Area</t>
  </si>
  <si>
    <t>Sturgis, MI Micropolitan Statistical Area</t>
  </si>
  <si>
    <t>Mount Vernon, OH Micropolitan Statistical Area</t>
  </si>
  <si>
    <t>Big Stone Gap, VA Micropolitan Statistical Area</t>
  </si>
  <si>
    <t>Albemarle, NC Micropolitan Statistical Area</t>
  </si>
  <si>
    <t>Jefferson, GA Micropolitan Statistical Area</t>
  </si>
  <si>
    <t>Fremont, OH Micropolitan Statistical Area</t>
  </si>
  <si>
    <t>Oxford, NC Micropolitan Statistical Area</t>
  </si>
  <si>
    <t>Laconia, NH Micropolitan Statistical Area</t>
  </si>
  <si>
    <t>Georgetown, SC Micropolitan Statistical Area</t>
  </si>
  <si>
    <t>Batavia, NY Micropolitan Statistical Area</t>
  </si>
  <si>
    <t>Sanford, NC Micropolitan Statistical Area</t>
  </si>
  <si>
    <t>Columbus, MS Micropolitan Statistical Area</t>
  </si>
  <si>
    <t>−0.18%</t>
  </si>
  <si>
    <t>Barre, VT Micropolitan Statistical Area</t>
  </si>
  <si>
    <t>−0.12%</t>
  </si>
  <si>
    <t>Norwalk, OH Micropolitan Statistical Area</t>
  </si>
  <si>
    <t>Kinston, NC Micropolitan Statistical Area</t>
  </si>
  <si>
    <t>Palestine, TX Micropolitan Statistical Area</t>
  </si>
  <si>
    <t>Dublin, GA Micropolitan Statistical Area</t>
  </si>
  <si>
    <t>Point Pleasant, WV-OH Micropolitan Statistical Area</t>
  </si>
  <si>
    <t>Sterling, IL Micropolitan Statistical Area</t>
  </si>
  <si>
    <t>Dixon-Sterling, IL Combined Statistical Area</t>
  </si>
  <si>
    <t>Vicksburg, MS Micropolitan Statistical Area</t>
  </si>
  <si>
    <t>−1.62%</t>
  </si>
  <si>
    <t>Fergus Falls, MN Micropolitan Statistical Area</t>
  </si>
  <si>
    <t>−0.03%</t>
  </si>
  <si>
    <t>Crossville, TN Micropolitan Statistical Area</t>
  </si>
  <si>
    <t>Fairmont, WV Micropolitan Statistical Area</t>
  </si>
  <si>
    <t>Tiffin, OH Micropolitan Statistical Area</t>
  </si>
  <si>
    <t>−1.28%</t>
  </si>
  <si>
    <t>Calhoun, GA Micropolitan Statistical Area</t>
  </si>
  <si>
    <t>Gaffney, SC Micropolitan Statistical Area</t>
  </si>
  <si>
    <t>Eagle Pass, TX Micropolitan Statistical Area</t>
  </si>
  <si>
    <t>Milledgeville, GA Micropolitan Statistical Area</t>
  </si>
  <si>
    <t>Picayune, MS Micropolitan Statistical Area</t>
  </si>
  <si>
    <t>−0.97%</t>
  </si>
  <si>
    <t>Gloversville, NY Micropolitan Statistical Area</t>
  </si>
  <si>
    <t>Carson City, NV Metropolitan Statistical Area</t>
  </si>
  <si>
    <t>−0.79%</t>
  </si>
  <si>
    <t>Jasper, IN Micropolitan Statistical Area</t>
  </si>
  <si>
    <t>Waycross, GA Micropolitan Statistical Area</t>
  </si>
  <si>
    <t>Carlsbad-Artesia, NM Micropolitan Statistical Area</t>
  </si>
  <si>
    <t>Warrensburg, MO Micropolitan Statistical Area</t>
  </si>
  <si>
    <t>Oil City, PA Micropolitan Statistical Area</t>
  </si>
  <si>
    <t>Sonora, CA Micropolitan Statistical Area</t>
  </si>
  <si>
    <t>−2.45%</t>
  </si>
  <si>
    <t>Kearney, NE Micropolitan Statistical Area</t>
  </si>
  <si>
    <t>Fort Polk South, LA Micropolitan Statistical Area</t>
  </si>
  <si>
    <t>DeRidder-Fort Polk South, LA Combined Statistical Area</t>
  </si>
  <si>
    <t>Morgan City, LA Micropolitan Statistical Area</t>
  </si>
  <si>
    <t>−1.74%</t>
  </si>
  <si>
    <t>Ontario, OR-ID Micropolitan Statistical Area</t>
  </si>
  <si>
    <t>Fort Leonard Wood, MO Micropolitan Statistical Area</t>
  </si>
  <si>
    <t>Elko, NV Micropolitan Statistical Area</t>
  </si>
  <si>
    <t>Payson, AZ Micropolitan Statistical Area</t>
  </si>
  <si>
    <t>−0.85%</t>
  </si>
  <si>
    <t>Danville, KY Micropolitan Statistical Area</t>
  </si>
  <si>
    <t>McComb, MS Micropolitan Statistical Area</t>
  </si>
  <si>
    <t>−0.89%</t>
  </si>
  <si>
    <t>Scottsboro, AL Micropolitan Statistical Area</t>
  </si>
  <si>
    <t>Ashland, OH Micropolitan Statistical Area</t>
  </si>
  <si>
    <t>Rochelle, IL Micropolitan Statistical Area</t>
  </si>
  <si>
    <t>−1.21%</t>
  </si>
  <si>
    <t>Glasgow, KY Micropolitan Statistical Area</t>
  </si>
  <si>
    <t>Greenville, OH Micropolitan Statistical Area</t>
  </si>
  <si>
    <t>Natchez, MS-LA Micropolitan Statistical Area</t>
  </si>
  <si>
    <t>−1.19%</t>
  </si>
  <si>
    <t>Athens, TN Micropolitan Statistical Area</t>
  </si>
  <si>
    <t>Durango, CO Micropolitan Statistical Area</t>
  </si>
  <si>
    <t>Galesburg, IL Micropolitan Statistical Area</t>
  </si>
  <si>
    <t>Edwards, CO Micropolitan Statistical Area</t>
  </si>
  <si>
    <t>Boone, NC Micropolitan Statistical Area</t>
  </si>
  <si>
    <t>Malone, NY Micropolitan Statistical Area</t>
  </si>
  <si>
    <t>Bartlesville, OK Micropolitan Statistical Area</t>
  </si>
  <si>
    <t>Winona, MN Micropolitan Statistical Area</t>
  </si>
  <si>
    <t>St. Marys, GA Micropolitan Statistical Area</t>
  </si>
  <si>
    <t>Fernley, NV Micropolitan Statistical Area</t>
  </si>
  <si>
    <t>Mason City, IA Micropolitan Statistical Area</t>
  </si>
  <si>
    <t>Enterprise, AL Micropolitan Statistical Area</t>
  </si>
  <si>
    <t>Jacksonville, TX Micropolitan Statistical Area</t>
  </si>
  <si>
    <t>Platteville, WI Micropolitan Statistical Area</t>
  </si>
  <si>
    <t>Ozark, AL Micropolitan Statistical Area</t>
  </si>
  <si>
    <t>Rexburg, ID Micropolitan Statistical Area</t>
  </si>
  <si>
    <t>Amsterdam, NY Micropolitan Statistical Area</t>
  </si>
  <si>
    <t>−0.55%</t>
  </si>
  <si>
    <t>Clovis, NM Micropolitan Statistical Area</t>
  </si>
  <si>
    <t>Clovis-Portales, NM Combined Statistical Area</t>
  </si>
  <si>
    <t>Paris, TX Micropolitan Statistical Area</t>
  </si>
  <si>
    <t>Kerrville, TX Micropolitan Statistical Area</t>
  </si>
  <si>
    <t>Greenville, MS Micropolitan Statistical Area</t>
  </si>
  <si>
    <t>−2.71%</t>
  </si>
  <si>
    <t>Oxford, MS Micropolitan Statistical Area</t>
  </si>
  <si>
    <t>Cortland, NY Micropolitan Statistical Area</t>
  </si>
  <si>
    <t>New Castle, IN Micropolitan Statistical Area</t>
  </si>
  <si>
    <t>Sidney, OH Micropolitan Statistical Area</t>
  </si>
  <si>
    <t>−0.52%</t>
  </si>
  <si>
    <t>Clinton, IA Micropolitan Statistical Area</t>
  </si>
  <si>
    <t>Del Rio, TX Micropolitan Statistical Area</t>
  </si>
  <si>
    <t>Norfolk, NE Micropolitan Statistical Area</t>
  </si>
  <si>
    <t>Starkville, MS Micropolitan Statistical Area</t>
  </si>
  <si>
    <t>Tahlequah, OK Micropolitan Statistical Area</t>
  </si>
  <si>
    <t>Ardmore, OK Micropolitan Statistical Area</t>
  </si>
  <si>
    <t>Corsicana, TX Micropolitan Statistical Area</t>
  </si>
  <si>
    <t>Gillette, WY Micropolitan Statistical Area</t>
  </si>
  <si>
    <t>Cadillac, MI Micropolitan Statistical Area</t>
  </si>
  <si>
    <t>Kendallville, IN Micropolitan Statistical Area</t>
  </si>
  <si>
    <t>Washington, NC Micropolitan Statistical Area</t>
  </si>
  <si>
    <t>−0.53%</t>
  </si>
  <si>
    <t>Burlington, IA-IL Micropolitan Statistical Area</t>
  </si>
  <si>
    <t>−0.57%</t>
  </si>
  <si>
    <t>Nogales, AZ Micropolitan Statistical Area</t>
  </si>
  <si>
    <t>Plymouth, IN Micropolitan Statistical Area</t>
  </si>
  <si>
    <t>−0.06%</t>
  </si>
  <si>
    <t>Gardnerville Ranchos, NV Micropolitan Statistical Area</t>
  </si>
  <si>
    <t>Freeport, IL Micropolitan Statistical Area</t>
  </si>
  <si>
    <t>−1.58%</t>
  </si>
  <si>
    <t>Ruston, LA Micropolitan Statistical Area</t>
  </si>
  <si>
    <t>Cañon City, CO Micropolitan Statistical Area</t>
  </si>
  <si>
    <t>−0.08%</t>
  </si>
  <si>
    <t>Lewistown, PA Micropolitan Statistical Area</t>
  </si>
  <si>
    <t>Cedar City, UT Micropolitan Statistical Area</t>
  </si>
  <si>
    <t>Madisonville, KY Micropolitan Statistical Area</t>
  </si>
  <si>
    <t>Bogalusa, LA Micropolitan Statistical Area</t>
  </si>
  <si>
    <t>Rockingham, NC Micropolitan Statistical Area</t>
  </si>
  <si>
    <t>Pullman, WA Micropolitan Statistical Area</t>
  </si>
  <si>
    <t>Pullman-Moscow, WA-ID Combined Statistical Area</t>
  </si>
  <si>
    <t>Red Wing, MN Micropolitan Statistical Area</t>
  </si>
  <si>
    <t>Hillsdale, MI Micropolitan Statistical Area</t>
  </si>
  <si>
    <t>Newport, OR Micropolitan Statistical Area</t>
  </si>
  <si>
    <t>Moultrie, GA Micropolitan Statistical Area</t>
  </si>
  <si>
    <t>Bedford, IN Micropolitan Statistical Area</t>
  </si>
  <si>
    <t>Shawano, WI Micropolitan Statistical Area</t>
  </si>
  <si>
    <t>Huntingdon, PA Micropolitan Statistical Area</t>
  </si>
  <si>
    <t>Ponca City, OK Micropolitan Statistical Area</t>
  </si>
  <si>
    <t>−1.57%</t>
  </si>
  <si>
    <t>Wapakoneta, OH Micropolitan Statistical Area</t>
  </si>
  <si>
    <t>Shelbyville, TN Micropolitan Statistical Area</t>
  </si>
  <si>
    <t>Blytheville, AR Micropolitan Statistical Area</t>
  </si>
  <si>
    <t>−1.98%</t>
  </si>
  <si>
    <t>Bellefontaine, OH Micropolitan Statistical Area</t>
  </si>
  <si>
    <t>−0.84%</t>
  </si>
  <si>
    <t>Blackfoot, ID Micropolitan Statistical Area</t>
  </si>
  <si>
    <t>−0.29%</t>
  </si>
  <si>
    <t>Harrison, AR Micropolitan Statistical Area</t>
  </si>
  <si>
    <t>Bemidji, MN Micropolitan Statistical Area</t>
  </si>
  <si>
    <t>Rock Springs, WY Micropolitan Statistical Area</t>
  </si>
  <si>
    <t>Henderson, NC Micropolitan Statistical Area</t>
  </si>
  <si>
    <t>McAlester, OK Micropolitan Statistical Area</t>
  </si>
  <si>
    <t>−1.72%</t>
  </si>
  <si>
    <t>Marion, NC Micropolitan Statistical Area</t>
  </si>
  <si>
    <t>Rolla, MO Micropolitan Statistical Area</t>
  </si>
  <si>
    <t>Lewisburg, PA Micropolitan Statistical Area</t>
  </si>
  <si>
    <t>Mount Sterling, KY Micropolitan Statistical Area</t>
  </si>
  <si>
    <t>Duncan, OK Micropolitan Statistical Area</t>
  </si>
  <si>
    <t>−0.60%</t>
  </si>
  <si>
    <t>Thomasville, GA Micropolitan Statistical Area</t>
  </si>
  <si>
    <t>Bardstown, KY Micropolitan Statistical Area</t>
  </si>
  <si>
    <t>Menomonie, WI Micropolitan Statistical Area</t>
  </si>
  <si>
    <t>Ottumwa, IA Micropolitan Statistical Area</t>
  </si>
  <si>
    <t>−0.73%</t>
  </si>
  <si>
    <t>Coldwater, MI Micropolitan Statistical Area</t>
  </si>
  <si>
    <t>−3.05%</t>
  </si>
  <si>
    <t>Cornelia, GA Micropolitan Statistical Area</t>
  </si>
  <si>
    <t>Durant, OK Micropolitan Statistical Area</t>
  </si>
  <si>
    <t>Big Rapids, MI Micropolitan Statistical Area</t>
  </si>
  <si>
    <t>Burley, ID Micropolitan Statistical Area</t>
  </si>
  <si>
    <t>Douglas, GA Micropolitan Statistical Area</t>
  </si>
  <si>
    <t>Paragould, AR Micropolitan Statistical Area</t>
  </si>
  <si>
    <t>Bradford, PA Micropolitan Statistical Area</t>
  </si>
  <si>
    <t>Seymour, IN Micropolitan Statistical Area</t>
  </si>
  <si>
    <t>Poplar Bluff, MO Micropolitan Statistical Area</t>
  </si>
  <si>
    <t>Pahrump, NV Micropolitan Statistical Area</t>
  </si>
  <si>
    <t>−2.24%</t>
  </si>
  <si>
    <t>Muscatine, IA Micropolitan Statistical Area</t>
  </si>
  <si>
    <t>Selma, AL Micropolitan Statistical Area</t>
  </si>
  <si>
    <t>−2.18%</t>
  </si>
  <si>
    <t>Bucyrus, OH Micropolitan Statistical Area</t>
  </si>
  <si>
    <t>−2.14%</t>
  </si>
  <si>
    <t>Willmar, MN Micropolitan Statistical Area</t>
  </si>
  <si>
    <t>Auburn, IN Micropolitan Statistical Area</t>
  </si>
  <si>
    <t>Sedalia, MO Micropolitan Statistical Area</t>
  </si>
  <si>
    <t>Lawrenceburg, TN Micropolitan Statistical Area</t>
  </si>
  <si>
    <t>Alma, MI Micropolitan Statistical Area</t>
  </si>
  <si>
    <t>Wilmington, OH Micropolitan Statistical Area</t>
  </si>
  <si>
    <t>Alice, TX Micropolitan Statistical Area</t>
  </si>
  <si>
    <t>Ellensburg, WA Micropolitan Statistical Area</t>
  </si>
  <si>
    <t>Greenwood, MS Micropolitan Statistical Area</t>
  </si>
  <si>
    <t>−3.60%</t>
  </si>
  <si>
    <t>Aberdeen, SD Micropolitan Statistical Area</t>
  </si>
  <si>
    <t>Port Clinton, OH Micropolitan Statistical Area</t>
  </si>
  <si>
    <t>El Campo, TX Micropolitan Statistical Area</t>
  </si>
  <si>
    <t>Cedartown, GA Micropolitan Statistical Area</t>
  </si>
  <si>
    <t>−0.69%</t>
  </si>
  <si>
    <t>Garden City, KS Micropolitan Statistical Area</t>
  </si>
  <si>
    <t>Warren, PA Micropolitan Statistical Area</t>
  </si>
  <si>
    <t>−1.60%</t>
  </si>
  <si>
    <t>Riverton, WY Micropolitan Statistical Area</t>
  </si>
  <si>
    <t>Tifton, GA Micropolitan Statistical Area</t>
  </si>
  <si>
    <t>Mountain Home, AR Micropolitan Statistical Area</t>
  </si>
  <si>
    <t>Celina, OH Micropolitan Statistical Area</t>
  </si>
  <si>
    <t>El Dorado, AR Micropolitan Statistical Area</t>
  </si>
  <si>
    <t>−1.85%</t>
  </si>
  <si>
    <t>Marshalltown, IA Micropolitan Statistical Area</t>
  </si>
  <si>
    <t>Montrose, CO Micropolitan Statistical Area</t>
  </si>
  <si>
    <t>West Plains, MO Micropolitan Statistical Area</t>
  </si>
  <si>
    <t>Jacksonville, IL Micropolitan Statistical Area</t>
  </si>
  <si>
    <t>Sandpoint, ID Micropolitan Statistical Area</t>
  </si>
  <si>
    <t>Cullowhee, NC Micropolitan Statistical Area</t>
  </si>
  <si>
    <t>Española, NM Micropolitan Statistical Area</t>
  </si>
  <si>
    <t>McMinnville, TN Micropolitan Statistical Area</t>
  </si>
  <si>
    <t>Cambridge, OH Micropolitan Statistical Area</t>
  </si>
  <si>
    <t>Selinsgrove, PA Micropolitan Statistical Area</t>
  </si>
  <si>
    <t>Urbana, OH Micropolitan Statistical Area</t>
  </si>
  <si>
    <t>Lock Haven, PA Micropolitan Statistical Area</t>
  </si>
  <si>
    <t>Okeechobee, FL Micropolitan Statistical Area</t>
  </si>
  <si>
    <t>−1.32%</t>
  </si>
  <si>
    <t>Natchitoches, LA Micropolitan Statistical Area</t>
  </si>
  <si>
    <t>Austin, MN Micropolitan Statistical Area</t>
  </si>
  <si>
    <t>Pittsburg, KS Micropolitan Statistical Area</t>
  </si>
  <si>
    <t>Stephenville, TX Micropolitan Statistical Area</t>
  </si>
  <si>
    <t>Sikeston, MO Micropolitan Statistical Area</t>
  </si>
  <si>
    <t>Scottsbluff, NE Micropolitan Statistical Area</t>
  </si>
  <si>
    <t>Hannibal, MO Micropolitan Statistical Area</t>
  </si>
  <si>
    <t>Sault Ste. Marie, MI Micropolitan Statistical Area</t>
  </si>
  <si>
    <t>Kill Devil Hills, NC Micropolitan Statistical Area</t>
  </si>
  <si>
    <t>Centralia, IL Micropolitan Statistical Area</t>
  </si>
  <si>
    <t>−1.38%</t>
  </si>
  <si>
    <t>Houghton, MI Micropolitan Statistical Area</t>
  </si>
  <si>
    <t>Mount Vernon, IL Micropolitan Statistical Area</t>
  </si>
  <si>
    <t>−0.28%</t>
  </si>
  <si>
    <t>Gainesville, TX Micropolitan Statistical Area</t>
  </si>
  <si>
    <t>Defiance, OH Micropolitan Statistical Area</t>
  </si>
  <si>
    <t>Pontiac, IL Micropolitan Statistical Area</t>
  </si>
  <si>
    <t>Logansport, IN Micropolitan Statistical Area</t>
  </si>
  <si>
    <t>Berlin, NH-VT Micropolitan Statistical Area</t>
  </si>
  <si>
    <t>−2.64%</t>
  </si>
  <si>
    <t>Dyersburg, TN Micropolitan Statistical Area</t>
  </si>
  <si>
    <t>Crawfordsville, IN Micropolitan Statistical Area</t>
  </si>
  <si>
    <t>Moscow, ID Micropolitan Statistical Area</t>
  </si>
  <si>
    <t>Vincennes, IN Micropolitan Statistical Area</t>
  </si>
  <si>
    <t>Easton, MD Micropolitan Statistical Area</t>
  </si>
  <si>
    <t>Junction City, KS Micropolitan Statistical Area</t>
  </si>
  <si>
    <t>Summit Park, UT Micropolitan Statistical Area</t>
  </si>
  <si>
    <t>Ada, OK Micropolitan Statistical Area</t>
  </si>
  <si>
    <t>Union City, TN Micropolitan Statistical Area</t>
  </si>
  <si>
    <t>−1.95%</t>
  </si>
  <si>
    <t>Martin-Union City, TN Combined Statistical Area</t>
  </si>
  <si>
    <t>Brownwood, TX Micropolitan Statistical Area</t>
  </si>
  <si>
    <t>Murray, KY Micropolitan Statistical Area</t>
  </si>
  <si>
    <t>Newberry, SC Micropolitan Statistical Area</t>
  </si>
  <si>
    <t>Mayfield, KY Micropolitan Statistical Area</t>
  </si>
  <si>
    <t>Clewiston, FL Micropolitan Statistical Area</t>
  </si>
  <si>
    <t>−4.33%</t>
  </si>
  <si>
    <t>Safford, AZ Micropolitan Statistical Area</t>
  </si>
  <si>
    <t>North Platte, NE Micropolitan Statistical Area</t>
  </si>
  <si>
    <t>Astoria, OR Micropolitan Statistical Area</t>
  </si>
  <si>
    <t>Laramie, WY Micropolitan Statistical Area</t>
  </si>
  <si>
    <t>Fort Dodge, IA Micropolitan Statistical Area</t>
  </si>
  <si>
    <t>Corinth, MS Micropolitan Statistical Area</t>
  </si>
  <si>
    <t>Batesville, AR Micropolitan Statistical Area</t>
  </si>
  <si>
    <t>Huntington, IN Micropolitan Statistical Area</t>
  </si>
  <si>
    <t>Escanaba, MI Micropolitan Statistical Area</t>
  </si>
  <si>
    <t>−0.50%</t>
  </si>
  <si>
    <t>Coshocton, OH Micropolitan Statistical Area</t>
  </si>
  <si>
    <t>Bennington, VT Micropolitan Statistical Area</t>
  </si>
  <si>
    <t>−1.15%</t>
  </si>
  <si>
    <t>Big Spring, TX Micropolitan Statistical Area</t>
  </si>
  <si>
    <t>Canton, IL Micropolitan Statistical Area</t>
  </si>
  <si>
    <t>−1.13%</t>
  </si>
  <si>
    <t>Newton, IA Micropolitan Statistical Area</t>
  </si>
  <si>
    <t>−0.65%</t>
  </si>
  <si>
    <t>Bay City, TX Micropolitan Statistical Area</t>
  </si>
  <si>
    <t>−0.42%</t>
  </si>
  <si>
    <t>Americus, GA Micropolitan Statistical Area</t>
  </si>
  <si>
    <t>−3.40%</t>
  </si>
  <si>
    <t>Peru, IN Micropolitan Statistical Area</t>
  </si>
  <si>
    <t>Fremont, NE Micropolitan Statistical Area</t>
  </si>
  <si>
    <t>Alexandria, MN Micropolitan Statistical Area</t>
  </si>
  <si>
    <t>Plainview, TX Micropolitan Statistical Area</t>
  </si>
  <si>
    <t>Owatonna, MN Micropolitan Statistical Area</t>
  </si>
  <si>
    <t>Arkansas City-Winfield, KS Micropolitan Statistical Area</t>
  </si>
  <si>
    <t>DeRidder, LA Micropolitan Statistical Area</t>
  </si>
  <si>
    <t>Vidalia, GA Micropolitan Statistical Area</t>
  </si>
  <si>
    <t>Logan, WV Micropolitan Statistical Area</t>
  </si>
  <si>
    <t>−1.56%</t>
  </si>
  <si>
    <t>Laurinburg, NC Micropolitan Statistical Area</t>
  </si>
  <si>
    <t>Hutchinson, MN Micropolitan Statistical Area</t>
  </si>
  <si>
    <t>−1.63%</t>
  </si>
  <si>
    <t>Newport, TN Micropolitan Statistical Area</t>
  </si>
  <si>
    <t>Sulphur Springs, TX Micropolitan Statistical Area</t>
  </si>
  <si>
    <t>Lebanon, MO Micropolitan Statistical Area</t>
  </si>
  <si>
    <t>Seneca Falls, NY Micropolitan Statistical Area</t>
  </si>
  <si>
    <t>Dixon, IL Micropolitan Statistical Area</t>
  </si>
  <si>
    <t>−2.76%</t>
  </si>
  <si>
    <t>Brookhaven, MS Micropolitan Statistical Area</t>
  </si>
  <si>
    <t>Martin, TN Micropolitan Statistical Area</t>
  </si>
  <si>
    <t>Dodge City, KS Micropolitan Statistical Area</t>
  </si>
  <si>
    <t>Arcadia, FL Micropolitan Statistical Area</t>
  </si>
  <si>
    <t>Taylorville, IL Micropolitan Statistical Area</t>
  </si>
  <si>
    <t>Vernal, UT Micropolitan Statistical Area</t>
  </si>
  <si>
    <t>Coffeyville, KS Micropolitan Statistical Area</t>
  </si>
  <si>
    <t>−2.85%</t>
  </si>
  <si>
    <t>Butte-Silver Bow, MT Micropolitan Statistical Area</t>
  </si>
  <si>
    <t>Decatur, IN Micropolitan Statistical Area</t>
  </si>
  <si>
    <t>Effingham, IL Micropolitan Statistical Area</t>
  </si>
  <si>
    <t>Angola, IN Micropolitan Statistical Area</t>
  </si>
  <si>
    <t>Brenham, TX Micropolitan Statistical Area</t>
  </si>
  <si>
    <t>Valley, AL Micropolitan Statistical Area</t>
  </si>
  <si>
    <t>−0.44%</t>
  </si>
  <si>
    <t>Cleveland, MS Micropolitan Statistical Area</t>
  </si>
  <si>
    <t>Cleveland-Indianola, MS Combined Statistical Area</t>
  </si>
  <si>
    <t>Emporia, KS Micropolitan Statistical Area</t>
  </si>
  <si>
    <t>Susanville, CA Micropolitan Statistical Area</t>
  </si>
  <si>
    <t>−3.54%</t>
  </si>
  <si>
    <t>Malvern, AR Micropolitan Statistical Area</t>
  </si>
  <si>
    <t>Troy, AL Micropolitan Statistical Area</t>
  </si>
  <si>
    <t>Frankfort, IN Micropolitan Statistical Area</t>
  </si>
  <si>
    <t>Jackson, OH Micropolitan Statistical Area</t>
  </si>
  <si>
    <t>−0.82%</t>
  </si>
  <si>
    <t>Brevard, NC Micropolitan Statistical Area</t>
  </si>
  <si>
    <t>Taos, NM Micropolitan Statistical Area</t>
  </si>
  <si>
    <t>Columbus, NE Micropolitan Statistical Area</t>
  </si>
  <si>
    <t>Mount Pleasant, TX Micropolitan Statistical Area</t>
  </si>
  <si>
    <t>Brookings, SD Micropolitan Statistical Area</t>
  </si>
  <si>
    <t>Juneau, AK Micropolitan Statistical Area</t>
  </si>
  <si>
    <t>Madison, IN Micropolitan Statistical Area</t>
  </si>
  <si>
    <t>Cambridge, MD Micropolitan Statistical Area</t>
  </si>
  <si>
    <t>Macomb, IL Micropolitan Statistical Area</t>
  </si>
  <si>
    <t>Beeville, TX Micropolitan Statistical Area</t>
  </si>
  <si>
    <t>Kingsville, TX Micropolitan Statistical Area</t>
  </si>
  <si>
    <t>Wabash, IN Micropolitan Statistical Area</t>
  </si>
  <si>
    <t>Paris, TN Micropolitan Statistical Area</t>
  </si>
  <si>
    <t>Dayton, TN Micropolitan Statistical Area</t>
  </si>
  <si>
    <t>Miami, OK Micropolitan Statistical Area</t>
  </si>
  <si>
    <t>Washington, IN Micropolitan Statistical Area</t>
  </si>
  <si>
    <t>Kennett, MO Micropolitan Statistical Area</t>
  </si>
  <si>
    <t>Jackson, WY-ID Micropolitan Statistical Area</t>
  </si>
  <si>
    <t>Hastings, NE Micropolitan Statistical Area</t>
  </si>
  <si>
    <t>Albert Lea, MN Micropolitan Statistical Area</t>
  </si>
  <si>
    <t>Lewisburg, TN Micropolitan Statistical Area</t>
  </si>
  <si>
    <t>Camden, AR Micropolitan Statistical Area</t>
  </si>
  <si>
    <t>−2.49%</t>
  </si>
  <si>
    <t>Iron Mountain, MI-WI Micropolitan Statistical Area</t>
  </si>
  <si>
    <t>Jesup, GA Micropolitan Statistical Area</t>
  </si>
  <si>
    <t>Lincoln, IL Micropolitan Statistical Area</t>
  </si>
  <si>
    <t>−0.96%</t>
  </si>
  <si>
    <t>Kirksville, MO Micropolitan Statistical Area</t>
  </si>
  <si>
    <t>Sheridan, WY Micropolitan Statistical Area</t>
  </si>
  <si>
    <t>Silver City, NM Micropolitan Statistical Area</t>
  </si>
  <si>
    <t>Elkins, WV Micropolitan Statistical Area</t>
  </si>
  <si>
    <t>McPherson, KS Micropolitan Statistical Area</t>
  </si>
  <si>
    <t>Alpena, MI Micropolitan Statistical Area</t>
  </si>
  <si>
    <t>−1.23%</t>
  </si>
  <si>
    <t>Hays, KS Micropolitan Statistical Area</t>
  </si>
  <si>
    <t>Las Vegas, NM Micropolitan Statistical Area</t>
  </si>
  <si>
    <t>−1.71%</t>
  </si>
  <si>
    <t>Washington Court House, OH Micropolitan Statistical Area</t>
  </si>
  <si>
    <t>Van Wert, OH Micropolitan Statistical Area</t>
  </si>
  <si>
    <t>Ludington, MI Micropolitan Statistical Area</t>
  </si>
  <si>
    <t>Weatherford, OK Micropolitan Statistical Area</t>
  </si>
  <si>
    <t>Fort Morgan, CO Micropolitan Statistical Area</t>
  </si>
  <si>
    <t>Indianola, MS Micropolitan Statistical Area</t>
  </si>
  <si>
    <t>−3.46%</t>
  </si>
  <si>
    <t>Merrill, WI Micropolitan Statistical Area</t>
  </si>
  <si>
    <t>−1.22%</t>
  </si>
  <si>
    <t>Crescent City, CA Micropolitan Statistical Area</t>
  </si>
  <si>
    <t>Middlesborough, KY Micropolitan Statistical Area</t>
  </si>
  <si>
    <t>North Vernon, IN Micropolitan Statistical Area</t>
  </si>
  <si>
    <t>Bennettsville, SC Micropolitan Statistical Area</t>
  </si>
  <si>
    <t>−2.72%</t>
  </si>
  <si>
    <t>Breckenridge, CO Micropolitan Statistical Area</t>
  </si>
  <si>
    <t>Forrest City, AR Micropolitan Statistical Area</t>
  </si>
  <si>
    <t>−1.42%</t>
  </si>
  <si>
    <t>Mineral Wells, TX Micropolitan Statistical Area</t>
  </si>
  <si>
    <t>Watertown, SD Micropolitan Statistical Area</t>
  </si>
  <si>
    <t>Bastrop, LA Micropolitan Statistical Area</t>
  </si>
  <si>
    <t>−1.50%</t>
  </si>
  <si>
    <t>Great Bend, KS Micropolitan Statistical Area</t>
  </si>
  <si>
    <t>Wauchula, FL Micropolitan Statistical Area</t>
  </si>
  <si>
    <t>Bainbridge, GA Micropolitan Statistical Area</t>
  </si>
  <si>
    <t>−1.20%</t>
  </si>
  <si>
    <t>Hailey, ID Micropolitan Statistical Area</t>
  </si>
  <si>
    <t>Grants, NM Micropolitan Statistical Area</t>
  </si>
  <si>
    <t>Dickinson, ND Micropolitan Statistical Area</t>
  </si>
  <si>
    <t>Uvalde, TX Micropolitan Statistical Area</t>
  </si>
  <si>
    <t>Williston, ND Micropolitan Statistical Area</t>
  </si>
  <si>
    <t>Thomaston, GA Micropolitan Statistical Area</t>
  </si>
  <si>
    <t>−1.93%</t>
  </si>
  <si>
    <t>Lexington, NE Micropolitan Statistical Area</t>
  </si>
  <si>
    <t>Altus, OK Micropolitan Statistical Area</t>
  </si>
  <si>
    <t>Mountain Home, ID Micropolitan Statistical Area</t>
  </si>
  <si>
    <t>−3.01%</t>
  </si>
  <si>
    <t>Boone, IA Micropolitan Statistical Area</t>
  </si>
  <si>
    <t>Greensburg, IN Micropolitan Statistical Area</t>
  </si>
  <si>
    <t>Ottawa, KS Micropolitan Statistical Area</t>
  </si>
  <si>
    <t>Toccoa, GA Micropolitan Statistical Area</t>
  </si>
  <si>
    <t>La Grande, OR Micropolitan Statistical Area</t>
  </si>
  <si>
    <t>Summerville, GA Micropolitan Statistical Area</t>
  </si>
  <si>
    <t>Clarksdale, MS Micropolitan Statistical Area</t>
  </si>
  <si>
    <t>−1.69%</t>
  </si>
  <si>
    <t>Mexico, MO Micropolitan Statistical Area</t>
  </si>
  <si>
    <t>Marshall, MN Micropolitan Statistical Area</t>
  </si>
  <si>
    <t>The Dalles, OR Micropolitan Statistical Area</t>
  </si>
  <si>
    <t>New Ulm, MN Micropolitan Statistical Area</t>
  </si>
  <si>
    <t>−1.81%</t>
  </si>
  <si>
    <t>Moberly, MO Micropolitan Statistical Area</t>
  </si>
  <si>
    <t>Heber, UT Micropolitan Statistical Area</t>
  </si>
  <si>
    <t>Fredericksburg, TX Micropolitan Statistical Area</t>
  </si>
  <si>
    <t>Deming, NM Micropolitan Statistical Area</t>
  </si>
  <si>
    <t>Campbellsville, KY Micropolitan Statistical Area</t>
  </si>
  <si>
    <t>Magnolia, AR Micropolitan Statistical Area</t>
  </si>
  <si>
    <t>Spearfish, SD Micropolitan Statistical Area</t>
  </si>
  <si>
    <t>Fallon, NV Micropolitan Statistical Area</t>
  </si>
  <si>
    <t>−2.02%</t>
  </si>
  <si>
    <t>Connersville, IN Micropolitan Statistical Area</t>
  </si>
  <si>
    <t>−1.02%</t>
  </si>
  <si>
    <t>Cordele, GA Micropolitan Statistical Area</t>
  </si>
  <si>
    <t>Liberal, KS Micropolitan Statistical Area</t>
  </si>
  <si>
    <t>Maryville, MO Micropolitan Statistical Area</t>
  </si>
  <si>
    <t>Marshall, MO Micropolitan Statistical Area</t>
  </si>
  <si>
    <t>Steamboat Springs, CO Micropolitan Statistical Area</t>
  </si>
  <si>
    <t>Steamboat Springs-Craig, CO Combined Statistical Area</t>
  </si>
  <si>
    <t>Mitchell, SD Micropolitan Statistical Area</t>
  </si>
  <si>
    <t>Elk City, OK Micropolitan Statistical Area</t>
  </si>
  <si>
    <t>Levelland, TX Micropolitan Statistical Area</t>
  </si>
  <si>
    <t>Pampa, TX Micropolitan Statistical Area</t>
  </si>
  <si>
    <t>Arkadelphia, AR Micropolitan Statistical Area</t>
  </si>
  <si>
    <t>Wahpeton, ND-MN Micropolitan Statistical Area</t>
  </si>
  <si>
    <t>−0.41%</t>
  </si>
  <si>
    <t>Sterling, CO Micropolitan Statistical Area</t>
  </si>
  <si>
    <t>Yankton, SD Micropolitan Statistical Area</t>
  </si>
  <si>
    <t>Hood River, OR Micropolitan Statistical Area</t>
  </si>
  <si>
    <t>Oskaloosa, IA Micropolitan Statistical Area</t>
  </si>
  <si>
    <t>Dumas, TX Micropolitan Statistical Area</t>
  </si>
  <si>
    <t>Brookings, OR Micropolitan Statistical Area</t>
  </si>
  <si>
    <t>Raymondville, TX Micropolitan Statistical Area</t>
  </si>
  <si>
    <t>Borger, TX Micropolitan Statistical Area</t>
  </si>
  <si>
    <t>Pierre, SD Micropolitan Statistical Area</t>
  </si>
  <si>
    <t>Beatrice, NE Micropolitan Statistical Area</t>
  </si>
  <si>
    <t>−2.26%</t>
  </si>
  <si>
    <t>Grenada, MS Micropolitan Statistical Area</t>
  </si>
  <si>
    <t>Port Lavaca, TX Micropolitan Statistical Area</t>
  </si>
  <si>
    <t>Guymon, OK Micropolitan Statistical Area</t>
  </si>
  <si>
    <t>Worthington, MN Micropolitan Statistical Area</t>
  </si>
  <si>
    <t>Parsons, KS Micropolitan Statistical Area</t>
  </si>
  <si>
    <t>−1.49%</t>
  </si>
  <si>
    <t>Price, UT Micropolitan Statistical Area</t>
  </si>
  <si>
    <t>Evanston, WY Micropolitan Statistical Area</t>
  </si>
  <si>
    <t>Jamestown, ND Micropolitan Statistical Area</t>
  </si>
  <si>
    <t>Helena-West Helena, AR Micropolitan Statistical Area</t>
  </si>
  <si>
    <t>−4.47%</t>
  </si>
  <si>
    <t>Prineville, OR Micropolitan Statistical Area</t>
  </si>
  <si>
    <t>Storm Lake, IA Micropolitan Statistical Area</t>
  </si>
  <si>
    <t>Woodward, OK Micropolitan Statistical Area</t>
  </si>
  <si>
    <t>Portales, NM Micropolitan Statistical Area</t>
  </si>
  <si>
    <t>Hereford, TX Micropolitan Statistical Area</t>
  </si>
  <si>
    <t>Othello, WA Micropolitan Statistical Area</t>
  </si>
  <si>
    <t>Los Alamos, NM Micropolitan Statistical Area</t>
  </si>
  <si>
    <t>Huron, SD Micropolitan Statistical Area</t>
  </si>
  <si>
    <t>Fitzgerald, GA Micropolitan Statistical Area</t>
  </si>
  <si>
    <t>−0.54%</t>
  </si>
  <si>
    <t>Maysville, KY Micropolitan Statistical Area</t>
  </si>
  <si>
    <t>Snyder, TX Micropolitan Statistical Area</t>
  </si>
  <si>
    <t>Winnemucca, NV Micropolitan Statistical Area</t>
  </si>
  <si>
    <t>Vineyard Haven, MA Micropolitan Statistical Area</t>
  </si>
  <si>
    <t>Spirit Lake, IA Micropolitan Statistical Area</t>
  </si>
  <si>
    <t>Fairfield, IA Micropolitan Statistical Area</t>
  </si>
  <si>
    <t>Atchison, KS Micropolitan Statistical Area</t>
  </si>
  <si>
    <t>Spencer, IA Micropolitan Statistical Area</t>
  </si>
  <si>
    <t>Andrews, TX Micropolitan Statistical Area</t>
  </si>
  <si>
    <t>Sweetwater, TX Micropolitan Statistical Area</t>
  </si>
  <si>
    <t>−1.92%</t>
  </si>
  <si>
    <t>Zapata, TX Micropolitan Statistical Area</t>
  </si>
  <si>
    <t>Vermillion, SD Micropolitan Statistical Area</t>
  </si>
  <si>
    <t>Pecos, TX Micropolitan Statistical Area</t>
  </si>
  <si>
    <t>Ketchikan, AK Micropolitan Statistical Area</t>
  </si>
  <si>
    <t>Lamesa, TX Micropolitan Statistical Area</t>
  </si>
  <si>
    <t>−1.40%</t>
  </si>
  <si>
    <t>Vernon, TX Micropolitan Statistical Area</t>
  </si>
  <si>
    <t>−2.05%</t>
  </si>
  <si>
    <t>Craig, CO Micropolitan Statistical Area</t>
  </si>
  <si>
    <t>−4.31%</t>
  </si>
  <si>
    <t>CBSA</t>
  </si>
  <si>
    <t>Staffed Beds</t>
  </si>
  <si>
    <t>Total Discharges</t>
  </si>
  <si>
    <t>Patient Days</t>
  </si>
  <si>
    <t>Gross Patient Revenue ($000)</t>
  </si>
  <si>
    <t/>
  </si>
  <si>
    <t>Aberdeen, SD</t>
  </si>
  <si>
    <t>Brown County</t>
  </si>
  <si>
    <t>South Dakota</t>
  </si>
  <si>
    <t>Edmunds County</t>
  </si>
  <si>
    <t>Aberdeen, WA</t>
  </si>
  <si>
    <t>Grays Harbor County</t>
  </si>
  <si>
    <t>Abilene, TX</t>
  </si>
  <si>
    <t>Callahan County</t>
  </si>
  <si>
    <t>Texas</t>
  </si>
  <si>
    <t>Jones County</t>
  </si>
  <si>
    <t>Taylor County</t>
  </si>
  <si>
    <t>Ada, OK</t>
  </si>
  <si>
    <t>Pontotoc County</t>
  </si>
  <si>
    <t>Oklahoma</t>
  </si>
  <si>
    <t>Adrian, MI</t>
  </si>
  <si>
    <t>Detroit-Warren-Ann Arbor, MI</t>
  </si>
  <si>
    <t>Lenawee County</t>
  </si>
  <si>
    <t>Michigan</t>
  </si>
  <si>
    <t>Aguadilla-Isabela, PR</t>
  </si>
  <si>
    <t>Aguada Municipio</t>
  </si>
  <si>
    <t>Puerto Rico</t>
  </si>
  <si>
    <t>Aguadilla Municipio</t>
  </si>
  <si>
    <t>Añasco Municipio</t>
  </si>
  <si>
    <t>Isabela Municipio</t>
  </si>
  <si>
    <t>Lares Municipio</t>
  </si>
  <si>
    <t>Moca Municipio</t>
  </si>
  <si>
    <t>Rincón Municipio</t>
  </si>
  <si>
    <t>San Sebastián Municipio</t>
  </si>
  <si>
    <t>Utuado Municipio</t>
  </si>
  <si>
    <t>Akron, OH</t>
  </si>
  <si>
    <t>Cleveland-Akron-Canton, OH</t>
  </si>
  <si>
    <t>Portage County</t>
  </si>
  <si>
    <t>Ohio</t>
  </si>
  <si>
    <t>Summit County</t>
  </si>
  <si>
    <t>Alamogordo, NM</t>
  </si>
  <si>
    <t>Otero County</t>
  </si>
  <si>
    <t>New Mexico</t>
  </si>
  <si>
    <t>Albany, GA</t>
  </si>
  <si>
    <t>Dougherty County</t>
  </si>
  <si>
    <t>Georgia</t>
  </si>
  <si>
    <t>Lee County</t>
  </si>
  <si>
    <t>Terrell County</t>
  </si>
  <si>
    <t>Worth County</t>
  </si>
  <si>
    <t>Albany-Lebanon, OR</t>
  </si>
  <si>
    <t>Portland-Vancouver-Salem, OR-WA</t>
  </si>
  <si>
    <t>Linn County</t>
  </si>
  <si>
    <t>Albany-Schenectady-Troy, NY</t>
  </si>
  <si>
    <t>Albany-Schenectady, NY</t>
  </si>
  <si>
    <t>Albany County</t>
  </si>
  <si>
    <t>Rensselaer County</t>
  </si>
  <si>
    <t>Saratoga County</t>
  </si>
  <si>
    <t>Schenectady County</t>
  </si>
  <si>
    <t>Schoharie County</t>
  </si>
  <si>
    <t>Albemarle, NC</t>
  </si>
  <si>
    <t>Charlotte-Concord, NC-SC</t>
  </si>
  <si>
    <t>Stanly County</t>
  </si>
  <si>
    <t>North Carolina</t>
  </si>
  <si>
    <t>Albert Lea, MN</t>
  </si>
  <si>
    <t>Freeborn County</t>
  </si>
  <si>
    <t>Minnesota</t>
  </si>
  <si>
    <t>Albertville, AL</t>
  </si>
  <si>
    <t>Marshall County</t>
  </si>
  <si>
    <t>Alabama</t>
  </si>
  <si>
    <t>Albuquerque, NM</t>
  </si>
  <si>
    <t>Albuquerque-Santa Fe-Las Vegas, NM</t>
  </si>
  <si>
    <t>Bernalillo County</t>
  </si>
  <si>
    <t>Sandoval County</t>
  </si>
  <si>
    <t>Torrance County</t>
  </si>
  <si>
    <t>Valencia County</t>
  </si>
  <si>
    <t>Alexander City, AL</t>
  </si>
  <si>
    <t>Montgomery-Selma-Alexander City, AL</t>
  </si>
  <si>
    <t>Coosa County</t>
  </si>
  <si>
    <t>Tallapoosa County</t>
  </si>
  <si>
    <t>Alexandria, LA</t>
  </si>
  <si>
    <t>Grant Parish</t>
  </si>
  <si>
    <t>Louisiana</t>
  </si>
  <si>
    <t>Rapides Parish</t>
  </si>
  <si>
    <t>Alexandria, MN</t>
  </si>
  <si>
    <t>Douglas County</t>
  </si>
  <si>
    <t>Alice, TX</t>
  </si>
  <si>
    <t>Corpus Christi-Kingsville-Alice, TX</t>
  </si>
  <si>
    <t>Duval County</t>
  </si>
  <si>
    <t>Jim Wells County</t>
  </si>
  <si>
    <t>Allentown-Bethlehem-Easton, PA-NJ</t>
  </si>
  <si>
    <t>Warren County</t>
  </si>
  <si>
    <t>New Jersey</t>
  </si>
  <si>
    <t>Carbon County</t>
  </si>
  <si>
    <t>Pennsylvania</t>
  </si>
  <si>
    <t>Lehigh County</t>
  </si>
  <si>
    <t>Northampton County</t>
  </si>
  <si>
    <t>Alma, MI</t>
  </si>
  <si>
    <t>Mount Pleasant-Alma, MI</t>
  </si>
  <si>
    <t>Gratiot County</t>
  </si>
  <si>
    <t>Alpena, MI</t>
  </si>
  <si>
    <t>Alpena County</t>
  </si>
  <si>
    <t>Altoona, PA</t>
  </si>
  <si>
    <t>Altoona-Huntingdon, PA</t>
  </si>
  <si>
    <t>Blair County</t>
  </si>
  <si>
    <t>Altus, OK</t>
  </si>
  <si>
    <t>Jackson County</t>
  </si>
  <si>
    <t>Amarillo, TX</t>
  </si>
  <si>
    <t>Amarillo-Pampa-Borger, TX</t>
  </si>
  <si>
    <t>Armstrong County</t>
  </si>
  <si>
    <t>Carson County</t>
  </si>
  <si>
    <t>Oldham County</t>
  </si>
  <si>
    <t>Potter County</t>
  </si>
  <si>
    <t>Randall County</t>
  </si>
  <si>
    <t>Americus, GA</t>
  </si>
  <si>
    <t>Schley County</t>
  </si>
  <si>
    <t>Sumter County</t>
  </si>
  <si>
    <t>Ames, IA</t>
  </si>
  <si>
    <t>Des Moines-Ames-West Des Moines, IA</t>
  </si>
  <si>
    <t>Boone County</t>
  </si>
  <si>
    <t>Iowa</t>
  </si>
  <si>
    <t>Story County</t>
  </si>
  <si>
    <t>Amsterdam, NY</t>
  </si>
  <si>
    <t>Montgomery County</t>
  </si>
  <si>
    <t>Anchorage, AK</t>
  </si>
  <si>
    <t>Anchorage Municipality</t>
  </si>
  <si>
    <t>Alaska</t>
  </si>
  <si>
    <t>Matanuska-Susitna Borough</t>
  </si>
  <si>
    <t>Andrews, TX</t>
  </si>
  <si>
    <t>Andrews County</t>
  </si>
  <si>
    <t>Angola, IN</t>
  </si>
  <si>
    <t>Fort Wayne-Huntington-Auburn, IN</t>
  </si>
  <si>
    <t>Steuben County</t>
  </si>
  <si>
    <t>Ann Arbor, MI</t>
  </si>
  <si>
    <t>Washtenaw County</t>
  </si>
  <si>
    <t>Anniston-Oxford, AL</t>
  </si>
  <si>
    <t>Calhoun County</t>
  </si>
  <si>
    <t>Appleton, WI</t>
  </si>
  <si>
    <t>Appleton-Oshkosh-Neenah, WI</t>
  </si>
  <si>
    <t>Calumet County</t>
  </si>
  <si>
    <t>Wisconsin</t>
  </si>
  <si>
    <t>Outagamie County</t>
  </si>
  <si>
    <t>Arcadia, FL</t>
  </si>
  <si>
    <t>North Port-Sarasota, FL</t>
  </si>
  <si>
    <t>DeSoto County</t>
  </si>
  <si>
    <t>Florida</t>
  </si>
  <si>
    <t>Ardmore, OK</t>
  </si>
  <si>
    <t>Carter County</t>
  </si>
  <si>
    <t>Love County</t>
  </si>
  <si>
    <t>Arecibo, PR</t>
  </si>
  <si>
    <t>San Juan-Bayamón, PR</t>
  </si>
  <si>
    <t>Arecibo Municipio</t>
  </si>
  <si>
    <t>Camuy Municipio</t>
  </si>
  <si>
    <t>Hatillo Municipio</t>
  </si>
  <si>
    <t>Quebradillas Municipio</t>
  </si>
  <si>
    <t>Arkadelphia, AR</t>
  </si>
  <si>
    <t>Clark County</t>
  </si>
  <si>
    <t>Arkansas</t>
  </si>
  <si>
    <t>Asheville, NC</t>
  </si>
  <si>
    <t>Asheville-Marion-Brevard, NC</t>
  </si>
  <si>
    <t>Buncombe County</t>
  </si>
  <si>
    <t>Haywood County</t>
  </si>
  <si>
    <t>Henderson County</t>
  </si>
  <si>
    <t>Madison County</t>
  </si>
  <si>
    <t>Ashland, OH</t>
  </si>
  <si>
    <t>Mansfield-Ashland-Bucyrus, OH</t>
  </si>
  <si>
    <t>Ashland County</t>
  </si>
  <si>
    <t>Ashtabula, OH</t>
  </si>
  <si>
    <t>Ashtabula County</t>
  </si>
  <si>
    <t>Astoria, OR</t>
  </si>
  <si>
    <t>Clatsop County</t>
  </si>
  <si>
    <t>Atchison, KS</t>
  </si>
  <si>
    <t>Kansas City-Overland Park-Kansas City, MO-KS</t>
  </si>
  <si>
    <t>Atchison County</t>
  </si>
  <si>
    <t>Kansas</t>
  </si>
  <si>
    <t>Athens, OH</t>
  </si>
  <si>
    <t>Athens County</t>
  </si>
  <si>
    <t>Athens, TN</t>
  </si>
  <si>
    <t>Chattanooga-Cleveland-Dalton, TN-GA</t>
  </si>
  <si>
    <t>McMinn County</t>
  </si>
  <si>
    <t>Tennessee</t>
  </si>
  <si>
    <t>Athens, TX</t>
  </si>
  <si>
    <t>Dallas-Fort Worth, TX-OK</t>
  </si>
  <si>
    <t>Athens-Clarke County, GA</t>
  </si>
  <si>
    <t>Atlanta--Athens-Clarke County--Sandy Springs, GA-AL</t>
  </si>
  <si>
    <t>Clarke County</t>
  </si>
  <si>
    <t>Oconee County</t>
  </si>
  <si>
    <t>Oglethorpe County</t>
  </si>
  <si>
    <t>Atlanta-Sandy Springs-Alpharetta, GA</t>
  </si>
  <si>
    <t>Barrow County</t>
  </si>
  <si>
    <t>Bartow County</t>
  </si>
  <si>
    <t>Butts County</t>
  </si>
  <si>
    <t>Carroll County</t>
  </si>
  <si>
    <t>Cherokee County</t>
  </si>
  <si>
    <t>Clayton County</t>
  </si>
  <si>
    <t>Cobb County</t>
  </si>
  <si>
    <t>Coweta County</t>
  </si>
  <si>
    <t>Dawson County</t>
  </si>
  <si>
    <t>DeKalb County</t>
  </si>
  <si>
    <t>Fayette County</t>
  </si>
  <si>
    <t>Forsyth County</t>
  </si>
  <si>
    <t>Fulton County</t>
  </si>
  <si>
    <t>Gwinnett County</t>
  </si>
  <si>
    <t>Haralson County</t>
  </si>
  <si>
    <t>Heard County</t>
  </si>
  <si>
    <t>Henry County</t>
  </si>
  <si>
    <t>Jasper County</t>
  </si>
  <si>
    <t>Lamar County</t>
  </si>
  <si>
    <t>Meriwether County</t>
  </si>
  <si>
    <t>Morgan County</t>
  </si>
  <si>
    <t>Newton County</t>
  </si>
  <si>
    <t>Paulding County</t>
  </si>
  <si>
    <t>Pickens County</t>
  </si>
  <si>
    <t>Pike County</t>
  </si>
  <si>
    <t>Rockdale County</t>
  </si>
  <si>
    <t>Spalding County</t>
  </si>
  <si>
    <t>Walton County</t>
  </si>
  <si>
    <t>Atlantic City-Hammonton, NJ</t>
  </si>
  <si>
    <t>Philadelphia-Reading-Camden, PA-NJ-DE-MD</t>
  </si>
  <si>
    <t>Atlantic County</t>
  </si>
  <si>
    <t>Atmore, AL</t>
  </si>
  <si>
    <t>Pensacola-Ferry Pass, FL-AL</t>
  </si>
  <si>
    <t>Escambia County</t>
  </si>
  <si>
    <t>Auburn, IN</t>
  </si>
  <si>
    <t>Auburn, NY</t>
  </si>
  <si>
    <t>Syracuse-Auburn, NY</t>
  </si>
  <si>
    <t>Cayuga County</t>
  </si>
  <si>
    <t>Auburn-Opelika, AL</t>
  </si>
  <si>
    <t>Columbus-Auburn-Opelika, GA-AL</t>
  </si>
  <si>
    <t>Augusta-Richmond County, GA-SC</t>
  </si>
  <si>
    <t>Burke County</t>
  </si>
  <si>
    <t>Columbia County</t>
  </si>
  <si>
    <t>Lincoln County</t>
  </si>
  <si>
    <t>McDuffie County</t>
  </si>
  <si>
    <t>Richmond County</t>
  </si>
  <si>
    <t>Aiken County</t>
  </si>
  <si>
    <t>South Carolina</t>
  </si>
  <si>
    <t>Edgefield County</t>
  </si>
  <si>
    <t>Augusta-Waterville, ME</t>
  </si>
  <si>
    <t>Kennebec County</t>
  </si>
  <si>
    <t>Maine</t>
  </si>
  <si>
    <t>Austin, MN</t>
  </si>
  <si>
    <t>Rochester-Austin, MN</t>
  </si>
  <si>
    <t>Mower County</t>
  </si>
  <si>
    <t>Austin-Round Rock-Georgetown, TX</t>
  </si>
  <si>
    <t>Bastrop County</t>
  </si>
  <si>
    <t>Caldwell County</t>
  </si>
  <si>
    <t>Hays County</t>
  </si>
  <si>
    <t>Travis County</t>
  </si>
  <si>
    <t>Williamson County</t>
  </si>
  <si>
    <t>Bainbridge, GA</t>
  </si>
  <si>
    <t>Decatur County</t>
  </si>
  <si>
    <t>Bakersfield, CA</t>
  </si>
  <si>
    <t>Kern County</t>
  </si>
  <si>
    <t>California</t>
  </si>
  <si>
    <t>Baltimore-Columbia-Towson, MD</t>
  </si>
  <si>
    <t>Washington-Baltimore-Arlington, DC-MD-VA-WV-PA</t>
  </si>
  <si>
    <t>Anne Arundel County</t>
  </si>
  <si>
    <t>Maryland</t>
  </si>
  <si>
    <t>Baltimore County</t>
  </si>
  <si>
    <t>Harford County</t>
  </si>
  <si>
    <t>Howard County</t>
  </si>
  <si>
    <t>Queen Anne's County</t>
  </si>
  <si>
    <t>Baltimore city</t>
  </si>
  <si>
    <t>Bangor, ME</t>
  </si>
  <si>
    <t>Penobscot County</t>
  </si>
  <si>
    <t>Baraboo, WI</t>
  </si>
  <si>
    <t>Madison-Janesville-Beloit, WI</t>
  </si>
  <si>
    <t>Sauk County</t>
  </si>
  <si>
    <t>Bardstown, KY</t>
  </si>
  <si>
    <t>Louisville/Jefferson County--Elizabethtown--Bardstown, KY-IN</t>
  </si>
  <si>
    <t>Nelson County</t>
  </si>
  <si>
    <t>Kentucky</t>
  </si>
  <si>
    <t>Barnstable Town, MA</t>
  </si>
  <si>
    <t>Boston-Worcester-Providence, MA-RI-NH-CT</t>
  </si>
  <si>
    <t>Barnstable County</t>
  </si>
  <si>
    <t>Massachusetts</t>
  </si>
  <si>
    <t>Barre, VT</t>
  </si>
  <si>
    <t>Burlington-South Burlington-Barre, VT</t>
  </si>
  <si>
    <t>Washington County</t>
  </si>
  <si>
    <t>Vermont</t>
  </si>
  <si>
    <t>Bartlesville, OK</t>
  </si>
  <si>
    <t>Tulsa-Muskogee-Bartlesville, OK</t>
  </si>
  <si>
    <t>Batavia, NY</t>
  </si>
  <si>
    <t>Rochester-Batavia-Seneca Falls, NY</t>
  </si>
  <si>
    <t>Genesee County</t>
  </si>
  <si>
    <t>Batesville, AR</t>
  </si>
  <si>
    <t>Independence County</t>
  </si>
  <si>
    <t>Sharp County</t>
  </si>
  <si>
    <t>Baton Rouge, LA</t>
  </si>
  <si>
    <t>Ascension Parish</t>
  </si>
  <si>
    <t>Assumption Parish</t>
  </si>
  <si>
    <t>East Baton Rouge Parish</t>
  </si>
  <si>
    <t>East Feliciana Parish</t>
  </si>
  <si>
    <t>Iberville Parish</t>
  </si>
  <si>
    <t>Livingston Parish</t>
  </si>
  <si>
    <t>Pointe Coupee Parish</t>
  </si>
  <si>
    <t>St. Helena Parish</t>
  </si>
  <si>
    <t>West Baton Rouge Parish</t>
  </si>
  <si>
    <t>West Feliciana Parish</t>
  </si>
  <si>
    <t>Battle Creek, MI</t>
  </si>
  <si>
    <t>Kalamazoo-Battle Creek-Portage, MI</t>
  </si>
  <si>
    <t>Bay City, MI</t>
  </si>
  <si>
    <t>Saginaw-Midland-Bay City, MI</t>
  </si>
  <si>
    <t>Bay County</t>
  </si>
  <si>
    <t>Bay City, TX</t>
  </si>
  <si>
    <t>Houston-The Woodlands, TX</t>
  </si>
  <si>
    <t>Matagorda County</t>
  </si>
  <si>
    <t>Beatrice, NE</t>
  </si>
  <si>
    <t>Lincoln-Beatrice, NE</t>
  </si>
  <si>
    <t>Gage County</t>
  </si>
  <si>
    <t>Nebraska</t>
  </si>
  <si>
    <t>Beaumont-Port Arthur, TX</t>
  </si>
  <si>
    <t>Hardin County</t>
  </si>
  <si>
    <t>Jefferson County</t>
  </si>
  <si>
    <t>Orange County</t>
  </si>
  <si>
    <t>Beaver Dam, WI</t>
  </si>
  <si>
    <t>Milwaukee-Racine-Waukesha, WI</t>
  </si>
  <si>
    <t>Dodge County</t>
  </si>
  <si>
    <t>Beckley, WV</t>
  </si>
  <si>
    <t>West Virginia</t>
  </si>
  <si>
    <t>Raleigh County</t>
  </si>
  <si>
    <t>Bedford, IN</t>
  </si>
  <si>
    <t>Bloomington-Bedford, IN</t>
  </si>
  <si>
    <t>Lawrence County</t>
  </si>
  <si>
    <t>Beeville, TX</t>
  </si>
  <si>
    <t>Bee County</t>
  </si>
  <si>
    <t>Bellefontaine, OH</t>
  </si>
  <si>
    <t>Columbus-Marion-Zanesville, OH</t>
  </si>
  <si>
    <t>Logan County</t>
  </si>
  <si>
    <t>Bellingham, WA</t>
  </si>
  <si>
    <t>Whatcom County</t>
  </si>
  <si>
    <t>Bemidji, MN</t>
  </si>
  <si>
    <t>Beltrami County</t>
  </si>
  <si>
    <t>Bend, OR</t>
  </si>
  <si>
    <t>Bend-Prineville, OR</t>
  </si>
  <si>
    <t>Deschutes County</t>
  </si>
  <si>
    <t>Bennettsville, SC</t>
  </si>
  <si>
    <t>Marlboro County</t>
  </si>
  <si>
    <t>Bennington, VT</t>
  </si>
  <si>
    <t>Bennington County</t>
  </si>
  <si>
    <t>Berlin, NH</t>
  </si>
  <si>
    <t>Coos County</t>
  </si>
  <si>
    <t>New Hampshire</t>
  </si>
  <si>
    <t>Big Rapids, MI</t>
  </si>
  <si>
    <t>Grand Rapids-Kentwood-Muskegon, MI</t>
  </si>
  <si>
    <t>Mecosta County</t>
  </si>
  <si>
    <t>Big Spring, TX</t>
  </si>
  <si>
    <t>Big Stone Gap, VA</t>
  </si>
  <si>
    <t>Wise County</t>
  </si>
  <si>
    <t>Norton city</t>
  </si>
  <si>
    <t>Billings, MT</t>
  </si>
  <si>
    <t>Montana</t>
  </si>
  <si>
    <t>Stillwater County</t>
  </si>
  <si>
    <t>Yellowstone County</t>
  </si>
  <si>
    <t>Binghamton, NY</t>
  </si>
  <si>
    <t>Broome County</t>
  </si>
  <si>
    <t>Tioga County</t>
  </si>
  <si>
    <t>Birmingham-Hoover, AL</t>
  </si>
  <si>
    <t>Birmingham-Hoover-Talladega, AL</t>
  </si>
  <si>
    <t>Bibb County</t>
  </si>
  <si>
    <t>Blount County</t>
  </si>
  <si>
    <t>Chilton County</t>
  </si>
  <si>
    <t>St. Clair County</t>
  </si>
  <si>
    <t>Shelby County</t>
  </si>
  <si>
    <t>Bismarck, ND</t>
  </si>
  <si>
    <t>Burleigh County</t>
  </si>
  <si>
    <t>North Dakota</t>
  </si>
  <si>
    <t>Morton County</t>
  </si>
  <si>
    <t>Oliver County</t>
  </si>
  <si>
    <t>Blackfoot, ID</t>
  </si>
  <si>
    <t>Idaho Falls-Rexburg-Blackfoot, ID</t>
  </si>
  <si>
    <t>Bingham County</t>
  </si>
  <si>
    <t>Idaho</t>
  </si>
  <si>
    <t>Blacksburg-Christiansburg, VA</t>
  </si>
  <si>
    <t>Giles County</t>
  </si>
  <si>
    <t>Pulaski County</t>
  </si>
  <si>
    <t>Radford city</t>
  </si>
  <si>
    <t>Bloomington, IL</t>
  </si>
  <si>
    <t>Bloomington-Pontiac, IL</t>
  </si>
  <si>
    <t>McLean County</t>
  </si>
  <si>
    <t>Illinois</t>
  </si>
  <si>
    <t>Bloomington, IN</t>
  </si>
  <si>
    <t>Monroe County</t>
  </si>
  <si>
    <t>Owen County</t>
  </si>
  <si>
    <t>Bloomsburg-Berwick, PA</t>
  </si>
  <si>
    <t>Bloomsburg-Berwick-Sunbury, PA</t>
  </si>
  <si>
    <t>Montour County</t>
  </si>
  <si>
    <t>Bluefield, WV-VA</t>
  </si>
  <si>
    <t>Bland County</t>
  </si>
  <si>
    <t>Tazewell County</t>
  </si>
  <si>
    <t>Mercer County</t>
  </si>
  <si>
    <t>Bluffton, IN</t>
  </si>
  <si>
    <t>Wells County</t>
  </si>
  <si>
    <t>Blytheville, AR</t>
  </si>
  <si>
    <t>Mississippi County</t>
  </si>
  <si>
    <t>Bogalusa, LA</t>
  </si>
  <si>
    <t>New Orleans-Metairie-Hammond, LA-MS</t>
  </si>
  <si>
    <t>Washington Parish</t>
  </si>
  <si>
    <t>Boise City, ID</t>
  </si>
  <si>
    <t>Boise City-Mountain Home-Ontario, ID-OR</t>
  </si>
  <si>
    <t>Ada County</t>
  </si>
  <si>
    <t>Boise County</t>
  </si>
  <si>
    <t>Canyon County</t>
  </si>
  <si>
    <t>Gem County</t>
  </si>
  <si>
    <t>Owyhee County</t>
  </si>
  <si>
    <t>Bonham, TX</t>
  </si>
  <si>
    <t>Fannin County</t>
  </si>
  <si>
    <t>Boone, NC</t>
  </si>
  <si>
    <t>Watauga County</t>
  </si>
  <si>
    <t>Borger, TX</t>
  </si>
  <si>
    <t>Hutchinson County</t>
  </si>
  <si>
    <t>Boston-Cambridge-Newton, MA-NH</t>
  </si>
  <si>
    <t>Norfolk County</t>
  </si>
  <si>
    <t>Plymouth County</t>
  </si>
  <si>
    <t>Suffolk County</t>
  </si>
  <si>
    <t>Essex County</t>
  </si>
  <si>
    <t>Middlesex County</t>
  </si>
  <si>
    <t>Rockingham County</t>
  </si>
  <si>
    <t>Strafford County</t>
  </si>
  <si>
    <t>Boulder, CO</t>
  </si>
  <si>
    <t>Denver-Aurora, CO</t>
  </si>
  <si>
    <t>Boulder County</t>
  </si>
  <si>
    <t>Colorado</t>
  </si>
  <si>
    <t>Bowling Green, KY</t>
  </si>
  <si>
    <t>Bowling Green-Glasgow, KY</t>
  </si>
  <si>
    <t>Allen County</t>
  </si>
  <si>
    <t>Butler County</t>
  </si>
  <si>
    <t>Edmonson County</t>
  </si>
  <si>
    <t>Bozeman, MT</t>
  </si>
  <si>
    <t>Gallatin County</t>
  </si>
  <si>
    <t>Bradford, PA</t>
  </si>
  <si>
    <t>McKean County</t>
  </si>
  <si>
    <t>Brainerd, MN</t>
  </si>
  <si>
    <t>Cass County</t>
  </si>
  <si>
    <t>Crow Wing County</t>
  </si>
  <si>
    <t>Branson, MO</t>
  </si>
  <si>
    <t>Taney County</t>
  </si>
  <si>
    <t>Missouri</t>
  </si>
  <si>
    <t>Breckenridge, CO</t>
  </si>
  <si>
    <t>Bremerton-Silverdale-Port Orchard, WA</t>
  </si>
  <si>
    <t>Seattle-Tacoma, WA</t>
  </si>
  <si>
    <t>Kitsap County</t>
  </si>
  <si>
    <t>Brenham, TX</t>
  </si>
  <si>
    <t>Brevard, NC</t>
  </si>
  <si>
    <t>Transylvania County</t>
  </si>
  <si>
    <t>Bridgeport-Stamford-Norwalk, CT</t>
  </si>
  <si>
    <t>New York-Newark, NY-NJ-CT-PA</t>
  </si>
  <si>
    <t>Fairfield County</t>
  </si>
  <si>
    <t>Connecticut</t>
  </si>
  <si>
    <t>Brookhaven, MS</t>
  </si>
  <si>
    <t>Jackson-Vicksburg-Brookhaven, MS</t>
  </si>
  <si>
    <t>Mississippi</t>
  </si>
  <si>
    <t>Brookings, OR</t>
  </si>
  <si>
    <t>Curry County</t>
  </si>
  <si>
    <t>Brookings, SD</t>
  </si>
  <si>
    <t>Brookings County</t>
  </si>
  <si>
    <t>Brownsville, TN</t>
  </si>
  <si>
    <t>Jackson-Brownsville, TN</t>
  </si>
  <si>
    <t>Brownsville-Harlingen, TX</t>
  </si>
  <si>
    <t>Brownsville-Harlingen-Raymondville, TX</t>
  </si>
  <si>
    <t>Cameron County</t>
  </si>
  <si>
    <t>Brownwood, TX</t>
  </si>
  <si>
    <t>Brunswick, GA</t>
  </si>
  <si>
    <t>Brantley County</t>
  </si>
  <si>
    <t>Glynn County</t>
  </si>
  <si>
    <t>McIntosh County</t>
  </si>
  <si>
    <t>Bucyrus-Galion, OH</t>
  </si>
  <si>
    <t>Crawford County</t>
  </si>
  <si>
    <t>Buffalo-Cheektowaga, NY</t>
  </si>
  <si>
    <t>Buffalo-Cheektowaga-Olean, NY</t>
  </si>
  <si>
    <t>Erie County</t>
  </si>
  <si>
    <t>Niagara County</t>
  </si>
  <si>
    <t>Burley, ID</t>
  </si>
  <si>
    <t>Cassia County</t>
  </si>
  <si>
    <t>Minidoka County</t>
  </si>
  <si>
    <t>Burlington, IA-IL</t>
  </si>
  <si>
    <t>Burlington-Fort Madison-Keokuk, IA-IL-MO</t>
  </si>
  <si>
    <t>Des Moines County</t>
  </si>
  <si>
    <t>Burlington, NC</t>
  </si>
  <si>
    <t>Greensboro--Winston-Salem--High Point, NC</t>
  </si>
  <si>
    <t>Alamance County</t>
  </si>
  <si>
    <t>Burlington-South Burlington, VT</t>
  </si>
  <si>
    <t>Chittenden County</t>
  </si>
  <si>
    <t>Franklin County</t>
  </si>
  <si>
    <t>Grand Isle County</t>
  </si>
  <si>
    <t>Butte-Silver Bow, MT</t>
  </si>
  <si>
    <t>Silver Bow County</t>
  </si>
  <si>
    <t>Cadillac, MI</t>
  </si>
  <si>
    <t>Missaukee County</t>
  </si>
  <si>
    <t>Wexford County</t>
  </si>
  <si>
    <t>Calhoun, GA</t>
  </si>
  <si>
    <t>Gordon County</t>
  </si>
  <si>
    <t>California-Lexington Park, MD</t>
  </si>
  <si>
    <t>St. Mary's County</t>
  </si>
  <si>
    <t>Cambridge, MD</t>
  </si>
  <si>
    <t>Salisbury-Cambridge, MD-DE</t>
  </si>
  <si>
    <t>Dorchester County</t>
  </si>
  <si>
    <t>Cambridge, OH</t>
  </si>
  <si>
    <t>Guernsey County</t>
  </si>
  <si>
    <t>Camden, AR</t>
  </si>
  <si>
    <t>Ouachita County</t>
  </si>
  <si>
    <t>Campbellsville, KY</t>
  </si>
  <si>
    <t>Green County</t>
  </si>
  <si>
    <t>Cañon City, CO</t>
  </si>
  <si>
    <t>Pueblo-Cañon City, CO</t>
  </si>
  <si>
    <t>Fremont County</t>
  </si>
  <si>
    <t>Canton-Massillon, OH</t>
  </si>
  <si>
    <t>Stark County</t>
  </si>
  <si>
    <t>Cape Coral-Fort Myers, FL</t>
  </si>
  <si>
    <t>Cape Coral-Fort Myers-Naples, FL</t>
  </si>
  <si>
    <t>Cape Girardeau, MO-IL</t>
  </si>
  <si>
    <t>Cape Girardeau-Sikeston, MO-IL</t>
  </si>
  <si>
    <t>Alexander County</t>
  </si>
  <si>
    <t>Bollinger County</t>
  </si>
  <si>
    <t>Cape Girardeau County</t>
  </si>
  <si>
    <t>Carbondale-Marion, IL</t>
  </si>
  <si>
    <t>Johnson County</t>
  </si>
  <si>
    <t>Carlsbad-Artesia, NM</t>
  </si>
  <si>
    <t>Eddy County</t>
  </si>
  <si>
    <t>Carroll, IA</t>
  </si>
  <si>
    <t>Carson City, NV</t>
  </si>
  <si>
    <t>Reno-Carson City-Fernley, NV</t>
  </si>
  <si>
    <t>Casper, WY</t>
  </si>
  <si>
    <t>Natrona County</t>
  </si>
  <si>
    <t>Cedar City, UT</t>
  </si>
  <si>
    <t>Iron County</t>
  </si>
  <si>
    <t>Utah</t>
  </si>
  <si>
    <t>Cedar Rapids, IA</t>
  </si>
  <si>
    <t>Cedar Rapids-Iowa City, IA</t>
  </si>
  <si>
    <t>Benton County</t>
  </si>
  <si>
    <t>Cedartown, GA</t>
  </si>
  <si>
    <t>Polk County</t>
  </si>
  <si>
    <t>Celina, OH</t>
  </si>
  <si>
    <t>Lima-Van Wert-Celina, OH</t>
  </si>
  <si>
    <t>Central City, KY</t>
  </si>
  <si>
    <t>Muhlenberg County</t>
  </si>
  <si>
    <t>Centralia, IL</t>
  </si>
  <si>
    <t>St. Louis-St. Charles-Farmington, MO-IL</t>
  </si>
  <si>
    <t>Marion County</t>
  </si>
  <si>
    <t>Centralia, WA</t>
  </si>
  <si>
    <t>Lewis County</t>
  </si>
  <si>
    <t>Chambersburg-Waynesboro, PA</t>
  </si>
  <si>
    <t>Champaign-Urbana, IL</t>
  </si>
  <si>
    <t>Champaign County</t>
  </si>
  <si>
    <t>Piatt County</t>
  </si>
  <si>
    <t>Charleston, WV</t>
  </si>
  <si>
    <t>Charleston-Huntington-Ashland, WV-OH-KY</t>
  </si>
  <si>
    <t>Clay County</t>
  </si>
  <si>
    <t>Kanawha County</t>
  </si>
  <si>
    <t>Charleston-Mattoon, IL</t>
  </si>
  <si>
    <t>Coles County</t>
  </si>
  <si>
    <t>Cumberland County</t>
  </si>
  <si>
    <t>Charleston-North Charleston, SC</t>
  </si>
  <si>
    <t>Berkeley County</t>
  </si>
  <si>
    <t>Charleston County</t>
  </si>
  <si>
    <t>Charlotte-Concord-Gastonia, NC-SC</t>
  </si>
  <si>
    <t>Anson County</t>
  </si>
  <si>
    <t>Cabarrus County</t>
  </si>
  <si>
    <t>Gaston County</t>
  </si>
  <si>
    <t>Iredell County</t>
  </si>
  <si>
    <t>Mecklenburg County</t>
  </si>
  <si>
    <t>Rowan County</t>
  </si>
  <si>
    <t>Union County</t>
  </si>
  <si>
    <t>Chester County</t>
  </si>
  <si>
    <t>Lancaster County</t>
  </si>
  <si>
    <t>York County</t>
  </si>
  <si>
    <t>Charlottesville, VA</t>
  </si>
  <si>
    <t>Albemarle County</t>
  </si>
  <si>
    <t>Fluvanna County</t>
  </si>
  <si>
    <t>Greene County</t>
  </si>
  <si>
    <t>Charlottesville city</t>
  </si>
  <si>
    <t>Chattanooga, TN-GA</t>
  </si>
  <si>
    <t>Catoosa County</t>
  </si>
  <si>
    <t>Dade County</t>
  </si>
  <si>
    <t>Walker County</t>
  </si>
  <si>
    <t>Hamilton County</t>
  </si>
  <si>
    <t>Sequatchie County</t>
  </si>
  <si>
    <t>Cheyenne, WY</t>
  </si>
  <si>
    <t>Laramie County</t>
  </si>
  <si>
    <t>Chicago-Naperville-Elgin, IL-IN-WI</t>
  </si>
  <si>
    <t>Chicago-Naperville, IL-IN-WI</t>
  </si>
  <si>
    <t>Cook County</t>
  </si>
  <si>
    <t>DuPage County</t>
  </si>
  <si>
    <t>Grundy County</t>
  </si>
  <si>
    <t>McHenry County</t>
  </si>
  <si>
    <t>Will County</t>
  </si>
  <si>
    <t>Kane County</t>
  </si>
  <si>
    <t>Kendall County</t>
  </si>
  <si>
    <t>Lake County</t>
  </si>
  <si>
    <t>Porter County</t>
  </si>
  <si>
    <t>Kenosha County</t>
  </si>
  <si>
    <t>Chico, CA</t>
  </si>
  <si>
    <t>Butte County</t>
  </si>
  <si>
    <t>Chillicothe, OH</t>
  </si>
  <si>
    <t>Ross County</t>
  </si>
  <si>
    <t>Cincinnati, OH-KY-IN</t>
  </si>
  <si>
    <t>Cincinnati-Wilmington-Maysville, OH-KY-IN</t>
  </si>
  <si>
    <t>Dearborn County</t>
  </si>
  <si>
    <t>Ohio County</t>
  </si>
  <si>
    <t>Bracken County</t>
  </si>
  <si>
    <t>Campbell County</t>
  </si>
  <si>
    <t>Grant County</t>
  </si>
  <si>
    <t>Kenton County</t>
  </si>
  <si>
    <t>Pendleton County</t>
  </si>
  <si>
    <t>Clermont County</t>
  </si>
  <si>
    <t>Clarksburg, WV</t>
  </si>
  <si>
    <t>Doddridge County</t>
  </si>
  <si>
    <t>Harrison County</t>
  </si>
  <si>
    <t>Clarksdale, MS</t>
  </si>
  <si>
    <t>Coahoma County</t>
  </si>
  <si>
    <t>Clarksville, TN-KY</t>
  </si>
  <si>
    <t>Christian County</t>
  </si>
  <si>
    <t>Trigg County</t>
  </si>
  <si>
    <t>Stewart County</t>
  </si>
  <si>
    <t>Clearlake, CA</t>
  </si>
  <si>
    <t>Cleveland, MS</t>
  </si>
  <si>
    <t>Cleveland-Indianola, MS</t>
  </si>
  <si>
    <t>Bolivar County</t>
  </si>
  <si>
    <t>Cleveland, TN</t>
  </si>
  <si>
    <t>Bradley County</t>
  </si>
  <si>
    <t>Cleveland-Elyria, OH</t>
  </si>
  <si>
    <t>Cuyahoga County</t>
  </si>
  <si>
    <t>Geauga County</t>
  </si>
  <si>
    <t>Lorain County</t>
  </si>
  <si>
    <t>Medina County</t>
  </si>
  <si>
    <t>Clewiston, FL</t>
  </si>
  <si>
    <t>Hendry County</t>
  </si>
  <si>
    <t>Clinton, IA</t>
  </si>
  <si>
    <t>Davenport-Moline, IA-IL</t>
  </si>
  <si>
    <t>Clinton County</t>
  </si>
  <si>
    <t>Clovis, NM</t>
  </si>
  <si>
    <t>Clovis-Portales, NM</t>
  </si>
  <si>
    <t>Coamo, PR</t>
  </si>
  <si>
    <t>Ponce-Yauco-Coamo, PR</t>
  </si>
  <si>
    <t>Coamo Municipio</t>
  </si>
  <si>
    <t>Coco, PR</t>
  </si>
  <si>
    <t>Salinas Municipio</t>
  </si>
  <si>
    <t>Coeur d'Alene, ID</t>
  </si>
  <si>
    <t>Spokane-Spokane Valley-Coeur d'Alene, WA-ID</t>
  </si>
  <si>
    <t>Kootenai County</t>
  </si>
  <si>
    <t>Coffeyville, KS</t>
  </si>
  <si>
    <t>Coldwater, MI</t>
  </si>
  <si>
    <t>Branch County</t>
  </si>
  <si>
    <t>College Station-Bryan, TX</t>
  </si>
  <si>
    <t>Brazos County</t>
  </si>
  <si>
    <t>Burleson County</t>
  </si>
  <si>
    <t>Robertson County</t>
  </si>
  <si>
    <t>Colorado Springs, CO</t>
  </si>
  <si>
    <t>El Paso County</t>
  </si>
  <si>
    <t>Teller County</t>
  </si>
  <si>
    <t>Columbia, MO</t>
  </si>
  <si>
    <t>Columbia-Moberly-Mexico, MO</t>
  </si>
  <si>
    <t>Cooper County</t>
  </si>
  <si>
    <t>Columbia, SC</t>
  </si>
  <si>
    <t>Columbia-Orangeburg-Newberry, SC</t>
  </si>
  <si>
    <t>Kershaw County</t>
  </si>
  <si>
    <t>Lexington County</t>
  </si>
  <si>
    <t>Richland County</t>
  </si>
  <si>
    <t>Saluda County</t>
  </si>
  <si>
    <t>Columbus, GA-AL</t>
  </si>
  <si>
    <t>Russell County</t>
  </si>
  <si>
    <t>Chattahoochee County</t>
  </si>
  <si>
    <t>Harris County</t>
  </si>
  <si>
    <t>Muscogee County</t>
  </si>
  <si>
    <t>Talbot County</t>
  </si>
  <si>
    <t>Columbus, IN</t>
  </si>
  <si>
    <t>Indianapolis-Carmel-Muncie, IN</t>
  </si>
  <si>
    <t>Bartholomew County</t>
  </si>
  <si>
    <t>Columbus, MS</t>
  </si>
  <si>
    <t>Columbus-West Point, MS</t>
  </si>
  <si>
    <t>Lowndes County</t>
  </si>
  <si>
    <t>Columbus, NE</t>
  </si>
  <si>
    <t>Platte County</t>
  </si>
  <si>
    <t>Columbus, OH</t>
  </si>
  <si>
    <t>Delaware County</t>
  </si>
  <si>
    <t>Hocking County</t>
  </si>
  <si>
    <t>Licking County</t>
  </si>
  <si>
    <t>Morrow County</t>
  </si>
  <si>
    <t>Perry County</t>
  </si>
  <si>
    <t>Pickaway County</t>
  </si>
  <si>
    <t>Concord, NH</t>
  </si>
  <si>
    <t>Merrimack County</t>
  </si>
  <si>
    <t>Connersville, IN</t>
  </si>
  <si>
    <t>Richmond-Connersville, IN</t>
  </si>
  <si>
    <t>Cookeville, TN</t>
  </si>
  <si>
    <t>Overton County</t>
  </si>
  <si>
    <t>Putnam County</t>
  </si>
  <si>
    <t>Coos Bay, OR</t>
  </si>
  <si>
    <t>Cordele, GA</t>
  </si>
  <si>
    <t>Crisp County</t>
  </si>
  <si>
    <t>Corinth, MS</t>
  </si>
  <si>
    <t>Tupelo-Corinth, MS</t>
  </si>
  <si>
    <t>Alcorn County</t>
  </si>
  <si>
    <t>Cornelia, GA</t>
  </si>
  <si>
    <t>Habersham County</t>
  </si>
  <si>
    <t>Corning, NY</t>
  </si>
  <si>
    <t>Elmira-Corning, NY</t>
  </si>
  <si>
    <t>Corpus Christi, TX</t>
  </si>
  <si>
    <t>Nueces County</t>
  </si>
  <si>
    <t>San Patricio County</t>
  </si>
  <si>
    <t>Corsicana, TX</t>
  </si>
  <si>
    <t>Navarro County</t>
  </si>
  <si>
    <t>Cortland, NY</t>
  </si>
  <si>
    <t>Ithaca-Cortland, NY</t>
  </si>
  <si>
    <t>Cortland County</t>
  </si>
  <si>
    <t>Corvallis, OR</t>
  </si>
  <si>
    <t>Coshocton, OH</t>
  </si>
  <si>
    <t>Coshocton County</t>
  </si>
  <si>
    <t>Craig, CO</t>
  </si>
  <si>
    <t>Steamboat Springs-Craig, CO</t>
  </si>
  <si>
    <t>Moffat County</t>
  </si>
  <si>
    <t>Crawfordsville, IN</t>
  </si>
  <si>
    <t>Crescent City, CA</t>
  </si>
  <si>
    <t>Del Norte County</t>
  </si>
  <si>
    <t>Crestview-Fort Walton Beach-Destin, FL</t>
  </si>
  <si>
    <t>Okaloosa County</t>
  </si>
  <si>
    <t>Crossville, TN</t>
  </si>
  <si>
    <t>Cullman, AL</t>
  </si>
  <si>
    <t>Cullman County</t>
  </si>
  <si>
    <t>Cullowhee, NC</t>
  </si>
  <si>
    <t>Swain County</t>
  </si>
  <si>
    <t>Cumberland, MD-WV</t>
  </si>
  <si>
    <t>Allegany County</t>
  </si>
  <si>
    <t>Mineral County</t>
  </si>
  <si>
    <t>Dallas-Fort Worth-Arlington, TX</t>
  </si>
  <si>
    <t>Collin County</t>
  </si>
  <si>
    <t>Dallas County</t>
  </si>
  <si>
    <t>Denton County</t>
  </si>
  <si>
    <t>Ellis County</t>
  </si>
  <si>
    <t>Hunt County</t>
  </si>
  <si>
    <t>Kaufman County</t>
  </si>
  <si>
    <t>Rockwall County</t>
  </si>
  <si>
    <t>Parker County</t>
  </si>
  <si>
    <t>Tarrant County</t>
  </si>
  <si>
    <t>Dalton, GA</t>
  </si>
  <si>
    <t>Murray County</t>
  </si>
  <si>
    <t>Whitfield County</t>
  </si>
  <si>
    <t>Danville, IL</t>
  </si>
  <si>
    <t>Vermilion County</t>
  </si>
  <si>
    <t>Danville, KY</t>
  </si>
  <si>
    <t>Boyle County</t>
  </si>
  <si>
    <t>Danville, VA</t>
  </si>
  <si>
    <t>Pittsylvania County</t>
  </si>
  <si>
    <t>Danville city</t>
  </si>
  <si>
    <t>Daphne-Fairhope-Foley, AL</t>
  </si>
  <si>
    <t>Mobile-Daphne-Fairhope, AL</t>
  </si>
  <si>
    <t>Baldwin County</t>
  </si>
  <si>
    <t>Davenport-Moline-Rock Island, IA-IL</t>
  </si>
  <si>
    <t>Rock Island County</t>
  </si>
  <si>
    <t>Scott County</t>
  </si>
  <si>
    <t>Dayton, TN</t>
  </si>
  <si>
    <t>Rhea County</t>
  </si>
  <si>
    <t>Dayton-Kettering, OH</t>
  </si>
  <si>
    <t>Dayton-Springfield-Kettering, OH</t>
  </si>
  <si>
    <t>Miami County</t>
  </si>
  <si>
    <t>Decatur, AL</t>
  </si>
  <si>
    <t>Huntsville-Decatur, AL</t>
  </si>
  <si>
    <t>Decatur, IL</t>
  </si>
  <si>
    <t>Macon County</t>
  </si>
  <si>
    <t>Decatur, IN</t>
  </si>
  <si>
    <t>Adams County</t>
  </si>
  <si>
    <t>Defiance, OH</t>
  </si>
  <si>
    <t>Defiance County</t>
  </si>
  <si>
    <t>Del Rio, TX</t>
  </si>
  <si>
    <t>Val Verde County</t>
  </si>
  <si>
    <t>Deltona-Daytona Beach-Ormond Beach, FL</t>
  </si>
  <si>
    <t>Orlando-Lakeland-Deltona, FL</t>
  </si>
  <si>
    <t>Flagler County</t>
  </si>
  <si>
    <t>Volusia County</t>
  </si>
  <si>
    <t>Deming, NM</t>
  </si>
  <si>
    <t>Luna County</t>
  </si>
  <si>
    <t>Denver-Aurora-Lakewood, CO</t>
  </si>
  <si>
    <t>Arapahoe County</t>
  </si>
  <si>
    <t>Broomfield County</t>
  </si>
  <si>
    <t>Clear Creek County</t>
  </si>
  <si>
    <t>Denver County</t>
  </si>
  <si>
    <t>Elbert County</t>
  </si>
  <si>
    <t>Gilpin County</t>
  </si>
  <si>
    <t>Park County</t>
  </si>
  <si>
    <t>DeRidder, LA</t>
  </si>
  <si>
    <t>DeRidder-Fort Polk South, LA</t>
  </si>
  <si>
    <t>Beauregard Parish</t>
  </si>
  <si>
    <t>Des Moines-West Des Moines, IA</t>
  </si>
  <si>
    <t>Guthrie County</t>
  </si>
  <si>
    <t>Detroit-Warren-Dearborn, MI</t>
  </si>
  <si>
    <t>Wayne County</t>
  </si>
  <si>
    <t>Lapeer County</t>
  </si>
  <si>
    <t>Livingston County</t>
  </si>
  <si>
    <t>Macomb County</t>
  </si>
  <si>
    <t>Oakland County</t>
  </si>
  <si>
    <t>Dickinson, ND</t>
  </si>
  <si>
    <t>Billings County</t>
  </si>
  <si>
    <t>Dixon, IL</t>
  </si>
  <si>
    <t>Dixon-Sterling, IL</t>
  </si>
  <si>
    <t>Dodge City, KS</t>
  </si>
  <si>
    <t>Ford County</t>
  </si>
  <si>
    <t>Dothan, AL</t>
  </si>
  <si>
    <t>Dothan-Ozark, AL</t>
  </si>
  <si>
    <t>Geneva County</t>
  </si>
  <si>
    <t>Houston County</t>
  </si>
  <si>
    <t>Douglas, GA</t>
  </si>
  <si>
    <t>Atkinson County</t>
  </si>
  <si>
    <t>Coffee County</t>
  </si>
  <si>
    <t>Dover, DE</t>
  </si>
  <si>
    <t>Kent County</t>
  </si>
  <si>
    <t>Dublin, GA</t>
  </si>
  <si>
    <t>Laurens County</t>
  </si>
  <si>
    <t>Treutlen County</t>
  </si>
  <si>
    <t>DuBois, PA</t>
  </si>
  <si>
    <t>State College-DuBois, PA</t>
  </si>
  <si>
    <t>Clearfield County</t>
  </si>
  <si>
    <t>Dubuque, IA</t>
  </si>
  <si>
    <t>Dubuque County</t>
  </si>
  <si>
    <t>Duluth, MN-WI</t>
  </si>
  <si>
    <t>Carlton County</t>
  </si>
  <si>
    <t>St. Louis County</t>
  </si>
  <si>
    <t>Dumas, TX</t>
  </si>
  <si>
    <t>Moore County</t>
  </si>
  <si>
    <t>Duncan, OK</t>
  </si>
  <si>
    <t>Stephens County</t>
  </si>
  <si>
    <t>Durango, CO</t>
  </si>
  <si>
    <t>La Plata County</t>
  </si>
  <si>
    <t>Durant, OK</t>
  </si>
  <si>
    <t>Bryan County</t>
  </si>
  <si>
    <t>Durham-Chapel Hill, NC</t>
  </si>
  <si>
    <t>Raleigh-Durham-Cary, NC</t>
  </si>
  <si>
    <t>Chatham County</t>
  </si>
  <si>
    <t>Durham County</t>
  </si>
  <si>
    <t>Granville County</t>
  </si>
  <si>
    <t>Person County</t>
  </si>
  <si>
    <t>Dyersburg, TN</t>
  </si>
  <si>
    <t>Dyer County</t>
  </si>
  <si>
    <t>Eagle Pass, TX</t>
  </si>
  <si>
    <t>Maverick County</t>
  </si>
  <si>
    <t>Easton, MD</t>
  </si>
  <si>
    <t>East Stroudsburg, PA</t>
  </si>
  <si>
    <t>Eau Claire, WI</t>
  </si>
  <si>
    <t>Eau Claire-Menomonie, WI</t>
  </si>
  <si>
    <t>Chippewa County</t>
  </si>
  <si>
    <t>Eau Claire County</t>
  </si>
  <si>
    <t>Edwards, CO</t>
  </si>
  <si>
    <t>Edwards-Glenwood Springs, CO</t>
  </si>
  <si>
    <t>Eagle County</t>
  </si>
  <si>
    <t>Effingham, IL</t>
  </si>
  <si>
    <t>Effingham County</t>
  </si>
  <si>
    <t>El Campo, TX</t>
  </si>
  <si>
    <t>Wharton County</t>
  </si>
  <si>
    <t>El Centro, CA</t>
  </si>
  <si>
    <t>Imperial County</t>
  </si>
  <si>
    <t>El Dorado, AR</t>
  </si>
  <si>
    <t>Elizabeth City, NC</t>
  </si>
  <si>
    <t>Virginia Beach-Norfolk, VA-NC</t>
  </si>
  <si>
    <t>Pasquotank County</t>
  </si>
  <si>
    <t>Perquimans County</t>
  </si>
  <si>
    <t>Elizabethtown-Fort Knox, KY</t>
  </si>
  <si>
    <t>Larue County</t>
  </si>
  <si>
    <t>Meade County</t>
  </si>
  <si>
    <t>Elk City, OK</t>
  </si>
  <si>
    <t>Beckham County</t>
  </si>
  <si>
    <t>Elkhart-Goshen, IN</t>
  </si>
  <si>
    <t>South Bend-Elkhart-Mishawaka, IN-MI</t>
  </si>
  <si>
    <t>Elkhart County</t>
  </si>
  <si>
    <t>Elkins, WV</t>
  </si>
  <si>
    <t>Randolph County</t>
  </si>
  <si>
    <t>Elko, NV</t>
  </si>
  <si>
    <t>Elko County</t>
  </si>
  <si>
    <t>Eureka County</t>
  </si>
  <si>
    <t>Ellensburg, WA</t>
  </si>
  <si>
    <t>Kittitas County</t>
  </si>
  <si>
    <t>Elmira, NY</t>
  </si>
  <si>
    <t>Chemung County</t>
  </si>
  <si>
    <t>El Paso, TX</t>
  </si>
  <si>
    <t>El Paso-Las Cruces, TX-NM</t>
  </si>
  <si>
    <t>Hudspeth County</t>
  </si>
  <si>
    <t>Emporia, KS</t>
  </si>
  <si>
    <t>Chase County</t>
  </si>
  <si>
    <t>Lyon County</t>
  </si>
  <si>
    <t>Enid, OK</t>
  </si>
  <si>
    <t>Garfield County</t>
  </si>
  <si>
    <t>Enterprise, AL</t>
  </si>
  <si>
    <t>Erie, PA</t>
  </si>
  <si>
    <t>Erie-Meadville, PA</t>
  </si>
  <si>
    <t>Escanaba, MI</t>
  </si>
  <si>
    <t>Delta County</t>
  </si>
  <si>
    <t>Española, NM</t>
  </si>
  <si>
    <t>Rio Arriba County</t>
  </si>
  <si>
    <t>Eufaula, AL-GA</t>
  </si>
  <si>
    <t>Barbour County</t>
  </si>
  <si>
    <t>Quitman County</t>
  </si>
  <si>
    <t>Eugene-Springfield, OR</t>
  </si>
  <si>
    <t>Lane County</t>
  </si>
  <si>
    <t>Eureka-Arcata, CA</t>
  </si>
  <si>
    <t>Humboldt County</t>
  </si>
  <si>
    <t>Evanston, WY</t>
  </si>
  <si>
    <t>Uinta County</t>
  </si>
  <si>
    <t>Evansville, IN-KY</t>
  </si>
  <si>
    <t>Posey County</t>
  </si>
  <si>
    <t>Vanderburgh County</t>
  </si>
  <si>
    <t>Warrick County</t>
  </si>
  <si>
    <t>Fairbanks, AK</t>
  </si>
  <si>
    <t>Fairbanks North Star Borough</t>
  </si>
  <si>
    <t>Fairfield, IA</t>
  </si>
  <si>
    <t>Fairmont, MN</t>
  </si>
  <si>
    <t>Martin County</t>
  </si>
  <si>
    <t>Fairmont, WV</t>
  </si>
  <si>
    <t>Morgantown-Fairmont, WV</t>
  </si>
  <si>
    <t>Fallon, NV</t>
  </si>
  <si>
    <t>Churchill County</t>
  </si>
  <si>
    <t>Fargo, ND-MN</t>
  </si>
  <si>
    <t>Fargo-Wahpeton, ND-MN</t>
  </si>
  <si>
    <t>Faribault-Northfield, MN</t>
  </si>
  <si>
    <t>Minneapolis-St. Paul, MN-WI</t>
  </si>
  <si>
    <t>Rice County</t>
  </si>
  <si>
    <t>Farmington, MO</t>
  </si>
  <si>
    <t>St. Francois County</t>
  </si>
  <si>
    <t>Farmington, NM</t>
  </si>
  <si>
    <t>San Juan County</t>
  </si>
  <si>
    <t>Fayetteville, NC</t>
  </si>
  <si>
    <t>Fayetteville-Sanford-Lumberton, NC</t>
  </si>
  <si>
    <t>Harnett County</t>
  </si>
  <si>
    <t>Hoke County</t>
  </si>
  <si>
    <t>Fayetteville-Springdale-Rogers, AR</t>
  </si>
  <si>
    <t>Fergus Falls, MN</t>
  </si>
  <si>
    <t>Otter Tail County</t>
  </si>
  <si>
    <t>Fernley, NV</t>
  </si>
  <si>
    <t>Findlay, OH</t>
  </si>
  <si>
    <t>Toledo-Findlay-Tiffin, OH</t>
  </si>
  <si>
    <t>Hancock County</t>
  </si>
  <si>
    <t>Fitzgerald, GA</t>
  </si>
  <si>
    <t>Ben Hill County</t>
  </si>
  <si>
    <t>Flagstaff, AZ</t>
  </si>
  <si>
    <t>Coconino County</t>
  </si>
  <si>
    <t>Arizona</t>
  </si>
  <si>
    <t>Flint, MI</t>
  </si>
  <si>
    <t>Florence, SC</t>
  </si>
  <si>
    <t>Darlington County</t>
  </si>
  <si>
    <t>Florence County</t>
  </si>
  <si>
    <t>Florence-Muscle Shoals, AL</t>
  </si>
  <si>
    <t>Colbert County</t>
  </si>
  <si>
    <t>Lauderdale County</t>
  </si>
  <si>
    <t>Fond du Lac, WI</t>
  </si>
  <si>
    <t>Fond du Lac County</t>
  </si>
  <si>
    <t>Forest City, NC</t>
  </si>
  <si>
    <t>Rutherford County</t>
  </si>
  <si>
    <t>Forrest City, AR</t>
  </si>
  <si>
    <t>Memphis-Forrest City, TN-MS-AR</t>
  </si>
  <si>
    <t>St. Francis County</t>
  </si>
  <si>
    <t>Fort Collins, CO</t>
  </si>
  <si>
    <t>Larimer County</t>
  </si>
  <si>
    <t>Fort Dodge, IA</t>
  </si>
  <si>
    <t>Webster County</t>
  </si>
  <si>
    <t>Fort Leonard Wood, MO</t>
  </si>
  <si>
    <t>Fort Madison-Keokuk, IA-IL-MO</t>
  </si>
  <si>
    <t>Fort Morgan, CO</t>
  </si>
  <si>
    <t>Fort Payne, AL</t>
  </si>
  <si>
    <t>Scottsboro-Fort Payne, AL</t>
  </si>
  <si>
    <t>Fort Polk South, LA</t>
  </si>
  <si>
    <t>Vernon Parish</t>
  </si>
  <si>
    <t>Fort Smith, AR-OK</t>
  </si>
  <si>
    <t>Sebastian County</t>
  </si>
  <si>
    <t>Sequoyah County</t>
  </si>
  <si>
    <t>Fort Wayne, IN</t>
  </si>
  <si>
    <t>Whitley County</t>
  </si>
  <si>
    <t>Frankfort, IN</t>
  </si>
  <si>
    <t>Lafayette-West Lafayette-Frankfort, IN</t>
  </si>
  <si>
    <t>Frankfort, KY</t>
  </si>
  <si>
    <t>Lexington-Fayette--Richmond--Frankfort, KY</t>
  </si>
  <si>
    <t>Anderson County</t>
  </si>
  <si>
    <t>Fredericksburg, TX</t>
  </si>
  <si>
    <t>Kerrville-Fredericksburg, TX</t>
  </si>
  <si>
    <t>Gillespie County</t>
  </si>
  <si>
    <t>Freeport, IL</t>
  </si>
  <si>
    <t>Rockford-Freeport-Rochelle, IL</t>
  </si>
  <si>
    <t>Stephenson County</t>
  </si>
  <si>
    <t>Fremont, NE</t>
  </si>
  <si>
    <t>Omaha-Council Bluffs-Fremont, NE-IA</t>
  </si>
  <si>
    <t>Fremont, OH</t>
  </si>
  <si>
    <t>Sandusky County</t>
  </si>
  <si>
    <t>Fresno, CA</t>
  </si>
  <si>
    <t>Fresno-Madera-Hanford, CA</t>
  </si>
  <si>
    <t>Fresno County</t>
  </si>
  <si>
    <t>Gadsden, AL</t>
  </si>
  <si>
    <t>Etowah County</t>
  </si>
  <si>
    <t>Gaffney, SC</t>
  </si>
  <si>
    <t>Greenville-Spartanburg-Anderson, SC</t>
  </si>
  <si>
    <t>Gainesville, FL</t>
  </si>
  <si>
    <t>Gainesville-Lake City, FL</t>
  </si>
  <si>
    <t>Alachua County</t>
  </si>
  <si>
    <t>Gilchrist County</t>
  </si>
  <si>
    <t>Levy County</t>
  </si>
  <si>
    <t>Gainesville, GA</t>
  </si>
  <si>
    <t>Hall County</t>
  </si>
  <si>
    <t>Gainesville, TX</t>
  </si>
  <si>
    <t>Cooke County</t>
  </si>
  <si>
    <t>Galesburg, IL</t>
  </si>
  <si>
    <t>Knox County</t>
  </si>
  <si>
    <t>Gallup, NM</t>
  </si>
  <si>
    <t>McKinley County</t>
  </si>
  <si>
    <t>Garden City, KS</t>
  </si>
  <si>
    <t>Finney County</t>
  </si>
  <si>
    <t>Kearny County</t>
  </si>
  <si>
    <t>Gardnerville Ranchos, NV</t>
  </si>
  <si>
    <t>Georgetown, SC</t>
  </si>
  <si>
    <t>Myrtle Beach-Conway, SC-NC</t>
  </si>
  <si>
    <t>Georgetown County</t>
  </si>
  <si>
    <t>Gettysburg, PA</t>
  </si>
  <si>
    <t>Harrisburg-York-Lebanon, PA</t>
  </si>
  <si>
    <t>Gillette, WY</t>
  </si>
  <si>
    <t>Crook County</t>
  </si>
  <si>
    <t>Weston County</t>
  </si>
  <si>
    <t>Glasgow, KY</t>
  </si>
  <si>
    <t>Barren County</t>
  </si>
  <si>
    <t>Metcalfe County</t>
  </si>
  <si>
    <t>Glens Falls, NY</t>
  </si>
  <si>
    <t>Glenwood Springs, CO</t>
  </si>
  <si>
    <t>Pitkin County</t>
  </si>
  <si>
    <t>Gloversville, NY</t>
  </si>
  <si>
    <t>Goldsboro, NC</t>
  </si>
  <si>
    <t>Granbury, TX</t>
  </si>
  <si>
    <t>Hood County</t>
  </si>
  <si>
    <t>Grand Forks, ND-MN</t>
  </si>
  <si>
    <t>Grand Forks County</t>
  </si>
  <si>
    <t>Grand Island, NE</t>
  </si>
  <si>
    <t>Merrick County</t>
  </si>
  <si>
    <t>Grand Junction, CO</t>
  </si>
  <si>
    <t>Mesa County</t>
  </si>
  <si>
    <t>Grand Rapids, MN</t>
  </si>
  <si>
    <t>Itasca County</t>
  </si>
  <si>
    <t>Grand Rapids-Kentwood, MI</t>
  </si>
  <si>
    <t>Ionia County</t>
  </si>
  <si>
    <t>Montcalm County</t>
  </si>
  <si>
    <t>Ottawa County</t>
  </si>
  <si>
    <t>Grants, NM</t>
  </si>
  <si>
    <t>Cibola County</t>
  </si>
  <si>
    <t>Grants Pass, OR</t>
  </si>
  <si>
    <t>Medford-Grants Pass, OR</t>
  </si>
  <si>
    <t>Josephine County</t>
  </si>
  <si>
    <t>Great Bend, KS</t>
  </si>
  <si>
    <t>Barton County</t>
  </si>
  <si>
    <t>Great Falls, MT</t>
  </si>
  <si>
    <t>Cascade County</t>
  </si>
  <si>
    <t>Greeley, CO</t>
  </si>
  <si>
    <t>Weld County</t>
  </si>
  <si>
    <t>Green Bay, WI</t>
  </si>
  <si>
    <t>Green Bay-Shawano, WI</t>
  </si>
  <si>
    <t>Kewaunee County</t>
  </si>
  <si>
    <t>Oconto County</t>
  </si>
  <si>
    <t>Greeneville, TN</t>
  </si>
  <si>
    <t>Greensboro-High Point, NC</t>
  </si>
  <si>
    <t>Guilford County</t>
  </si>
  <si>
    <t>Greensburg, IN</t>
  </si>
  <si>
    <t>Greenville, MS</t>
  </si>
  <si>
    <t>Greenville, NC</t>
  </si>
  <si>
    <t>Greenville-Kinston-Washington, NC</t>
  </si>
  <si>
    <t>Pitt County</t>
  </si>
  <si>
    <t>Greenville, OH</t>
  </si>
  <si>
    <t>Darke County</t>
  </si>
  <si>
    <t>Greenville-Anderson, SC</t>
  </si>
  <si>
    <t>Greenville County</t>
  </si>
  <si>
    <t>Greenwood, MS</t>
  </si>
  <si>
    <t>Leflore County</t>
  </si>
  <si>
    <t>Greenwood, SC</t>
  </si>
  <si>
    <t>Greenwood County</t>
  </si>
  <si>
    <t>Grenada, MS</t>
  </si>
  <si>
    <t>Grenada County</t>
  </si>
  <si>
    <t>Guayama, PR</t>
  </si>
  <si>
    <t>Arroyo Municipio</t>
  </si>
  <si>
    <t>Guayama Municipio</t>
  </si>
  <si>
    <t>Patillas Municipio</t>
  </si>
  <si>
    <t>Gulfport-Biloxi, MS</t>
  </si>
  <si>
    <t>Stone County</t>
  </si>
  <si>
    <t>Guymon, OK</t>
  </si>
  <si>
    <t>Texas County</t>
  </si>
  <si>
    <t>Hagerstown-Martinsburg, MD-WV</t>
  </si>
  <si>
    <t>Hailey, ID</t>
  </si>
  <si>
    <t>Blaine County</t>
  </si>
  <si>
    <t>Camas County</t>
  </si>
  <si>
    <t>Hammond, LA</t>
  </si>
  <si>
    <t>Tangipahoa Parish</t>
  </si>
  <si>
    <t>Hanford-Corcoran, CA</t>
  </si>
  <si>
    <t>Kings County</t>
  </si>
  <si>
    <t>Hannibal, MO</t>
  </si>
  <si>
    <t>Quincy-Hannibal, IL-MO</t>
  </si>
  <si>
    <t>Ralls County</t>
  </si>
  <si>
    <t>Harrisburg-Carlisle, PA</t>
  </si>
  <si>
    <t>Dauphin County</t>
  </si>
  <si>
    <t>Harrison, AR</t>
  </si>
  <si>
    <t>Harrisonburg, VA</t>
  </si>
  <si>
    <t>Harrisonburg-Staunton, VA</t>
  </si>
  <si>
    <t>Harrisonburg city</t>
  </si>
  <si>
    <t>Hartford-East Hartford-Middletown, CT</t>
  </si>
  <si>
    <t>Hartford-East Hartford, CT</t>
  </si>
  <si>
    <t>Hartford County</t>
  </si>
  <si>
    <t>Tolland County</t>
  </si>
  <si>
    <t>Hastings, NE</t>
  </si>
  <si>
    <t>Hattiesburg, MS</t>
  </si>
  <si>
    <t>Hattiesburg-Laurel, MS</t>
  </si>
  <si>
    <t>Covington County</t>
  </si>
  <si>
    <t>Forrest County</t>
  </si>
  <si>
    <t>Hays, KS</t>
  </si>
  <si>
    <t>Heber, UT</t>
  </si>
  <si>
    <t>Salt Lake City-Provo-Orem, UT</t>
  </si>
  <si>
    <t>Wasatch County</t>
  </si>
  <si>
    <t>Helena, MT</t>
  </si>
  <si>
    <t>Lewis and Clark County</t>
  </si>
  <si>
    <t>Helena-West Helena, AR</t>
  </si>
  <si>
    <t>Phillips County</t>
  </si>
  <si>
    <t>Henderson, NC</t>
  </si>
  <si>
    <t>Vance County</t>
  </si>
  <si>
    <t>Hereford, TX</t>
  </si>
  <si>
    <t>Deaf Smith County</t>
  </si>
  <si>
    <t>Hermiston-Pendleton, OR</t>
  </si>
  <si>
    <t>Umatilla County</t>
  </si>
  <si>
    <t>Hickory-Lenoir-Morganton, NC</t>
  </si>
  <si>
    <t>Catawba County</t>
  </si>
  <si>
    <t>Hillsdale, MI</t>
  </si>
  <si>
    <t>Hillsdale County</t>
  </si>
  <si>
    <t>Hilo, HI</t>
  </si>
  <si>
    <t>Hawaii County</t>
  </si>
  <si>
    <t>Hawaii</t>
  </si>
  <si>
    <t>Hilton Head Island-Bluffton, SC</t>
  </si>
  <si>
    <t>Beaufort County</t>
  </si>
  <si>
    <t>Hinesville, GA</t>
  </si>
  <si>
    <t>Savannah-Hinesville-Statesboro, GA</t>
  </si>
  <si>
    <t>Liberty County</t>
  </si>
  <si>
    <t>Long County</t>
  </si>
  <si>
    <t>Hobbs, NM</t>
  </si>
  <si>
    <t>Lea County</t>
  </si>
  <si>
    <t>Holland, MI</t>
  </si>
  <si>
    <t>Allegan County</t>
  </si>
  <si>
    <t>Homosassa Springs, FL</t>
  </si>
  <si>
    <t>Citrus County</t>
  </si>
  <si>
    <t>Hood River, OR</t>
  </si>
  <si>
    <t>Hood River County</t>
  </si>
  <si>
    <t>Hope, AR</t>
  </si>
  <si>
    <t>Hempstead County</t>
  </si>
  <si>
    <t>Nevada County</t>
  </si>
  <si>
    <t>Hot Springs, AR</t>
  </si>
  <si>
    <t>Hot Springs-Malvern, AR</t>
  </si>
  <si>
    <t>Garland County</t>
  </si>
  <si>
    <t>Houghton, MI</t>
  </si>
  <si>
    <t>Houghton County</t>
  </si>
  <si>
    <t>Keweenaw County</t>
  </si>
  <si>
    <t>Houma-Thibodaux, LA</t>
  </si>
  <si>
    <t>Lafourche Parish</t>
  </si>
  <si>
    <t>Terrebonne Parish</t>
  </si>
  <si>
    <t>Houston-The Woodlands-Sugar Land, TX</t>
  </si>
  <si>
    <t>Austin County</t>
  </si>
  <si>
    <t>Brazoria County</t>
  </si>
  <si>
    <t>Chambers County</t>
  </si>
  <si>
    <t>Fort Bend County</t>
  </si>
  <si>
    <t>Galveston County</t>
  </si>
  <si>
    <t>Waller County</t>
  </si>
  <si>
    <t>Hudson, NY</t>
  </si>
  <si>
    <t>Huntingdon, PA</t>
  </si>
  <si>
    <t>Huntingdon County</t>
  </si>
  <si>
    <t>Huntington, IN</t>
  </si>
  <si>
    <t>Huntington County</t>
  </si>
  <si>
    <t>Huntington-Ashland, WV-KY-OH</t>
  </si>
  <si>
    <t>Boyd County</t>
  </si>
  <si>
    <t>Greenup County</t>
  </si>
  <si>
    <t>Cabell County</t>
  </si>
  <si>
    <t>Huntsville, AL</t>
  </si>
  <si>
    <t>Limestone County</t>
  </si>
  <si>
    <t>Huntsville, TX</t>
  </si>
  <si>
    <t>Huron, SD</t>
  </si>
  <si>
    <t>Beadle County</t>
  </si>
  <si>
    <t>Jerauld County</t>
  </si>
  <si>
    <t>Hutchinson, KS</t>
  </si>
  <si>
    <t>Reno County</t>
  </si>
  <si>
    <t>Hutchinson, MN</t>
  </si>
  <si>
    <t>McLeod County</t>
  </si>
  <si>
    <t>Idaho Falls, ID</t>
  </si>
  <si>
    <t>Bonneville County</t>
  </si>
  <si>
    <t>Indiana, PA</t>
  </si>
  <si>
    <t>Pittsburgh-New Castle-Weirton, PA-OH-WV</t>
  </si>
  <si>
    <t>Indiana County</t>
  </si>
  <si>
    <t>Indianapolis-Carmel-Anderson, IN</t>
  </si>
  <si>
    <t>Hendricks County</t>
  </si>
  <si>
    <t>Indianola, MS</t>
  </si>
  <si>
    <t>Sunflower County</t>
  </si>
  <si>
    <t>Iowa City, IA</t>
  </si>
  <si>
    <t>Iron Mountain, MI-WI</t>
  </si>
  <si>
    <t>Marinette-Iron Mountain, WI-MI</t>
  </si>
  <si>
    <t>Dickinson County</t>
  </si>
  <si>
    <t>Ithaca, NY</t>
  </si>
  <si>
    <t>Tompkins County</t>
  </si>
  <si>
    <t>Jackson, MI</t>
  </si>
  <si>
    <t>Jackson, MS</t>
  </si>
  <si>
    <t>Copiah County</t>
  </si>
  <si>
    <t>Hinds County</t>
  </si>
  <si>
    <t>Holmes County</t>
  </si>
  <si>
    <t>Rankin County</t>
  </si>
  <si>
    <t>Simpson County</t>
  </si>
  <si>
    <t>Yazoo County</t>
  </si>
  <si>
    <t>Jackson, OH</t>
  </si>
  <si>
    <t>Jackson, TN</t>
  </si>
  <si>
    <t>Crockett County</t>
  </si>
  <si>
    <t>Gibson County</t>
  </si>
  <si>
    <t>Jackson, WY-ID</t>
  </si>
  <si>
    <t>Teton County</t>
  </si>
  <si>
    <t>Jacksonville, FL</t>
  </si>
  <si>
    <t>Jacksonville-St. Marys-Palatka, FL-GA</t>
  </si>
  <si>
    <t>Baker County</t>
  </si>
  <si>
    <t>Nassau County</t>
  </si>
  <si>
    <t>St. Johns County</t>
  </si>
  <si>
    <t>Jacksonville, IL</t>
  </si>
  <si>
    <t>Springfield-Jacksonville-Lincoln, IL</t>
  </si>
  <si>
    <t>Jacksonville, NC</t>
  </si>
  <si>
    <t>Onslow County</t>
  </si>
  <si>
    <t>Jacksonville, TX</t>
  </si>
  <si>
    <t>Tyler-Jacksonville, TX</t>
  </si>
  <si>
    <t>Jamestown, ND</t>
  </si>
  <si>
    <t>Stutsman County</t>
  </si>
  <si>
    <t>Jamestown-Dunkirk-Fredonia, NY</t>
  </si>
  <si>
    <t>Chautauqua County</t>
  </si>
  <si>
    <t>Janesville-Beloit, WI</t>
  </si>
  <si>
    <t>Rock County</t>
  </si>
  <si>
    <t>Jasper, AL</t>
  </si>
  <si>
    <t>Jasper, IN</t>
  </si>
  <si>
    <t>Dubois County</t>
  </si>
  <si>
    <t>Jayuya, PR</t>
  </si>
  <si>
    <t>Jayuya Municipio</t>
  </si>
  <si>
    <t>Jefferson, GA</t>
  </si>
  <si>
    <t>Jefferson City, MO</t>
  </si>
  <si>
    <t>Callaway County</t>
  </si>
  <si>
    <t>Cole County</t>
  </si>
  <si>
    <t>Moniteau County</t>
  </si>
  <si>
    <t>Osage County</t>
  </si>
  <si>
    <t>Jennings, LA</t>
  </si>
  <si>
    <t>Lake Charles-Jennings, LA</t>
  </si>
  <si>
    <t>Jefferson Davis Parish</t>
  </si>
  <si>
    <t>Jesup, GA</t>
  </si>
  <si>
    <t>Johnson City, TN</t>
  </si>
  <si>
    <t>Johnson City-Kingsport-Bristol, TN-VA</t>
  </si>
  <si>
    <t>Unicoi County</t>
  </si>
  <si>
    <t>Johnstown, PA</t>
  </si>
  <si>
    <t>Johnstown-Somerset, PA</t>
  </si>
  <si>
    <t>Cambria County</t>
  </si>
  <si>
    <t>Jonesboro, AR</t>
  </si>
  <si>
    <t>Jonesboro-Paragould, AR</t>
  </si>
  <si>
    <t>Craighead County</t>
  </si>
  <si>
    <t>Poinsett County</t>
  </si>
  <si>
    <t>Joplin, MO</t>
  </si>
  <si>
    <t>Joplin-Miami, MO-OK</t>
  </si>
  <si>
    <t>Juneau, AK</t>
  </si>
  <si>
    <t>Juneau City and Borough</t>
  </si>
  <si>
    <t>Kahului-Wailuku-Lahaina, HI</t>
  </si>
  <si>
    <t>Maui County</t>
  </si>
  <si>
    <t>Kalamazoo-Portage, MI</t>
  </si>
  <si>
    <t>Kalamazoo County</t>
  </si>
  <si>
    <t>Kalispell, MT</t>
  </si>
  <si>
    <t>Flathead County</t>
  </si>
  <si>
    <t>Kankakee, IL</t>
  </si>
  <si>
    <t>Kankakee County</t>
  </si>
  <si>
    <t>Kansas City, MO-KS</t>
  </si>
  <si>
    <t>Leavenworth County</t>
  </si>
  <si>
    <t>Wyandotte County</t>
  </si>
  <si>
    <t>Bates County</t>
  </si>
  <si>
    <t>Lafayette County</t>
  </si>
  <si>
    <t>Ray County</t>
  </si>
  <si>
    <t>Kapaa, HI</t>
  </si>
  <si>
    <t>Kauai County</t>
  </si>
  <si>
    <t>Kearney, NE</t>
  </si>
  <si>
    <t>Buffalo County</t>
  </si>
  <si>
    <t>Kearney County</t>
  </si>
  <si>
    <t>Keene, NH</t>
  </si>
  <si>
    <t>Cheshire County</t>
  </si>
  <si>
    <t>Kendallville, IN</t>
  </si>
  <si>
    <t>Noble County</t>
  </si>
  <si>
    <t>Kennett, MO</t>
  </si>
  <si>
    <t>Dunklin County</t>
  </si>
  <si>
    <t>Kennewick-Richland, WA</t>
  </si>
  <si>
    <t>Kennewick-Richland-Walla Walla, WA</t>
  </si>
  <si>
    <t>Kerrville, TX</t>
  </si>
  <si>
    <t>Kerr County</t>
  </si>
  <si>
    <t>Ketchikan, AK</t>
  </si>
  <si>
    <t>Ketchikan Gateway Borough</t>
  </si>
  <si>
    <t>Key West, FL</t>
  </si>
  <si>
    <t>Miami-Port St. Lucie-Fort Lauderdale, FL</t>
  </si>
  <si>
    <t>Kill Devil Hills, NC</t>
  </si>
  <si>
    <t>Dare County</t>
  </si>
  <si>
    <t>Killeen-Temple, TX</t>
  </si>
  <si>
    <t>Bell County</t>
  </si>
  <si>
    <t>Coryell County</t>
  </si>
  <si>
    <t>Lampasas County</t>
  </si>
  <si>
    <t>Kingsport-Bristol, TN-VA</t>
  </si>
  <si>
    <t>Hawkins County</t>
  </si>
  <si>
    <t>Sullivan County</t>
  </si>
  <si>
    <t>Bristol city</t>
  </si>
  <si>
    <t>Kingston, NY</t>
  </si>
  <si>
    <t>Ulster County</t>
  </si>
  <si>
    <t>Kingsville, TX</t>
  </si>
  <si>
    <t>Kenedy County</t>
  </si>
  <si>
    <t>Kleberg County</t>
  </si>
  <si>
    <t>Kinston, NC</t>
  </si>
  <si>
    <t>Lenoir County</t>
  </si>
  <si>
    <t>Kirksville, MO</t>
  </si>
  <si>
    <t>Adair County</t>
  </si>
  <si>
    <t>Schuyler County</t>
  </si>
  <si>
    <t>Klamath Falls, OR</t>
  </si>
  <si>
    <t>Klamath County</t>
  </si>
  <si>
    <t>Knoxville, TN</t>
  </si>
  <si>
    <t>Knoxville-Morristown-Sevierville, TN</t>
  </si>
  <si>
    <t>Loudon County</t>
  </si>
  <si>
    <t>Roane County</t>
  </si>
  <si>
    <t>Kokomo, IN</t>
  </si>
  <si>
    <t>Kokomo-Peru, IN</t>
  </si>
  <si>
    <t>Laconia, NH</t>
  </si>
  <si>
    <t>Belknap County</t>
  </si>
  <si>
    <t>La Crosse-Onalaska, WI-MN</t>
  </si>
  <si>
    <t>La Crosse County</t>
  </si>
  <si>
    <t>Lafayette, LA</t>
  </si>
  <si>
    <t>Lafayette-Opelousas-Morgan City, LA</t>
  </si>
  <si>
    <t>Acadia Parish</t>
  </si>
  <si>
    <t>Iberia Parish</t>
  </si>
  <si>
    <t>Lafayette Parish</t>
  </si>
  <si>
    <t>St. Martin Parish</t>
  </si>
  <si>
    <t>Vermilion Parish</t>
  </si>
  <si>
    <t>Lafayette-West Lafayette, IN</t>
  </si>
  <si>
    <t>Tippecanoe County</t>
  </si>
  <si>
    <t>La Grande, OR</t>
  </si>
  <si>
    <t>LaGrange, GA-AL</t>
  </si>
  <si>
    <t>Troup County</t>
  </si>
  <si>
    <t>Lake Charles, LA</t>
  </si>
  <si>
    <t>Calcasieu Parish</t>
  </si>
  <si>
    <t>Cameron Parish</t>
  </si>
  <si>
    <t>Lake City, FL</t>
  </si>
  <si>
    <t>Lake Havasu City-Kingman, AZ</t>
  </si>
  <si>
    <t>Mohave County</t>
  </si>
  <si>
    <t>Lakeland-Winter Haven, FL</t>
  </si>
  <si>
    <t>Lamesa, TX</t>
  </si>
  <si>
    <t>Lancaster, PA</t>
  </si>
  <si>
    <t>Lansing-East Lansing, MI</t>
  </si>
  <si>
    <t>Eaton County</t>
  </si>
  <si>
    <t>Ingham County</t>
  </si>
  <si>
    <t>Shiawassee County</t>
  </si>
  <si>
    <t>Laramie, WY</t>
  </si>
  <si>
    <t>Laredo, TX</t>
  </si>
  <si>
    <t>Webb County</t>
  </si>
  <si>
    <t>Las Cruces, NM</t>
  </si>
  <si>
    <t>Doña Ana County</t>
  </si>
  <si>
    <t>Las Vegas, NM</t>
  </si>
  <si>
    <t>Mora County</t>
  </si>
  <si>
    <t>San Miguel County</t>
  </si>
  <si>
    <t>Las Vegas-Henderson-Paradise, NV</t>
  </si>
  <si>
    <t>Las Vegas-Henderson, NV</t>
  </si>
  <si>
    <t>Laurel, MS</t>
  </si>
  <si>
    <t>Laurinburg, NC</t>
  </si>
  <si>
    <t>Scotland County</t>
  </si>
  <si>
    <t>Lawrence, KS</t>
  </si>
  <si>
    <t>Lawrenceburg, TN</t>
  </si>
  <si>
    <t>Nashville-Davidson--Murfreesboro, TN</t>
  </si>
  <si>
    <t>Lawton, OK</t>
  </si>
  <si>
    <t>Comanche County</t>
  </si>
  <si>
    <t>Cotton County</t>
  </si>
  <si>
    <t>Lebanon, MO</t>
  </si>
  <si>
    <t>Laclede County</t>
  </si>
  <si>
    <t>Lebanon, NH-VT</t>
  </si>
  <si>
    <t>Grafton County</t>
  </si>
  <si>
    <t>Windsor County</t>
  </si>
  <si>
    <t>Lebanon, PA</t>
  </si>
  <si>
    <t>Lebanon County</t>
  </si>
  <si>
    <t>Levelland, TX</t>
  </si>
  <si>
    <t>Lubbock-Plainview-Levelland, TX</t>
  </si>
  <si>
    <t>Hockley County</t>
  </si>
  <si>
    <t>Lewisburg, PA</t>
  </si>
  <si>
    <t>Lewisburg, TN</t>
  </si>
  <si>
    <t>Lewiston, ID-WA</t>
  </si>
  <si>
    <t>Nez Perce County</t>
  </si>
  <si>
    <t>Asotin County</t>
  </si>
  <si>
    <t>Lewiston-Auburn, ME</t>
  </si>
  <si>
    <t>Portland-Lewiston-South Portland, ME</t>
  </si>
  <si>
    <t>Androscoggin County</t>
  </si>
  <si>
    <t>Lewistown, PA</t>
  </si>
  <si>
    <t>Mifflin County</t>
  </si>
  <si>
    <t>Lexington, NE</t>
  </si>
  <si>
    <t>Gosper County</t>
  </si>
  <si>
    <t>Lexington-Fayette, KY</t>
  </si>
  <si>
    <t>Bourbon County</t>
  </si>
  <si>
    <t>Jessamine County</t>
  </si>
  <si>
    <t>Woodford County</t>
  </si>
  <si>
    <t>Liberal, KS</t>
  </si>
  <si>
    <t>Seward County</t>
  </si>
  <si>
    <t>Lima, OH</t>
  </si>
  <si>
    <t>Lincoln, IL</t>
  </si>
  <si>
    <t>Lincoln, NE</t>
  </si>
  <si>
    <t>Little Rock-North Little Rock-Conway, AR</t>
  </si>
  <si>
    <t>Little Rock-North Little Rock, AR</t>
  </si>
  <si>
    <t>Faulkner County</t>
  </si>
  <si>
    <t>Lonoke County</t>
  </si>
  <si>
    <t>Saline County</t>
  </si>
  <si>
    <t>Lock Haven, PA</t>
  </si>
  <si>
    <t>Williamsport-Lock Haven, PA</t>
  </si>
  <si>
    <t>Logan, UT-ID</t>
  </si>
  <si>
    <t>Cache County</t>
  </si>
  <si>
    <t>Logansport, IN</t>
  </si>
  <si>
    <t>London, KY</t>
  </si>
  <si>
    <t>Laurel County</t>
  </si>
  <si>
    <t>Longview, TX</t>
  </si>
  <si>
    <t>Gregg County</t>
  </si>
  <si>
    <t>Rusk County</t>
  </si>
  <si>
    <t>Upshur County</t>
  </si>
  <si>
    <t>Longview, WA</t>
  </si>
  <si>
    <t>Cowlitz County</t>
  </si>
  <si>
    <t>Los Alamos, NM</t>
  </si>
  <si>
    <t>Los Alamos County</t>
  </si>
  <si>
    <t>Los Angeles-Long Beach-Anaheim, CA</t>
  </si>
  <si>
    <t>Los Angeles-Long Beach, CA</t>
  </si>
  <si>
    <t>Los Angeles County</t>
  </si>
  <si>
    <t>Louisville/Jefferson County, KY-IN</t>
  </si>
  <si>
    <t>Floyd County</t>
  </si>
  <si>
    <t>Bullitt County</t>
  </si>
  <si>
    <t>Spencer County</t>
  </si>
  <si>
    <t>Lubbock, TX</t>
  </si>
  <si>
    <t>Crosby County</t>
  </si>
  <si>
    <t>Lubbock County</t>
  </si>
  <si>
    <t>Lynn County</t>
  </si>
  <si>
    <t>Ludington, MI</t>
  </si>
  <si>
    <t>Mason County</t>
  </si>
  <si>
    <t>Lufkin, TX</t>
  </si>
  <si>
    <t>Angelina County</t>
  </si>
  <si>
    <t>Lumberton, NC</t>
  </si>
  <si>
    <t>Robeson County</t>
  </si>
  <si>
    <t>Lynchburg, VA</t>
  </si>
  <si>
    <t>Amherst County</t>
  </si>
  <si>
    <t>Appomattox County</t>
  </si>
  <si>
    <t>Bedford County</t>
  </si>
  <si>
    <t>Lynchburg city</t>
  </si>
  <si>
    <t>Macomb, IL</t>
  </si>
  <si>
    <t>McDonough County</t>
  </si>
  <si>
    <t>Macon-Bibb County, GA</t>
  </si>
  <si>
    <t>Macon-Bibb County--Warner Robins, GA</t>
  </si>
  <si>
    <t>Twiggs County</t>
  </si>
  <si>
    <t>Madera, CA</t>
  </si>
  <si>
    <t>Madera County</t>
  </si>
  <si>
    <t>Madison, IN</t>
  </si>
  <si>
    <t>Madison, WI</t>
  </si>
  <si>
    <t>Dane County</t>
  </si>
  <si>
    <t>Iowa County</t>
  </si>
  <si>
    <t>Madisonville, KY</t>
  </si>
  <si>
    <t>Hopkins County</t>
  </si>
  <si>
    <t>Magnolia, AR</t>
  </si>
  <si>
    <t>Malone, NY</t>
  </si>
  <si>
    <t>Malvern, AR</t>
  </si>
  <si>
    <t>Hot Spring County</t>
  </si>
  <si>
    <t>Manchester-Nashua, NH</t>
  </si>
  <si>
    <t>Hillsborough County</t>
  </si>
  <si>
    <t>Manhattan, KS</t>
  </si>
  <si>
    <t>Geary County</t>
  </si>
  <si>
    <t>Pottawatomie County</t>
  </si>
  <si>
    <t>Riley County</t>
  </si>
  <si>
    <t>Manitowoc, WI</t>
  </si>
  <si>
    <t>Manitowoc County</t>
  </si>
  <si>
    <t>Mankato, MN</t>
  </si>
  <si>
    <t>Mankato-New Ulm, MN</t>
  </si>
  <si>
    <t>Blue Earth County</t>
  </si>
  <si>
    <t>Nicollet County</t>
  </si>
  <si>
    <t>Mansfield, OH</t>
  </si>
  <si>
    <t>Marietta, OH</t>
  </si>
  <si>
    <t>Parkersburg-Marietta-Vienna, WV-OH</t>
  </si>
  <si>
    <t>Marinette, WI-MI</t>
  </si>
  <si>
    <t>Menominee County</t>
  </si>
  <si>
    <t>Marinette County</t>
  </si>
  <si>
    <t>Marion, IN</t>
  </si>
  <si>
    <t>Marion, NC</t>
  </si>
  <si>
    <t>McDowell County</t>
  </si>
  <si>
    <t>Marion, OH</t>
  </si>
  <si>
    <t>Marquette, MI</t>
  </si>
  <si>
    <t>Marquette County</t>
  </si>
  <si>
    <t>Marshall, MN</t>
  </si>
  <si>
    <t>Marshall, MO</t>
  </si>
  <si>
    <t>Marshalltown, IA</t>
  </si>
  <si>
    <t>Martin, TN</t>
  </si>
  <si>
    <t>Martin-Union City, TN</t>
  </si>
  <si>
    <t>Weakley County</t>
  </si>
  <si>
    <t>Martinsville, VA</t>
  </si>
  <si>
    <t>Martinsville city</t>
  </si>
  <si>
    <t>Maryville, MO</t>
  </si>
  <si>
    <t>Nodaway County</t>
  </si>
  <si>
    <t>Mason City, IA</t>
  </si>
  <si>
    <t>Cerro Gordo County</t>
  </si>
  <si>
    <t>Mayagüez, PR</t>
  </si>
  <si>
    <t>Mayagüez-San Germán, PR</t>
  </si>
  <si>
    <t>Hormigueros Municipio</t>
  </si>
  <si>
    <t>Las Marías Municipio</t>
  </si>
  <si>
    <t>Mayagüez Municipio</t>
  </si>
  <si>
    <t>Mayfield, KY</t>
  </si>
  <si>
    <t>Paducah-Mayfield, KY-IL</t>
  </si>
  <si>
    <t>Graves County</t>
  </si>
  <si>
    <t>Maysville, KY</t>
  </si>
  <si>
    <t>McAlester, OK</t>
  </si>
  <si>
    <t>Pittsburg County</t>
  </si>
  <si>
    <t>McAllen-Edinburg-Mission, TX</t>
  </si>
  <si>
    <t>McAllen-Edinburg, TX</t>
  </si>
  <si>
    <t>Hidalgo County</t>
  </si>
  <si>
    <t>McComb, MS</t>
  </si>
  <si>
    <t>McMinnville, TN</t>
  </si>
  <si>
    <t>McPherson, KS</t>
  </si>
  <si>
    <t>McPherson County</t>
  </si>
  <si>
    <t>Meadville, PA</t>
  </si>
  <si>
    <t>Medford, OR</t>
  </si>
  <si>
    <t>Memphis, TN-MS-AR</t>
  </si>
  <si>
    <t>Crittenden County</t>
  </si>
  <si>
    <t>Tate County</t>
  </si>
  <si>
    <t>Tunica County</t>
  </si>
  <si>
    <t>Tipton County</t>
  </si>
  <si>
    <t>Menomonie, WI</t>
  </si>
  <si>
    <t>Dunn County</t>
  </si>
  <si>
    <t>Merced, CA</t>
  </si>
  <si>
    <t>San Jose-San Francisco-Oakland, CA</t>
  </si>
  <si>
    <t>Merced County</t>
  </si>
  <si>
    <t>Meridian, MS</t>
  </si>
  <si>
    <t>Kemper County</t>
  </si>
  <si>
    <t>Mexico, MO</t>
  </si>
  <si>
    <t>Audrain County</t>
  </si>
  <si>
    <t>Miami, OK</t>
  </si>
  <si>
    <t>Miami-Fort Lauderdale-Pompano Beach, FL</t>
  </si>
  <si>
    <t>Broward County</t>
  </si>
  <si>
    <t>Miami-Dade County</t>
  </si>
  <si>
    <t>Palm Beach County</t>
  </si>
  <si>
    <t>Michigan City-La Porte, IN</t>
  </si>
  <si>
    <t>LaPorte County</t>
  </si>
  <si>
    <t>Middlesborough, KY</t>
  </si>
  <si>
    <t>Midland, MI</t>
  </si>
  <si>
    <t>Midland County</t>
  </si>
  <si>
    <t>Midland, TX</t>
  </si>
  <si>
    <t>Midland-Odessa, TX</t>
  </si>
  <si>
    <t>Milledgeville, GA</t>
  </si>
  <si>
    <t>Milwaukee-Waukesha, WI</t>
  </si>
  <si>
    <t>Milwaukee County</t>
  </si>
  <si>
    <t>Ozaukee County</t>
  </si>
  <si>
    <t>Waukesha County</t>
  </si>
  <si>
    <t>Minden, LA</t>
  </si>
  <si>
    <t>Shreveport-Bossier City-Minden, LA</t>
  </si>
  <si>
    <t>Webster Parish</t>
  </si>
  <si>
    <t>Mineral Wells, TX</t>
  </si>
  <si>
    <t>Palo Pinto County</t>
  </si>
  <si>
    <t>Minneapolis-St. Paul-Bloomington, MN-WI</t>
  </si>
  <si>
    <t>Anoka County</t>
  </si>
  <si>
    <t>Carver County</t>
  </si>
  <si>
    <t>Chisago County</t>
  </si>
  <si>
    <t>Dakota County</t>
  </si>
  <si>
    <t>Hennepin County</t>
  </si>
  <si>
    <t>Isanti County</t>
  </si>
  <si>
    <t>Le Sueur County</t>
  </si>
  <si>
    <t>Mille Lacs County</t>
  </si>
  <si>
    <t>Ramsey County</t>
  </si>
  <si>
    <t>Sherburne County</t>
  </si>
  <si>
    <t>Wright County</t>
  </si>
  <si>
    <t>Pierce County</t>
  </si>
  <si>
    <t>St. Croix County</t>
  </si>
  <si>
    <t>Minot, ND</t>
  </si>
  <si>
    <t>Renville County</t>
  </si>
  <si>
    <t>Ward County</t>
  </si>
  <si>
    <t>Missoula, MT</t>
  </si>
  <si>
    <t>Missoula County</t>
  </si>
  <si>
    <t>Mitchell, SD</t>
  </si>
  <si>
    <t>Davison County</t>
  </si>
  <si>
    <t>Hanson County</t>
  </si>
  <si>
    <t>Moberly, MO</t>
  </si>
  <si>
    <t>Mobile, AL</t>
  </si>
  <si>
    <t>Mobile County</t>
  </si>
  <si>
    <t>Modesto, CA</t>
  </si>
  <si>
    <t>Stanislaus County</t>
  </si>
  <si>
    <t>Monroe, LA</t>
  </si>
  <si>
    <t>Monroe-Ruston, LA</t>
  </si>
  <si>
    <t>Morehouse Parish</t>
  </si>
  <si>
    <t>Ouachita Parish</t>
  </si>
  <si>
    <t>Union Parish</t>
  </si>
  <si>
    <t>Monroe, MI</t>
  </si>
  <si>
    <t>Montgomery, AL</t>
  </si>
  <si>
    <t>Autauga County</t>
  </si>
  <si>
    <t>Elmore County</t>
  </si>
  <si>
    <t>Montrose, CO</t>
  </si>
  <si>
    <t>Montrose County</t>
  </si>
  <si>
    <t>Ouray County</t>
  </si>
  <si>
    <t>Morehead City, NC</t>
  </si>
  <si>
    <t>New Bern-Morehead City, NC</t>
  </si>
  <si>
    <t>Carteret County</t>
  </si>
  <si>
    <t>Morgan City, LA</t>
  </si>
  <si>
    <t>St. Mary Parish</t>
  </si>
  <si>
    <t>Morgantown, WV</t>
  </si>
  <si>
    <t>Monongalia County</t>
  </si>
  <si>
    <t>Preston County</t>
  </si>
  <si>
    <t>Morristown, TN</t>
  </si>
  <si>
    <t>Grainger County</t>
  </si>
  <si>
    <t>Hamblen County</t>
  </si>
  <si>
    <t>Moscow, ID</t>
  </si>
  <si>
    <t>Pullman-Moscow, WA-ID</t>
  </si>
  <si>
    <t>Latah County</t>
  </si>
  <si>
    <t>Moses Lake, WA</t>
  </si>
  <si>
    <t>Moses Lake-Othello, WA</t>
  </si>
  <si>
    <t>Moultrie, GA</t>
  </si>
  <si>
    <t>Colquitt County</t>
  </si>
  <si>
    <t>Mountain Home, AR</t>
  </si>
  <si>
    <t>Baxter County</t>
  </si>
  <si>
    <t>Mountain Home, ID</t>
  </si>
  <si>
    <t>Mount Airy, NC</t>
  </si>
  <si>
    <t>Surry County</t>
  </si>
  <si>
    <t>Mount Gay-Shamrock, WV</t>
  </si>
  <si>
    <t>Mount Pleasant, MI</t>
  </si>
  <si>
    <t>Isabella County</t>
  </si>
  <si>
    <t>Mount Pleasant, TX</t>
  </si>
  <si>
    <t>Camp County</t>
  </si>
  <si>
    <t>Titus County</t>
  </si>
  <si>
    <t>Mount Sterling, KY</t>
  </si>
  <si>
    <t>Bath County</t>
  </si>
  <si>
    <t>Menifee County</t>
  </si>
  <si>
    <t>Mount Vernon, IL</t>
  </si>
  <si>
    <t>Mount Vernon, OH</t>
  </si>
  <si>
    <t>Mount Vernon-Anacortes, WA</t>
  </si>
  <si>
    <t>Skagit County</t>
  </si>
  <si>
    <t>Muncie, IN</t>
  </si>
  <si>
    <t>Murray, KY</t>
  </si>
  <si>
    <t>Calloway County</t>
  </si>
  <si>
    <t>Muscatine, IA</t>
  </si>
  <si>
    <t>Muscatine County</t>
  </si>
  <si>
    <t>Muskegon, MI</t>
  </si>
  <si>
    <t>Muskegon County</t>
  </si>
  <si>
    <t>Muskogee, OK</t>
  </si>
  <si>
    <t>Muskogee County</t>
  </si>
  <si>
    <t>Myrtle Beach-Conway-North Myrtle Beach, SC-NC</t>
  </si>
  <si>
    <t>Brunswick County</t>
  </si>
  <si>
    <t>Horry County</t>
  </si>
  <si>
    <t>Nacogdoches, TX</t>
  </si>
  <si>
    <t>Nacogdoches County</t>
  </si>
  <si>
    <t>Napa, CA</t>
  </si>
  <si>
    <t>Napa County</t>
  </si>
  <si>
    <t>Naples-Marco Island, FL</t>
  </si>
  <si>
    <t>Collier County</t>
  </si>
  <si>
    <t>Nashville-Davidson--Murfreesboro--Franklin, TN</t>
  </si>
  <si>
    <t>Cannon County</t>
  </si>
  <si>
    <t>Cheatham County</t>
  </si>
  <si>
    <t>Davidson County</t>
  </si>
  <si>
    <t>Dickson County</t>
  </si>
  <si>
    <t>Maury County</t>
  </si>
  <si>
    <t>Smith County</t>
  </si>
  <si>
    <t>Sumner County</t>
  </si>
  <si>
    <t>Trousdale County</t>
  </si>
  <si>
    <t>Wilson County</t>
  </si>
  <si>
    <t>Natchez, MS-LA</t>
  </si>
  <si>
    <t>Concordia Parish</t>
  </si>
  <si>
    <t>Natchitoches, LA</t>
  </si>
  <si>
    <t>Natchitoches Parish</t>
  </si>
  <si>
    <t>New Bern, NC</t>
  </si>
  <si>
    <t>Craven County</t>
  </si>
  <si>
    <t>Pamlico County</t>
  </si>
  <si>
    <t>Newberry, SC</t>
  </si>
  <si>
    <t>Newberry County</t>
  </si>
  <si>
    <t>New Castle, IN</t>
  </si>
  <si>
    <t>New Castle, PA</t>
  </si>
  <si>
    <t>New Haven-Milford, CT</t>
  </si>
  <si>
    <t>New Haven County</t>
  </si>
  <si>
    <t>New Orleans-Metairie, LA</t>
  </si>
  <si>
    <t>Jefferson Parish</t>
  </si>
  <si>
    <t>Orleans Parish</t>
  </si>
  <si>
    <t>Plaquemines Parish</t>
  </si>
  <si>
    <t>St. Bernard Parish</t>
  </si>
  <si>
    <t>St. Charles Parish</t>
  </si>
  <si>
    <t>St. James Parish</t>
  </si>
  <si>
    <t>St. John the Baptist Parish</t>
  </si>
  <si>
    <t>St. Tammany Parish</t>
  </si>
  <si>
    <t>New Philadelphia-Dover, OH</t>
  </si>
  <si>
    <t>Tuscarawas County</t>
  </si>
  <si>
    <t>Newport, OR</t>
  </si>
  <si>
    <t>Newport, TN</t>
  </si>
  <si>
    <t>Cocke County</t>
  </si>
  <si>
    <t>New Ulm, MN</t>
  </si>
  <si>
    <t>New York-Newark-Jersey City, NY-NJ-PA</t>
  </si>
  <si>
    <t>Hunterdon County</t>
  </si>
  <si>
    <t>Morris County</t>
  </si>
  <si>
    <t>Sussex County</t>
  </si>
  <si>
    <t>Monmouth County</t>
  </si>
  <si>
    <t>Ocean County</t>
  </si>
  <si>
    <t>Somerset County</t>
  </si>
  <si>
    <t>Bergen County</t>
  </si>
  <si>
    <t>Hudson County</t>
  </si>
  <si>
    <t>Passaic County</t>
  </si>
  <si>
    <t>Bronx County</t>
  </si>
  <si>
    <t>New York County</t>
  </si>
  <si>
    <t>Queens County</t>
  </si>
  <si>
    <t>Rockland County</t>
  </si>
  <si>
    <t>Westchester County</t>
  </si>
  <si>
    <t>Niles, MI</t>
  </si>
  <si>
    <t>Berrien County</t>
  </si>
  <si>
    <t>Nogales, AZ</t>
  </si>
  <si>
    <t>Tucson-Nogales, AZ</t>
  </si>
  <si>
    <t>Santa Cruz County</t>
  </si>
  <si>
    <t>Norfolk, NE</t>
  </si>
  <si>
    <t>Stanton County</t>
  </si>
  <si>
    <t>North Platte, NE</t>
  </si>
  <si>
    <t>North Port-Sarasota-Bradenton, FL</t>
  </si>
  <si>
    <t>Manatee County</t>
  </si>
  <si>
    <t>Sarasota County</t>
  </si>
  <si>
    <t>North Vernon, IN</t>
  </si>
  <si>
    <t>Jennings County</t>
  </si>
  <si>
    <t>North Wilkesboro, NC</t>
  </si>
  <si>
    <t>Wilkes County</t>
  </si>
  <si>
    <t>Norwalk, OH</t>
  </si>
  <si>
    <t>Huron County</t>
  </si>
  <si>
    <t>Norwich-New London, CT</t>
  </si>
  <si>
    <t>New London County</t>
  </si>
  <si>
    <t>Oak Harbor, WA</t>
  </si>
  <si>
    <t>Island County</t>
  </si>
  <si>
    <t>Ocala, FL</t>
  </si>
  <si>
    <t>Ocean City, NJ</t>
  </si>
  <si>
    <t>Cape May County</t>
  </si>
  <si>
    <t>Odessa, TX</t>
  </si>
  <si>
    <t>Ector County</t>
  </si>
  <si>
    <t>Ogden-Clearfield, UT</t>
  </si>
  <si>
    <t>Box Elder County</t>
  </si>
  <si>
    <t>Davis County</t>
  </si>
  <si>
    <t>Weber County</t>
  </si>
  <si>
    <t>Ogdensburg-Massena, NY</t>
  </si>
  <si>
    <t>St. Lawrence County</t>
  </si>
  <si>
    <t>Oil City, PA</t>
  </si>
  <si>
    <t>Venango County</t>
  </si>
  <si>
    <t>Okeechobee, FL</t>
  </si>
  <si>
    <t>Okeechobee County</t>
  </si>
  <si>
    <t>Oklahoma City, OK</t>
  </si>
  <si>
    <t>Oklahoma City-Shawnee, OK</t>
  </si>
  <si>
    <t>Canadian County</t>
  </si>
  <si>
    <t>Cleveland County</t>
  </si>
  <si>
    <t>Grady County</t>
  </si>
  <si>
    <t>McClain County</t>
  </si>
  <si>
    <t>Oklahoma County</t>
  </si>
  <si>
    <t>Olean, NY</t>
  </si>
  <si>
    <t>Cattaraugus County</t>
  </si>
  <si>
    <t>Olympia-Lacey-Tumwater, WA</t>
  </si>
  <si>
    <t>Thurston County</t>
  </si>
  <si>
    <t>Omaha-Council Bluffs, NE-IA</t>
  </si>
  <si>
    <t>Mills County</t>
  </si>
  <si>
    <t>Pottawattamie County</t>
  </si>
  <si>
    <t>Sarpy County</t>
  </si>
  <si>
    <t>Saunders County</t>
  </si>
  <si>
    <t>Oneonta, NY</t>
  </si>
  <si>
    <t>Otsego County</t>
  </si>
  <si>
    <t>Ontario, OR-ID</t>
  </si>
  <si>
    <t>Payette County</t>
  </si>
  <si>
    <t>Malheur County</t>
  </si>
  <si>
    <t>Opelousas, LA</t>
  </si>
  <si>
    <t>St. Landry Parish</t>
  </si>
  <si>
    <t>Orangeburg, SC</t>
  </si>
  <si>
    <t>Orangeburg County</t>
  </si>
  <si>
    <t>Orlando-Kissimmee-Sanford, FL</t>
  </si>
  <si>
    <t>Osceola County</t>
  </si>
  <si>
    <t>Seminole County</t>
  </si>
  <si>
    <t>Oshkosh-Neenah, WI</t>
  </si>
  <si>
    <t>Winnebago County</t>
  </si>
  <si>
    <t>Oskaloosa, IA</t>
  </si>
  <si>
    <t>Mahaska County</t>
  </si>
  <si>
    <t>Othello, WA</t>
  </si>
  <si>
    <t>Ottawa, IL</t>
  </si>
  <si>
    <t>Bureau County</t>
  </si>
  <si>
    <t>LaSalle County</t>
  </si>
  <si>
    <t>Ottawa, KS</t>
  </si>
  <si>
    <t>Ottumwa, IA</t>
  </si>
  <si>
    <t>Wapello County</t>
  </si>
  <si>
    <t>Owatonna, MN</t>
  </si>
  <si>
    <t>Steele County</t>
  </si>
  <si>
    <t>Owensboro, KY</t>
  </si>
  <si>
    <t>Daviess County</t>
  </si>
  <si>
    <t>Oxford, MS</t>
  </si>
  <si>
    <t>Oxnard-Thousand Oaks-Ventura, CA</t>
  </si>
  <si>
    <t>Ventura County</t>
  </si>
  <si>
    <t>Ozark, AL</t>
  </si>
  <si>
    <t>Dale County</t>
  </si>
  <si>
    <t>Paducah, KY-IL</t>
  </si>
  <si>
    <t>Massac County</t>
  </si>
  <si>
    <t>Ballard County</t>
  </si>
  <si>
    <t>McCracken County</t>
  </si>
  <si>
    <t>Pahrump, NV</t>
  </si>
  <si>
    <t>Nye County</t>
  </si>
  <si>
    <t>Palatka, FL</t>
  </si>
  <si>
    <t>Palestine, TX</t>
  </si>
  <si>
    <t>Palm Bay-Melbourne-Titusville, FL</t>
  </si>
  <si>
    <t>Brevard County</t>
  </si>
  <si>
    <t>Pampa, TX</t>
  </si>
  <si>
    <t>Gray County</t>
  </si>
  <si>
    <t>Roberts County</t>
  </si>
  <si>
    <t>Panama City, FL</t>
  </si>
  <si>
    <t>Paragould, AR</t>
  </si>
  <si>
    <t>Paris, TN</t>
  </si>
  <si>
    <t>Paris, TX</t>
  </si>
  <si>
    <t>Parkersburg-Vienna, WV</t>
  </si>
  <si>
    <t>Wirt County</t>
  </si>
  <si>
    <t>Wood County</t>
  </si>
  <si>
    <t>Parsons, KS</t>
  </si>
  <si>
    <t>Labette County</t>
  </si>
  <si>
    <t>Payson, AZ</t>
  </si>
  <si>
    <t>Phoenix-Mesa, AZ</t>
  </si>
  <si>
    <t>Gila County</t>
  </si>
  <si>
    <t>Pearsall, TX</t>
  </si>
  <si>
    <t>San Antonio-New Braunfels-Pearsall, TX</t>
  </si>
  <si>
    <t>Frio County</t>
  </si>
  <si>
    <t>Pecos, TX</t>
  </si>
  <si>
    <t>Loving County</t>
  </si>
  <si>
    <t>Reeves County</t>
  </si>
  <si>
    <t>Pella, IA</t>
  </si>
  <si>
    <t>Pensacola-Ferry Pass-Brent, FL</t>
  </si>
  <si>
    <t>Santa Rosa County</t>
  </si>
  <si>
    <t>Peoria, IL</t>
  </si>
  <si>
    <t>Peoria County</t>
  </si>
  <si>
    <t>Peru, IN</t>
  </si>
  <si>
    <t>Philadelphia-Camden-Wilmington, PA-NJ-DE-MD</t>
  </si>
  <si>
    <t>Burlington County</t>
  </si>
  <si>
    <t>Camden County</t>
  </si>
  <si>
    <t>Gloucester County</t>
  </si>
  <si>
    <t>Bucks County</t>
  </si>
  <si>
    <t>Philadelphia County</t>
  </si>
  <si>
    <t>New Castle County</t>
  </si>
  <si>
    <t>Cecil County</t>
  </si>
  <si>
    <t>Salem County</t>
  </si>
  <si>
    <t>Phoenix-Mesa-Chandler, AZ</t>
  </si>
  <si>
    <t>Maricopa County</t>
  </si>
  <si>
    <t>Pinal County</t>
  </si>
  <si>
    <t>Picayune, MS</t>
  </si>
  <si>
    <t>Pearl River County</t>
  </si>
  <si>
    <t>Pierre, SD</t>
  </si>
  <si>
    <t>Hughes County</t>
  </si>
  <si>
    <t>Stanley County</t>
  </si>
  <si>
    <t>Pine Bluff, AR</t>
  </si>
  <si>
    <t>Pinehurst-Southern Pines, NC</t>
  </si>
  <si>
    <t>Pittsburg, KS</t>
  </si>
  <si>
    <t>Pittsburgh, PA</t>
  </si>
  <si>
    <t>Allegheny County</t>
  </si>
  <si>
    <t>Beaver County</t>
  </si>
  <si>
    <t>Westmoreland County</t>
  </si>
  <si>
    <t>Pittsfield, MA</t>
  </si>
  <si>
    <t>Berkshire County</t>
  </si>
  <si>
    <t>Plainview, TX</t>
  </si>
  <si>
    <t>Hale County</t>
  </si>
  <si>
    <t>Platteville, WI</t>
  </si>
  <si>
    <t>Plattsburgh, NY</t>
  </si>
  <si>
    <t>Plymouth, IN</t>
  </si>
  <si>
    <t>Pocatello, ID</t>
  </si>
  <si>
    <t>Bannock County</t>
  </si>
  <si>
    <t>Power County</t>
  </si>
  <si>
    <t>Point Pleasant, WV-OH</t>
  </si>
  <si>
    <t>Gallia County</t>
  </si>
  <si>
    <t>Ponca City, OK</t>
  </si>
  <si>
    <t>Kay County</t>
  </si>
  <si>
    <t>Ponce, PR</t>
  </si>
  <si>
    <t>Adjuntas Municipio</t>
  </si>
  <si>
    <t>Juana Díaz Municipio</t>
  </si>
  <si>
    <t>Ponce Municipio</t>
  </si>
  <si>
    <t>Villalba Municipio</t>
  </si>
  <si>
    <t>Pontiac, IL</t>
  </si>
  <si>
    <t>Poplar Bluff, MO</t>
  </si>
  <si>
    <t>Ripley County</t>
  </si>
  <si>
    <t>Portales, NM</t>
  </si>
  <si>
    <t>Roosevelt County</t>
  </si>
  <si>
    <t>Port Angeles, WA</t>
  </si>
  <si>
    <t>Clallam County</t>
  </si>
  <si>
    <t>Portland-South Portland, ME</t>
  </si>
  <si>
    <t>Sagadahoc County</t>
  </si>
  <si>
    <t>Portland-Vancouver-Hillsboro, OR-WA</t>
  </si>
  <si>
    <t>Clackamas County</t>
  </si>
  <si>
    <t>Multnomah County</t>
  </si>
  <si>
    <t>Yamhill County</t>
  </si>
  <si>
    <t>Skamania County</t>
  </si>
  <si>
    <t>Port Lavaca, TX</t>
  </si>
  <si>
    <t>Victoria-Port Lavaca, TX</t>
  </si>
  <si>
    <t>Port St. Lucie, FL</t>
  </si>
  <si>
    <t>St. Lucie County</t>
  </si>
  <si>
    <t>Portsmouth, OH</t>
  </si>
  <si>
    <t>Scioto County</t>
  </si>
  <si>
    <t>Pottsville, PA</t>
  </si>
  <si>
    <t>Schuylkill County</t>
  </si>
  <si>
    <t>Poughkeepsie-Newburgh-Middletown, NY</t>
  </si>
  <si>
    <t>Dutchess County</t>
  </si>
  <si>
    <t>Prescott Valley-Prescott, AZ</t>
  </si>
  <si>
    <t>Yavapai County</t>
  </si>
  <si>
    <t>Price, UT</t>
  </si>
  <si>
    <t>Prineville, OR</t>
  </si>
  <si>
    <t>Providence-Warwick, RI-MA</t>
  </si>
  <si>
    <t>Bristol County</t>
  </si>
  <si>
    <t>Rhode Island</t>
  </si>
  <si>
    <t>Newport County</t>
  </si>
  <si>
    <t>Providence County</t>
  </si>
  <si>
    <t>Provo-Orem, UT</t>
  </si>
  <si>
    <t>Juab County</t>
  </si>
  <si>
    <t>Utah County</t>
  </si>
  <si>
    <t>Pueblo, CO</t>
  </si>
  <si>
    <t>Pueblo County</t>
  </si>
  <si>
    <t>Pullman, WA</t>
  </si>
  <si>
    <t>Whitman County</t>
  </si>
  <si>
    <t>Punta Gorda, FL</t>
  </si>
  <si>
    <t>Charlotte County</t>
  </si>
  <si>
    <t>Quincy, IL-MO</t>
  </si>
  <si>
    <t>Racine, WI</t>
  </si>
  <si>
    <t>Racine County</t>
  </si>
  <si>
    <t>Raleigh-Cary, NC</t>
  </si>
  <si>
    <t>Johnston County</t>
  </si>
  <si>
    <t>Wake County</t>
  </si>
  <si>
    <t>Rapid City, SD</t>
  </si>
  <si>
    <t>Rapid City-Spearfish, SD</t>
  </si>
  <si>
    <t>Pennington County</t>
  </si>
  <si>
    <t>Raymondville, TX</t>
  </si>
  <si>
    <t>Willacy County</t>
  </si>
  <si>
    <t>Reading, PA</t>
  </si>
  <si>
    <t>Berks County</t>
  </si>
  <si>
    <t>Red Bluff, CA</t>
  </si>
  <si>
    <t>Redding-Red Bluff, CA</t>
  </si>
  <si>
    <t>Tehama County</t>
  </si>
  <si>
    <t>Redding, CA</t>
  </si>
  <si>
    <t>Shasta County</t>
  </si>
  <si>
    <t>Red Wing, MN</t>
  </si>
  <si>
    <t>Goodhue County</t>
  </si>
  <si>
    <t>Reno, NV</t>
  </si>
  <si>
    <t>Storey County</t>
  </si>
  <si>
    <t>Washoe County</t>
  </si>
  <si>
    <t>Rexburg, ID</t>
  </si>
  <si>
    <t>Richmond, IN</t>
  </si>
  <si>
    <t>Richmond, VA</t>
  </si>
  <si>
    <t>Amelia County</t>
  </si>
  <si>
    <t>Charles City County</t>
  </si>
  <si>
    <t>Chesterfield County</t>
  </si>
  <si>
    <t>Dinwiddie County</t>
  </si>
  <si>
    <t>Goochland County</t>
  </si>
  <si>
    <t>Hanover County</t>
  </si>
  <si>
    <t>Henrico County</t>
  </si>
  <si>
    <t>King and Queen County</t>
  </si>
  <si>
    <t>King William County</t>
  </si>
  <si>
    <t>New Kent County</t>
  </si>
  <si>
    <t>Powhatan County</t>
  </si>
  <si>
    <t>Prince George County</t>
  </si>
  <si>
    <t>Colonial Heights city</t>
  </si>
  <si>
    <t>Hopewell city</t>
  </si>
  <si>
    <t>Petersburg city</t>
  </si>
  <si>
    <t>Richmond city</t>
  </si>
  <si>
    <t>Richmond-Berea, KY</t>
  </si>
  <si>
    <t>Estill County</t>
  </si>
  <si>
    <t>Rio Grande City-Roma, TX</t>
  </si>
  <si>
    <t>Starr County</t>
  </si>
  <si>
    <t>Riverside-San Bernardino-Ontario, CA</t>
  </si>
  <si>
    <t>Riverside County</t>
  </si>
  <si>
    <t>San Bernardino County</t>
  </si>
  <si>
    <t>Riverton, WY</t>
  </si>
  <si>
    <t>Roanoke, VA</t>
  </si>
  <si>
    <t>Botetourt County</t>
  </si>
  <si>
    <t>Craig County</t>
  </si>
  <si>
    <t>Roanoke County</t>
  </si>
  <si>
    <t>Roanoke city</t>
  </si>
  <si>
    <t>Salem city</t>
  </si>
  <si>
    <t>Roanoke Rapids, NC</t>
  </si>
  <si>
    <t>Rocky Mount-Wilson-Roanoke Rapids, NC</t>
  </si>
  <si>
    <t>Halifax County</t>
  </si>
  <si>
    <t>Rochelle, IL</t>
  </si>
  <si>
    <t>Ogle County</t>
  </si>
  <si>
    <t>Rochester, MN</t>
  </si>
  <si>
    <t>Fillmore County</t>
  </si>
  <si>
    <t>Olmsted County</t>
  </si>
  <si>
    <t>Wabasha County</t>
  </si>
  <si>
    <t>Rochester, NY</t>
  </si>
  <si>
    <t>Ontario County</t>
  </si>
  <si>
    <t>Orleans County</t>
  </si>
  <si>
    <t>Yates County</t>
  </si>
  <si>
    <t>Rockford, IL</t>
  </si>
  <si>
    <t>Rockingham, NC</t>
  </si>
  <si>
    <t>Rockport, TX</t>
  </si>
  <si>
    <t>Aransas County</t>
  </si>
  <si>
    <t>Rock Springs, WY</t>
  </si>
  <si>
    <t>Sweetwater County</t>
  </si>
  <si>
    <t>Rocky Mount, NC</t>
  </si>
  <si>
    <t>Edgecombe County</t>
  </si>
  <si>
    <t>Nash County</t>
  </si>
  <si>
    <t>Rolla, MO</t>
  </si>
  <si>
    <t>Phelps County</t>
  </si>
  <si>
    <t>Rome, GA</t>
  </si>
  <si>
    <t>Roseburg, OR</t>
  </si>
  <si>
    <t>Roswell, NM</t>
  </si>
  <si>
    <t>Chaves County</t>
  </si>
  <si>
    <t>Ruidoso, NM</t>
  </si>
  <si>
    <t>Russellville, AR</t>
  </si>
  <si>
    <t>Pope County</t>
  </si>
  <si>
    <t>Yell County</t>
  </si>
  <si>
    <t>Ruston, LA</t>
  </si>
  <si>
    <t>Lincoln Parish</t>
  </si>
  <si>
    <t>Rutland, VT</t>
  </si>
  <si>
    <t>Rutland County</t>
  </si>
  <si>
    <t>Sacramento-Roseville-Folsom, CA</t>
  </si>
  <si>
    <t>Sacramento-Roseville, CA</t>
  </si>
  <si>
    <t>El Dorado County</t>
  </si>
  <si>
    <t>Placer County</t>
  </si>
  <si>
    <t>Sacramento County</t>
  </si>
  <si>
    <t>Yolo County</t>
  </si>
  <si>
    <t>Safford, AZ</t>
  </si>
  <si>
    <t>Graham County</t>
  </si>
  <si>
    <t>Saginaw, MI</t>
  </si>
  <si>
    <t>Saginaw County</t>
  </si>
  <si>
    <t>St. Cloud, MN</t>
  </si>
  <si>
    <t>Stearns County</t>
  </si>
  <si>
    <t>St. George, UT</t>
  </si>
  <si>
    <t>St. Joseph, MO-KS</t>
  </si>
  <si>
    <t>Doniphan County</t>
  </si>
  <si>
    <t>Andrew County</t>
  </si>
  <si>
    <t>Buchanan County</t>
  </si>
  <si>
    <t>St. Louis, MO-IL</t>
  </si>
  <si>
    <t>Bond County</t>
  </si>
  <si>
    <t>Jersey County</t>
  </si>
  <si>
    <t>Macoupin County</t>
  </si>
  <si>
    <t>St. Charles County</t>
  </si>
  <si>
    <t>St. Louis city</t>
  </si>
  <si>
    <t>St. Marys, GA</t>
  </si>
  <si>
    <t>St. Marys, PA</t>
  </si>
  <si>
    <t>Elk County</t>
  </si>
  <si>
    <t>Salem, OH</t>
  </si>
  <si>
    <t>Youngstown-Warren, OH-PA</t>
  </si>
  <si>
    <t>Columbiana County</t>
  </si>
  <si>
    <t>Salem, OR</t>
  </si>
  <si>
    <t>Salina, KS</t>
  </si>
  <si>
    <t>Salinas, CA</t>
  </si>
  <si>
    <t>Monterey County</t>
  </si>
  <si>
    <t>Salisbury, MD-DE</t>
  </si>
  <si>
    <t>Wicomico County</t>
  </si>
  <si>
    <t>Worcester County</t>
  </si>
  <si>
    <t>Salt Lake City, UT</t>
  </si>
  <si>
    <t>Salt Lake County</t>
  </si>
  <si>
    <t>Tooele County</t>
  </si>
  <si>
    <t>San Angelo, TX</t>
  </si>
  <si>
    <t>Irion County</t>
  </si>
  <si>
    <t>Sterling County</t>
  </si>
  <si>
    <t>Tom Green County</t>
  </si>
  <si>
    <t>San Antonio-New Braunfels, TX</t>
  </si>
  <si>
    <t>Atascosa County</t>
  </si>
  <si>
    <t>Bandera County</t>
  </si>
  <si>
    <t>Bexar County</t>
  </si>
  <si>
    <t>Comal County</t>
  </si>
  <si>
    <t>Guadalupe County</t>
  </si>
  <si>
    <t>San Diego-Chula Vista-Carlsbad, CA</t>
  </si>
  <si>
    <t>San Diego County</t>
  </si>
  <si>
    <t>Sandpoint, ID</t>
  </si>
  <si>
    <t>Bonner County</t>
  </si>
  <si>
    <t>Sandusky, OH</t>
  </si>
  <si>
    <t>Sanford, NC</t>
  </si>
  <si>
    <t>San Francisco-Oakland-Berkeley, CA</t>
  </si>
  <si>
    <t>Alameda County</t>
  </si>
  <si>
    <t>Contra Costa County</t>
  </si>
  <si>
    <t>San Francisco County</t>
  </si>
  <si>
    <t>San Mateo County</t>
  </si>
  <si>
    <t>Marin County</t>
  </si>
  <si>
    <t>San Germán, PR</t>
  </si>
  <si>
    <t>Cabo Rojo Municipio</t>
  </si>
  <si>
    <t>Lajas Municipio</t>
  </si>
  <si>
    <t>Sabana Grande Municipio</t>
  </si>
  <si>
    <t>San Germán Municipio</t>
  </si>
  <si>
    <t>San Jose-Sunnyvale-Santa Clara, CA</t>
  </si>
  <si>
    <t>San Benito County</t>
  </si>
  <si>
    <t>Santa Clara County</t>
  </si>
  <si>
    <t>San Juan-Bayamón-Caguas, PR</t>
  </si>
  <si>
    <t>Aguas Buenas Municipio</t>
  </si>
  <si>
    <t>Aibonito Municipio</t>
  </si>
  <si>
    <t>Barceloneta Municipio</t>
  </si>
  <si>
    <t>Barranquitas Municipio</t>
  </si>
  <si>
    <t>Bayamón Municipio</t>
  </si>
  <si>
    <t>Caguas Municipio</t>
  </si>
  <si>
    <t>Canóvanas Municipio</t>
  </si>
  <si>
    <t>Carolina Municipio</t>
  </si>
  <si>
    <t>Cataño Municipio</t>
  </si>
  <si>
    <t>Cayey Municipio</t>
  </si>
  <si>
    <t>Ceiba Municipio</t>
  </si>
  <si>
    <t>Ciales Municipio</t>
  </si>
  <si>
    <t>Cidra Municipio</t>
  </si>
  <si>
    <t>Comerío Municipio</t>
  </si>
  <si>
    <t>Corozal Municipio</t>
  </si>
  <si>
    <t>Dorado Municipio</t>
  </si>
  <si>
    <t>Fajardo Municipio</t>
  </si>
  <si>
    <t>Florida Municipio</t>
  </si>
  <si>
    <t>Guaynabo Municipio</t>
  </si>
  <si>
    <t>Gurabo Municipio</t>
  </si>
  <si>
    <t>Humacao Municipio</t>
  </si>
  <si>
    <t>Juncos Municipio</t>
  </si>
  <si>
    <t>Las Piedras Municipio</t>
  </si>
  <si>
    <t>Loíza Municipio</t>
  </si>
  <si>
    <t>Luquillo Municipio</t>
  </si>
  <si>
    <t>Manatí Municipio</t>
  </si>
  <si>
    <t>Maunabo Municipio</t>
  </si>
  <si>
    <t>Morovis Municipio</t>
  </si>
  <si>
    <t>Naguabo Municipio</t>
  </si>
  <si>
    <t>Naranjito Municipio</t>
  </si>
  <si>
    <t>Orocovis Municipio</t>
  </si>
  <si>
    <t>Río Grande Municipio</t>
  </si>
  <si>
    <t>San Juan Municipio</t>
  </si>
  <si>
    <t>San Lorenzo Municipio</t>
  </si>
  <si>
    <t>Toa Alta Municipio</t>
  </si>
  <si>
    <t>Toa Baja Municipio</t>
  </si>
  <si>
    <t>Trujillo Alto Municipio</t>
  </si>
  <si>
    <t>Vega Alta Municipio</t>
  </si>
  <si>
    <t>Vega Baja Municipio</t>
  </si>
  <si>
    <t>Yabucoa Municipio</t>
  </si>
  <si>
    <t>San Luis Obispo-Paso Robles, CA</t>
  </si>
  <si>
    <t>San Luis Obispo County</t>
  </si>
  <si>
    <t>Santa Cruz-Watsonville, CA</t>
  </si>
  <si>
    <t>Santa Fe, NM</t>
  </si>
  <si>
    <t>Santa Fe County</t>
  </si>
  <si>
    <t>Santa Isabel, PR</t>
  </si>
  <si>
    <t>Santa Isabel Municipio</t>
  </si>
  <si>
    <t>Santa Maria-Santa Barbara, CA</t>
  </si>
  <si>
    <t>Santa Barbara County</t>
  </si>
  <si>
    <t>Santa Rosa-Petaluma, CA</t>
  </si>
  <si>
    <t>Sonoma County</t>
  </si>
  <si>
    <t>Sault Ste. Marie, MI</t>
  </si>
  <si>
    <t>Savannah, GA</t>
  </si>
  <si>
    <t>Sayre, PA</t>
  </si>
  <si>
    <t>Bradford County</t>
  </si>
  <si>
    <t>Scottsbluff, NE</t>
  </si>
  <si>
    <t>Banner County</t>
  </si>
  <si>
    <t>Scotts Bluff County</t>
  </si>
  <si>
    <t>Sioux County</t>
  </si>
  <si>
    <t>Scottsboro, AL</t>
  </si>
  <si>
    <t>Scottsburg, IN</t>
  </si>
  <si>
    <t>Scranton--Wilkes-Barre, PA</t>
  </si>
  <si>
    <t>Lackawanna County</t>
  </si>
  <si>
    <t>Luzerne County</t>
  </si>
  <si>
    <t>Wyoming County</t>
  </si>
  <si>
    <t>Searcy, AR</t>
  </si>
  <si>
    <t>White County</t>
  </si>
  <si>
    <t>Seattle-Tacoma-Bellevue, WA</t>
  </si>
  <si>
    <t>King County</t>
  </si>
  <si>
    <t>Snohomish County</t>
  </si>
  <si>
    <t>Sebastian-Vero Beach, FL</t>
  </si>
  <si>
    <t>Indian River County</t>
  </si>
  <si>
    <t>Sebring-Avon Park, FL</t>
  </si>
  <si>
    <t>Highlands County</t>
  </si>
  <si>
    <t>Sedalia, MO</t>
  </si>
  <si>
    <t>Pettis County</t>
  </si>
  <si>
    <t>Selinsgrove, PA</t>
  </si>
  <si>
    <t>Snyder County</t>
  </si>
  <si>
    <t>Selma, AL</t>
  </si>
  <si>
    <t>Seneca, SC</t>
  </si>
  <si>
    <t>Seneca Falls, NY</t>
  </si>
  <si>
    <t>Seneca County</t>
  </si>
  <si>
    <t>Sevierville, TN</t>
  </si>
  <si>
    <t>Sevier County</t>
  </si>
  <si>
    <t>Seymour, IN</t>
  </si>
  <si>
    <t>Shawano, WI</t>
  </si>
  <si>
    <t>Shawano County</t>
  </si>
  <si>
    <t>Shawnee, OK</t>
  </si>
  <si>
    <t>Sheboygan, WI</t>
  </si>
  <si>
    <t>Sheboygan County</t>
  </si>
  <si>
    <t>Shelby, NC</t>
  </si>
  <si>
    <t>Shelbyville, TN</t>
  </si>
  <si>
    <t>Shelton, WA</t>
  </si>
  <si>
    <t>Sheridan, WY</t>
  </si>
  <si>
    <t>Sheridan County</t>
  </si>
  <si>
    <t>Sherman-Denison, TX</t>
  </si>
  <si>
    <t>Grayson County</t>
  </si>
  <si>
    <t>Show Low, AZ</t>
  </si>
  <si>
    <t>Navajo County</t>
  </si>
  <si>
    <t>Shreveport-Bossier City, LA</t>
  </si>
  <si>
    <t>Bossier Parish</t>
  </si>
  <si>
    <t>Caddo Parish</t>
  </si>
  <si>
    <t>De Soto Parish</t>
  </si>
  <si>
    <t>Sidney, OH</t>
  </si>
  <si>
    <t>Sierra Vista-Douglas, AZ</t>
  </si>
  <si>
    <t>Cochise County</t>
  </si>
  <si>
    <t>Sikeston, MO</t>
  </si>
  <si>
    <t>Silver City, NM</t>
  </si>
  <si>
    <t>Sioux City, IA-NE-SD</t>
  </si>
  <si>
    <t>Woodbury County</t>
  </si>
  <si>
    <t>Dixon County</t>
  </si>
  <si>
    <t>Sioux Falls, SD</t>
  </si>
  <si>
    <t>McCook County</t>
  </si>
  <si>
    <t>Minnehaha County</t>
  </si>
  <si>
    <t>Turner County</t>
  </si>
  <si>
    <t>Snyder, TX</t>
  </si>
  <si>
    <t>Scurry County</t>
  </si>
  <si>
    <t>Somerset, KY</t>
  </si>
  <si>
    <t>Somerset, PA</t>
  </si>
  <si>
    <t>Sonora, CA</t>
  </si>
  <si>
    <t>Tuolumne County</t>
  </si>
  <si>
    <t>South Bend-Mishawaka, IN-MI</t>
  </si>
  <si>
    <t>St. Joseph County</t>
  </si>
  <si>
    <t>Spartanburg, SC</t>
  </si>
  <si>
    <t>Spartanburg County</t>
  </si>
  <si>
    <t>Spearfish, SD</t>
  </si>
  <si>
    <t>Spencer, IA</t>
  </si>
  <si>
    <t>Spencer-Spirit Lake, IA</t>
  </si>
  <si>
    <t>Spirit Lake, IA</t>
  </si>
  <si>
    <t>Spokane-Spokane Valley, WA</t>
  </si>
  <si>
    <t>Spokane County</t>
  </si>
  <si>
    <t>Stevens County</t>
  </si>
  <si>
    <t>Springfield, IL</t>
  </si>
  <si>
    <t>Menard County</t>
  </si>
  <si>
    <t>Sangamon County</t>
  </si>
  <si>
    <t>Springfield, MA</t>
  </si>
  <si>
    <t>Hampden County</t>
  </si>
  <si>
    <t>Hampshire County</t>
  </si>
  <si>
    <t>Springfield, MO</t>
  </si>
  <si>
    <t>Springfield, OH</t>
  </si>
  <si>
    <t>Starkville, MS</t>
  </si>
  <si>
    <t>Oktibbeha County</t>
  </si>
  <si>
    <t>State College, PA</t>
  </si>
  <si>
    <t>Centre County</t>
  </si>
  <si>
    <t>Statesboro, GA</t>
  </si>
  <si>
    <t>Bulloch County</t>
  </si>
  <si>
    <t>Staunton, VA</t>
  </si>
  <si>
    <t>Augusta County</t>
  </si>
  <si>
    <t>Staunton city</t>
  </si>
  <si>
    <t>Waynesboro city</t>
  </si>
  <si>
    <t>Steamboat Springs, CO</t>
  </si>
  <si>
    <t>Routt County</t>
  </si>
  <si>
    <t>Stephenville, TX</t>
  </si>
  <si>
    <t>Erath County</t>
  </si>
  <si>
    <t>Sterling, CO</t>
  </si>
  <si>
    <t>Sterling, IL</t>
  </si>
  <si>
    <t>Whiteside County</t>
  </si>
  <si>
    <t>Stevens Point, WI</t>
  </si>
  <si>
    <t>Wausau-Stevens Point-Wisconsin Rapids, WI</t>
  </si>
  <si>
    <t>Stillwater, OK</t>
  </si>
  <si>
    <t>Payne County</t>
  </si>
  <si>
    <t>Stockton, CA</t>
  </si>
  <si>
    <t>San Joaquin County</t>
  </si>
  <si>
    <t>Storm Lake, IA</t>
  </si>
  <si>
    <t>Buena Vista County</t>
  </si>
  <si>
    <t>Sturgis, MI</t>
  </si>
  <si>
    <t>Sulphur Springs, TX</t>
  </si>
  <si>
    <t>Summerville, GA</t>
  </si>
  <si>
    <t>Chattooga County</t>
  </si>
  <si>
    <t>Sumter, SC</t>
  </si>
  <si>
    <t>Clarendon County</t>
  </si>
  <si>
    <t>Sunbury, PA</t>
  </si>
  <si>
    <t>Northumberland County</t>
  </si>
  <si>
    <t>Susanville, CA</t>
  </si>
  <si>
    <t>Lassen County</t>
  </si>
  <si>
    <t>Sweetwater, TX</t>
  </si>
  <si>
    <t>Nolan County</t>
  </si>
  <si>
    <t>Syracuse, NY</t>
  </si>
  <si>
    <t>Onondaga County</t>
  </si>
  <si>
    <t>Oswego County</t>
  </si>
  <si>
    <t>Tahlequah, OK</t>
  </si>
  <si>
    <t>Talladega-Sylacauga, AL</t>
  </si>
  <si>
    <t>Talladega County</t>
  </si>
  <si>
    <t>Tallahassee, FL</t>
  </si>
  <si>
    <t>Gadsden County</t>
  </si>
  <si>
    <t>Leon County</t>
  </si>
  <si>
    <t>Wakulla County</t>
  </si>
  <si>
    <t>Tampa-St. Petersburg-Clearwater, FL</t>
  </si>
  <si>
    <t>Hernando County</t>
  </si>
  <si>
    <t>Pasco County</t>
  </si>
  <si>
    <t>Pinellas County</t>
  </si>
  <si>
    <t>Taos, NM</t>
  </si>
  <si>
    <t>Taos County</t>
  </si>
  <si>
    <t>Taylorville, IL</t>
  </si>
  <si>
    <t>Terre Haute, IN</t>
  </si>
  <si>
    <t>Parke County</t>
  </si>
  <si>
    <t>Vermillion County</t>
  </si>
  <si>
    <t>Vigo County</t>
  </si>
  <si>
    <t>Texarkana, TX-AR</t>
  </si>
  <si>
    <t>Little River County</t>
  </si>
  <si>
    <t>Miller County</t>
  </si>
  <si>
    <t>Bowie County</t>
  </si>
  <si>
    <t>The Dalles, OR</t>
  </si>
  <si>
    <t>Wasco County</t>
  </si>
  <si>
    <t>The Villages, FL</t>
  </si>
  <si>
    <t>Thomaston, GA</t>
  </si>
  <si>
    <t>Upson County</t>
  </si>
  <si>
    <t>Thomasville, GA</t>
  </si>
  <si>
    <t>Thomas County</t>
  </si>
  <si>
    <t>Tiffin, OH</t>
  </si>
  <si>
    <t>Tifton, GA</t>
  </si>
  <si>
    <t>Tift County</t>
  </si>
  <si>
    <t>Toccoa, GA</t>
  </si>
  <si>
    <t>Toledo, OH</t>
  </si>
  <si>
    <t>Lucas County</t>
  </si>
  <si>
    <t>Topeka, KS</t>
  </si>
  <si>
    <t>Shawnee County</t>
  </si>
  <si>
    <t>Wabaunsee County</t>
  </si>
  <si>
    <t>Torrington, CT</t>
  </si>
  <si>
    <t>Litchfield County</t>
  </si>
  <si>
    <t>Traverse City, MI</t>
  </si>
  <si>
    <t>Benzie County</t>
  </si>
  <si>
    <t>Grand Traverse County</t>
  </si>
  <si>
    <t>Kalkaska County</t>
  </si>
  <si>
    <t>Leelanau County</t>
  </si>
  <si>
    <t>Trenton-Princeton, NJ</t>
  </si>
  <si>
    <t>Troy, AL</t>
  </si>
  <si>
    <t>Truckee-Grass Valley, CA</t>
  </si>
  <si>
    <t>Tucson, AZ</t>
  </si>
  <si>
    <t>Pima County</t>
  </si>
  <si>
    <t>Tullahoma-Manchester, TN</t>
  </si>
  <si>
    <t>Tulsa, OK</t>
  </si>
  <si>
    <t>Creek County</t>
  </si>
  <si>
    <t>Okmulgee County</t>
  </si>
  <si>
    <t>Pawnee County</t>
  </si>
  <si>
    <t>Rogers County</t>
  </si>
  <si>
    <t>Tulsa County</t>
  </si>
  <si>
    <t>Wagoner County</t>
  </si>
  <si>
    <t>Tupelo, MS</t>
  </si>
  <si>
    <t>Itawamba County</t>
  </si>
  <si>
    <t>Prentiss County</t>
  </si>
  <si>
    <t>Tuscaloosa, AL</t>
  </si>
  <si>
    <t>Tuscaloosa County</t>
  </si>
  <si>
    <t>Twin Falls, ID</t>
  </si>
  <si>
    <t>Jerome County</t>
  </si>
  <si>
    <t>Twin Falls County</t>
  </si>
  <si>
    <t>Tyler, TX</t>
  </si>
  <si>
    <t>Ukiah, CA</t>
  </si>
  <si>
    <t>Mendocino County</t>
  </si>
  <si>
    <t>Union, SC</t>
  </si>
  <si>
    <t>Union City, TN</t>
  </si>
  <si>
    <t>Obion County</t>
  </si>
  <si>
    <t>Urbana, OH</t>
  </si>
  <si>
    <t>Urban Honolulu, HI</t>
  </si>
  <si>
    <t>Honolulu County</t>
  </si>
  <si>
    <t>Utica-Rome, NY</t>
  </si>
  <si>
    <t>Herkimer County</t>
  </si>
  <si>
    <t>Oneida County</t>
  </si>
  <si>
    <t>Uvalde, TX</t>
  </si>
  <si>
    <t>Uvalde County</t>
  </si>
  <si>
    <t>Valdosta, GA</t>
  </si>
  <si>
    <t>Brooks County</t>
  </si>
  <si>
    <t>Echols County</t>
  </si>
  <si>
    <t>Lanier County</t>
  </si>
  <si>
    <t>Vallejo, CA</t>
  </si>
  <si>
    <t>Solano County</t>
  </si>
  <si>
    <t>Van Wert, OH</t>
  </si>
  <si>
    <t>Van Wert County</t>
  </si>
  <si>
    <t>Vermillion, SD</t>
  </si>
  <si>
    <t>Vernal, UT</t>
  </si>
  <si>
    <t>Uintah County</t>
  </si>
  <si>
    <t>Vernon, TX</t>
  </si>
  <si>
    <t>Wilbarger County</t>
  </si>
  <si>
    <t>Vicksburg, MS</t>
  </si>
  <si>
    <t>Victoria, TX</t>
  </si>
  <si>
    <t>Goliad County</t>
  </si>
  <si>
    <t>Victoria County</t>
  </si>
  <si>
    <t>Vidalia, GA</t>
  </si>
  <si>
    <t>Toombs County</t>
  </si>
  <si>
    <t>Vincennes, IN</t>
  </si>
  <si>
    <t>Vineland-Bridgeton, NJ</t>
  </si>
  <si>
    <t>Vineyard Haven, MA</t>
  </si>
  <si>
    <t>Dukes County</t>
  </si>
  <si>
    <t>Virginia Beach-Norfolk-Newport News, VA-NC</t>
  </si>
  <si>
    <t>Currituck County</t>
  </si>
  <si>
    <t>Gates County</t>
  </si>
  <si>
    <t>Isle of Wight County</t>
  </si>
  <si>
    <t>James City County</t>
  </si>
  <si>
    <t>Mathews County</t>
  </si>
  <si>
    <t>Southampton County</t>
  </si>
  <si>
    <t>Chesapeake city</t>
  </si>
  <si>
    <t>Franklin city</t>
  </si>
  <si>
    <t>Hampton city</t>
  </si>
  <si>
    <t>Newport News city</t>
  </si>
  <si>
    <t>Norfolk city</t>
  </si>
  <si>
    <t>Poquoson city</t>
  </si>
  <si>
    <t>Portsmouth city</t>
  </si>
  <si>
    <t>Suffolk city</t>
  </si>
  <si>
    <t>Virginia Beach city</t>
  </si>
  <si>
    <t>Williamsburg city</t>
  </si>
  <si>
    <t>Visalia, CA</t>
  </si>
  <si>
    <t>Tulare County</t>
  </si>
  <si>
    <t>Wabash, IN</t>
  </si>
  <si>
    <t>Wabash County</t>
  </si>
  <si>
    <t>Waco, TX</t>
  </si>
  <si>
    <t>Falls County</t>
  </si>
  <si>
    <t>McLennan County</t>
  </si>
  <si>
    <t>Wahpeton, ND-MN</t>
  </si>
  <si>
    <t>Wilkin County</t>
  </si>
  <si>
    <t>Walla Walla, WA</t>
  </si>
  <si>
    <t>Walla Walla County</t>
  </si>
  <si>
    <t>Wapakoneta, OH</t>
  </si>
  <si>
    <t>Auglaize County</t>
  </si>
  <si>
    <t>Warner Robins, GA</t>
  </si>
  <si>
    <t>Peach County</t>
  </si>
  <si>
    <t>Warren, PA</t>
  </si>
  <si>
    <t>Warrensburg, MO</t>
  </si>
  <si>
    <t>Warsaw, IN</t>
  </si>
  <si>
    <t>Kosciusko County</t>
  </si>
  <si>
    <t>Washington, IN</t>
  </si>
  <si>
    <t>Washington, NC</t>
  </si>
  <si>
    <t>Washington-Arlington-Alexandria, DC-VA-MD-WV</t>
  </si>
  <si>
    <t>Frederick County</t>
  </si>
  <si>
    <t>District of Columbia</t>
  </si>
  <si>
    <t>Calvert County</t>
  </si>
  <si>
    <t>Charles County</t>
  </si>
  <si>
    <t>Prince George's County</t>
  </si>
  <si>
    <t>Arlington County</t>
  </si>
  <si>
    <t>Culpeper County</t>
  </si>
  <si>
    <t>Fairfax County</t>
  </si>
  <si>
    <t>Fauquier County</t>
  </si>
  <si>
    <t>Loudoun County</t>
  </si>
  <si>
    <t>Prince William County</t>
  </si>
  <si>
    <t>Rappahannock County</t>
  </si>
  <si>
    <t>Spotsylvania County</t>
  </si>
  <si>
    <t>Stafford County</t>
  </si>
  <si>
    <t>Alexandria city</t>
  </si>
  <si>
    <t>Fairfax city</t>
  </si>
  <si>
    <t>Falls Church city</t>
  </si>
  <si>
    <t>Fredericksburg city</t>
  </si>
  <si>
    <t>Manassas city</t>
  </si>
  <si>
    <t>Manassas Park city</t>
  </si>
  <si>
    <t>Washington Court House, OH</t>
  </si>
  <si>
    <t>Waterloo-Cedar Falls, IA</t>
  </si>
  <si>
    <t>Black Hawk County</t>
  </si>
  <si>
    <t>Bremer County</t>
  </si>
  <si>
    <t>Watertown, SD</t>
  </si>
  <si>
    <t>Codington County</t>
  </si>
  <si>
    <t>Hamlin County</t>
  </si>
  <si>
    <t>Watertown-Fort Atkinson, WI</t>
  </si>
  <si>
    <t>Watertown-Fort Drum, NY</t>
  </si>
  <si>
    <t>Wauchula, FL</t>
  </si>
  <si>
    <t>Hardee County</t>
  </si>
  <si>
    <t>Wausau-Weston, WI</t>
  </si>
  <si>
    <t>Marathon County</t>
  </si>
  <si>
    <t>Waycross, GA</t>
  </si>
  <si>
    <t>Ware County</t>
  </si>
  <si>
    <t>Weatherford, OK</t>
  </si>
  <si>
    <t>Custer County</t>
  </si>
  <si>
    <t>Weirton-Steubenville, WV-OH</t>
  </si>
  <si>
    <t>Brooke County</t>
  </si>
  <si>
    <t>Wenatchee, WA</t>
  </si>
  <si>
    <t>Chelan County</t>
  </si>
  <si>
    <t>West Plains, MO</t>
  </si>
  <si>
    <t>Howell County</t>
  </si>
  <si>
    <t>West Point, MS</t>
  </si>
  <si>
    <t>Wheeling, WV-OH</t>
  </si>
  <si>
    <t>Belmont County</t>
  </si>
  <si>
    <t>Whitewater, WI</t>
  </si>
  <si>
    <t>Walworth County</t>
  </si>
  <si>
    <t>Wichita, KS</t>
  </si>
  <si>
    <t>Wichita-Winfield, KS</t>
  </si>
  <si>
    <t>Harvey County</t>
  </si>
  <si>
    <t>Sedgwick County</t>
  </si>
  <si>
    <t>Wichita Falls, TX</t>
  </si>
  <si>
    <t>Archer County</t>
  </si>
  <si>
    <t>Wichita County</t>
  </si>
  <si>
    <t>Williamsport, PA</t>
  </si>
  <si>
    <t>Lycoming County</t>
  </si>
  <si>
    <t>Williston, ND</t>
  </si>
  <si>
    <t>Williams County</t>
  </si>
  <si>
    <t>Willmar, MN</t>
  </si>
  <si>
    <t>Kandiyohi County</t>
  </si>
  <si>
    <t>Wilmington, NC</t>
  </si>
  <si>
    <t>New Hanover County</t>
  </si>
  <si>
    <t>Pender County</t>
  </si>
  <si>
    <t>Wilmington, OH</t>
  </si>
  <si>
    <t>Wilson, NC</t>
  </si>
  <si>
    <t>Winchester, VA-WV</t>
  </si>
  <si>
    <t>Winchester city</t>
  </si>
  <si>
    <t>Winfield, KS</t>
  </si>
  <si>
    <t>Cowley County</t>
  </si>
  <si>
    <t>Winnemucca, NV</t>
  </si>
  <si>
    <t>Winona, MN</t>
  </si>
  <si>
    <t>Winona County</t>
  </si>
  <si>
    <t>Winston-Salem, NC</t>
  </si>
  <si>
    <t>Davie County</t>
  </si>
  <si>
    <t>Stokes County</t>
  </si>
  <si>
    <t>Yadkin County</t>
  </si>
  <si>
    <t>Wisconsin Rapids-Marshfield, WI</t>
  </si>
  <si>
    <t>Woodward, OK</t>
  </si>
  <si>
    <t>Woodward County</t>
  </si>
  <si>
    <t>Wooster, OH</t>
  </si>
  <si>
    <t>Worcester, MA-CT</t>
  </si>
  <si>
    <t>Windham County</t>
  </si>
  <si>
    <t>Worthington, MN</t>
  </si>
  <si>
    <t>Nobles County</t>
  </si>
  <si>
    <t>Yakima, WA</t>
  </si>
  <si>
    <t>Yakima County</t>
  </si>
  <si>
    <t>Yankton, SD</t>
  </si>
  <si>
    <t>Yankton County</t>
  </si>
  <si>
    <t>Yauco, PR</t>
  </si>
  <si>
    <t>Guánica Municipio</t>
  </si>
  <si>
    <t>Guayanilla Municipio</t>
  </si>
  <si>
    <t>Peñuelas Municipio</t>
  </si>
  <si>
    <t>Yauco Municipio</t>
  </si>
  <si>
    <t>York-Hanover, PA</t>
  </si>
  <si>
    <t>Youngstown-Warren-Boardman, OH-PA</t>
  </si>
  <si>
    <t>Mahoning County</t>
  </si>
  <si>
    <t>Trumbull County</t>
  </si>
  <si>
    <t>Yuba City, CA</t>
  </si>
  <si>
    <t>Sutter County</t>
  </si>
  <si>
    <t>Yuba County</t>
  </si>
  <si>
    <t>Yuma, AZ</t>
  </si>
  <si>
    <t>Yuma County</t>
  </si>
  <si>
    <t>Zanesville, OH</t>
  </si>
  <si>
    <t>Muskingum County</t>
  </si>
  <si>
    <t>Zapata, TX</t>
  </si>
  <si>
    <t>Zapata County</t>
  </si>
  <si>
    <t>Metro</t>
  </si>
  <si>
    <t>Micro</t>
  </si>
  <si>
    <t>IS_CENTRAL</t>
  </si>
  <si>
    <t>STATE_NAME</t>
  </si>
  <si>
    <t>COUNTY</t>
  </si>
  <si>
    <t>CSA_TITLE</t>
  </si>
  <si>
    <t>AREA_TYPE</t>
  </si>
  <si>
    <t>CBSA_TITLE</t>
  </si>
  <si>
    <t>CBSA_CODE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</si>
</sst>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12">
    <font>
      <sz val="12"/>
      <color theme="1"/>
      <name val="Calibri"/>
      <family val="2"/>
      <scheme val="minor"/>
    </font>
    <font>
      <sz val="13"/>
      <color rgb="FF333333"/>
      <name val="Verdana"/>
      <family val="2"/>
    </font>
    <font>
      <u/>
      <sz val="12"/>
      <color theme="10"/>
      <name val="Calibri"/>
      <family val="2"/>
      <scheme val="minor"/>
    </font>
    <font>
      <b/>
      <sz val="10"/>
      <color rgb="FF333333"/>
      <name val="Verdana"/>
      <family val="2"/>
    </font>
    <font>
      <b/>
      <sz val="13.5"/>
      <color rgb="FF202122"/>
      <name val="Arial"/>
      <family val="2"/>
    </font>
    <font>
      <b/>
      <sz val="14"/>
      <color rgb="FF202122"/>
      <name val="Arial"/>
      <family val="2"/>
    </font>
    <font>
      <b/>
      <sz val="14"/>
      <color rgb="FF202122"/>
      <name val="Calibri"/>
      <family val="2"/>
      <scheme val="minor"/>
    </font>
    <font>
      <sz val="14"/>
      <color rgb="FF202122"/>
      <name val="Calibri"/>
      <family val="2"/>
      <scheme val="minor"/>
    </font>
    <font>
      <sz val="14"/>
      <color rgb="FF008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8.5"/>
      <color rgb="FF000000"/>
      <name val="MS Sans Serif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0">
    <xf numFmtId="0" fontId="0" fillId="0" borderId="0" xfId="0"/>
    <xf numFmtId="0" fontId="2" fillId="0" borderId="0" xfId="1"/>
    <xf numFmtId="0" fontId="1" fillId="0" borderId="0" xfId="0" applyFont="1"/>
    <xf numFmtId="3" fontId="1" fillId="0" borderId="0" xfId="0" applyNumberFormat="1" applyFont="1"/>
    <xf numFmtId="6" fontId="1" fillId="0" borderId="0" xfId="0" applyNumberFormat="1" applyFont="1"/>
    <xf numFmtId="0" fontId="6" fillId="0" borderId="0" xfId="0" applyFont="1"/>
    <xf numFmtId="0" fontId="7" fillId="0" borderId="0" xfId="0" applyFont="1"/>
    <xf numFmtId="3" fontId="7" fillId="0" borderId="0" xfId="0" applyNumberFormat="1" applyFont="1"/>
    <xf numFmtId="10" fontId="8" fillId="0" borderId="0" xfId="0" applyNumberFormat="1" applyFont="1"/>
    <xf numFmtId="0" fontId="9" fillId="0" borderId="0" xfId="0" applyFont="1"/>
    <xf numFmtId="10" fontId="7" fillId="0" borderId="0" xfId="0" applyNumberFormat="1" applyFont="1"/>
    <xf numFmtId="0" fontId="0" fillId="0" borderId="0" xfId="0"/>
    <xf numFmtId="0" fontId="0" fillId="0" borderId="0" xfId="0" applyFill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4" fillId="0" borderId="0" xfId="0" applyFont="1"/>
    <xf numFmtId="0" fontId="0" fillId="0" borderId="0" xfId="0"/>
    <xf numFmtId="0" fontId="5" fillId="0" borderId="0" xfId="0" applyFont="1"/>
    <xf numFmtId="0" fontId="1" fillId="0" borderId="0" xfId="0" applyFont="1" applyAlignment="1">
      <alignment wrapText="1"/>
    </xf>
    <xf numFmtId="3" fontId="1" fillId="0" borderId="0" xfId="0" applyNumberFormat="1" applyFont="1" applyAlignment="1">
      <alignment wrapText="1"/>
    </xf>
    <xf numFmtId="6" fontId="1" fillId="0" borderId="0" xfId="0" applyNumberFormat="1" applyFont="1" applyAlignment="1">
      <alignment wrapText="1"/>
    </xf>
    <xf numFmtId="0" fontId="10" fillId="0" borderId="0" xfId="0" applyFont="1"/>
    <xf numFmtId="49" fontId="11" fillId="0" borderId="1" xfId="0" applyNumberFormat="1" applyFont="1" applyBorder="1" applyAlignment="1">
      <alignment wrapText="1"/>
    </xf>
    <xf numFmtId="49" fontId="11" fillId="0" borderId="2" xfId="0" applyNumberFormat="1" applyFont="1" applyBorder="1" applyAlignment="1">
      <alignment vertical="center"/>
    </xf>
    <xf numFmtId="49" fontId="11" fillId="0" borderId="3" xfId="0" applyNumberFormat="1" applyFont="1" applyBorder="1" applyAlignment="1">
      <alignment vertical="center"/>
    </xf>
    <xf numFmtId="49" fontId="11" fillId="0" borderId="4" xfId="0" applyNumberFormat="1" applyFont="1" applyBorder="1" applyAlignment="1">
      <alignment vertical="center"/>
    </xf>
    <xf numFmtId="1" fontId="11" fillId="0" borderId="3" xfId="0" applyNumberFormat="1" applyFont="1" applyBorder="1" applyAlignment="1">
      <alignment vertical="center"/>
    </xf>
    <xf numFmtId="0" fontId="11" fillId="0" borderId="3" xfId="0" applyNumberFormat="1" applyFont="1" applyBorder="1" applyAlignment="1">
      <alignment vertical="center"/>
    </xf>
    <xf numFmtId="0" fontId="11" fillId="0" borderId="2" xfId="0" applyNumberFormat="1" applyFont="1" applyBorder="1" applyAlignment="1">
      <alignment vertical="center"/>
    </xf>
    <xf numFmtId="0" fontId="11" fillId="0" borderId="4" xfId="0" applyNumberFormat="1" applyFont="1" applyBorder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eetMetadata" Target="metadata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ahd.com/states/hospital_GU.html" TargetMode="External"/><Relationship Id="rId18" Type="http://schemas.openxmlformats.org/officeDocument/2006/relationships/hyperlink" Target="https://www.ahd.com/states/hospital_IN.html" TargetMode="External"/><Relationship Id="rId26" Type="http://schemas.openxmlformats.org/officeDocument/2006/relationships/hyperlink" Target="https://www.ahd.com/states/hospital_MN.html" TargetMode="External"/><Relationship Id="rId39" Type="http://schemas.openxmlformats.org/officeDocument/2006/relationships/hyperlink" Target="https://www.ahd.com/states/hospital_OH.html" TargetMode="External"/><Relationship Id="rId21" Type="http://schemas.openxmlformats.org/officeDocument/2006/relationships/hyperlink" Target="https://www.ahd.com/states/hospital_LA.html" TargetMode="External"/><Relationship Id="rId34" Type="http://schemas.openxmlformats.org/officeDocument/2006/relationships/hyperlink" Target="https://www.ahd.com/states/hospital_NH.html" TargetMode="External"/><Relationship Id="rId42" Type="http://schemas.openxmlformats.org/officeDocument/2006/relationships/hyperlink" Target="https://www.ahd.com/states/hospital_PA.html" TargetMode="External"/><Relationship Id="rId47" Type="http://schemas.openxmlformats.org/officeDocument/2006/relationships/hyperlink" Target="https://www.ahd.com/states/hospital_TN.html" TargetMode="External"/><Relationship Id="rId50" Type="http://schemas.openxmlformats.org/officeDocument/2006/relationships/hyperlink" Target="https://www.ahd.com/states/hospital_VA.html" TargetMode="External"/><Relationship Id="rId55" Type="http://schemas.openxmlformats.org/officeDocument/2006/relationships/hyperlink" Target="https://www.ahd.com/states/hospital_WV.html" TargetMode="External"/><Relationship Id="rId7" Type="http://schemas.openxmlformats.org/officeDocument/2006/relationships/hyperlink" Target="https://www.ahd.com/states/hospital_CO.html" TargetMode="External"/><Relationship Id="rId2" Type="http://schemas.openxmlformats.org/officeDocument/2006/relationships/hyperlink" Target="https://www.ahd.com/states/hospital_AL.html" TargetMode="External"/><Relationship Id="rId16" Type="http://schemas.openxmlformats.org/officeDocument/2006/relationships/hyperlink" Target="https://www.ahd.com/states/hospital_ID.html" TargetMode="External"/><Relationship Id="rId29" Type="http://schemas.openxmlformats.org/officeDocument/2006/relationships/hyperlink" Target="https://www.ahd.com/states/hospital_MS.html" TargetMode="External"/><Relationship Id="rId11" Type="http://schemas.openxmlformats.org/officeDocument/2006/relationships/hyperlink" Target="https://www.ahd.com/states/hospital_FL.html" TargetMode="External"/><Relationship Id="rId24" Type="http://schemas.openxmlformats.org/officeDocument/2006/relationships/hyperlink" Target="https://www.ahd.com/states/hospital_ME.html" TargetMode="External"/><Relationship Id="rId32" Type="http://schemas.openxmlformats.org/officeDocument/2006/relationships/hyperlink" Target="https://www.ahd.com/states/hospital_ND.html" TargetMode="External"/><Relationship Id="rId37" Type="http://schemas.openxmlformats.org/officeDocument/2006/relationships/hyperlink" Target="https://www.ahd.com/states/hospital_NV.html" TargetMode="External"/><Relationship Id="rId40" Type="http://schemas.openxmlformats.org/officeDocument/2006/relationships/hyperlink" Target="https://www.ahd.com/states/hospital_OK.html" TargetMode="External"/><Relationship Id="rId45" Type="http://schemas.openxmlformats.org/officeDocument/2006/relationships/hyperlink" Target="https://www.ahd.com/states/hospital_SC.html" TargetMode="External"/><Relationship Id="rId53" Type="http://schemas.openxmlformats.org/officeDocument/2006/relationships/hyperlink" Target="https://www.ahd.com/states/hospital_WA.html" TargetMode="External"/><Relationship Id="rId5" Type="http://schemas.openxmlformats.org/officeDocument/2006/relationships/hyperlink" Target="https://www.ahd.com/states/hospital_AZ.html" TargetMode="External"/><Relationship Id="rId10" Type="http://schemas.openxmlformats.org/officeDocument/2006/relationships/hyperlink" Target="https://www.ahd.com/states/hospital_DE.html" TargetMode="External"/><Relationship Id="rId19" Type="http://schemas.openxmlformats.org/officeDocument/2006/relationships/hyperlink" Target="https://www.ahd.com/states/hospital_KS.html" TargetMode="External"/><Relationship Id="rId31" Type="http://schemas.openxmlformats.org/officeDocument/2006/relationships/hyperlink" Target="https://www.ahd.com/states/hospital_NC.html" TargetMode="External"/><Relationship Id="rId44" Type="http://schemas.openxmlformats.org/officeDocument/2006/relationships/hyperlink" Target="https://www.ahd.com/states/hospital_RI.html" TargetMode="External"/><Relationship Id="rId52" Type="http://schemas.openxmlformats.org/officeDocument/2006/relationships/hyperlink" Target="https://www.ahd.com/states/hospital_VT.html" TargetMode="External"/><Relationship Id="rId4" Type="http://schemas.openxmlformats.org/officeDocument/2006/relationships/hyperlink" Target="https://www.ahd.com/states/hospital_AS.html" TargetMode="External"/><Relationship Id="rId9" Type="http://schemas.openxmlformats.org/officeDocument/2006/relationships/hyperlink" Target="https://www.ahd.com/states/hospital_DC.html" TargetMode="External"/><Relationship Id="rId14" Type="http://schemas.openxmlformats.org/officeDocument/2006/relationships/hyperlink" Target="https://www.ahd.com/states/hospital_HI.html" TargetMode="External"/><Relationship Id="rId22" Type="http://schemas.openxmlformats.org/officeDocument/2006/relationships/hyperlink" Target="https://www.ahd.com/states/hospital_MA.html" TargetMode="External"/><Relationship Id="rId27" Type="http://schemas.openxmlformats.org/officeDocument/2006/relationships/hyperlink" Target="https://www.ahd.com/states/hospital_MO.html" TargetMode="External"/><Relationship Id="rId30" Type="http://schemas.openxmlformats.org/officeDocument/2006/relationships/hyperlink" Target="https://www.ahd.com/states/hospital_MT.html" TargetMode="External"/><Relationship Id="rId35" Type="http://schemas.openxmlformats.org/officeDocument/2006/relationships/hyperlink" Target="https://www.ahd.com/states/hospital_NJ.html" TargetMode="External"/><Relationship Id="rId43" Type="http://schemas.openxmlformats.org/officeDocument/2006/relationships/hyperlink" Target="https://www.ahd.com/states/hospital_PR.html" TargetMode="External"/><Relationship Id="rId48" Type="http://schemas.openxmlformats.org/officeDocument/2006/relationships/hyperlink" Target="https://www.ahd.com/states/hospital_TX.html" TargetMode="External"/><Relationship Id="rId56" Type="http://schemas.openxmlformats.org/officeDocument/2006/relationships/hyperlink" Target="https://www.ahd.com/states/hospital_WY.html" TargetMode="External"/><Relationship Id="rId8" Type="http://schemas.openxmlformats.org/officeDocument/2006/relationships/hyperlink" Target="https://www.ahd.com/states/hospital_CT.html" TargetMode="External"/><Relationship Id="rId51" Type="http://schemas.openxmlformats.org/officeDocument/2006/relationships/hyperlink" Target="https://www.ahd.com/states/hospital_VI.html" TargetMode="External"/><Relationship Id="rId3" Type="http://schemas.openxmlformats.org/officeDocument/2006/relationships/hyperlink" Target="https://www.ahd.com/states/hospital_AR.html" TargetMode="External"/><Relationship Id="rId12" Type="http://schemas.openxmlformats.org/officeDocument/2006/relationships/hyperlink" Target="https://www.ahd.com/states/hospital_GA.html" TargetMode="External"/><Relationship Id="rId17" Type="http://schemas.openxmlformats.org/officeDocument/2006/relationships/hyperlink" Target="https://www.ahd.com/states/hospital_IL.html" TargetMode="External"/><Relationship Id="rId25" Type="http://schemas.openxmlformats.org/officeDocument/2006/relationships/hyperlink" Target="https://www.ahd.com/states/hospital_MI.html" TargetMode="External"/><Relationship Id="rId33" Type="http://schemas.openxmlformats.org/officeDocument/2006/relationships/hyperlink" Target="https://www.ahd.com/states/hospital_NE.html" TargetMode="External"/><Relationship Id="rId38" Type="http://schemas.openxmlformats.org/officeDocument/2006/relationships/hyperlink" Target="https://www.ahd.com/states/hospital_NY.html" TargetMode="External"/><Relationship Id="rId46" Type="http://schemas.openxmlformats.org/officeDocument/2006/relationships/hyperlink" Target="https://www.ahd.com/states/hospital_SD.html" TargetMode="External"/><Relationship Id="rId20" Type="http://schemas.openxmlformats.org/officeDocument/2006/relationships/hyperlink" Target="https://www.ahd.com/states/hospital_KY.html" TargetMode="External"/><Relationship Id="rId41" Type="http://schemas.openxmlformats.org/officeDocument/2006/relationships/hyperlink" Target="https://www.ahd.com/states/hospital_OR.html" TargetMode="External"/><Relationship Id="rId54" Type="http://schemas.openxmlformats.org/officeDocument/2006/relationships/hyperlink" Target="https://www.ahd.com/states/hospital_WI.html" TargetMode="External"/><Relationship Id="rId1" Type="http://schemas.openxmlformats.org/officeDocument/2006/relationships/hyperlink" Target="https://www.ahd.com/states/hospital_AK.html" TargetMode="External"/><Relationship Id="rId6" Type="http://schemas.openxmlformats.org/officeDocument/2006/relationships/hyperlink" Target="https://www.ahd.com/states/hospital_CA.html" TargetMode="External"/><Relationship Id="rId15" Type="http://schemas.openxmlformats.org/officeDocument/2006/relationships/hyperlink" Target="https://www.ahd.com/states/hospital_IA.html" TargetMode="External"/><Relationship Id="rId23" Type="http://schemas.openxmlformats.org/officeDocument/2006/relationships/hyperlink" Target="https://www.ahd.com/states/hospital_MD.html" TargetMode="External"/><Relationship Id="rId28" Type="http://schemas.openxmlformats.org/officeDocument/2006/relationships/hyperlink" Target="https://www.ahd.com/states/hospital_MP.html" TargetMode="External"/><Relationship Id="rId36" Type="http://schemas.openxmlformats.org/officeDocument/2006/relationships/hyperlink" Target="https://www.ahd.com/states/hospital_NM.html" TargetMode="External"/><Relationship Id="rId49" Type="http://schemas.openxmlformats.org/officeDocument/2006/relationships/hyperlink" Target="https://www.ahd.com/states/hospital_UT.html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hd.com/free_profile/020001/Providence_Alaska_Medical_Center/Anchorage/Alaska/" TargetMode="External"/><Relationship Id="rId3" Type="http://schemas.openxmlformats.org/officeDocument/2006/relationships/hyperlink" Target="https://www.ahd.com/free_profile/020008/Bartlett_Regional_Hospital/Juneau/Alaska/" TargetMode="External"/><Relationship Id="rId7" Type="http://schemas.openxmlformats.org/officeDocument/2006/relationships/hyperlink" Target="https://www.ahd.com/free_profile/020006/Mat-Su_Regional_Medical_Center/Palmer/Alaska/" TargetMode="External"/><Relationship Id="rId2" Type="http://schemas.openxmlformats.org/officeDocument/2006/relationships/hyperlink" Target="https://www.ahd.com/free_profile/020017/Alaska_Regional_Hospital/Anchorage/Alaska/" TargetMode="External"/><Relationship Id="rId1" Type="http://schemas.openxmlformats.org/officeDocument/2006/relationships/hyperlink" Target="https://www.ahd.com/free_profile/020026/Alaska_Native_Medical_Center/Anchorage/Alaska/" TargetMode="External"/><Relationship Id="rId6" Type="http://schemas.openxmlformats.org/officeDocument/2006/relationships/hyperlink" Target="https://www.ahd.com/free_profile/I07814/JBER_Elmendorf__Air_Force__Base_Hospital/Elmendorf_Air_Force_Base/Alaska/" TargetMode="External"/><Relationship Id="rId5" Type="http://schemas.openxmlformats.org/officeDocument/2006/relationships/hyperlink" Target="https://www.ahd.com/free_profile/020012/Foundation_Health_Partners_Fairbanks_Memorial_Hospital/Fairbanks/Alaska/" TargetMode="External"/><Relationship Id="rId10" Type="http://schemas.openxmlformats.org/officeDocument/2006/relationships/hyperlink" Target="https://www.ahd.com/free_profile/020018/Yukon-Kuskokwim_Delta_Regional_Hospital/Bethel/Alaska/" TargetMode="External"/><Relationship Id="rId4" Type="http://schemas.openxmlformats.org/officeDocument/2006/relationships/hyperlink" Target="https://www.ahd.com/free_profile/020024/Central_Peninsula_General_Hospital/Soldotna/Alaska/" TargetMode="External"/><Relationship Id="rId9" Type="http://schemas.openxmlformats.org/officeDocument/2006/relationships/hyperlink" Target="https://www.ahd.com/free_profile/I42087/The_Children%27s_Hospital_at_Providence/Anchorage/Alaska/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hd.com/free_profile/010054/Decatur_Morgan_Hospital-Parkway_Campus/Decatur/Alabama/" TargetMode="External"/><Relationship Id="rId21" Type="http://schemas.openxmlformats.org/officeDocument/2006/relationships/hyperlink" Target="https://www.ahd.com/free_profile/010035/Cullman_Regional_Medical_Center/Cullman/Alabama/" TargetMode="External"/><Relationship Id="rId42" Type="http://schemas.openxmlformats.org/officeDocument/2006/relationships/hyperlink" Target="https://www.ahd.com/free_profile/010039/Huntsville_Hospital/Huntsville/Alabama/" TargetMode="External"/><Relationship Id="rId47" Type="http://schemas.openxmlformats.org/officeDocument/2006/relationships/hyperlink" Target="https://www.ahd.com/free_profile/010052/Lake_Martin_Community_Hospital/Dadeville/Alabama/" TargetMode="External"/><Relationship Id="rId63" Type="http://schemas.openxmlformats.org/officeDocument/2006/relationships/hyperlink" Target="https://www.ahd.com/free_profile/010086/Northwest_Medical_Center/Winfield/Alabama/" TargetMode="External"/><Relationship Id="rId68" Type="http://schemas.openxmlformats.org/officeDocument/2006/relationships/hyperlink" Target="https://www.ahd.com/free_profile/010046/Riverview_Regional_Medical_Center/Gadsden/Alabama/" TargetMode="External"/><Relationship Id="rId84" Type="http://schemas.openxmlformats.org/officeDocument/2006/relationships/hyperlink" Target="https://www.ahd.com/free_profile/010033/UAB_Hospital/Birmingham/Alabama/" TargetMode="External"/><Relationship Id="rId89" Type="http://schemas.openxmlformats.org/officeDocument/2006/relationships/hyperlink" Target="https://www.ahd.com/free_profile/010062/Wiregrass_Medical_Center/Geneva/Alabama/" TargetMode="External"/><Relationship Id="rId16" Type="http://schemas.openxmlformats.org/officeDocument/2006/relationships/hyperlink" Target="https://www.ahd.com/free_profile/010073/Clay_County_Hospital/Ashland/Alabama/" TargetMode="External"/><Relationship Id="rId11" Type="http://schemas.openxmlformats.org/officeDocument/2006/relationships/hyperlink" Target="https://www.ahd.com/free_profile/010112/Bryan_W_Whitfield_Memorial_Hospital/Demopolis/Alabama/" TargetMode="External"/><Relationship Id="rId32" Type="http://schemas.openxmlformats.org/officeDocument/2006/relationships/hyperlink" Target="https://www.ahd.com/free_profile/010045/Fayette_Medical_Center/Fayette/Alabama/" TargetMode="External"/><Relationship Id="rId37" Type="http://schemas.openxmlformats.org/officeDocument/2006/relationships/hyperlink" Target="https://www.ahd.com/free_profile/010091/Grove_Hill_Memorial_Hospital/Grove_Hill/Alabama/" TargetMode="External"/><Relationship Id="rId53" Type="http://schemas.openxmlformats.org/officeDocument/2006/relationships/hyperlink" Target="https://www.ahd.com/free_profile/010069/Medical_Center_Barbour/Eufaula/Alabama/" TargetMode="External"/><Relationship Id="rId58" Type="http://schemas.openxmlformats.org/officeDocument/2006/relationships/hyperlink" Target="https://www.ahd.com/free_profile/010120/Monroe_County_Hospital/Monroeville/Alabama/" TargetMode="External"/><Relationship Id="rId74" Type="http://schemas.openxmlformats.org/officeDocument/2006/relationships/hyperlink" Target="https://www.ahd.com/free_profile/010011/Saint_Vincent%27s_East/Birmingham/Alabama/" TargetMode="External"/><Relationship Id="rId79" Type="http://schemas.openxmlformats.org/officeDocument/2006/relationships/hyperlink" Target="https://www.ahd.com/free_profile/010001/Southeast_Health_Medical_Center/Dothan/Alabama/" TargetMode="External"/><Relationship Id="rId5" Type="http://schemas.openxmlformats.org/officeDocument/2006/relationships/hyperlink" Target="https://www.ahd.com/free_profile/010169/Atmore_Community_Hospital/Atmore/Alabama/" TargetMode="External"/><Relationship Id="rId14" Type="http://schemas.openxmlformats.org/officeDocument/2006/relationships/hyperlink" Target="https://www.ahd.com/free_profile/01019F/Central_Alabama_Veterans_Health_Care_System_-_West_Campus/Montgomery/Alabama/" TargetMode="External"/><Relationship Id="rId22" Type="http://schemas.openxmlformats.org/officeDocument/2006/relationships/hyperlink" Target="https://www.ahd.com/free_profile/010099/DW_McMillan_Memorial_Hospital/Brewton/Alabama/" TargetMode="External"/><Relationship Id="rId27" Type="http://schemas.openxmlformats.org/officeDocument/2006/relationships/hyperlink" Target="https://www.ahd.com/free_profile/010012/DeKalb_Regional_Medical_Center/Fort_Payne/Alabama/" TargetMode="External"/><Relationship Id="rId30" Type="http://schemas.openxmlformats.org/officeDocument/2006/relationships/hyperlink" Target="https://www.ahd.com/free_profile/010097/Elmore_Community_Hospital/Wetumpka/Alabama/" TargetMode="External"/><Relationship Id="rId35" Type="http://schemas.openxmlformats.org/officeDocument/2006/relationships/hyperlink" Target="https://www.ahd.com/free_profile/010104/Grandview_Medical_Center/Birmingham/Alabama/" TargetMode="External"/><Relationship Id="rId43" Type="http://schemas.openxmlformats.org/officeDocument/2006/relationships/hyperlink" Target="https://www.ahd.com/free_profile/010168/Jack_Hughston_Memorial_Hospital/Phenix_City/Alabama/" TargetMode="External"/><Relationship Id="rId48" Type="http://schemas.openxmlformats.org/officeDocument/2006/relationships/hyperlink" Target="https://www.ahd.com/free_profile/010125/Lakeland_Community_Hospital/Haleyville/Alabama/" TargetMode="External"/><Relationship Id="rId56" Type="http://schemas.openxmlformats.org/officeDocument/2006/relationships/hyperlink" Target="https://www.ahd.com/free_profile/010007/Mizell_Memorial_Hospital/Opp/Alabama/" TargetMode="External"/><Relationship Id="rId64" Type="http://schemas.openxmlformats.org/officeDocument/2006/relationships/hyperlink" Target="https://www.ahd.com/free_profile/010108/Prattville_Baptist_Hospital/Prattville/Alabama/" TargetMode="External"/><Relationship Id="rId69" Type="http://schemas.openxmlformats.org/officeDocument/2006/relationships/hyperlink" Target="https://www.ahd.com/free_profile/010078/RMC_Anniston/Anniston/Alabama/" TargetMode="External"/><Relationship Id="rId77" Type="http://schemas.openxmlformats.org/officeDocument/2006/relationships/hyperlink" Target="https://www.ahd.com/free_profile/010157/Shoals_Hospital/Muscle_Shoals/Alabama/" TargetMode="External"/><Relationship Id="rId8" Type="http://schemas.openxmlformats.org/officeDocument/2006/relationships/hyperlink" Target="https://www.ahd.com/free_profile/010058/Bibb_Medical_Center/Centreville/Alabama/" TargetMode="External"/><Relationship Id="rId51" Type="http://schemas.openxmlformats.org/officeDocument/2006/relationships/hyperlink" Target="https://www.ahd.com/free_profile/010010/Marshall_Medical_Center_North/Guntersville/Alabama/" TargetMode="External"/><Relationship Id="rId72" Type="http://schemas.openxmlformats.org/officeDocument/2006/relationships/hyperlink" Target="https://www.ahd.com/free_profile/010056/Saint_Vincent%27s_Birmingham/Birmingham/Alabama/" TargetMode="External"/><Relationship Id="rId80" Type="http://schemas.openxmlformats.org/officeDocument/2006/relationships/hyperlink" Target="https://www.ahd.com/free_profile/010144/Springhill_Medical_Center/Mobile/Alabama/" TargetMode="External"/><Relationship Id="rId85" Type="http://schemas.openxmlformats.org/officeDocument/2006/relationships/hyperlink" Target="https://www.ahd.com/free_profile/010167/UAB_Hospital_Highlands/Birmingham/Alabama/" TargetMode="External"/><Relationship Id="rId3" Type="http://schemas.openxmlformats.org/officeDocument/2006/relationships/hyperlink" Target="https://www.ahd.com/free_profile/010036/Andalusia_Health/Andalusia/Alabama/" TargetMode="External"/><Relationship Id="rId12" Type="http://schemas.openxmlformats.org/officeDocument/2006/relationships/hyperlink" Target="https://www.ahd.com/free_profile/010110/Bullock_County_Hospital/Union_Springs/Alabama/" TargetMode="External"/><Relationship Id="rId17" Type="http://schemas.openxmlformats.org/officeDocument/2006/relationships/hyperlink" Target="https://www.ahd.com/free_profile/010034/Community_Hospital/Tallassee/Alabama/" TargetMode="External"/><Relationship Id="rId25" Type="http://schemas.openxmlformats.org/officeDocument/2006/relationships/hyperlink" Target="https://www.ahd.com/free_profile/010085/Decatur_Morgan_Hospital/Decatur/Alabama/" TargetMode="External"/><Relationship Id="rId33" Type="http://schemas.openxmlformats.org/officeDocument/2006/relationships/hyperlink" Target="https://www.ahd.com/free_profile/010055/Flowers_Hospital/Dothan/Alabama/" TargetMode="External"/><Relationship Id="rId38" Type="http://schemas.openxmlformats.org/officeDocument/2006/relationships/hyperlink" Target="https://www.ahd.com/free_profile/010095/Hale_County_Hospital/Greensboro/Alabama/" TargetMode="External"/><Relationship Id="rId46" Type="http://schemas.openxmlformats.org/officeDocument/2006/relationships/hyperlink" Target="https://www.ahd.com/free_profile/010102/John_Paul_Jones_Hospital/Camden/Alabama/" TargetMode="External"/><Relationship Id="rId59" Type="http://schemas.openxmlformats.org/officeDocument/2006/relationships/hyperlink" Target="https://www.ahd.com/free_profile/010006/North_Alabama_Medical_Center/Florence/Alabama/" TargetMode="External"/><Relationship Id="rId67" Type="http://schemas.openxmlformats.org/officeDocument/2006/relationships/hyperlink" Target="https://www.ahd.com/free_profile/010150/Regional_Medical_Center_of_Central_Alabama/Greenville/Alabama/" TargetMode="External"/><Relationship Id="rId20" Type="http://schemas.openxmlformats.org/officeDocument/2006/relationships/hyperlink" Target="https://www.ahd.com/free_profile/010131/Crestwood_Medical_Center/Huntsville/Alabama/" TargetMode="External"/><Relationship Id="rId41" Type="http://schemas.openxmlformats.org/officeDocument/2006/relationships/hyperlink" Target="https://www.ahd.com/free_profile/010138/Hill_Hospital_Of_Sumter_County/York/Alabama/" TargetMode="External"/><Relationship Id="rId54" Type="http://schemas.openxmlformats.org/officeDocument/2006/relationships/hyperlink" Target="https://www.ahd.com/free_profile/010049/Medical_Center_Enterprise/Enterprise/Alabama/" TargetMode="External"/><Relationship Id="rId62" Type="http://schemas.openxmlformats.org/officeDocument/2006/relationships/hyperlink" Target="https://www.ahd.com/free_profile/010145/Northport_Medical_Center/Northport/Alabama/" TargetMode="External"/><Relationship Id="rId70" Type="http://schemas.openxmlformats.org/officeDocument/2006/relationships/hyperlink" Target="https://www.ahd.com/free_profile/010065/Russell_Medical_Center/Alexander_City/Alabama/" TargetMode="External"/><Relationship Id="rId75" Type="http://schemas.openxmlformats.org/officeDocument/2006/relationships/hyperlink" Target="https://www.ahd.com/free_profile/010130/Saint_Vincent%27s_Saint_Clair/Pell_City/Alabama/" TargetMode="External"/><Relationship Id="rId83" Type="http://schemas.openxmlformats.org/officeDocument/2006/relationships/hyperlink" Target="https://www.ahd.com/free_profile/010018/UAB_Callahan_Eye_Hospital/Birmingham/Alabama/" TargetMode="External"/><Relationship Id="rId88" Type="http://schemas.openxmlformats.org/officeDocument/2006/relationships/hyperlink" Target="https://www.ahd.com/free_profile/010089/Walker_Baptist_Medical_Center/Jasper/Alabama/" TargetMode="External"/><Relationship Id="rId1" Type="http://schemas.openxmlformats.org/officeDocument/2006/relationships/hyperlink" Target="https://www.ahd.com/free_profile/010022/_Floyd_Cherokee_Medical_Center/Centre/Alabama/" TargetMode="External"/><Relationship Id="rId6" Type="http://schemas.openxmlformats.org/officeDocument/2006/relationships/hyperlink" Target="https://www.ahd.com/free_profile/010149/Baptist_Medical_Center_East/Montgomery/Alabama/" TargetMode="External"/><Relationship Id="rId15" Type="http://schemas.openxmlformats.org/officeDocument/2006/relationships/hyperlink" Target="https://www.ahd.com/free_profile/010101/Citizens_Baptist_Medical_Center/Talladega/Alabama/" TargetMode="External"/><Relationship Id="rId23" Type="http://schemas.openxmlformats.org/officeDocument/2006/relationships/hyperlink" Target="https://www.ahd.com/free_profile/010021/Dale_Medical_Center/Ozark/Alabama/" TargetMode="External"/><Relationship Id="rId28" Type="http://schemas.openxmlformats.org/officeDocument/2006/relationships/hyperlink" Target="https://www.ahd.com/free_profile/010029/East_Alabama_Medical_Center/Opelika/Alabama/" TargetMode="External"/><Relationship Id="rId36" Type="http://schemas.openxmlformats.org/officeDocument/2006/relationships/hyperlink" Target="https://www.ahd.com/free_profile/010051/Greene_County_Health_System/Eutaw/Alabama/" TargetMode="External"/><Relationship Id="rId49" Type="http://schemas.openxmlformats.org/officeDocument/2006/relationships/hyperlink" Target="https://www.ahd.com/free_profile/010059/Lawrence_Medical_Center/Moulton/Alabama/" TargetMode="External"/><Relationship Id="rId57" Type="http://schemas.openxmlformats.org/officeDocument/2006/relationships/hyperlink" Target="https://www.ahd.com/free_profile/010113/Mobile_Infirmary_Medical_Center/Mobile/Alabama/" TargetMode="External"/><Relationship Id="rId10" Type="http://schemas.openxmlformats.org/officeDocument/2006/relationships/hyperlink" Target="https://www.ahd.com/free_profile/010139/Brookwood_Baptist__Medical_Center/Birmingham/Alabama/" TargetMode="External"/><Relationship Id="rId31" Type="http://schemas.openxmlformats.org/officeDocument/2006/relationships/hyperlink" Target="https://www.ahd.com/free_profile/010148/Evergreen_Medical_Center/Evergreen/Alabama/" TargetMode="External"/><Relationship Id="rId44" Type="http://schemas.openxmlformats.org/officeDocument/2006/relationships/hyperlink" Target="https://www.ahd.com/free_profile/010024/Jackson_Hospital/Montgomery/Alabama/" TargetMode="External"/><Relationship Id="rId52" Type="http://schemas.openxmlformats.org/officeDocument/2006/relationships/hyperlink" Target="https://www.ahd.com/free_profile/010005/Marshall_Medical_Center_South/Boaz/Alabama/" TargetMode="External"/><Relationship Id="rId60" Type="http://schemas.openxmlformats.org/officeDocument/2006/relationships/hyperlink" Target="https://www.ahd.com/free_profile/010129/North_Baldwin_Infirmary/Bay_Minette/Alabama/" TargetMode="External"/><Relationship Id="rId65" Type="http://schemas.openxmlformats.org/officeDocument/2006/relationships/hyperlink" Target="https://www.ahd.com/free_profile/010103/Princeton_Baptist_Medical_Center/Birmingham/Alabama/" TargetMode="External"/><Relationship Id="rId73" Type="http://schemas.openxmlformats.org/officeDocument/2006/relationships/hyperlink" Target="https://www.ahd.com/free_profile/010173/Saint_Vincent%27s_Chilton_/Clanton/Alabama/" TargetMode="External"/><Relationship Id="rId78" Type="http://schemas.openxmlformats.org/officeDocument/2006/relationships/hyperlink" Target="https://www.ahd.com/free_profile/010083/South_Baldwin_Regional_Medical_Center/Foley/Alabama/" TargetMode="External"/><Relationship Id="rId81" Type="http://schemas.openxmlformats.org/officeDocument/2006/relationships/hyperlink" Target="https://www.ahd.com/free_profile/010100/Thomas_Hospital/Fairhope/Alabama/" TargetMode="External"/><Relationship Id="rId86" Type="http://schemas.openxmlformats.org/officeDocument/2006/relationships/hyperlink" Target="https://www.ahd.com/free_profile/010087/USA_Health_University_Hospital_/Mobile/Alabama/" TargetMode="External"/><Relationship Id="rId4" Type="http://schemas.openxmlformats.org/officeDocument/2006/relationships/hyperlink" Target="https://www.ahd.com/free_profile/010079/Athens-Limestone_Hospital/Athens/Alabama/" TargetMode="External"/><Relationship Id="rId9" Type="http://schemas.openxmlformats.org/officeDocument/2006/relationships/hyperlink" Target="https://www.ahd.com/free_profile/01014F/Birmingham_VA_Medical_Center/Birmingham/Alabama/" TargetMode="External"/><Relationship Id="rId13" Type="http://schemas.openxmlformats.org/officeDocument/2006/relationships/hyperlink" Target="https://www.ahd.com/free_profile/01022F/Central_Alabama_Veterans_Health_Care_System_-_East_Campus/Tuskegee/Alabama/" TargetMode="External"/><Relationship Id="rId18" Type="http://schemas.openxmlformats.org/officeDocument/2006/relationships/hyperlink" Target="https://www.ahd.com/free_profile/010164/Coosa_Valley_Medical_Center/Sylacauga/Alabama/" TargetMode="External"/><Relationship Id="rId39" Type="http://schemas.openxmlformats.org/officeDocument/2006/relationships/hyperlink" Target="https://www.ahd.com/free_profile/010019/Helen_Keller_Hospital/Sheffield/Alabama/" TargetMode="External"/><Relationship Id="rId34" Type="http://schemas.openxmlformats.org/officeDocument/2006/relationships/hyperlink" Target="https://www.ahd.com/free_profile/010040/Gadsden_Regional_Medical_Center/Gadsden/Alabama/" TargetMode="External"/><Relationship Id="rId50" Type="http://schemas.openxmlformats.org/officeDocument/2006/relationships/hyperlink" Target="https://www.ahd.com/free_profile/I41851/Madison_Hospital/Madison/Alabama/" TargetMode="External"/><Relationship Id="rId55" Type="http://schemas.openxmlformats.org/officeDocument/2006/relationships/hyperlink" Target="https://www.ahd.com/free_profile/010114/Medical_West_/Bessemer/Alabama/" TargetMode="External"/><Relationship Id="rId76" Type="http://schemas.openxmlformats.org/officeDocument/2006/relationships/hyperlink" Target="https://www.ahd.com/free_profile/010016/Shelby_Baptist_Medical_Center/Alabaster/Alabama/" TargetMode="External"/><Relationship Id="rId7" Type="http://schemas.openxmlformats.org/officeDocument/2006/relationships/hyperlink" Target="https://www.ahd.com/free_profile/010023/Baptist_Medical_Center_South/Montgomery/Alabama/" TargetMode="External"/><Relationship Id="rId71" Type="http://schemas.openxmlformats.org/officeDocument/2006/relationships/hyperlink" Target="https://www.ahd.com/free_profile/010158/Russellville_Hospital/Russellville/Alabama/" TargetMode="External"/><Relationship Id="rId2" Type="http://schemas.openxmlformats.org/officeDocument/2006/relationships/hyperlink" Target="https://www.ahd.com/free_profile/010038/_RMC_Stringfellow_Memorial_Hospital_/Anniston/Alabama/" TargetMode="External"/><Relationship Id="rId29" Type="http://schemas.openxmlformats.org/officeDocument/2006/relationships/hyperlink" Target="https://www.ahd.com/free_profile/010025/East_Alabama_Medical_Center_-_Lanier/Valley/Alabama/" TargetMode="External"/><Relationship Id="rId24" Type="http://schemas.openxmlformats.org/officeDocument/2006/relationships/hyperlink" Target="https://www.ahd.com/free_profile/010092/DCH_Regional_Medical_Center/Tuscaloosa/Alabama/" TargetMode="External"/><Relationship Id="rId40" Type="http://schemas.openxmlformats.org/officeDocument/2006/relationships/hyperlink" Target="https://www.ahd.com/free_profile/010061/Highlands_Medical_Center/Scottsboro/Alabama/" TargetMode="External"/><Relationship Id="rId45" Type="http://schemas.openxmlformats.org/officeDocument/2006/relationships/hyperlink" Target="https://www.ahd.com/free_profile/010128/Jackson_Medical_Center/Jackson/Alabama/" TargetMode="External"/><Relationship Id="rId66" Type="http://schemas.openxmlformats.org/officeDocument/2006/relationships/hyperlink" Target="https://www.ahd.com/free_profile/010090/Providence_Hospital/Mobile/Alabama/" TargetMode="External"/><Relationship Id="rId87" Type="http://schemas.openxmlformats.org/officeDocument/2006/relationships/hyperlink" Target="https://www.ahd.com/free_profile/010118/Vaughan_Regional_Medical_Center/Selma/Alabama/" TargetMode="External"/><Relationship Id="rId61" Type="http://schemas.openxmlformats.org/officeDocument/2006/relationships/hyperlink" Target="https://www.ahd.com/free_profile/010044/North_Mississippi_Medical_Center_-_Hamilton/Hamilton/Alabama/" TargetMode="External"/><Relationship Id="rId82" Type="http://schemas.openxmlformats.org/officeDocument/2006/relationships/hyperlink" Target="https://www.ahd.com/free_profile/010126/Troy_Regional_Medical_Center/Troy/Alabama/" TargetMode="External"/><Relationship Id="rId19" Type="http://schemas.openxmlformats.org/officeDocument/2006/relationships/hyperlink" Target="https://www.ahd.com/free_profile/010008/Crenshaw_Community_Hospital/Luverne/Alabama/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ahd.com/free_profile/040018/Baptist_Health-Van_Buren/Van_Buren/Arkansas/" TargetMode="External"/><Relationship Id="rId18" Type="http://schemas.openxmlformats.org/officeDocument/2006/relationships/hyperlink" Target="https://www.ahd.com/free_profile/040007/CHI_St_Vincent_Infirmary/Little_Rock/Arkansas/" TargetMode="External"/><Relationship Id="rId26" Type="http://schemas.openxmlformats.org/officeDocument/2006/relationships/hyperlink" Target="https://www.ahd.com/free_profile/040071/Jefferson_Regional_Medical_Center/Pine_Bluff/Arkansas/" TargetMode="External"/><Relationship Id="rId39" Type="http://schemas.openxmlformats.org/officeDocument/2006/relationships/hyperlink" Target="https://www.ahd.com/free_profile/040138/Northwest_Medical_Center_-_Bentonville/Bentonville/Arkansas/" TargetMode="External"/><Relationship Id="rId21" Type="http://schemas.openxmlformats.org/officeDocument/2006/relationships/hyperlink" Target="https://www.ahd.com/free_profile/040051/Drew_Memorial_Hospital/Monticello/Arkansas/" TargetMode="External"/><Relationship Id="rId34" Type="http://schemas.openxmlformats.org/officeDocument/2006/relationships/hyperlink" Target="https://www.ahd.com/free_profile/040010/Mercy_Hospital_Northwest_Arkansas/Rogers/Arkansas/" TargetMode="External"/><Relationship Id="rId42" Type="http://schemas.openxmlformats.org/officeDocument/2006/relationships/hyperlink" Target="https://www.ahd.com/free_profile/040041/Saint_Mary%27s_Regional_Health_System/Russellville/Arkansas/" TargetMode="External"/><Relationship Id="rId47" Type="http://schemas.openxmlformats.org/officeDocument/2006/relationships/hyperlink" Target="https://www.ahd.com/free_profile/040016/University_of_Arkansas_for_Medical_Sciences_%28UAMS%29_Medical_Center/Little_Rock/Arkansas/" TargetMode="External"/><Relationship Id="rId50" Type="http://schemas.openxmlformats.org/officeDocument/2006/relationships/hyperlink" Target="https://www.ahd.com/free_profile/040004/Washington_Regional_Medical_Center/Fayetteville/Arkansas/" TargetMode="External"/><Relationship Id="rId7" Type="http://schemas.openxmlformats.org/officeDocument/2006/relationships/hyperlink" Target="https://www.ahd.com/free_profile/040114/Baptist_Health_-_Little_Rock/Little_Rock/Arkansas/" TargetMode="External"/><Relationship Id="rId2" Type="http://schemas.openxmlformats.org/officeDocument/2006/relationships/hyperlink" Target="https://www.ahd.com/free_profile/040080/_Unity_Health_-_Harris_Medical_Center/Newport/Arkansas/" TargetMode="External"/><Relationship Id="rId16" Type="http://schemas.openxmlformats.org/officeDocument/2006/relationships/hyperlink" Target="https://www.ahd.com/free_profile/040011/Chambers_Memorial_Hospital/Danville/Arkansas/" TargetMode="External"/><Relationship Id="rId29" Type="http://schemas.openxmlformats.org/officeDocument/2006/relationships/hyperlink" Target="https://www.ahd.com/free_profile/040132/Levi_Hospital/Hot_Springs_National_Park/Arkansas/" TargetMode="External"/><Relationship Id="rId11" Type="http://schemas.openxmlformats.org/officeDocument/2006/relationships/hyperlink" Target="https://www.ahd.com/free_profile/040076/Baptist_Health_Medical_Center-Hot_Spring_County_/Malvern/Arkansas/" TargetMode="External"/><Relationship Id="rId24" Type="http://schemas.openxmlformats.org/officeDocument/2006/relationships/hyperlink" Target="https://www.ahd.com/free_profile/040069/Great_River_Medical_Center/Blytheville/Arkansas/" TargetMode="External"/><Relationship Id="rId32" Type="http://schemas.openxmlformats.org/officeDocument/2006/relationships/hyperlink" Target="https://www.ahd.com/free_profile/040015/Mena_Regional_Health_System/Mena/Arkansas/" TargetMode="External"/><Relationship Id="rId37" Type="http://schemas.openxmlformats.org/officeDocument/2006/relationships/hyperlink" Target="https://www.ahd.com/free_profile/040118/NEA_Baptist_Memorial_Hospital/Jonesboro/Arkansas/" TargetMode="External"/><Relationship Id="rId40" Type="http://schemas.openxmlformats.org/officeDocument/2006/relationships/hyperlink" Target="https://www.ahd.com/free_profile/040022/Northwest_Medical_Center_-_Springdale/Springdale/Arkansas/" TargetMode="External"/><Relationship Id="rId45" Type="http://schemas.openxmlformats.org/officeDocument/2006/relationships/hyperlink" Target="https://www.ahd.com/free_profile/040020/St_Bernards_Medical_Center/Jonesboro/Arkansas/" TargetMode="External"/><Relationship Id="rId5" Type="http://schemas.openxmlformats.org/officeDocument/2006/relationships/hyperlink" Target="https://www.ahd.com/free_profile/040039/Arkansas_Methodist_Medical_Center/Paragould/Arkansas/" TargetMode="External"/><Relationship Id="rId15" Type="http://schemas.openxmlformats.org/officeDocument/2006/relationships/hyperlink" Target="https://www.ahd.com/free_profile/040027/Baxter_Regional_Medical_Center/Mountain_Home/Arkansas/" TargetMode="External"/><Relationship Id="rId23" Type="http://schemas.openxmlformats.org/officeDocument/2006/relationships/hyperlink" Target="https://www.ahd.com/free_profile/040019/Forrest_City_Medical_Center/Forrest_City/Arkansas/" TargetMode="External"/><Relationship Id="rId28" Type="http://schemas.openxmlformats.org/officeDocument/2006/relationships/hyperlink" Target="https://www.ahd.com/free_profile/040002/Johnson_Regional_Medical_Center/Clarksville/Arkansas/" TargetMode="External"/><Relationship Id="rId36" Type="http://schemas.openxmlformats.org/officeDocument/2006/relationships/hyperlink" Target="https://www.ahd.com/free_profile/040078/National_Park_Medical_Center/Hot_Springs/Arkansas/" TargetMode="External"/><Relationship Id="rId49" Type="http://schemas.openxmlformats.org/officeDocument/2006/relationships/hyperlink" Target="https://www.ahd.com/free_profile/040153/Wadley_Regional_Medical_Center_at_Hope/Hope/Arkansas/" TargetMode="External"/><Relationship Id="rId10" Type="http://schemas.openxmlformats.org/officeDocument/2006/relationships/hyperlink" Target="https://www.ahd.com/free_profile/040154/Baptist_Health_Medical_Center_Conway_/Conway/Arkansas/" TargetMode="External"/><Relationship Id="rId19" Type="http://schemas.openxmlformats.org/officeDocument/2006/relationships/hyperlink" Target="https://www.ahd.com/free_profile/040137/CHI_St_Vincent_North/Sherwood/Arkansas/" TargetMode="External"/><Relationship Id="rId31" Type="http://schemas.openxmlformats.org/officeDocument/2006/relationships/hyperlink" Target="https://www.ahd.com/free_profile/040088/Medical_Center_of_South_Arkansas/El_Dorado/Arkansas/" TargetMode="External"/><Relationship Id="rId44" Type="http://schemas.openxmlformats.org/officeDocument/2006/relationships/hyperlink" Target="https://www.ahd.com/free_profile/040001/Siloam_Springs_Regional_Hospital/Siloam_Springs/Arkansas/" TargetMode="External"/><Relationship Id="rId52" Type="http://schemas.openxmlformats.org/officeDocument/2006/relationships/hyperlink" Target="https://www.ahd.com/free_profile/040141/Willow_Creek_Women%27s_Hospital/Johnson/Arkansas/" TargetMode="External"/><Relationship Id="rId4" Type="http://schemas.openxmlformats.org/officeDocument/2006/relationships/hyperlink" Target="https://www.ahd.com/free_profile/040134/Arkansas_Heart_Hospital/Little_Rock/Arkansas/" TargetMode="External"/><Relationship Id="rId9" Type="http://schemas.openxmlformats.org/officeDocument/2006/relationships/hyperlink" Target="https://www.ahd.com/free_profile/040072/Baptist_Health_-_Stuttgart/Stuttgart/Arkansas/" TargetMode="External"/><Relationship Id="rId14" Type="http://schemas.openxmlformats.org/officeDocument/2006/relationships/hyperlink" Target="https://www.ahd.com/free_profile/040156/Baptist_Memorial_Hospital-Crittenden/West_Memphis/Arkansas/" TargetMode="External"/><Relationship Id="rId22" Type="http://schemas.openxmlformats.org/officeDocument/2006/relationships/hyperlink" Target="https://www.ahd.com/free_profile/040047/Five_Rivers_Medical_Center/Pocahontas/Arkansas/" TargetMode="External"/><Relationship Id="rId27" Type="http://schemas.openxmlformats.org/officeDocument/2006/relationships/hyperlink" Target="https://www.ahd.com/free_profile/I07838/John_L_McClellan_Memorial_Veterans_Hospital/Little_Rock/Arkansas/" TargetMode="External"/><Relationship Id="rId30" Type="http://schemas.openxmlformats.org/officeDocument/2006/relationships/hyperlink" Target="https://www.ahd.com/free_profile/040067/Magnolia_Regional_Medical_Center/Magnolia/Arkansas/" TargetMode="External"/><Relationship Id="rId35" Type="http://schemas.openxmlformats.org/officeDocument/2006/relationships/hyperlink" Target="https://www.ahd.com/free_profile/I42094/Mercy_Orthopedic_Hospital_Fort_Smith/Fort_Smith/Arkansas/" TargetMode="External"/><Relationship Id="rId43" Type="http://schemas.openxmlformats.org/officeDocument/2006/relationships/hyperlink" Target="https://www.ahd.com/free_profile/040084/Saline_Memorial_Hospital/Benton/Arkansas/" TargetMode="External"/><Relationship Id="rId48" Type="http://schemas.openxmlformats.org/officeDocument/2006/relationships/hyperlink" Target="https://www.ahd.com/free_profile/04009F/Veterans_Health_Care_System_of_the_Ozarks/Fayetteville/Arkansas/" TargetMode="External"/><Relationship Id="rId8" Type="http://schemas.openxmlformats.org/officeDocument/2006/relationships/hyperlink" Target="https://www.ahd.com/free_profile/040036/Baptist_Health_-_North_Little_Rock/North_Little_Rock/Arkansas/" TargetMode="External"/><Relationship Id="rId51" Type="http://schemas.openxmlformats.org/officeDocument/2006/relationships/hyperlink" Target="https://www.ahd.com/free_profile/040119/White_River_Medical_Center/Batesville/Arkansas/" TargetMode="External"/><Relationship Id="rId3" Type="http://schemas.openxmlformats.org/officeDocument/2006/relationships/hyperlink" Target="https://www.ahd.com/free_profile/040155/Arkansas_Continued_Care_Hospital_of_Jonesboro/Jonesboro/Arkansas/" TargetMode="External"/><Relationship Id="rId12" Type="http://schemas.openxmlformats.org/officeDocument/2006/relationships/hyperlink" Target="https://www.ahd.com/free_profile/040055/Baptist_Health-Fort_Smith/Fort_Smith/Arkansas/" TargetMode="External"/><Relationship Id="rId17" Type="http://schemas.openxmlformats.org/officeDocument/2006/relationships/hyperlink" Target="https://www.ahd.com/free_profile/040026/CHI_St_Vincent_Hot_Springs/Hot_Springs/Arkansas/" TargetMode="External"/><Relationship Id="rId25" Type="http://schemas.openxmlformats.org/officeDocument/2006/relationships/hyperlink" Target="https://www.ahd.com/free_profile/040085/Helena_Regional_Medical_Center/Helena/Arkansas/" TargetMode="External"/><Relationship Id="rId33" Type="http://schemas.openxmlformats.org/officeDocument/2006/relationships/hyperlink" Target="https://www.ahd.com/free_profile/040062/Mercy_Hospital_Fort_Smith/Fort_Smith/Arkansas/" TargetMode="External"/><Relationship Id="rId38" Type="http://schemas.openxmlformats.org/officeDocument/2006/relationships/hyperlink" Target="https://www.ahd.com/free_profile/040017/North_Arkansas_Regional_Medical_Center/Harrison/Arkansas/" TargetMode="External"/><Relationship Id="rId46" Type="http://schemas.openxmlformats.org/officeDocument/2006/relationships/hyperlink" Target="https://www.ahd.com/free_profile/040014/Unity_Health_White_County_Medical_Center_/Searcy/Arkansas/" TargetMode="External"/><Relationship Id="rId20" Type="http://schemas.openxmlformats.org/officeDocument/2006/relationships/hyperlink" Target="https://www.ahd.com/free_profile/040029/Conway_Regional_Medical_Center/Conway/Arkansas/" TargetMode="External"/><Relationship Id="rId41" Type="http://schemas.openxmlformats.org/officeDocument/2006/relationships/hyperlink" Target="https://www.ahd.com/free_profile/040050/Ouachita_County_Medical_Center/Camden/Arkansas/" TargetMode="External"/><Relationship Id="rId1" Type="http://schemas.openxmlformats.org/officeDocument/2006/relationships/hyperlink" Target="https://www.ahd.com/free_profile/040152/_Northwest_Health_Physicians%27_Specialty_Hospital/Fayetteville/Arkansas/" TargetMode="External"/><Relationship Id="rId6" Type="http://schemas.openxmlformats.org/officeDocument/2006/relationships/hyperlink" Target="https://www.ahd.com/free_profile/040147/Arkansas_Surgical_Hospital/North_Little_Rock/Arkansas/" TargetMode="Externa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hd.com/free_profile/030100/Carondelet_Heart_%26_Vascular_Institute/Tucson/Arizona/" TargetMode="External"/><Relationship Id="rId21" Type="http://schemas.openxmlformats.org/officeDocument/2006/relationships/hyperlink" Target="https://www.ahd.com/free_profile/030130/Banner_Ironwood_Medical_Center/Queen_Creek/Arizona/" TargetMode="External"/><Relationship Id="rId42" Type="http://schemas.openxmlformats.org/officeDocument/2006/relationships/hyperlink" Target="https://www.ahd.com/free_profile/030068/Mount_Graham_Regional__Medical_Center/Safford/Arizona/" TargetMode="External"/><Relationship Id="rId47" Type="http://schemas.openxmlformats.org/officeDocument/2006/relationships/hyperlink" Target="https://www.ahd.com/free_profile/030114/Oro_Valley_Hospital/Tucson/Arizona/" TargetMode="External"/><Relationship Id="rId63" Type="http://schemas.openxmlformats.org/officeDocument/2006/relationships/hyperlink" Target="https://www.ahd.com/free_profile/030006/Tucson_Medical_Center/Tucson/Arizona/" TargetMode="External"/><Relationship Id="rId68" Type="http://schemas.openxmlformats.org/officeDocument/2006/relationships/hyperlink" Target="https://www.ahd.com/free_profile/I42354/Verde_Valley_Medical_Center-Sedona_Campus/Sedona/Arizona/" TargetMode="External"/><Relationship Id="rId2" Type="http://schemas.openxmlformats.org/officeDocument/2006/relationships/hyperlink" Target="https://www.ahd.com/free_profile/030094/Abrazo_Arrowhead_Hospital/Glendale/Arizona/" TargetMode="External"/><Relationship Id="rId16" Type="http://schemas.openxmlformats.org/officeDocument/2006/relationships/hyperlink" Target="https://www.ahd.com/free_profile/030065/Banner_Desert_Medical_Center/Mesa/Arizona/" TargetMode="External"/><Relationship Id="rId29" Type="http://schemas.openxmlformats.org/officeDocument/2006/relationships/hyperlink" Target="https://www.ahd.com/free_profile/030136/Dignity_Health_Arizona_General_Hospital_Laveen/Laveen/Arizona/" TargetMode="External"/><Relationship Id="rId11" Type="http://schemas.openxmlformats.org/officeDocument/2006/relationships/hyperlink" Target="https://www.ahd.com/free_profile/030111/Banner_-_University_Medical_Center_South_Campus/Tucson/Arizona/" TargetMode="External"/><Relationship Id="rId24" Type="http://schemas.openxmlformats.org/officeDocument/2006/relationships/hyperlink" Target="https://www.ahd.com/free_profile/030138/Cancer_Treatment_Centers_of_America_Phoenix/Goodyear/Arizona/" TargetMode="External"/><Relationship Id="rId32" Type="http://schemas.openxmlformats.org/officeDocument/2006/relationships/hyperlink" Target="https://www.ahd.com/free_profile/I42370/Florence_Hospital/Florence/Arizona/" TargetMode="External"/><Relationship Id="rId37" Type="http://schemas.openxmlformats.org/officeDocument/2006/relationships/hyperlink" Target="https://www.ahd.com/free_profile/030087/HonorHealth_Scottsdale_Shea_Medical_Center/Scottsdale/Arizona/" TargetMode="External"/><Relationship Id="rId40" Type="http://schemas.openxmlformats.org/officeDocument/2006/relationships/hyperlink" Target="https://www.ahd.com/free_profile/030103/Mayo_Clinic_Hospital/Phoenix/Arizona/" TargetMode="External"/><Relationship Id="rId45" Type="http://schemas.openxmlformats.org/officeDocument/2006/relationships/hyperlink" Target="https://www.ahd.com/free_profile/030085/Northwest_Medical_Center/Tucson/Arizona/" TargetMode="External"/><Relationship Id="rId53" Type="http://schemas.openxmlformats.org/officeDocument/2006/relationships/hyperlink" Target="https://www.ahd.com/free_profile/030010/Saint_Mary%27s_Hospital_/Tucson/Arizona/" TargetMode="External"/><Relationship Id="rId58" Type="http://schemas.openxmlformats.org/officeDocument/2006/relationships/hyperlink" Target="https://www.ahd.com/free_profile/030062/Summit_Healthcare_Regional_Medical_Center/Show_Low/Arizona/" TargetMode="External"/><Relationship Id="rId66" Type="http://schemas.openxmlformats.org/officeDocument/2006/relationships/hyperlink" Target="https://www.ahd.com/free_profile/030022/Valleywise_Health_Medical_Center/Phoenix/Arizona/" TargetMode="External"/><Relationship Id="rId5" Type="http://schemas.openxmlformats.org/officeDocument/2006/relationships/hyperlink" Target="https://www.ahd.com/free_profile/030083/Abrazo_Scottsdale_Campus/Phoenix/Arizona/" TargetMode="External"/><Relationship Id="rId61" Type="http://schemas.openxmlformats.org/officeDocument/2006/relationships/hyperlink" Target="https://www.ahd.com/free_profile/030071/Tsehootsooi_Medical_Center_/Fort_Defiance/Arizona/" TargetMode="External"/><Relationship Id="rId19" Type="http://schemas.openxmlformats.org/officeDocument/2006/relationships/hyperlink" Target="https://www.ahd.com/free_profile/030134/Banner_Goldfield_Medical_Center__/Apache_Junction/Arizona/" TargetMode="External"/><Relationship Id="rId14" Type="http://schemas.openxmlformats.org/officeDocument/2006/relationships/hyperlink" Target="https://www.ahd.com/free_profile/030016/Banner_Casa_Grande_Medical_Center/Casa_Grande/Arizona/" TargetMode="External"/><Relationship Id="rId22" Type="http://schemas.openxmlformats.org/officeDocument/2006/relationships/hyperlink" Target="https://www.ahd.com/free_profile/030089/Banner_Thunderbird_Medical_Center/Glendale/Arizona/" TargetMode="External"/><Relationship Id="rId27" Type="http://schemas.openxmlformats.org/officeDocument/2006/relationships/hyperlink" Target="https://www.ahd.com/free_profile/030036/Chandler_Regional_Medical_Center/Chandler/Arizona/" TargetMode="External"/><Relationship Id="rId30" Type="http://schemas.openxmlformats.org/officeDocument/2006/relationships/hyperlink" Target="https://www.ahd.com/free_profile/030139/Dignity_Health_Arizona_General_Hospital_Mesa/Mesa/Arizona/" TargetMode="External"/><Relationship Id="rId35" Type="http://schemas.openxmlformats.org/officeDocument/2006/relationships/hyperlink" Target="https://www.ahd.com/free_profile/030014/HonorHealth_John_C_Lincoln_Medical_Center/Phoenix/Arizona/" TargetMode="External"/><Relationship Id="rId43" Type="http://schemas.openxmlformats.org/officeDocument/2006/relationships/hyperlink" Target="https://www.ahd.com/free_profile/030121/Mountain_Vista_Medical_Center/Mesa/Arizona/" TargetMode="External"/><Relationship Id="rId48" Type="http://schemas.openxmlformats.org/officeDocument/2006/relationships/hyperlink" Target="https://www.ahd.com/free_profile/030078/Phoenix_Indian_Medical_Center/Phoenix/Arizona/" TargetMode="External"/><Relationship Id="rId56" Type="http://schemas.openxmlformats.org/officeDocument/2006/relationships/hyperlink" Target="https://www.ahd.com/free_profile/030074/Sells_Indian_Hospital/Sells/Arizona/" TargetMode="External"/><Relationship Id="rId64" Type="http://schemas.openxmlformats.org/officeDocument/2006/relationships/hyperlink" Target="https://www.ahd.com/free_profile/030117/Valley_View_Medical_Center/Fort_Mohave/Arizona/" TargetMode="External"/><Relationship Id="rId69" Type="http://schemas.openxmlformats.org/officeDocument/2006/relationships/hyperlink" Target="https://www.ahd.com/free_profile/030101/Western_Arizona_Regional_Medical_Center/Bullhead_City/Arizona/" TargetMode="External"/><Relationship Id="rId8" Type="http://schemas.openxmlformats.org/officeDocument/2006/relationships/hyperlink" Target="https://www.ahd.com/free_profile/030107/Arizona_Spine_and_Joint_Hospital/Mesa/Arizona/" TargetMode="External"/><Relationship Id="rId51" Type="http://schemas.openxmlformats.org/officeDocument/2006/relationships/hyperlink" Target="https://www.ahd.com/free_profile/030024/Saint_Joseph%27s_Hospital_and_Medical_Center/Phoenix/Arizona/" TargetMode="External"/><Relationship Id="rId72" Type="http://schemas.openxmlformats.org/officeDocument/2006/relationships/hyperlink" Target="https://www.ahd.com/free_profile/030012/Yavapai_Regional_Medical_Center_-_West/Prescott/Arizona/" TargetMode="External"/><Relationship Id="rId3" Type="http://schemas.openxmlformats.org/officeDocument/2006/relationships/hyperlink" Target="https://www.ahd.com/free_profile/030030/Abrazo_Central_Campus/Phoenix/Arizona/" TargetMode="External"/><Relationship Id="rId12" Type="http://schemas.openxmlformats.org/officeDocument/2006/relationships/hyperlink" Target="https://www.ahd.com/free_profile/030088/Banner_Baywood_Medical_Center/Mesa/Arizona/" TargetMode="External"/><Relationship Id="rId17" Type="http://schemas.openxmlformats.org/officeDocument/2006/relationships/hyperlink" Target="https://www.ahd.com/free_profile/030115/Banner_Estrella_Medical_Center/Phoenix/Arizona/" TargetMode="External"/><Relationship Id="rId25" Type="http://schemas.openxmlformats.org/officeDocument/2006/relationships/hyperlink" Target="https://www.ahd.com/free_profile/030043/Canyon_Vista_Medical_Center/Sierra_Vista/Arizona/" TargetMode="External"/><Relationship Id="rId33" Type="http://schemas.openxmlformats.org/officeDocument/2006/relationships/hyperlink" Target="https://www.ahd.com/free_profile/030069/Havasu_Regional_Medical_Center/Lake_Havasu_City/Arizona/" TargetMode="External"/><Relationship Id="rId38" Type="http://schemas.openxmlformats.org/officeDocument/2006/relationships/hyperlink" Target="https://www.ahd.com/free_profile/030123/HonorHealth_Scottsdale_Thompson_Peak_Medical_Center/Scottsdale/Arizona/" TargetMode="External"/><Relationship Id="rId46" Type="http://schemas.openxmlformats.org/officeDocument/2006/relationships/hyperlink" Target="https://www.ahd.com/free_profile/030131/OASIS_Hospital/Phoenix/Arizona/" TargetMode="External"/><Relationship Id="rId59" Type="http://schemas.openxmlformats.org/officeDocument/2006/relationships/hyperlink" Target="https://www.ahd.com/free_profile/030019/Tempe_Saint_Luke%27s_Hospital/Tempe/Arizona/" TargetMode="External"/><Relationship Id="rId67" Type="http://schemas.openxmlformats.org/officeDocument/2006/relationships/hyperlink" Target="https://www.ahd.com/free_profile/030007/Verde_Valley_Medical_Center/Cottonwood/Arizona/" TargetMode="External"/><Relationship Id="rId20" Type="http://schemas.openxmlformats.org/officeDocument/2006/relationships/hyperlink" Target="https://www.ahd.com/free_profile/030105/Banner_Heart_Hospital/Mesa/Arizona/" TargetMode="External"/><Relationship Id="rId41" Type="http://schemas.openxmlformats.org/officeDocument/2006/relationships/hyperlink" Target="https://www.ahd.com/free_profile/030119/Mercy_Gilbert_Medical_Center/Gilbert/Arizona/" TargetMode="External"/><Relationship Id="rId54" Type="http://schemas.openxmlformats.org/officeDocument/2006/relationships/hyperlink" Target="https://www.ahd.com/free_profile/030077/San_Carlos_Apache_Healthcare/Peridot/Arizona/" TargetMode="External"/><Relationship Id="rId62" Type="http://schemas.openxmlformats.org/officeDocument/2006/relationships/hyperlink" Target="https://www.ahd.com/free_profile/030073/Tuba_City_Indian_Medical_Center/Tuba_City/Arizona/" TargetMode="External"/><Relationship Id="rId70" Type="http://schemas.openxmlformats.org/officeDocument/2006/relationships/hyperlink" Target="https://www.ahd.com/free_profile/030113/Whiteriver_Indian_Hospital/Whiteriver/Arizona/" TargetMode="External"/><Relationship Id="rId1" Type="http://schemas.openxmlformats.org/officeDocument/2006/relationships/hyperlink" Target="https://www.ahd.com/free_profile/I41927/Abrazo_Arizona_Heart_Hospital/Phoenix/Arizona/" TargetMode="External"/><Relationship Id="rId6" Type="http://schemas.openxmlformats.org/officeDocument/2006/relationships/hyperlink" Target="https://www.ahd.com/free_profile/030110/Abrazo_West_Campus/Goodyear/Arizona/" TargetMode="External"/><Relationship Id="rId15" Type="http://schemas.openxmlformats.org/officeDocument/2006/relationships/hyperlink" Target="https://www.ahd.com/free_profile/030093/Banner_Del_E_Webb_Medical_Center/Sun_City_West/Arizona/" TargetMode="External"/><Relationship Id="rId23" Type="http://schemas.openxmlformats.org/officeDocument/2006/relationships/hyperlink" Target="https://www.ahd.com/free_profile/I41569/Cancer_Treatment_Centers_of_America_-_Western_Regional_Medical_Center/Goodyear/Arizona/" TargetMode="External"/><Relationship Id="rId28" Type="http://schemas.openxmlformats.org/officeDocument/2006/relationships/hyperlink" Target="https://www.ahd.com/free_profile/030084/Chinle_Comprehensive_Health_Care_Facility/Chinle/Arizona/" TargetMode="External"/><Relationship Id="rId36" Type="http://schemas.openxmlformats.org/officeDocument/2006/relationships/hyperlink" Target="https://www.ahd.com/free_profile/030038/HonorHealth_Scottsdale_Osborn_Medical_Center/Scottsdale/Arizona/" TargetMode="External"/><Relationship Id="rId49" Type="http://schemas.openxmlformats.org/officeDocument/2006/relationships/hyperlink" Target="https://www.ahd.com/free_profile/03012F/Phoenix_VA_Health_Care_System/Phoenix/Arizona/" TargetMode="External"/><Relationship Id="rId57" Type="http://schemas.openxmlformats.org/officeDocument/2006/relationships/hyperlink" Target="https://www.ahd.com/free_profile/03013F/Southern_Arizona_VA_Health_Care_System/Tucson/Arizona/" TargetMode="External"/><Relationship Id="rId10" Type="http://schemas.openxmlformats.org/officeDocument/2006/relationships/hyperlink" Target="https://www.ahd.com/free_profile/030002/Banner_-_University_Medical_Center_Phoenix/Phoenix/Arizona/" TargetMode="External"/><Relationship Id="rId31" Type="http://schemas.openxmlformats.org/officeDocument/2006/relationships/hyperlink" Target="https://www.ahd.com/free_profile/030023/Flagstaff_Medical_Center/Flagstaff/Arizona/" TargetMode="External"/><Relationship Id="rId44" Type="http://schemas.openxmlformats.org/officeDocument/2006/relationships/hyperlink" Target="https://www.ahd.com/free_profile/03033F/Northern_Arizona_VA_Health_Care_System/Prescott/Arizona/" TargetMode="External"/><Relationship Id="rId52" Type="http://schemas.openxmlformats.org/officeDocument/2006/relationships/hyperlink" Target="https://www.ahd.com/free_profile/I42038/Saint_Joseph%27s_Westgate_Medical_Center/Glendale/Arizona/" TargetMode="External"/><Relationship Id="rId60" Type="http://schemas.openxmlformats.org/officeDocument/2006/relationships/hyperlink" Target="https://www.ahd.com/free_profile/030108/The_CORE_Institute_Specialty_Hospital/Phoenix/Arizona/" TargetMode="External"/><Relationship Id="rId65" Type="http://schemas.openxmlformats.org/officeDocument/2006/relationships/hyperlink" Target="https://www.ahd.com/free_profile/030001/Valleywise_Behavioral_Health_Center-Maryvale/Phoenix/Arizona/" TargetMode="External"/><Relationship Id="rId73" Type="http://schemas.openxmlformats.org/officeDocument/2006/relationships/hyperlink" Target="https://www.ahd.com/free_profile/030013/Yuma_Regional_Medical_Center/Yuma/Arizona/" TargetMode="External"/><Relationship Id="rId4" Type="http://schemas.openxmlformats.org/officeDocument/2006/relationships/hyperlink" Target="https://www.ahd.com/free_profile/I42281/Abrazo_Mesa_Hospital_/Mesa/Arizona/" TargetMode="External"/><Relationship Id="rId9" Type="http://schemas.openxmlformats.org/officeDocument/2006/relationships/hyperlink" Target="https://www.ahd.com/free_profile/030064/Banner_-__University_Medical_Center_Tucson_/Tucson/Arizona/" TargetMode="External"/><Relationship Id="rId13" Type="http://schemas.openxmlformats.org/officeDocument/2006/relationships/hyperlink" Target="https://www.ahd.com/free_profile/030061/Banner_Boswell_Medical_Center/Sun_City/Arizona/" TargetMode="External"/><Relationship Id="rId18" Type="http://schemas.openxmlformats.org/officeDocument/2006/relationships/hyperlink" Target="https://www.ahd.com/free_profile/030122/Banner_Gateway_Medical_Center/Gilbert/Arizona/" TargetMode="External"/><Relationship Id="rId39" Type="http://schemas.openxmlformats.org/officeDocument/2006/relationships/hyperlink" Target="https://www.ahd.com/free_profile/030055/Kingman_Regional_Medical_Center/Kingman/Arizona/" TargetMode="External"/><Relationship Id="rId34" Type="http://schemas.openxmlformats.org/officeDocument/2006/relationships/hyperlink" Target="https://www.ahd.com/free_profile/030092/HonorHealth_Deer_Valley_Medical_Center/Phoenix/Arizona/" TargetMode="External"/><Relationship Id="rId50" Type="http://schemas.openxmlformats.org/officeDocument/2006/relationships/hyperlink" Target="https://www.ahd.com/free_profile/030011/Saint_Joseph%27s_Hospital/Tucson/Arizona/" TargetMode="External"/><Relationship Id="rId55" Type="http://schemas.openxmlformats.org/officeDocument/2006/relationships/hyperlink" Target="https://www.ahd.com/free_profile/030137/Santa_Cruz_Valley_Regional_Hospital/Green_Valley/Arizona/" TargetMode="External"/><Relationship Id="rId7" Type="http://schemas.openxmlformats.org/officeDocument/2006/relationships/hyperlink" Target="https://www.ahd.com/free_profile/030112/Arizona_Specialty_Hospital_/Chandler/Arizona/" TargetMode="External"/><Relationship Id="rId71" Type="http://schemas.openxmlformats.org/officeDocument/2006/relationships/hyperlink" Target="https://www.ahd.com/free_profile/030118/Yavapai_Regional_Medical_Center_-_East_/Prescott_Valley/Arizona/" TargetMode="Externa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hd.com/free_profile/I42191/Kaiser_Permanente_San_Diego_Medical_Center/San_Diego/California/" TargetMode="External"/><Relationship Id="rId299" Type="http://schemas.openxmlformats.org/officeDocument/2006/relationships/hyperlink" Target="https://www.ahd.com/free_profile/050108/Sutter_Medical_Center/Sacramento/California/" TargetMode="External"/><Relationship Id="rId21" Type="http://schemas.openxmlformats.org/officeDocument/2006/relationships/hyperlink" Target="https://www.ahd.com/free_profile/050211/Alameda_Hospital/Alameda/California/" TargetMode="External"/><Relationship Id="rId63" Type="http://schemas.openxmlformats.org/officeDocument/2006/relationships/hyperlink" Target="https://www.ahd.com/free_profile/050008/CPMC_Davies_Campus/San_Francisco/California/" TargetMode="External"/><Relationship Id="rId159" Type="http://schemas.openxmlformats.org/officeDocument/2006/relationships/hyperlink" Target="https://www.ahd.com/free_profile/050444/Mercy_Medical_Center/Merced/California/" TargetMode="External"/><Relationship Id="rId324" Type="http://schemas.openxmlformats.org/officeDocument/2006/relationships/hyperlink" Target="https://www.ahd.com/free_profile/05027F/VA_Long_Beach_Healthcare_System_/Long_Beach/California/" TargetMode="External"/><Relationship Id="rId170" Type="http://schemas.openxmlformats.org/officeDocument/2006/relationships/hyperlink" Target="https://www.ahd.com/free_profile/050736/Monterey_Park_Hospital/Monterey_Park/California/" TargetMode="External"/><Relationship Id="rId226" Type="http://schemas.openxmlformats.org/officeDocument/2006/relationships/hyperlink" Target="https://www.ahd.com/free_profile/050603/Saddleback_Medical_Center/Laguna_Hills/California/" TargetMode="External"/><Relationship Id="rId268" Type="http://schemas.openxmlformats.org/officeDocument/2006/relationships/hyperlink" Target="https://www.ahd.com/free_profile/050289/Seton_Medical_Center/Daly_City/California/" TargetMode="External"/><Relationship Id="rId32" Type="http://schemas.openxmlformats.org/officeDocument/2006/relationships/hyperlink" Target="https://www.ahd.com/free_profile/050016/Arroyo_Grande_Community_Hospital/Arroyo_Grande/California/" TargetMode="External"/><Relationship Id="rId74" Type="http://schemas.openxmlformats.org/officeDocument/2006/relationships/hyperlink" Target="https://www.ahd.com/free_profile/050488/Eden_Medical_Center/Castro_Valley/California/" TargetMode="External"/><Relationship Id="rId128" Type="http://schemas.openxmlformats.org/officeDocument/2006/relationships/hyperlink" Target="https://www.ahd.com/free_profile/050778/Loma_Linda_University_Children%27s_Hospital/Loma_Linda/California/" TargetMode="External"/><Relationship Id="rId335" Type="http://schemas.openxmlformats.org/officeDocument/2006/relationships/hyperlink" Target="https://www.ahd.com/free_profile/050195/Washington_Hospital/Fremont/California/" TargetMode="External"/><Relationship Id="rId5" Type="http://schemas.openxmlformats.org/officeDocument/2006/relationships/hyperlink" Target="https://www.ahd.com/free_profile/050290/_Providence_Saint_John%27s_Health_Center/Santa_Monica/California/" TargetMode="External"/><Relationship Id="rId181" Type="http://schemas.openxmlformats.org/officeDocument/2006/relationships/hyperlink" Target="https://www.ahd.com/free_profile/050067/Oak_Valley_Hospital/Oakdale/California/" TargetMode="External"/><Relationship Id="rId237" Type="http://schemas.openxmlformats.org/officeDocument/2006/relationships/hyperlink" Target="https://www.ahd.com/free_profile/050084/Saint_Joseph%27s_Medical_Center/Stockton/California/" TargetMode="External"/><Relationship Id="rId279" Type="http://schemas.openxmlformats.org/officeDocument/2006/relationships/hyperlink" Target="https://www.ahd.com/free_profile/050506/Sierra_Vista_Regional_Medical_Center/San_Luis_Obispo/California/" TargetMode="External"/><Relationship Id="rId43" Type="http://schemas.openxmlformats.org/officeDocument/2006/relationships/hyperlink" Target="https://www.ahd.com/free_profile/050739/Centinela_Hospital_Medical_Center/Inglewood/California/" TargetMode="External"/><Relationship Id="rId139" Type="http://schemas.openxmlformats.org/officeDocument/2006/relationships/hyperlink" Target="https://www.ahd.com/free_profile/050138/Los_Angeles_Medical_Center/Los_Angeles/California/" TargetMode="External"/><Relationship Id="rId290" Type="http://schemas.openxmlformats.org/officeDocument/2006/relationships/hyperlink" Target="https://www.ahd.com/free_profile/050283/Stanford_Health_Care_-_ValleyCare-Livermore/Livermore/California/" TargetMode="External"/><Relationship Id="rId304" Type="http://schemas.openxmlformats.org/officeDocument/2006/relationships/hyperlink" Target="https://www.ahd.com/free_profile/050313/Sutter_Tracy_Community_Hospital/Tracy/California/" TargetMode="External"/><Relationship Id="rId85" Type="http://schemas.openxmlformats.org/officeDocument/2006/relationships/hyperlink" Target="https://www.ahd.com/free_profile/I41261/Fairmont_Rehabilitation_and_Wellness/San_Leandro/California/" TargetMode="External"/><Relationship Id="rId150" Type="http://schemas.openxmlformats.org/officeDocument/2006/relationships/hyperlink" Target="https://www.ahd.com/free_profile/050528/Memorial_Hospital_Los_Banos/Los_Banos/California/" TargetMode="External"/><Relationship Id="rId192" Type="http://schemas.openxmlformats.org/officeDocument/2006/relationships/hyperlink" Target="https://www.ahd.com/free_profile/050423/Palo_Verde_Hospital/Blythe/California/" TargetMode="External"/><Relationship Id="rId206" Type="http://schemas.openxmlformats.org/officeDocument/2006/relationships/hyperlink" Target="https://www.ahd.com/free_profile/050231/Pomona_Valley_Hospital_Medical_Center/Pomona/California/" TargetMode="External"/><Relationship Id="rId248" Type="http://schemas.openxmlformats.org/officeDocument/2006/relationships/hyperlink" Target="https://www.ahd.com/free_profile/050054/San_Gorgonio_Memorial_Hospital/Banning/California/" TargetMode="External"/><Relationship Id="rId12" Type="http://schemas.openxmlformats.org/officeDocument/2006/relationships/hyperlink" Target="https://www.ahd.com/free_profile/050336/Adventist_Health_Lodi_Memorial_/Lodi/California/" TargetMode="External"/><Relationship Id="rId108" Type="http://schemas.openxmlformats.org/officeDocument/2006/relationships/hyperlink" Target="https://www.ahd.com/free_profile/I41949/Hoag_Hospital_Irvine/Irvine/California/" TargetMode="External"/><Relationship Id="rId315" Type="http://schemas.openxmlformats.org/officeDocument/2006/relationships/hyperlink" Target="https://www.ahd.com/free_profile/050112/UCLA_Medical_Center%2C_Santa_Monica/Santa_Monica/California/" TargetMode="External"/><Relationship Id="rId54" Type="http://schemas.openxmlformats.org/officeDocument/2006/relationships/hyperlink" Target="https://www.ahd.com/free_profile/050091/Community_Hospital_of_Huntington_Park/Huntington_Park/California/" TargetMode="External"/><Relationship Id="rId96" Type="http://schemas.openxmlformats.org/officeDocument/2006/relationships/hyperlink" Target="https://www.ahd.com/free_profile/050058/Glendale_Memorial_Hospital_%26_Health_Center/Glendale/California/" TargetMode="External"/><Relationship Id="rId161" Type="http://schemas.openxmlformats.org/officeDocument/2006/relationships/hyperlink" Target="https://www.ahd.com/free_profile/050516/Mercy_San_Juan_Medical_Center/Carmichael/California/" TargetMode="External"/><Relationship Id="rId217" Type="http://schemas.openxmlformats.org/officeDocument/2006/relationships/hyperlink" Target="https://www.ahd.com/free_profile/050541/Redwood_City_Medical_Center/Redwood_City/California/" TargetMode="External"/><Relationship Id="rId259" Type="http://schemas.openxmlformats.org/officeDocument/2006/relationships/hyperlink" Target="https://www.ahd.com/free_profile/I42328/Santa_Paula_Hospital/Santa_Paula/California/" TargetMode="External"/><Relationship Id="rId23" Type="http://schemas.openxmlformats.org/officeDocument/2006/relationships/hyperlink" Target="https://www.ahd.com/free_profile/050043/Alta_Bates_Summit_Medical_Center/Oakland/California/" TargetMode="External"/><Relationship Id="rId119" Type="http://schemas.openxmlformats.org/officeDocument/2006/relationships/hyperlink" Target="https://www.ahd.com/free_profile/050070/Kaiser_Permanente_South_San_Francisco_Medical_Center_/South_San_Francisco/California/" TargetMode="External"/><Relationship Id="rId270" Type="http://schemas.openxmlformats.org/officeDocument/2006/relationships/hyperlink" Target="https://www.ahd.com/free_profile/050222/Sharp_Chula_Vista_Medical_Center/Chula_Vista/California/" TargetMode="External"/><Relationship Id="rId326" Type="http://schemas.openxmlformats.org/officeDocument/2006/relationships/hyperlink" Target="https://www.ahd.com/free_profile/05031F/VA_Palo_Alto_Health_Care_System_-_Palo_Alto_Division/Palo_Alto/California/" TargetMode="External"/><Relationship Id="rId65" Type="http://schemas.openxmlformats.org/officeDocument/2006/relationships/hyperlink" Target="https://www.ahd.com/free_profile/I42270/CPMC_Van_Ness_Campus/San_Francisco_/California/" TargetMode="External"/><Relationship Id="rId130" Type="http://schemas.openxmlformats.org/officeDocument/2006/relationships/hyperlink" Target="https://www.ahd.com/free_profile/050770/Loma_Linda_University_Medical_Center_-_Murrieta/Murrieta/California/" TargetMode="External"/><Relationship Id="rId172" Type="http://schemas.openxmlformats.org/officeDocument/2006/relationships/hyperlink" Target="https://www.ahd.com/free_profile/050248/Natividad_Medical_Center/Salinas/California/" TargetMode="External"/><Relationship Id="rId228" Type="http://schemas.openxmlformats.org/officeDocument/2006/relationships/hyperlink" Target="https://www.ahd.com/free_profile/050129/Saint_Bernardine_Medical_Center/San_Bernardino/California/" TargetMode="External"/><Relationship Id="rId281" Type="http://schemas.openxmlformats.org/officeDocument/2006/relationships/hyperlink" Target="https://www.ahd.com/free_profile/050781/Sonoma_Specialty_Hospital/Sebastopol/California/" TargetMode="External"/><Relationship Id="rId337" Type="http://schemas.openxmlformats.org/officeDocument/2006/relationships/hyperlink" Target="https://www.ahd.com/free_profile/I41006/Weed_Army_Community_Hospital/Fort_Irwin/California/" TargetMode="External"/><Relationship Id="rId34" Type="http://schemas.openxmlformats.org/officeDocument/2006/relationships/hyperlink" Target="https://www.ahd.com/free_profile/050036/Bakersfield_Memorial_Hospital/Bakersfield/California/" TargetMode="External"/><Relationship Id="rId76" Type="http://schemas.openxmlformats.org/officeDocument/2006/relationships/hyperlink" Target="https://www.ahd.com/free_profile/I41650/El_Camino_Hospital_Los_Gatos_Campus/Los_Gatos/California/" TargetMode="External"/><Relationship Id="rId141" Type="http://schemas.openxmlformats.org/officeDocument/2006/relationships/hyperlink" Target="https://www.ahd.com/free_profile/050549/Los_Robles_Regional_Medical_Center/Thousand_Oaks/California/" TargetMode="External"/><Relationship Id="rId7" Type="http://schemas.openxmlformats.org/officeDocument/2006/relationships/hyperlink" Target="https://www.ahd.com/free_profile/05015F/60th_Medical_Group_-_David_Grant_USAF_Medical_Center/Travis_Air_Force_Base/California/" TargetMode="External"/><Relationship Id="rId183" Type="http://schemas.openxmlformats.org/officeDocument/2006/relationships/hyperlink" Target="https://www.ahd.com/free_profile/050040/Olive_View-UCLA_Medical_Center/Sylmar/California/" TargetMode="External"/><Relationship Id="rId239" Type="http://schemas.openxmlformats.org/officeDocument/2006/relationships/hyperlink" Target="https://www.ahd.com/free_profile/050688/Saint_Louise_Regional_Hospital/Gilroy/California/" TargetMode="External"/><Relationship Id="rId250" Type="http://schemas.openxmlformats.org/officeDocument/2006/relationships/hyperlink" Target="https://www.ahd.com/free_profile/050604/San_Jose_Medical_Center_Main_Campus_/San_Jose/California/" TargetMode="External"/><Relationship Id="rId292" Type="http://schemas.openxmlformats.org/officeDocument/2006/relationships/hyperlink" Target="https://www.ahd.com/free_profile/050726/Stanislaus_Surgical_Hospital/Modesto/California/" TargetMode="External"/><Relationship Id="rId306" Type="http://schemas.openxmlformats.org/officeDocument/2006/relationships/hyperlink" Target="https://www.ahd.com/free_profile/050749/Thousand_Oaks_Surgical_Hospital/Thousand_Oaks/California/" TargetMode="External"/><Relationship Id="rId45" Type="http://schemas.openxmlformats.org/officeDocument/2006/relationships/hyperlink" Target="https://www.ahd.com/free_profile/050745/Chapman_Global_Medical_Center/Orange/California/" TargetMode="External"/><Relationship Id="rId87" Type="http://schemas.openxmlformats.org/officeDocument/2006/relationships/hyperlink" Target="https://www.ahd.com/free_profile/050140/Fontana_Medical_Center/Fontana/California/" TargetMode="External"/><Relationship Id="rId110" Type="http://schemas.openxmlformats.org/officeDocument/2006/relationships/hyperlink" Target="https://www.ahd.com/free_profile/050769/Hoag_Orthopedic_Institute/Irvine/California/" TargetMode="External"/><Relationship Id="rId152" Type="http://schemas.openxmlformats.org/officeDocument/2006/relationships/hyperlink" Target="https://www.ahd.com/free_profile/050557/Memorial_Medical_Center/Modesto/California/" TargetMode="External"/><Relationship Id="rId194" Type="http://schemas.openxmlformats.org/officeDocument/2006/relationships/hyperlink" Target="https://www.ahd.com/free_profile/050115/Palomar_Medical_Center_Escondido/Escondido/California/" TargetMode="External"/><Relationship Id="rId208" Type="http://schemas.openxmlformats.org/officeDocument/2006/relationships/hyperlink" Target="https://www.ahd.com/free_profile/050761/Providence_Cedars-Sinai_Tarzana_Medical_Center/Tarzana/California/" TargetMode="External"/><Relationship Id="rId240" Type="http://schemas.openxmlformats.org/officeDocument/2006/relationships/hyperlink" Target="https://www.ahd.com/free_profile/050300/Saint_Mary_Medical_Center/Apple_Valley/California/" TargetMode="External"/><Relationship Id="rId261" Type="http://schemas.openxmlformats.org/officeDocument/2006/relationships/hyperlink" Target="https://www.ahd.com/free_profile/050174/Santa_Rosa_Memorial_Hospital/Santa_Rosa/California/" TargetMode="External"/><Relationship Id="rId14" Type="http://schemas.openxmlformats.org/officeDocument/2006/relationships/hyperlink" Target="https://www.ahd.com/free_profile/050013/Adventist_Health_Saint_Helena_/Saint_Helena/California/" TargetMode="External"/><Relationship Id="rId35" Type="http://schemas.openxmlformats.org/officeDocument/2006/relationships/hyperlink" Target="https://www.ahd.com/free_profile/050723/Baldwin_Park_Medical_Center/Baldwin_Park/California/" TargetMode="External"/><Relationship Id="rId56" Type="http://schemas.openxmlformats.org/officeDocument/2006/relationships/hyperlink" Target="https://www.ahd.com/free_profile/050145/Community_Hospital_of_the_Monterey_Peninsula/Monterey/California/" TargetMode="External"/><Relationship Id="rId77" Type="http://schemas.openxmlformats.org/officeDocument/2006/relationships/hyperlink" Target="https://www.ahd.com/free_profile/050308/El_Camino_Hospital_Mountain_View_Campus/Mountain_View/California/" TargetMode="External"/><Relationship Id="rId100" Type="http://schemas.openxmlformats.org/officeDocument/2006/relationships/hyperlink" Target="https://www.ahd.com/free_profile/050257/Good_Samaritan_Hospital_North/Bakersfield/California/" TargetMode="External"/><Relationship Id="rId282" Type="http://schemas.openxmlformats.org/officeDocument/2006/relationships/hyperlink" Target="https://www.ahd.com/free_profile/050090/Sonoma_Valley_Hospital/Sonoma/California/" TargetMode="External"/><Relationship Id="rId317" Type="http://schemas.openxmlformats.org/officeDocument/2006/relationships/hyperlink" Target="https://www.ahd.com/free_profile/050454/UCSF_Medical_Center_at_Parnassus/San_Francisco/California/" TargetMode="External"/><Relationship Id="rId338" Type="http://schemas.openxmlformats.org/officeDocument/2006/relationships/hyperlink" Target="https://www.ahd.com/free_profile/050426/West_Anaheim_Medical_Center/Anaheim/California/" TargetMode="External"/><Relationship Id="rId8" Type="http://schemas.openxmlformats.org/officeDocument/2006/relationships/hyperlink" Target="https://www.ahd.com/free_profile/050133/Adventist_Health_and_Rideout/Marysville/California/" TargetMode="External"/><Relationship Id="rId98" Type="http://schemas.openxmlformats.org/officeDocument/2006/relationships/hyperlink" Target="https://www.ahd.com/free_profile/050357/Goleta_Valley_Cottage_Hospital/Santa_Barbara/California/" TargetMode="External"/><Relationship Id="rId121" Type="http://schemas.openxmlformats.org/officeDocument/2006/relationships/hyperlink" Target="https://www.ahd.com/free_profile/050057/Kaweah_Delta_Health_Care_District/Visalia/California/" TargetMode="External"/><Relationship Id="rId142" Type="http://schemas.openxmlformats.org/officeDocument/2006/relationships/hyperlink" Target="https://www.ahd.com/free_profile/050028/Mad_River_Community_Hospital/Arcata/California/" TargetMode="External"/><Relationship Id="rId163" Type="http://schemas.openxmlformats.org/officeDocument/2006/relationships/hyperlink" Target="https://www.ahd.com/free_profile/050590/Methodist_Hospital_of_Sacramento/Sacramento/California/" TargetMode="External"/><Relationship Id="rId184" Type="http://schemas.openxmlformats.org/officeDocument/2006/relationships/hyperlink" Target="https://www.ahd.com/free_profile/050742/Olympia_Medical_Center/Los_Angeles/California/" TargetMode="External"/><Relationship Id="rId219" Type="http://schemas.openxmlformats.org/officeDocument/2006/relationships/hyperlink" Target="https://www.ahd.com/free_profile/I42028/Richmond_Medical_Center/Richmond/California/" TargetMode="External"/><Relationship Id="rId230" Type="http://schemas.openxmlformats.org/officeDocument/2006/relationships/hyperlink" Target="https://www.ahd.com/free_profile/050104/Saint_Francis_Medical_Center/Lynwood/California/" TargetMode="External"/><Relationship Id="rId251" Type="http://schemas.openxmlformats.org/officeDocument/2006/relationships/hyperlink" Target="https://www.ahd.com/free_profile/050773/San_Leandro_Hospital/San_Leandro/California/" TargetMode="External"/><Relationship Id="rId25" Type="http://schemas.openxmlformats.org/officeDocument/2006/relationships/hyperlink" Target="https://www.ahd.com/free_profile/050305/Alta_Bates_Summit_Medical_Center_Alta_Bates_Campus/Berkeley/California/" TargetMode="External"/><Relationship Id="rId46" Type="http://schemas.openxmlformats.org/officeDocument/2006/relationships/hyperlink" Target="https://www.ahd.com/free_profile/050407/Chinese_Hospital/San_Francisco/California/" TargetMode="External"/><Relationship Id="rId67" Type="http://schemas.openxmlformats.org/officeDocument/2006/relationships/hyperlink" Target="https://www.ahd.com/free_profile/050608/Delano_Regional_Medical_Center/Delano/California/" TargetMode="External"/><Relationship Id="rId272" Type="http://schemas.openxmlformats.org/officeDocument/2006/relationships/hyperlink" Target="https://www.ahd.com/free_profile/050026/Sharp_Grossmont_Hospital/La_Mesa/California/" TargetMode="External"/><Relationship Id="rId293" Type="http://schemas.openxmlformats.org/officeDocument/2006/relationships/hyperlink" Target="https://www.ahd.com/free_profile/050014/Sutter_Amador_Hospital/Jackson/California/" TargetMode="External"/><Relationship Id="rId307" Type="http://schemas.openxmlformats.org/officeDocument/2006/relationships/hyperlink" Target="https://www.ahd.com/free_profile/050351/Torrance_Memorial_Medical_Center/Torrance/California/" TargetMode="External"/><Relationship Id="rId328" Type="http://schemas.openxmlformats.org/officeDocument/2006/relationships/hyperlink" Target="https://www.ahd.com/free_profile/050767/Vacaville_Medical_Center/Vacaville/California/" TargetMode="External"/><Relationship Id="rId88" Type="http://schemas.openxmlformats.org/officeDocument/2006/relationships/hyperlink" Target="https://www.ahd.com/free_profile/050780/Foothill_Regional_Medical_Center/Tustin/California/" TargetMode="External"/><Relationship Id="rId111" Type="http://schemas.openxmlformats.org/officeDocument/2006/relationships/hyperlink" Target="https://www.ahd.com/free_profile/050526/Huntington_Beach_Hospital/Huntington_Beach/California/" TargetMode="External"/><Relationship Id="rId132" Type="http://schemas.openxmlformats.org/officeDocument/2006/relationships/hyperlink" Target="https://www.ahd.com/free_profile/I41581/Loma_Linda_University_Surgical_Hospital_/Redlands/California/" TargetMode="External"/><Relationship Id="rId153" Type="http://schemas.openxmlformats.org/officeDocument/2006/relationships/hyperlink" Target="https://www.ahd.com/free_profile/050684/Menifee_Global_Medical_Center/Menifee/California/" TargetMode="External"/><Relationship Id="rId174" Type="http://schemas.openxmlformats.org/officeDocument/2006/relationships/hyperlink" Target="https://www.ahd.com/free_profile/05020F/Naval_Hospital_Camp_Pendleton/Camp_Pendleton/California/" TargetMode="External"/><Relationship Id="rId195" Type="http://schemas.openxmlformats.org/officeDocument/2006/relationships/hyperlink" Target="https://www.ahd.com/free_profile/050636/Palomar_Medical_Center_Poway/Poway/California/" TargetMode="External"/><Relationship Id="rId209" Type="http://schemas.openxmlformats.org/officeDocument/2006/relationships/hyperlink" Target="https://www.ahd.com/free_profile/050278/Providence_Holy_Cross_Medical_Center/Mission_Hills/California/" TargetMode="External"/><Relationship Id="rId220" Type="http://schemas.openxmlformats.org/officeDocument/2006/relationships/hyperlink" Target="https://www.ahd.com/free_profile/050022/Riverside_Community_Hospital/Riverside/California/" TargetMode="External"/><Relationship Id="rId241" Type="http://schemas.openxmlformats.org/officeDocument/2006/relationships/hyperlink" Target="https://www.ahd.com/free_profile/050457/Saint_Mary%27s_Medical_Center/San_Francisco/California/" TargetMode="External"/><Relationship Id="rId15" Type="http://schemas.openxmlformats.org/officeDocument/2006/relationships/hyperlink" Target="https://www.ahd.com/free_profile/I41391/Adventist_Health_Selma/Selma/California/" TargetMode="External"/><Relationship Id="rId36" Type="http://schemas.openxmlformats.org/officeDocument/2006/relationships/hyperlink" Target="https://www.ahd.com/free_profile/050298/Barstow_Community_Hospital/Barstow/California/" TargetMode="External"/><Relationship Id="rId57" Type="http://schemas.openxmlformats.org/officeDocument/2006/relationships/hyperlink" Target="https://www.ahd.com/free_profile/050727/Community_Medical_Center_Long_Beach/Long_Beach/California/" TargetMode="External"/><Relationship Id="rId262" Type="http://schemas.openxmlformats.org/officeDocument/2006/relationships/hyperlink" Target="https://www.ahd.com/free_profile/050424/Scripps_Green_Hospital/La_Jolla/California/" TargetMode="External"/><Relationship Id="rId283" Type="http://schemas.openxmlformats.org/officeDocument/2006/relationships/hyperlink" Target="https://www.ahd.com/free_profile/050411/South_Bay_Medical_Center/Harbor_City/California/" TargetMode="External"/><Relationship Id="rId318" Type="http://schemas.openxmlformats.org/officeDocument/2006/relationships/hyperlink" Target="https://www.ahd.com/free_profile/I42016/UCSF_Medical_Center_Betty_Irene_Moore_Women%27s_Hospital/San_Francisco/California/" TargetMode="External"/><Relationship Id="rId339" Type="http://schemas.openxmlformats.org/officeDocument/2006/relationships/hyperlink" Target="https://www.ahd.com/free_profile/050096/West_Covina_Medical_Center/West_Covina/California/" TargetMode="External"/><Relationship Id="rId78" Type="http://schemas.openxmlformats.org/officeDocument/2006/relationships/hyperlink" Target="https://www.ahd.com/free_profile/050045/El_Centro_Regional_Medical_Center/El_Centro/California/" TargetMode="External"/><Relationship Id="rId99" Type="http://schemas.openxmlformats.org/officeDocument/2006/relationships/hyperlink" Target="https://www.ahd.com/free_profile/050380/Good_Samaritan_Hospital/San_Jose/California/" TargetMode="External"/><Relationship Id="rId101" Type="http://schemas.openxmlformats.org/officeDocument/2006/relationships/hyperlink" Target="https://www.ahd.com/free_profile/050738/Greater_El_Monte_Community_Hospital/South_El_Monte/California/" TargetMode="External"/><Relationship Id="rId122" Type="http://schemas.openxmlformats.org/officeDocument/2006/relationships/hyperlink" Target="https://www.ahd.com/free_profile/050696/Keck_Hospital_of_USC/Los_Angeles/California/" TargetMode="External"/><Relationship Id="rId143" Type="http://schemas.openxmlformats.org/officeDocument/2006/relationships/hyperlink" Target="https://www.ahd.com/free_profile/050568/Madera_Community_Hospital/Madera/California/" TargetMode="External"/><Relationship Id="rId164" Type="http://schemas.openxmlformats.org/officeDocument/2006/relationships/hyperlink" Target="https://www.ahd.com/free_profile/050007/Mills-Peninsula_Medical_Center/Burlingame/California/" TargetMode="External"/><Relationship Id="rId185" Type="http://schemas.openxmlformats.org/officeDocument/2006/relationships/hyperlink" Target="https://www.ahd.com/free_profile/I41848/Ontario_Medical_Center/Ontario/California/" TargetMode="External"/><Relationship Id="rId9" Type="http://schemas.openxmlformats.org/officeDocument/2006/relationships/hyperlink" Target="https://www.ahd.com/free_profile/050455/Adventist_Health_Bakersfield_/Bakersfield/California/" TargetMode="External"/><Relationship Id="rId210" Type="http://schemas.openxmlformats.org/officeDocument/2006/relationships/hyperlink" Target="https://www.ahd.com/free_profile/050078/Providence_Little_Company_of_Mary_Medical_Center_San_Pedro/San_Pedro/California/" TargetMode="External"/><Relationship Id="rId26" Type="http://schemas.openxmlformats.org/officeDocument/2006/relationships/hyperlink" Target="https://www.ahd.com/free_profile/050757/Alvarado_Hospital_Medical_Center/San_Diego/California/" TargetMode="External"/><Relationship Id="rId231" Type="http://schemas.openxmlformats.org/officeDocument/2006/relationships/hyperlink" Target="https://www.ahd.com/free_profile/050152/Saint_Francis_Memorial_Hospital/San_Francisco/California/" TargetMode="External"/><Relationship Id="rId252" Type="http://schemas.openxmlformats.org/officeDocument/2006/relationships/hyperlink" Target="https://www.ahd.com/free_profile/050777/San_Leandro_Medical_Center/San_Leandro/California/" TargetMode="External"/><Relationship Id="rId273" Type="http://schemas.openxmlformats.org/officeDocument/2006/relationships/hyperlink" Target="https://www.ahd.com/free_profile/050722/Sharp_Mary_Birch_Hospital_for_Women_and_Newborns/San_Diego/California/" TargetMode="External"/><Relationship Id="rId294" Type="http://schemas.openxmlformats.org/officeDocument/2006/relationships/hyperlink" Target="https://www.ahd.com/free_profile/050498/Sutter_Auburn_Faith_Hospital/Auburn/California/" TargetMode="External"/><Relationship Id="rId308" Type="http://schemas.openxmlformats.org/officeDocument/2006/relationships/hyperlink" Target="https://www.ahd.com/free_profile/050128/Tri-City_Medical_Center/Oceanside/California/" TargetMode="External"/><Relationship Id="rId329" Type="http://schemas.openxmlformats.org/officeDocument/2006/relationships/hyperlink" Target="https://www.ahd.com/free_profile/050073/Vallejo_Hospital_%26_Medical_Offices/Vallejo/California/" TargetMode="External"/><Relationship Id="rId47" Type="http://schemas.openxmlformats.org/officeDocument/2006/relationships/hyperlink" Target="https://www.ahd.com/free_profile/050586/Chino_Valley_Medical_Center/Chino/California/" TargetMode="External"/><Relationship Id="rId68" Type="http://schemas.openxmlformats.org/officeDocument/2006/relationships/hyperlink" Target="https://www.ahd.com/free_profile/050243/Desert_Regional_Medical_Center/Palm_Springs/California/" TargetMode="External"/><Relationship Id="rId89" Type="http://schemas.openxmlformats.org/officeDocument/2006/relationships/hyperlink" Target="https://www.ahd.com/free_profile/050570/Fountain_Valley_Regional__Hospital_and_Medical_Center/Fountain_Valley/California/" TargetMode="External"/><Relationship Id="rId112" Type="http://schemas.openxmlformats.org/officeDocument/2006/relationships/hyperlink" Target="https://www.ahd.com/free_profile/050438/Huntington_Hospital/Pasadena/California/" TargetMode="External"/><Relationship Id="rId133" Type="http://schemas.openxmlformats.org/officeDocument/2006/relationships/hyperlink" Target="https://www.ahd.com/free_profile/050110/Lompoc_Valley_Medical_Center/Lompoc/California/" TargetMode="External"/><Relationship Id="rId154" Type="http://schemas.openxmlformats.org/officeDocument/2006/relationships/hyperlink" Target="https://www.ahd.com/free_profile/050754/Menlo_Park_Surgical_Hospital/Menlo_Park/California/" TargetMode="External"/><Relationship Id="rId175" Type="http://schemas.openxmlformats.org/officeDocument/2006/relationships/hyperlink" Target="https://www.ahd.com/free_profile/05022F/Naval_Medical_Center_San_Diego/San_Diego/California/" TargetMode="External"/><Relationship Id="rId340" Type="http://schemas.openxmlformats.org/officeDocument/2006/relationships/hyperlink" Target="https://www.ahd.com/free_profile/050481/West_Hills_Hospital_%26_Medical_Center/West_Hills/California/" TargetMode="External"/><Relationship Id="rId196" Type="http://schemas.openxmlformats.org/officeDocument/2006/relationships/hyperlink" Target="https://www.ahd.com/free_profile/050137/Panorama_City_Medical_Center/Panorama_City/California/" TargetMode="External"/><Relationship Id="rId200" Type="http://schemas.openxmlformats.org/officeDocument/2006/relationships/hyperlink" Target="https://www.ahd.com/free_profile/050136/Petaluma_Valley_Hospital/Petaluma/California/" TargetMode="External"/><Relationship Id="rId16" Type="http://schemas.openxmlformats.org/officeDocument/2006/relationships/hyperlink" Target="https://www.ahd.com/free_profile/050335/Adventist_Health_Sonora/Sonora/California/" TargetMode="External"/><Relationship Id="rId221" Type="http://schemas.openxmlformats.org/officeDocument/2006/relationships/hyperlink" Target="https://www.ahd.com/free_profile/050686/Riverside_Medical_Center/Riverside/California/" TargetMode="External"/><Relationship Id="rId242" Type="http://schemas.openxmlformats.org/officeDocument/2006/relationships/hyperlink" Target="https://www.ahd.com/free_profile/050002/Saint_Rose_Hospital/Hayward/California/" TargetMode="External"/><Relationship Id="rId263" Type="http://schemas.openxmlformats.org/officeDocument/2006/relationships/hyperlink" Target="https://www.ahd.com/free_profile/050503/Scripps_Memorial_Hospital_Encinitas/Encinitas/California/" TargetMode="External"/><Relationship Id="rId284" Type="http://schemas.openxmlformats.org/officeDocument/2006/relationships/hyperlink" Target="https://www.ahd.com/free_profile/050747/South_Coast_Global_Medical_Center/Santa_Ana/California/" TargetMode="External"/><Relationship Id="rId319" Type="http://schemas.openxmlformats.org/officeDocument/2006/relationships/hyperlink" Target="https://www.ahd.com/free_profile/050660/USC_Norris_Comprehensive_Cancer_Center/Los_Angeles/California/" TargetMode="External"/><Relationship Id="rId37" Type="http://schemas.openxmlformats.org/officeDocument/2006/relationships/hyperlink" Target="https://www.ahd.com/free_profile/050352/Barton_Memorial_Hospital/South_Lake_Tahoe/California/" TargetMode="External"/><Relationship Id="rId58" Type="http://schemas.openxmlformats.org/officeDocument/2006/relationships/hyperlink" Target="https://www.ahd.com/free_profile/050394/Community_Memorial_Hospital/Ventura/California/" TargetMode="External"/><Relationship Id="rId79" Type="http://schemas.openxmlformats.org/officeDocument/2006/relationships/hyperlink" Target="https://www.ahd.com/free_profile/050597/Emanate_Health_Foothill_Presbyterian_Hospital/Glendora/California/" TargetMode="External"/><Relationship Id="rId102" Type="http://schemas.openxmlformats.org/officeDocument/2006/relationships/hyperlink" Target="https://www.ahd.com/free_profile/050376/Harbor-UCLA_Medical_Center/Torrance/California/" TargetMode="External"/><Relationship Id="rId123" Type="http://schemas.openxmlformats.org/officeDocument/2006/relationships/hyperlink" Target="https://www.ahd.com/free_profile/050315/Kern_Medical_Center/Bakersfield/California/" TargetMode="External"/><Relationship Id="rId144" Type="http://schemas.openxmlformats.org/officeDocument/2006/relationships/hyperlink" Target="https://www.ahd.com/free_profile/050748/Manteca_Medical_Center_/Manteca/California/" TargetMode="External"/><Relationship Id="rId330" Type="http://schemas.openxmlformats.org/officeDocument/2006/relationships/hyperlink" Target="https://www.ahd.com/free_profile/050126/Valley_Presbyterian_Hospital/Van_Nuys/California/" TargetMode="External"/><Relationship Id="rId90" Type="http://schemas.openxmlformats.org/officeDocument/2006/relationships/hyperlink" Target="https://www.ahd.com/free_profile/050232/French_Hospital_Medical_Center_/San_Luis_Obispo/California/" TargetMode="External"/><Relationship Id="rId165" Type="http://schemas.openxmlformats.org/officeDocument/2006/relationships/hyperlink" Target="https://www.ahd.com/free_profile/050704/Mission_Community_Hospital/Panorama_City/California/" TargetMode="External"/><Relationship Id="rId186" Type="http://schemas.openxmlformats.org/officeDocument/2006/relationships/hyperlink" Target="https://www.ahd.com/free_profile/050678/Orange_Coast_Memorial_Medical_Center/Fountain_Valley/California/" TargetMode="External"/><Relationship Id="rId211" Type="http://schemas.openxmlformats.org/officeDocument/2006/relationships/hyperlink" Target="https://www.ahd.com/free_profile/050353/Providence_Little_Company_of_Mary_Medical_Center_Torrance/Torrance/California/" TargetMode="External"/><Relationship Id="rId232" Type="http://schemas.openxmlformats.org/officeDocument/2006/relationships/hyperlink" Target="https://www.ahd.com/free_profile/050616/Saint_John%27s_Pleasant_Valley_Hospital/Camarillo/California/" TargetMode="External"/><Relationship Id="rId253" Type="http://schemas.openxmlformats.org/officeDocument/2006/relationships/hyperlink" Target="https://www.ahd.com/free_profile/050113/San_Mateo_Medical_Center/San_Mateo/California/" TargetMode="External"/><Relationship Id="rId274" Type="http://schemas.openxmlformats.org/officeDocument/2006/relationships/hyperlink" Target="https://www.ahd.com/free_profile/050100/Sharp_Memorial_Hospital/San_Diego/California/" TargetMode="External"/><Relationship Id="rId295" Type="http://schemas.openxmlformats.org/officeDocument/2006/relationships/hyperlink" Target="https://www.ahd.com/free_profile/050417/Sutter_Coast_Hospital/Crescent_City/California/" TargetMode="External"/><Relationship Id="rId309" Type="http://schemas.openxmlformats.org/officeDocument/2006/relationships/hyperlink" Target="https://www.ahd.com/free_profile/050633/Twin_Cities_Community_Hospital/Templeton/California/" TargetMode="External"/><Relationship Id="rId27" Type="http://schemas.openxmlformats.org/officeDocument/2006/relationships/hyperlink" Target="https://www.ahd.com/free_profile/050744/Anaheim_Global_Medical_Center/Anaheim/California/" TargetMode="External"/><Relationship Id="rId48" Type="http://schemas.openxmlformats.org/officeDocument/2006/relationships/hyperlink" Target="https://www.ahd.com/free_profile/050146/City_of_Hope_Comprehensive_Cancer_Center/Duarte/California/" TargetMode="External"/><Relationship Id="rId69" Type="http://schemas.openxmlformats.org/officeDocument/2006/relationships/hyperlink" Target="https://www.ahd.com/free_profile/050709/Desert_Valley_Hospital/Victorville/California/" TargetMode="External"/><Relationship Id="rId113" Type="http://schemas.openxmlformats.org/officeDocument/2006/relationships/hyperlink" Target="https://www.ahd.com/free_profile/I41164/Inland_Valley_Medical_Center/Wildomar/California/" TargetMode="External"/><Relationship Id="rId134" Type="http://schemas.openxmlformats.org/officeDocument/2006/relationships/hyperlink" Target="https://www.ahd.com/free_profile/050485/Long_Beach_Medical_Center/Long_Beach/California/" TargetMode="External"/><Relationship Id="rId320" Type="http://schemas.openxmlformats.org/officeDocument/2006/relationships/hyperlink" Target="https://www.ahd.com/free_profile/050124/USC_Verdugo_Hills_Hospital/Glendale/California/" TargetMode="External"/><Relationship Id="rId80" Type="http://schemas.openxmlformats.org/officeDocument/2006/relationships/hyperlink" Target="https://www.ahd.com/free_profile/050382/Emanate_Health_Inter-Community_Hospital/Covina/California/" TargetMode="External"/><Relationship Id="rId155" Type="http://schemas.openxmlformats.org/officeDocument/2006/relationships/hyperlink" Target="https://www.ahd.com/free_profile/050017/Mercy_General_Hospital/Sacramento/California/" TargetMode="External"/><Relationship Id="rId176" Type="http://schemas.openxmlformats.org/officeDocument/2006/relationships/hyperlink" Target="https://www.ahd.com/free_profile/050367/NorthBay_Medical_Center/Fairfield/California/" TargetMode="External"/><Relationship Id="rId197" Type="http://schemas.openxmlformats.org/officeDocument/2006/relationships/hyperlink" Target="https://www.ahd.com/free_profile/050024/Paradise_Valley_Hospital/National_City/California/" TargetMode="External"/><Relationship Id="rId341" Type="http://schemas.openxmlformats.org/officeDocument/2006/relationships/hyperlink" Target="https://www.ahd.com/free_profile/050561/West_Los_Angeles_Medical_Center/Los_Angeles/California/" TargetMode="External"/><Relationship Id="rId201" Type="http://schemas.openxmlformats.org/officeDocument/2006/relationships/hyperlink" Target="https://www.ahd.com/free_profile/050471/PIH_Health_Good_Samaritan_Hospital/Los_Angeles/California/" TargetMode="External"/><Relationship Id="rId222" Type="http://schemas.openxmlformats.org/officeDocument/2006/relationships/hyperlink" Target="https://www.ahd.com/free_profile/050292/Riverside_University_Medical_Center_/Moreno_Valley/California/" TargetMode="External"/><Relationship Id="rId243" Type="http://schemas.openxmlformats.org/officeDocument/2006/relationships/hyperlink" Target="https://www.ahd.com/free_profile/050334/Salinas_Valley_Memorial_Hospital/Salinas/California/" TargetMode="External"/><Relationship Id="rId264" Type="http://schemas.openxmlformats.org/officeDocument/2006/relationships/hyperlink" Target="https://www.ahd.com/free_profile/050324/Scripps_Memorial_Hospital_La_Jolla/La_Jolla/California/" TargetMode="External"/><Relationship Id="rId285" Type="http://schemas.openxmlformats.org/officeDocument/2006/relationships/hyperlink" Target="https://www.ahd.com/free_profile/050674/South_Sacramento_Medical_Center/Sacramento/California/" TargetMode="External"/><Relationship Id="rId17" Type="http://schemas.openxmlformats.org/officeDocument/2006/relationships/hyperlink" Target="https://www.ahd.com/free_profile/050784/Adventist_Health_Tulare/Tulare/California/" TargetMode="External"/><Relationship Id="rId38" Type="http://schemas.openxmlformats.org/officeDocument/2006/relationships/hyperlink" Target="https://www.ahd.com/free_profile/050350/Beverly_Hospital/Montebello/California/" TargetMode="External"/><Relationship Id="rId59" Type="http://schemas.openxmlformats.org/officeDocument/2006/relationships/hyperlink" Target="https://www.ahd.com/free_profile/050060/Community_Regional_Medical_Center/Fresno/California/" TargetMode="External"/><Relationship Id="rId103" Type="http://schemas.openxmlformats.org/officeDocument/2006/relationships/hyperlink" Target="https://www.ahd.com/free_profile/050296/Hazel_Hawkins_Memorial_Hospital/Hollister/California/" TargetMode="External"/><Relationship Id="rId124" Type="http://schemas.openxmlformats.org/officeDocument/2006/relationships/hyperlink" Target="https://www.ahd.com/free_profile/050763/LA_Downtown_Medical_Center_Downtown_Campus/Los_Angeles/California/" TargetMode="External"/><Relationship Id="rId310" Type="http://schemas.openxmlformats.org/officeDocument/2006/relationships/hyperlink" Target="https://www.ahd.com/free_profile/050599/UC_Davis_Medical_Center/Sacramento/California/" TargetMode="External"/><Relationship Id="rId70" Type="http://schemas.openxmlformats.org/officeDocument/2006/relationships/hyperlink" Target="https://www.ahd.com/free_profile/050118/Doctors_Hospital_of_Manteca/Manteca/California/" TargetMode="External"/><Relationship Id="rId91" Type="http://schemas.openxmlformats.org/officeDocument/2006/relationships/hyperlink" Target="https://www.ahd.com/free_profile/050732/Fresno_Heart_%26_Surgical_Hospital/Fresno/California/" TargetMode="External"/><Relationship Id="rId145" Type="http://schemas.openxmlformats.org/officeDocument/2006/relationships/hyperlink" Target="https://www.ahd.com/free_profile/050107/Marian_Regional_Medical_Center/Santa_Maria/California/" TargetMode="External"/><Relationship Id="rId166" Type="http://schemas.openxmlformats.org/officeDocument/2006/relationships/hyperlink" Target="https://www.ahd.com/free_profile/050193/Mission_Hospital_Laguna_Beach/Laguna_Beach/California/" TargetMode="External"/><Relationship Id="rId187" Type="http://schemas.openxmlformats.org/officeDocument/2006/relationships/hyperlink" Target="https://www.ahd.com/free_profile/050746/Orange_County_Global_Medical_Center/Santa_Ana/California/" TargetMode="External"/><Relationship Id="rId331" Type="http://schemas.openxmlformats.org/officeDocument/2006/relationships/hyperlink" Target="https://www.ahd.com/free_profile/050159/Ventura_County_Medical_Center/Ventura/California/" TargetMode="External"/><Relationship Id="rId1" Type="http://schemas.openxmlformats.org/officeDocument/2006/relationships/hyperlink" Target="https://www.ahd.com/free_profile/050236/_Adventist_Health_Simi_Valley_/Simi_Valley/California/" TargetMode="External"/><Relationship Id="rId212" Type="http://schemas.openxmlformats.org/officeDocument/2006/relationships/hyperlink" Target="https://www.ahd.com/free_profile/050235/Providence_Saint_Joseph_Medical_Center/Burbank/California/" TargetMode="External"/><Relationship Id="rId233" Type="http://schemas.openxmlformats.org/officeDocument/2006/relationships/hyperlink" Target="https://www.ahd.com/free_profile/050082/Saint_John%27s_Regional_Medical_Center/Oxnard/California/" TargetMode="External"/><Relationship Id="rId254" Type="http://schemas.openxmlformats.org/officeDocument/2006/relationships/hyperlink" Target="https://www.ahd.com/free_profile/050510/San_Rafael_Medical_Center/San_Rafael/California/" TargetMode="External"/><Relationship Id="rId28" Type="http://schemas.openxmlformats.org/officeDocument/2006/relationships/hyperlink" Target="https://www.ahd.com/free_profile/050609/Anaheim_Medical_Center_/Anaheim/California/" TargetMode="External"/><Relationship Id="rId49" Type="http://schemas.openxmlformats.org/officeDocument/2006/relationships/hyperlink" Target="https://www.ahd.com/free_profile/050492/Clovis_Community_Medical_Center/Clovis/California/" TargetMode="External"/><Relationship Id="rId114" Type="http://schemas.openxmlformats.org/officeDocument/2006/relationships/hyperlink" Target="https://www.ahd.com/free_profile/050534/John_F_Kennedy_Memorial_Hospital/Indio/California/" TargetMode="External"/><Relationship Id="rId275" Type="http://schemas.openxmlformats.org/officeDocument/2006/relationships/hyperlink" Target="https://www.ahd.com/free_profile/050764/Shasta_Regional_Medical_Center/Redding/California/" TargetMode="External"/><Relationship Id="rId296" Type="http://schemas.openxmlformats.org/officeDocument/2006/relationships/hyperlink" Target="https://www.ahd.com/free_profile/050537/Sutter_Davis_Hospital/Davis/California/" TargetMode="External"/><Relationship Id="rId300" Type="http://schemas.openxmlformats.org/officeDocument/2006/relationships/hyperlink" Target="https://www.ahd.com/free_profile/050309/Sutter_Roseville_Medical_Center/Roseville/California/" TargetMode="External"/><Relationship Id="rId60" Type="http://schemas.openxmlformats.org/officeDocument/2006/relationships/hyperlink" Target="https://www.ahd.com/free_profile/050496/Concord_Medical_Center/Concord/California/" TargetMode="External"/><Relationship Id="rId81" Type="http://schemas.openxmlformats.org/officeDocument/2006/relationships/hyperlink" Target="https://www.ahd.com/free_profile/050369/Emanate_Health_Queen_of_the_Valley_Hospital/West_Covina/California/" TargetMode="External"/><Relationship Id="rId135" Type="http://schemas.openxmlformats.org/officeDocument/2006/relationships/hyperlink" Target="https://www.ahd.com/free_profile/050551/Los_Alamitos_Medical_Center/Los_Alamitos/California/" TargetMode="External"/><Relationship Id="rId156" Type="http://schemas.openxmlformats.org/officeDocument/2006/relationships/hyperlink" Target="https://www.ahd.com/free_profile/050295/Mercy_Hospital_Downtown_Bakersfield/Bakersfield/California/" TargetMode="External"/><Relationship Id="rId177" Type="http://schemas.openxmlformats.org/officeDocument/2006/relationships/hyperlink" Target="https://www.ahd.com/free_profile/050680/NorthBay_VacaValley_Hospital/Vacaville/California/" TargetMode="External"/><Relationship Id="rId198" Type="http://schemas.openxmlformats.org/officeDocument/2006/relationships/hyperlink" Target="https://www.ahd.com/free_profile/050102/Parkview_Community_Hospital_Medical_Center/Riverside/California/" TargetMode="External"/><Relationship Id="rId321" Type="http://schemas.openxmlformats.org/officeDocument/2006/relationships/hyperlink" Target="https://www.ahd.com/free_profile/05025F/VA_Central_California_Health_Care_System/Fresno/California/" TargetMode="External"/><Relationship Id="rId342" Type="http://schemas.openxmlformats.org/officeDocument/2006/relationships/hyperlink" Target="https://www.ahd.com/free_profile/050735/Whittier_Hospital_Medical_Center/Whittier/California/" TargetMode="External"/><Relationship Id="rId202" Type="http://schemas.openxmlformats.org/officeDocument/2006/relationships/hyperlink" Target="https://www.ahd.com/free_profile/050393/PIH_Health_Hospital_-_Downey/Downey/California/" TargetMode="External"/><Relationship Id="rId223" Type="http://schemas.openxmlformats.org/officeDocument/2006/relationships/hyperlink" Target="https://www.ahd.com/free_profile/05039F/Robert_E_Bush_Naval_Hospital/Twentynine_Palms/California/" TargetMode="External"/><Relationship Id="rId244" Type="http://schemas.openxmlformats.org/officeDocument/2006/relationships/hyperlink" Target="https://www.ahd.com/free_profile/050099/San_Antonio_Regional_Hospital_/Upland/California/" TargetMode="External"/><Relationship Id="rId18" Type="http://schemas.openxmlformats.org/officeDocument/2006/relationships/hyperlink" Target="https://www.ahd.com/free_profile/I42371/Adventist_Health_Vallejo/Vallejo/California/" TargetMode="External"/><Relationship Id="rId39" Type="http://schemas.openxmlformats.org/officeDocument/2006/relationships/hyperlink" Target="https://www.ahd.com/free_profile/050149/California_Hospital_Medical_Center/Los_Angeles/California/" TargetMode="External"/><Relationship Id="rId265" Type="http://schemas.openxmlformats.org/officeDocument/2006/relationships/hyperlink" Target="https://www.ahd.com/free_profile/050270/Scripps_Mercy_Hospital_Chula_Vista/Chula_Vista/California/" TargetMode="External"/><Relationship Id="rId286" Type="http://schemas.openxmlformats.org/officeDocument/2006/relationships/hyperlink" Target="https://www.ahd.com/free_profile/050752/Southern_California_Hospital_at_Culver_City/Culver_City/California/" TargetMode="External"/><Relationship Id="rId50" Type="http://schemas.openxmlformats.org/officeDocument/2006/relationships/hyperlink" Target="https://www.ahd.com/free_profile/050771/Coast_Plaza_Hospital/Norwalk/California/" TargetMode="External"/><Relationship Id="rId104" Type="http://schemas.openxmlformats.org/officeDocument/2006/relationships/hyperlink" Target="https://www.ahd.com/free_profile/050390/Hemet_Global_Medical_Center/Hemet/California/" TargetMode="External"/><Relationship Id="rId125" Type="http://schemas.openxmlformats.org/officeDocument/2006/relationships/hyperlink" Target="https://www.ahd.com/free_profile/050580/La_Palma_Intercommunity_Hospital/La_Palma/California/" TargetMode="External"/><Relationship Id="rId146" Type="http://schemas.openxmlformats.org/officeDocument/2006/relationships/hyperlink" Target="https://www.ahd.com/free_profile/050740/Marina_Del_Rey_Hospital/Marina_Del_Rey/California/" TargetMode="External"/><Relationship Id="rId167" Type="http://schemas.openxmlformats.org/officeDocument/2006/relationships/hyperlink" Target="https://www.ahd.com/free_profile/050567/Mission_Hospital_Mission_Viejo/Mission_Viejo/California/" TargetMode="External"/><Relationship Id="rId188" Type="http://schemas.openxmlformats.org/officeDocument/2006/relationships/hyperlink" Target="https://www.ahd.com/free_profile/I41516/Orange_County-Irvine_Medical_Center/Irvine/California/" TargetMode="External"/><Relationship Id="rId311" Type="http://schemas.openxmlformats.org/officeDocument/2006/relationships/hyperlink" Target="https://www.ahd.com/free_profile/I41388/UC_San_Diego_Health_-_La_Jolla_Jacobs_Medical_Center/La_Jolla/California/" TargetMode="External"/><Relationship Id="rId332" Type="http://schemas.openxmlformats.org/officeDocument/2006/relationships/hyperlink" Target="https://www.ahd.com/free_profile/050517/Victor_Valley_Global_Medical_Center/Victorville/California/" TargetMode="External"/><Relationship Id="rId71" Type="http://schemas.openxmlformats.org/officeDocument/2006/relationships/hyperlink" Target="https://www.ahd.com/free_profile/050464/Doctors_Medical_Center_of_Modesto/Modesto/California/" TargetMode="External"/><Relationship Id="rId92" Type="http://schemas.openxmlformats.org/officeDocument/2006/relationships/hyperlink" Target="https://www.ahd.com/free_profile/050710/Fresno_Medical_Center/Fresno/California/" TargetMode="External"/><Relationship Id="rId213" Type="http://schemas.openxmlformats.org/officeDocument/2006/relationships/hyperlink" Target="https://www.ahd.com/free_profile/050009/Queen_of_the_Valley_Medical_Center/Napa/California/" TargetMode="External"/><Relationship Id="rId234" Type="http://schemas.openxmlformats.org/officeDocument/2006/relationships/hyperlink" Target="https://www.ahd.com/free_profile/I42090/Saint_Joseph_Hospital_Acute_Rehabilitation_Unit/Eureka/California/" TargetMode="External"/><Relationship Id="rId2" Type="http://schemas.openxmlformats.org/officeDocument/2006/relationships/hyperlink" Target="https://www.ahd.com/free_profile/050301/_Adventist_Ukiah_Valley_/Ukiah/California/" TargetMode="External"/><Relationship Id="rId29" Type="http://schemas.openxmlformats.org/officeDocument/2006/relationships/hyperlink" Target="https://www.ahd.com/free_profile/050056/Antelope_Valley_Hospital/Lancaster/California/" TargetMode="External"/><Relationship Id="rId255" Type="http://schemas.openxmlformats.org/officeDocument/2006/relationships/hyperlink" Target="https://www.ahd.com/free_profile/050689/San_Ramon_Regional_Medical_Center/San_Ramon/California/" TargetMode="External"/><Relationship Id="rId276" Type="http://schemas.openxmlformats.org/officeDocument/2006/relationships/hyperlink" Target="https://www.ahd.com/free_profile/050755/Sherman_Oaks_Hospital/Sherman_Oaks/California/" TargetMode="External"/><Relationship Id="rId297" Type="http://schemas.openxmlformats.org/officeDocument/2006/relationships/hyperlink" Target="https://www.ahd.com/free_profile/050523/Sutter_Delta_Medical_Center/Antioch/California/" TargetMode="External"/><Relationship Id="rId40" Type="http://schemas.openxmlformats.org/officeDocument/2006/relationships/hyperlink" Target="https://www.ahd.com/free_profile/I07817/California_Mens_Colony_Hospital/San_Luis_Obispo/California/" TargetMode="External"/><Relationship Id="rId115" Type="http://schemas.openxmlformats.org/officeDocument/2006/relationships/hyperlink" Target="https://www.ahd.com/free_profile/050512/Kaiser_Permanente_Fremont_Medical_Center/Fremont/California/" TargetMode="External"/><Relationship Id="rId136" Type="http://schemas.openxmlformats.org/officeDocument/2006/relationships/hyperlink" Target="https://www.ahd.com/free_profile/050663/Los_Angeles_Community_Hospital/Los_Angeles/California/" TargetMode="External"/><Relationship Id="rId157" Type="http://schemas.openxmlformats.org/officeDocument/2006/relationships/hyperlink" Target="https://www.ahd.com/free_profile/050414/Mercy_Hospital_of_Folsom/Folsom/California/" TargetMode="External"/><Relationship Id="rId178" Type="http://schemas.openxmlformats.org/officeDocument/2006/relationships/hyperlink" Target="https://www.ahd.com/free_profile/050116/Northridge_Hospital/Northridge/California/" TargetMode="External"/><Relationship Id="rId301" Type="http://schemas.openxmlformats.org/officeDocument/2006/relationships/hyperlink" Target="https://www.ahd.com/free_profile/050291/Sutter_Santa_Rosa_Regional_Hospital/Santa_Rosa/California/" TargetMode="External"/><Relationship Id="rId322" Type="http://schemas.openxmlformats.org/officeDocument/2006/relationships/hyperlink" Target="https://www.ahd.com/free_profile/05128F/VA_Greater_Los_Angeles_Healthcare_System_-_West_Los_Angeles_Medical_Center/Los_Angeles/California/" TargetMode="External"/><Relationship Id="rId343" Type="http://schemas.openxmlformats.org/officeDocument/2006/relationships/hyperlink" Target="https://www.ahd.com/free_profile/050127/Woodland__Memorial_Hospital/Woodland/California/" TargetMode="External"/><Relationship Id="rId61" Type="http://schemas.openxmlformats.org/officeDocument/2006/relationships/hyperlink" Target="https://www.ahd.com/free_profile/050276/Contra_Costa_Regional_Medical_Center/Martinez/California/" TargetMode="External"/><Relationship Id="rId82" Type="http://schemas.openxmlformats.org/officeDocument/2006/relationships/hyperlink" Target="https://www.ahd.com/free_profile/050179/Emanuel_Medical_Center/Turlock/California/" TargetMode="External"/><Relationship Id="rId199" Type="http://schemas.openxmlformats.org/officeDocument/2006/relationships/hyperlink" Target="https://www.ahd.com/free_profile/050697/Patients_Hospital_of_Redding/Redding/California/" TargetMode="External"/><Relationship Id="rId203" Type="http://schemas.openxmlformats.org/officeDocument/2006/relationships/hyperlink" Target="https://www.ahd.com/free_profile/050169/PIH_Health_Hospital_-_Whittier/Whittier/California/" TargetMode="External"/><Relationship Id="rId19" Type="http://schemas.openxmlformats.org/officeDocument/2006/relationships/hyperlink" Target="https://www.ahd.com/free_profile/050103/Adventist_Health_White_Memorial/Los_Angeles/California/" TargetMode="External"/><Relationship Id="rId224" Type="http://schemas.openxmlformats.org/officeDocument/2006/relationships/hyperlink" Target="https://www.ahd.com/free_profile/050262/Ronald_Reagan_UCLA_Medical_Center/Los_Angeles/California/" TargetMode="External"/><Relationship Id="rId245" Type="http://schemas.openxmlformats.org/officeDocument/2006/relationships/hyperlink" Target="https://www.ahd.com/free_profile/050588/San_Dimas_Community_Hospital/San_Dimas/California/" TargetMode="External"/><Relationship Id="rId266" Type="http://schemas.openxmlformats.org/officeDocument/2006/relationships/hyperlink" Target="https://www.ahd.com/free_profile/050077/Scripps_Mercy_Hospital_San_Diego/San_Diego/California/" TargetMode="External"/><Relationship Id="rId287" Type="http://schemas.openxmlformats.org/officeDocument/2006/relationships/hyperlink" Target="https://www.ahd.com/free_profile/050135/Southern_California_Hospital_at_Hollywood/Hollywood/California/" TargetMode="External"/><Relationship Id="rId30" Type="http://schemas.openxmlformats.org/officeDocument/2006/relationships/hyperlink" Target="https://www.ahd.com/free_profile/050760/Antioch_Medical_Center_/Antioch/California/" TargetMode="External"/><Relationship Id="rId105" Type="http://schemas.openxmlformats.org/officeDocument/2006/relationships/hyperlink" Target="https://www.ahd.com/free_profile/050624/Henry_Mayo_Newhall_Memorial_Hospital/Valencia/California/" TargetMode="External"/><Relationship Id="rId126" Type="http://schemas.openxmlformats.org/officeDocument/2006/relationships/hyperlink" Target="https://www.ahd.com/free_profile/050668/Laguna_Honda_Hospital_and_Rehabilitation_Center/San_Francisco/California/" TargetMode="External"/><Relationship Id="rId147" Type="http://schemas.openxmlformats.org/officeDocument/2006/relationships/hyperlink" Target="https://www.ahd.com/free_profile/050254/Marshall_Medical_Center/Placerville/California/" TargetMode="External"/><Relationship Id="rId168" Type="http://schemas.openxmlformats.org/officeDocument/2006/relationships/hyperlink" Target="https://www.ahd.com/free_profile/I41678/Modesto_Medical_Center/Modesto/California/" TargetMode="External"/><Relationship Id="rId312" Type="http://schemas.openxmlformats.org/officeDocument/2006/relationships/hyperlink" Target="https://www.ahd.com/free_profile/050025/UC_San_Diego_Health_System_-_Hillcrest/San_Diego/California/" TargetMode="External"/><Relationship Id="rId333" Type="http://schemas.openxmlformats.org/officeDocument/2006/relationships/hyperlink" Target="https://www.ahd.com/free_profile/050072/Walnut_Creek_Medical_Center/Walnut_Creek/California/" TargetMode="External"/><Relationship Id="rId51" Type="http://schemas.openxmlformats.org/officeDocument/2006/relationships/hyperlink" Target="https://www.ahd.com/free_profile/050543/College_Hospital_Costa_Mesa/Costa_Mesa/California/" TargetMode="External"/><Relationship Id="rId72" Type="http://schemas.openxmlformats.org/officeDocument/2006/relationships/hyperlink" Target="https://www.ahd.com/free_profile/050242/Dominican_Hospital/Santa_Cruz/California/" TargetMode="External"/><Relationship Id="rId93" Type="http://schemas.openxmlformats.org/officeDocument/2006/relationships/hyperlink" Target="https://www.ahd.com/free_profile/050708/Fresno_Surgical_Hospital/Fresno/California/" TargetMode="External"/><Relationship Id="rId189" Type="http://schemas.openxmlformats.org/officeDocument/2006/relationships/hyperlink" Target="https://www.ahd.com/free_profile/050030/Oroville_Hospital/Oroville/California/" TargetMode="External"/><Relationship Id="rId3" Type="http://schemas.openxmlformats.org/officeDocument/2006/relationships/hyperlink" Target="https://www.ahd.com/free_profile/050139/_Downey_Medical_Center/Downey/California/" TargetMode="External"/><Relationship Id="rId214" Type="http://schemas.openxmlformats.org/officeDocument/2006/relationships/hyperlink" Target="https://www.ahd.com/free_profile/050717/Rancho_Los_Amigos_National_Rehabilitation_Center/Downey/California/" TargetMode="External"/><Relationship Id="rId235" Type="http://schemas.openxmlformats.org/officeDocument/2006/relationships/hyperlink" Target="https://www.ahd.com/free_profile/050006/Saint_Joseph_Hospital_Eureka/Eureka/California/" TargetMode="External"/><Relationship Id="rId256" Type="http://schemas.openxmlformats.org/officeDocument/2006/relationships/hyperlink" Target="https://www.ahd.com/free_profile/050396/Santa_Barbara_Cottage_Hospital/Santa_Barbara/California/" TargetMode="External"/><Relationship Id="rId277" Type="http://schemas.openxmlformats.org/officeDocument/2006/relationships/hyperlink" Target="https://www.ahd.com/free_profile/050150/Sierra_Nevada_Memorial_Hospital/Grass_Valley/California/" TargetMode="External"/><Relationship Id="rId298" Type="http://schemas.openxmlformats.org/officeDocument/2006/relationships/hyperlink" Target="https://www.ahd.com/free_profile/050714/Sutter_Maternity_and_Surgery_Center_of_Santa_Cruz/Santa_Cruz/California/" TargetMode="External"/><Relationship Id="rId116" Type="http://schemas.openxmlformats.org/officeDocument/2006/relationships/hyperlink" Target="https://www.ahd.com/free_profile/050772/Kaiser_Permanente_Roseville_Medical_Center/Roseville/California/" TargetMode="External"/><Relationship Id="rId137" Type="http://schemas.openxmlformats.org/officeDocument/2006/relationships/hyperlink" Target="https://www.ahd.com/free_profile/I41902/Los_Angeles_Community_Hospital_at_Norwalk/Norwalk/California/" TargetMode="External"/><Relationship Id="rId158" Type="http://schemas.openxmlformats.org/officeDocument/2006/relationships/hyperlink" Target="https://www.ahd.com/free_profile/I41032/Mercy_Hospital_Southwest/Bakersfield/California/" TargetMode="External"/><Relationship Id="rId302" Type="http://schemas.openxmlformats.org/officeDocument/2006/relationships/hyperlink" Target="https://www.ahd.com/free_profile/050101/Sutter_Solano_Medical_Center/Vallejo/California/" TargetMode="External"/><Relationship Id="rId323" Type="http://schemas.openxmlformats.org/officeDocument/2006/relationships/hyperlink" Target="https://www.ahd.com/free_profile/05127E/VA_Loma_Linda_Healthcare_System/Loma_Linda/California/" TargetMode="External"/><Relationship Id="rId344" Type="http://schemas.openxmlformats.org/officeDocument/2006/relationships/hyperlink" Target="https://www.ahd.com/free_profile/050228/Zuckerberg_San_Francisco_General_Hospital_and_Trauma_Center/San_Francisco/California/" TargetMode="External"/><Relationship Id="rId20" Type="http://schemas.openxmlformats.org/officeDocument/2006/relationships/hyperlink" Target="https://www.ahd.com/free_profile/050226/AHMC_Anaheim_Regional_Medical_Center/Anaheim/California/" TargetMode="External"/><Relationship Id="rId41" Type="http://schemas.openxmlformats.org/officeDocument/2006/relationships/hyperlink" Target="https://www.ahd.com/free_profile/050782/Casa_Colina_Hospital_and_Centers_for_Healthcare/Pomona/California/" TargetMode="External"/><Relationship Id="rId62" Type="http://schemas.openxmlformats.org/officeDocument/2006/relationships/hyperlink" Target="https://www.ahd.com/free_profile/050329/Corona_Regional_Medical_Center/Corona/California/" TargetMode="External"/><Relationship Id="rId83" Type="http://schemas.openxmlformats.org/officeDocument/2006/relationships/hyperlink" Target="https://www.ahd.com/free_profile/050158/Encino_Hospital_Medical_Center/Encino/California/" TargetMode="External"/><Relationship Id="rId179" Type="http://schemas.openxmlformats.org/officeDocument/2006/relationships/hyperlink" Target="https://www.ahd.com/free_profile/050131/Novato_Community_Hospital/Novato/California/" TargetMode="External"/><Relationship Id="rId190" Type="http://schemas.openxmlformats.org/officeDocument/2006/relationships/hyperlink" Target="https://www.ahd.com/free_profile/050378/Pacifica_Hospital_of_the_Valley/Sun_Valley/California/" TargetMode="External"/><Relationship Id="rId204" Type="http://schemas.openxmlformats.org/officeDocument/2006/relationships/hyperlink" Target="https://www.ahd.com/free_profile/050342/Pioneers_Memorial_Hospital/Brawley/California/" TargetMode="External"/><Relationship Id="rId225" Type="http://schemas.openxmlformats.org/officeDocument/2006/relationships/hyperlink" Target="https://www.ahd.com/free_profile/050425/Sacramento_Medical_Center/Sacramento/California/" TargetMode="External"/><Relationship Id="rId246" Type="http://schemas.openxmlformats.org/officeDocument/2006/relationships/hyperlink" Target="https://www.ahd.com/free_profile/05130F/San_Francisco_VA_Medical_Center/San_Francisco/California/" TargetMode="External"/><Relationship Id="rId267" Type="http://schemas.openxmlformats.org/officeDocument/2006/relationships/hyperlink" Target="https://www.ahd.com/free_profile/050197/Sequoia_Hospital/Redwood_City/California/" TargetMode="External"/><Relationship Id="rId288" Type="http://schemas.openxmlformats.org/officeDocument/2006/relationships/hyperlink" Target="https://www.ahd.com/free_profile/050191/St_Mary_Medical_Center_Long_Beach/Long_Beach/California/" TargetMode="External"/><Relationship Id="rId106" Type="http://schemas.openxmlformats.org/officeDocument/2006/relationships/hyperlink" Target="https://www.ahd.com/free_profile/050279/Hi-Desert_Medical_Center/Joshua_Tree/California/" TargetMode="External"/><Relationship Id="rId127" Type="http://schemas.openxmlformats.org/officeDocument/2006/relationships/hyperlink" Target="https://www.ahd.com/free_profile/050581/Lakewood_Regional_Medical_Center/Lakewood/California/" TargetMode="External"/><Relationship Id="rId313" Type="http://schemas.openxmlformats.org/officeDocument/2006/relationships/hyperlink" Target="https://www.ahd.com/free_profile/050348/UCI_Health/Orange/California/" TargetMode="External"/><Relationship Id="rId10" Type="http://schemas.openxmlformats.org/officeDocument/2006/relationships/hyperlink" Target="https://www.ahd.com/free_profile/050239/Adventist_Health_Glendale/Glendale/California/" TargetMode="External"/><Relationship Id="rId31" Type="http://schemas.openxmlformats.org/officeDocument/2006/relationships/hyperlink" Target="https://www.ahd.com/free_profile/050245/Arrowhead_Regional_Medical_Center/Colton/California/" TargetMode="External"/><Relationship Id="rId52" Type="http://schemas.openxmlformats.org/officeDocument/2006/relationships/hyperlink" Target="https://www.ahd.com/free_profile/050776/College_Medical_Center/Long_Beach/California/" TargetMode="External"/><Relationship Id="rId73" Type="http://schemas.openxmlformats.org/officeDocument/2006/relationships/hyperlink" Target="https://www.ahd.com/free_profile/050641/East_Los_Angeles_Doctors_Hospital/Los_Angeles/California/" TargetMode="External"/><Relationship Id="rId94" Type="http://schemas.openxmlformats.org/officeDocument/2006/relationships/hyperlink" Target="https://www.ahd.com/free_profile/050230/Garden_Grove_Hospital_and_Medical_Center/Garden_Grove/California/" TargetMode="External"/><Relationship Id="rId148" Type="http://schemas.openxmlformats.org/officeDocument/2006/relationships/hyperlink" Target="https://www.ahd.com/free_profile/050779/Martin_Luther_King%2C_Jr_Community_Hospital_/Los_Angeles/California/" TargetMode="External"/><Relationship Id="rId169" Type="http://schemas.openxmlformats.org/officeDocument/2006/relationships/hyperlink" Target="https://www.ahd.com/free_profile/050758/Montclair_Hospital_Medical_Center/Montclair/California/" TargetMode="External"/><Relationship Id="rId334" Type="http://schemas.openxmlformats.org/officeDocument/2006/relationships/hyperlink" Target="https://www.ahd.com/free_profile/050180/Walnut_Creek_Medical_Center_/Walnut_Creek/California/" TargetMode="External"/><Relationship Id="rId4" Type="http://schemas.openxmlformats.org/officeDocument/2006/relationships/hyperlink" Target="https://www.ahd.com/free_profile/050360/_MarinHealth_Medical_Center/Greenbrae/California/" TargetMode="External"/><Relationship Id="rId180" Type="http://schemas.openxmlformats.org/officeDocument/2006/relationships/hyperlink" Target="https://www.ahd.com/free_profile/050153/O%27Connor_Hospital/San_Jose/California/" TargetMode="External"/><Relationship Id="rId215" Type="http://schemas.openxmlformats.org/officeDocument/2006/relationships/hyperlink" Target="https://www.ahd.com/free_profile/050701/Rancho_Springs_Medical_Center/Murrieta/California/" TargetMode="External"/><Relationship Id="rId236" Type="http://schemas.openxmlformats.org/officeDocument/2006/relationships/hyperlink" Target="https://www.ahd.com/free_profile/050069/Saint_Joseph_Hospital_Orange/Orange/California/" TargetMode="External"/><Relationship Id="rId257" Type="http://schemas.openxmlformats.org/officeDocument/2006/relationships/hyperlink" Target="https://www.ahd.com/free_profile/050071/Santa_Clara_Medical_Center/Santa_Clara/California/" TargetMode="External"/><Relationship Id="rId278" Type="http://schemas.openxmlformats.org/officeDocument/2006/relationships/hyperlink" Target="https://www.ahd.com/free_profile/050261/Sierra_View_District_Hospital/Porterville/California/" TargetMode="External"/><Relationship Id="rId303" Type="http://schemas.openxmlformats.org/officeDocument/2006/relationships/hyperlink" Target="https://www.ahd.com/free_profile/050766/Sutter_Surgical_Hospital_North_Valley/Yuba_City/California/" TargetMode="External"/><Relationship Id="rId42" Type="http://schemas.openxmlformats.org/officeDocument/2006/relationships/hyperlink" Target="https://www.ahd.com/free_profile/050625/Cedars-Sinai_Medical_Center/Los_Angeles/California/" TargetMode="External"/><Relationship Id="rId84" Type="http://schemas.openxmlformats.org/officeDocument/2006/relationships/hyperlink" Target="https://www.ahd.com/free_profile/050039/Enloe_Medical_Center/Chico/California/" TargetMode="External"/><Relationship Id="rId138" Type="http://schemas.openxmlformats.org/officeDocument/2006/relationships/hyperlink" Target="https://www.ahd.com/free_profile/050373/Los_Angeles_County_and_University_of_Southern_California_Medical_Center/Los_Angeles/California/" TargetMode="External"/><Relationship Id="rId191" Type="http://schemas.openxmlformats.org/officeDocument/2006/relationships/hyperlink" Target="https://www.ahd.com/free_profile/050204/Palmdale_Regional_Medical_Center/Palmdale/California/" TargetMode="External"/><Relationship Id="rId205" Type="http://schemas.openxmlformats.org/officeDocument/2006/relationships/hyperlink" Target="https://www.ahd.com/free_profile/050589/Placentia-Linda_Hospital/Placentia/California/" TargetMode="External"/><Relationship Id="rId247" Type="http://schemas.openxmlformats.org/officeDocument/2006/relationships/hyperlink" Target="https://www.ahd.com/free_profile/050132/San_Gabriel_Valley_Medical_Center/San_Gabriel/California/" TargetMode="External"/><Relationship Id="rId107" Type="http://schemas.openxmlformats.org/officeDocument/2006/relationships/hyperlink" Target="https://www.ahd.com/free_profile/050320/Highland_Hospital/Oakland/California/" TargetMode="External"/><Relationship Id="rId289" Type="http://schemas.openxmlformats.org/officeDocument/2006/relationships/hyperlink" Target="https://www.ahd.com/free_profile/I41163/Stanford_Health_-_ValleyCare_-_Pleasanton/Pleasanton/California/" TargetMode="External"/><Relationship Id="rId11" Type="http://schemas.openxmlformats.org/officeDocument/2006/relationships/hyperlink" Target="https://www.ahd.com/free_profile/050121/Adventist_Health_Hanford/Hanford/California/" TargetMode="External"/><Relationship Id="rId53" Type="http://schemas.openxmlformats.org/officeDocument/2006/relationships/hyperlink" Target="https://www.ahd.com/free_profile/050783/Colusa_Medical_Center/Colusa/California/" TargetMode="External"/><Relationship Id="rId149" Type="http://schemas.openxmlformats.org/officeDocument/2006/relationships/hyperlink" Target="https://www.ahd.com/free_profile/050189/Mee_Memorial_Hospital/King_City/California/" TargetMode="External"/><Relationship Id="rId314" Type="http://schemas.openxmlformats.org/officeDocument/2006/relationships/hyperlink" Target="https://www.ahd.com/free_profile/I42273/UCLA_Mattel_Children%27s_Hospital/Los_Angeles/California/" TargetMode="External"/><Relationship Id="rId95" Type="http://schemas.openxmlformats.org/officeDocument/2006/relationships/hyperlink" Target="https://www.ahd.com/free_profile/050737/Garfield_Medical_Center/Monterey_Park/California/" TargetMode="External"/><Relationship Id="rId160" Type="http://schemas.openxmlformats.org/officeDocument/2006/relationships/hyperlink" Target="https://www.ahd.com/free_profile/050280/Mercy_Medical_Center_Redding/Redding/California/" TargetMode="External"/><Relationship Id="rId216" Type="http://schemas.openxmlformats.org/officeDocument/2006/relationships/hyperlink" Target="https://www.ahd.com/free_profile/050272/Redlands_Community_Hospital/Redlands/California/" TargetMode="External"/><Relationship Id="rId258" Type="http://schemas.openxmlformats.org/officeDocument/2006/relationships/hyperlink" Target="https://www.ahd.com/free_profile/050038/Santa_Clara_Valley_Medical_Center/San_Jose/California/" TargetMode="External"/><Relationship Id="rId22" Type="http://schemas.openxmlformats.org/officeDocument/2006/relationships/hyperlink" Target="https://www.ahd.com/free_profile/050281/Alhambra_Hospital_Medical_Center/Alhambra/California/" TargetMode="External"/><Relationship Id="rId64" Type="http://schemas.openxmlformats.org/officeDocument/2006/relationships/hyperlink" Target="https://www.ahd.com/free_profile/050055/CPMC_Mission_Bernal_Campus/San_Francisco/California/" TargetMode="External"/><Relationship Id="rId118" Type="http://schemas.openxmlformats.org/officeDocument/2006/relationships/hyperlink" Target="https://www.ahd.com/free_profile/050076/Kaiser_Permanente_San_Francisco_Medical_Center/San_Francisco/California/" TargetMode="External"/><Relationship Id="rId325" Type="http://schemas.openxmlformats.org/officeDocument/2006/relationships/hyperlink" Target="https://www.ahd.com/free_profile/05013F/VA_Northern_California_Health_Care_System_-_Valley_Division_-_Sacramento_VA_Medical_Center/Mather/California/" TargetMode="External"/><Relationship Id="rId171" Type="http://schemas.openxmlformats.org/officeDocument/2006/relationships/hyperlink" Target="https://www.ahd.com/free_profile/050765/Moreno_Valley_Medical_Center/Moreno_Valley/California/" TargetMode="External"/><Relationship Id="rId227" Type="http://schemas.openxmlformats.org/officeDocument/2006/relationships/hyperlink" Target="https://www.ahd.com/free_profile/050093/Saint_Agnes_Medical_Center/Fresno/California/" TargetMode="External"/><Relationship Id="rId269" Type="http://schemas.openxmlformats.org/officeDocument/2006/relationships/hyperlink" Target="https://www.ahd.com/free_profile/I41392/Seton_Medical_Center_Coastside/Moss_Beach/California/" TargetMode="External"/><Relationship Id="rId33" Type="http://schemas.openxmlformats.org/officeDocument/2006/relationships/hyperlink" Target="https://www.ahd.com/free_profile/050724/Bakersfield_Heart_Hospital/Bakersfield/California/" TargetMode="External"/><Relationship Id="rId129" Type="http://schemas.openxmlformats.org/officeDocument/2006/relationships/hyperlink" Target="https://www.ahd.com/free_profile/050327/Loma_Linda_University_Medical_Center/Loma_Linda/California/" TargetMode="External"/><Relationship Id="rId280" Type="http://schemas.openxmlformats.org/officeDocument/2006/relationships/hyperlink" Target="https://www.ahd.com/free_profile/050547/Sonoma_Developmental_Center/Eldridge/California/" TargetMode="External"/><Relationship Id="rId336" Type="http://schemas.openxmlformats.org/officeDocument/2006/relationships/hyperlink" Target="https://www.ahd.com/free_profile/050194/Watsonville_Community_Hospital/Watsonville/California/" TargetMode="External"/><Relationship Id="rId75" Type="http://schemas.openxmlformats.org/officeDocument/2006/relationships/hyperlink" Target="https://www.ahd.com/free_profile/050573/Eisenhower_Medical_Center/Rancho_Mirage/California/" TargetMode="External"/><Relationship Id="rId140" Type="http://schemas.openxmlformats.org/officeDocument/2006/relationships/hyperlink" Target="https://www.ahd.com/free_profile/050502/Los_Angeles_Surge_Hospital/Los_Angeles/California/" TargetMode="External"/><Relationship Id="rId182" Type="http://schemas.openxmlformats.org/officeDocument/2006/relationships/hyperlink" Target="https://www.ahd.com/free_profile/050075/Oakland_Medical_Center/Oakland/California/" TargetMode="External"/><Relationship Id="rId6" Type="http://schemas.openxmlformats.org/officeDocument/2006/relationships/hyperlink" Target="https://www.ahd.com/free_profile/050677/_Woodland_Hills_Medical_Center/Woodland_Hills/California/" TargetMode="External"/><Relationship Id="rId238" Type="http://schemas.openxmlformats.org/officeDocument/2006/relationships/hyperlink" Target="https://www.ahd.com/free_profile/050168/Saint_Jude_Medical_Center/Fullerton/California/" TargetMode="External"/><Relationship Id="rId291" Type="http://schemas.openxmlformats.org/officeDocument/2006/relationships/hyperlink" Target="https://www.ahd.com/free_profile/050441/Stanford_Hospital/Stanford/California/" TargetMode="External"/><Relationship Id="rId305" Type="http://schemas.openxmlformats.org/officeDocument/2006/relationships/hyperlink" Target="https://www.ahd.com/free_profile/050775/Temecula_Valley_Hospital/Temecula/California/" TargetMode="External"/><Relationship Id="rId44" Type="http://schemas.openxmlformats.org/officeDocument/2006/relationships/hyperlink" Target="https://www.ahd.com/free_profile/050063/CHA_Hollywood_Presbyterian_Medical_Center/Los_Angeles/California/" TargetMode="External"/><Relationship Id="rId86" Type="http://schemas.openxmlformats.org/officeDocument/2006/relationships/hyperlink" Target="https://www.ahd.com/free_profile/050548/Fairview_Developmental_Center/Costa_Mesa/California/" TargetMode="External"/><Relationship Id="rId151" Type="http://schemas.openxmlformats.org/officeDocument/2006/relationships/hyperlink" Target="https://www.ahd.com/free_profile/050468/Memorial_Hospital_of_Gardena/Gardena/California/" TargetMode="External"/><Relationship Id="rId193" Type="http://schemas.openxmlformats.org/officeDocument/2006/relationships/hyperlink" Target="https://www.ahd.com/free_profile/I42071/Palomar_Medical_Center_Downtown_Escondido/Escondido/California/" TargetMode="External"/><Relationship Id="rId207" Type="http://schemas.openxmlformats.org/officeDocument/2006/relationships/hyperlink" Target="https://www.ahd.com/free_profile/050546/Porterville_Developmental_Center/Porterville/California/" TargetMode="External"/><Relationship Id="rId249" Type="http://schemas.openxmlformats.org/officeDocument/2006/relationships/hyperlink" Target="https://www.ahd.com/free_profile/050167/San_Joaquin_General_Hospital/French_Camp/California/" TargetMode="External"/><Relationship Id="rId13" Type="http://schemas.openxmlformats.org/officeDocument/2006/relationships/hyperlink" Target="https://www.ahd.com/free_profile/050192/Adventist_Health_Reedley/Reedley/California/" TargetMode="External"/><Relationship Id="rId109" Type="http://schemas.openxmlformats.org/officeDocument/2006/relationships/hyperlink" Target="https://www.ahd.com/free_profile/050224/Hoag_Hospital_Newport_Beach/Newport_Beach/California/" TargetMode="External"/><Relationship Id="rId260" Type="http://schemas.openxmlformats.org/officeDocument/2006/relationships/hyperlink" Target="https://www.ahd.com/free_profile/050690/Santa_Rosa_Hospital/Santa_Rosa/California/" TargetMode="External"/><Relationship Id="rId316" Type="http://schemas.openxmlformats.org/officeDocument/2006/relationships/hyperlink" Target="https://www.ahd.com/free_profile/I42237/UCSF_Medical_Center_at_Mission_Bay_/San_Francisco/California/" TargetMode="External"/><Relationship Id="rId55" Type="http://schemas.openxmlformats.org/officeDocument/2006/relationships/hyperlink" Target="https://www.ahd.com/free_profile/050089/Community_Hospital_of_San_Bernardino/San_Bernardino/California/" TargetMode="External"/><Relationship Id="rId97" Type="http://schemas.openxmlformats.org/officeDocument/2006/relationships/hyperlink" Target="https://www.ahd.com/free_profile/050205/Glendora_Oaks_Behavioral_Health_Hospital/Glendora/California/" TargetMode="External"/><Relationship Id="rId120" Type="http://schemas.openxmlformats.org/officeDocument/2006/relationships/hyperlink" Target="https://www.ahd.com/free_profile/050515/Kaiser_Permanente_Zion_Medical_Center/San_Diego/California/" TargetMode="External"/><Relationship Id="rId162" Type="http://schemas.openxmlformats.org/officeDocument/2006/relationships/hyperlink" Target="https://www.ahd.com/free_profile/050238/Methodist_Hospital/Arcadia/California/" TargetMode="External"/><Relationship Id="rId218" Type="http://schemas.openxmlformats.org/officeDocument/2006/relationships/hyperlink" Target="https://www.ahd.com/free_profile/050125/Regional_Medical_Center_of_San_Jose/San_Jose/California/" TargetMode="External"/><Relationship Id="rId271" Type="http://schemas.openxmlformats.org/officeDocument/2006/relationships/hyperlink" Target="https://www.ahd.com/free_profile/050234/Sharp_Coronado_Hospital/Coronado/California/" TargetMode="External"/><Relationship Id="rId24" Type="http://schemas.openxmlformats.org/officeDocument/2006/relationships/hyperlink" Target="https://www.ahd.com/free_profile/I41155/Alta_Bates_Summit_Medical_Center__Herrick_Campus/Berkeley/California/" TargetMode="External"/><Relationship Id="rId66" Type="http://schemas.openxmlformats.org/officeDocument/2006/relationships/hyperlink" Target="https://www.ahd.com/free_profile/050122/Dameron_Hospital/Stockton/California/" TargetMode="External"/><Relationship Id="rId131" Type="http://schemas.openxmlformats.org/officeDocument/2006/relationships/hyperlink" Target="https://www.ahd.com/free_profile/I41579/Loma_Linda_University_Medical_Center_East_Campus/Loma_Linda/California/" TargetMode="External"/><Relationship Id="rId327" Type="http://schemas.openxmlformats.org/officeDocument/2006/relationships/hyperlink" Target="https://www.ahd.com/free_profile/05114F/VA_San_Diego_Healthcare_System/San_Diego/California/" TargetMode="External"/><Relationship Id="rId173" Type="http://schemas.openxmlformats.org/officeDocument/2006/relationships/hyperlink" Target="https://www.ahd.com/free_profile/I08089/Naval_Health_Clinic_Lemoore/Lemoore/California/" TargetMode="External"/><Relationship Id="rId229" Type="http://schemas.openxmlformats.org/officeDocument/2006/relationships/hyperlink" Target="https://www.ahd.com/free_profile/050042/Saint_Elizabeth_Community_Hospital/Red_Bluff/California/" TargetMode="Externa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ahd.com/free_profile/060113/Littleton_Adventist_Hospital/Littleton/Colorado/" TargetMode="External"/><Relationship Id="rId18" Type="http://schemas.openxmlformats.org/officeDocument/2006/relationships/hyperlink" Target="https://www.ahd.com/free_profile/060006/Montrose_Memorial_Hospital/Montrose/Colorado/" TargetMode="External"/><Relationship Id="rId26" Type="http://schemas.openxmlformats.org/officeDocument/2006/relationships/hyperlink" Target="https://www.ahd.com/free_profile/060004/Platte_Valley_Medical_Center/Brighton/Colorado/" TargetMode="External"/><Relationship Id="rId39" Type="http://schemas.openxmlformats.org/officeDocument/2006/relationships/hyperlink" Target="https://www.ahd.com/free_profile/060076/Sterling_Regional_MedCenter/Sterling/Colorado/" TargetMode="External"/><Relationship Id="rId21" Type="http://schemas.openxmlformats.org/officeDocument/2006/relationships/hyperlink" Target="https://www.ahd.com/free_profile/060065/North_Suburban_Medical_Center/Thornton/Colorado/" TargetMode="External"/><Relationship Id="rId34" Type="http://schemas.openxmlformats.org/officeDocument/2006/relationships/hyperlink" Target="https://www.ahd.com/free_profile/I41540/Saint_Francis_Medical_Center/Colorado_Springs/Colorado/" TargetMode="External"/><Relationship Id="rId42" Type="http://schemas.openxmlformats.org/officeDocument/2006/relationships/hyperlink" Target="https://www.ahd.com/free_profile/060129/UCHealth_Broomfield_Hospital/Broomfield/Colorado/" TargetMode="External"/><Relationship Id="rId47" Type="http://schemas.openxmlformats.org/officeDocument/2006/relationships/hyperlink" Target="https://www.ahd.com/free_profile/060119/UCHealth_Medical_Center_of_the_Rockies/Loveland/Colorado/" TargetMode="External"/><Relationship Id="rId50" Type="http://schemas.openxmlformats.org/officeDocument/2006/relationships/hyperlink" Target="https://www.ahd.com/free_profile/060010/UCHealth_Poudre_Valley_Hospital/Fort_Collins/Colorado/" TargetMode="External"/><Relationship Id="rId55" Type="http://schemas.openxmlformats.org/officeDocument/2006/relationships/hyperlink" Target="https://www.ahd.com/free_profile/060075/Valley_View_Hospital/Glenwood_Springs/Colorado/" TargetMode="External"/><Relationship Id="rId7" Type="http://schemas.openxmlformats.org/officeDocument/2006/relationships/hyperlink" Target="https://www.ahd.com/free_profile/060044/Colorado_Plains_Medical_Center/Fort_Morgan/Colorado/" TargetMode="External"/><Relationship Id="rId2" Type="http://schemas.openxmlformats.org/officeDocument/2006/relationships/hyperlink" Target="https://www.ahd.com/free_profile/06005F/_Rocky_Mountain_Regional_VA_Medical_Center/Aurora/Colorado/" TargetMode="External"/><Relationship Id="rId16" Type="http://schemas.openxmlformats.org/officeDocument/2006/relationships/hyperlink" Target="https://www.ahd.com/free_profile/060030/McKee_Medical_Center/Loveland/Colorado/" TargetMode="External"/><Relationship Id="rId29" Type="http://schemas.openxmlformats.org/officeDocument/2006/relationships/hyperlink" Target="https://www.ahd.com/free_profile/060008/Regional_Medical_Center/Alamosa/Colorado/" TargetMode="External"/><Relationship Id="rId11" Type="http://schemas.openxmlformats.org/officeDocument/2006/relationships/hyperlink" Target="https://www.ahd.com/free_profile/060027/Foothills_Hospital/Boulder/Colorado/" TargetMode="External"/><Relationship Id="rId24" Type="http://schemas.openxmlformats.org/officeDocument/2006/relationships/hyperlink" Target="https://www.ahd.com/free_profile/060020/Parkview_Medical_Center/Pueblo/Colorado/" TargetMode="External"/><Relationship Id="rId32" Type="http://schemas.openxmlformats.org/officeDocument/2006/relationships/hyperlink" Target="https://www.ahd.com/free_profile/060104/Saint_Anthony_North_Hospital/Westminster/Colorado/" TargetMode="External"/><Relationship Id="rId37" Type="http://schemas.openxmlformats.org/officeDocument/2006/relationships/hyperlink" Target="https://www.ahd.com/free_profile/060012/Saint_Mary-Corwin_Medical_Center/Pueblo/Colorado/" TargetMode="External"/><Relationship Id="rId40" Type="http://schemas.openxmlformats.org/officeDocument/2006/relationships/hyperlink" Target="https://www.ahd.com/free_profile/060034/Swedish_Medical_Center/Englewood/Colorado/" TargetMode="External"/><Relationship Id="rId45" Type="http://schemas.openxmlformats.org/officeDocument/2006/relationships/hyperlink" Target="https://www.ahd.com/free_profile/060132/UCHealth_Highlands_Ranch_Hospital_/Highlands_Ranch/Colorado/" TargetMode="External"/><Relationship Id="rId53" Type="http://schemas.openxmlformats.org/officeDocument/2006/relationships/hyperlink" Target="https://www.ahd.com/free_profile/06007F/VA_Western_Colorado_Health_Care_System/Grand_Junction/Colorado/" TargetMode="External"/><Relationship Id="rId5" Type="http://schemas.openxmlformats.org/officeDocument/2006/relationships/hyperlink" Target="https://www.ahd.com/free_profile/060126/Banner_Fort_Collins_Medical_Center/Fort_Collins/Colorado/" TargetMode="External"/><Relationship Id="rId10" Type="http://schemas.openxmlformats.org/officeDocument/2006/relationships/hyperlink" Target="https://www.ahd.com/free_profile/060011/Denver_Health/Denver/Colorado/" TargetMode="External"/><Relationship Id="rId19" Type="http://schemas.openxmlformats.org/officeDocument/2006/relationships/hyperlink" Target="https://www.ahd.com/free_profile/060107/National_Jewish_Health_Main_Campus/Denver/Colorado/" TargetMode="External"/><Relationship Id="rId31" Type="http://schemas.openxmlformats.org/officeDocument/2006/relationships/hyperlink" Target="https://www.ahd.com/free_profile/060015/Saint_Anthony_Hospital/Lakewood/Colorado/" TargetMode="External"/><Relationship Id="rId44" Type="http://schemas.openxmlformats.org/officeDocument/2006/relationships/hyperlink" Target="https://www.ahd.com/free_profile/060131/UCHealth_Greeley_Hospital/Greeley/Colorado/" TargetMode="External"/><Relationship Id="rId52" Type="http://schemas.openxmlformats.org/officeDocument/2006/relationships/hyperlink" Target="https://www.ahd.com/free_profile/060049/UCHealth_Yampa_Valley_Medical_Center/Steamboat_Springs/Colorado/" TargetMode="External"/><Relationship Id="rId4" Type="http://schemas.openxmlformats.org/officeDocument/2006/relationships/hyperlink" Target="https://www.ahd.com/free_profile/060103/Avista_Adventist_Hospital/Louisville/Colorado/" TargetMode="External"/><Relationship Id="rId9" Type="http://schemas.openxmlformats.org/officeDocument/2006/relationships/hyperlink" Target="https://www.ahd.com/free_profile/060071/Delta_County_Memorial_Hospital/Delta/Colorado/" TargetMode="External"/><Relationship Id="rId14" Type="http://schemas.openxmlformats.org/officeDocument/2006/relationships/hyperlink" Target="https://www.ahd.com/free_profile/060003/Longmont_United_Hospital/Longmont/Colorado/" TargetMode="External"/><Relationship Id="rId22" Type="http://schemas.openxmlformats.org/officeDocument/2006/relationships/hyperlink" Target="https://www.ahd.com/free_profile/060124/OrthoColorado_Hospital/Lakewood/Colorado/" TargetMode="External"/><Relationship Id="rId27" Type="http://schemas.openxmlformats.org/officeDocument/2006/relationships/hyperlink" Target="https://www.ahd.com/free_profile/060064/Porter_Adventist_Hospital/Denver/Colorado/" TargetMode="External"/><Relationship Id="rId30" Type="http://schemas.openxmlformats.org/officeDocument/2006/relationships/hyperlink" Target="https://www.ahd.com/free_profile/060032/Rose_Medical_Center/Denver/Colorado/" TargetMode="External"/><Relationship Id="rId35" Type="http://schemas.openxmlformats.org/officeDocument/2006/relationships/hyperlink" Target="https://www.ahd.com/free_profile/060028/Saint_Joseph_Hospital/Denver/Colorado/" TargetMode="External"/><Relationship Id="rId43" Type="http://schemas.openxmlformats.org/officeDocument/2006/relationships/hyperlink" Target="https://www.ahd.com/free_profile/060130/UCHealth_Grandview_Hospital/Colorado_Springs_/Colorado/" TargetMode="External"/><Relationship Id="rId48" Type="http://schemas.openxmlformats.org/officeDocument/2006/relationships/hyperlink" Target="https://www.ahd.com/free_profile/060022/UCHealth_Memorial_Hospital_Central/Colorado_Springs/Colorado/" TargetMode="External"/><Relationship Id="rId8" Type="http://schemas.openxmlformats.org/officeDocument/2006/relationships/hyperlink" Target="https://www.ahd.com/free_profile/060054/Community_Hospital/Grand_Junction/Colorado/" TargetMode="External"/><Relationship Id="rId51" Type="http://schemas.openxmlformats.org/officeDocument/2006/relationships/hyperlink" Target="https://www.ahd.com/free_profile/060024/UCHealth_University_of_Colorado_Hospital_/Aurora/Colorado/" TargetMode="External"/><Relationship Id="rId3" Type="http://schemas.openxmlformats.org/officeDocument/2006/relationships/hyperlink" Target="https://www.ahd.com/free_profile/060117/Animas_Surgical_Hospital/Durango/Colorado/" TargetMode="External"/><Relationship Id="rId12" Type="http://schemas.openxmlformats.org/officeDocument/2006/relationships/hyperlink" Target="https://www.ahd.com/free_profile/060116/Good_Samaritan_Medical_Center/Lafayette/Colorado/" TargetMode="External"/><Relationship Id="rId17" Type="http://schemas.openxmlformats.org/officeDocument/2006/relationships/hyperlink" Target="https://www.ahd.com/free_profile/060013/Mercy_Regional_Medical_Center/Durango/Colorado/" TargetMode="External"/><Relationship Id="rId25" Type="http://schemas.openxmlformats.org/officeDocument/2006/relationships/hyperlink" Target="https://www.ahd.com/free_profile/060031/Penrose-St_Francis_Health_Services/Colorado_Springs/Colorado/" TargetMode="External"/><Relationship Id="rId33" Type="http://schemas.openxmlformats.org/officeDocument/2006/relationships/hyperlink" Target="https://www.ahd.com/free_profile/060118/Saint_Anthony_Summit_Medical_Center/Frisco/Colorado/" TargetMode="External"/><Relationship Id="rId38" Type="http://schemas.openxmlformats.org/officeDocument/2006/relationships/hyperlink" Target="https://www.ahd.com/free_profile/060112/Sky_Ridge_Medical_Center/Lone_Tree/Colorado/" TargetMode="External"/><Relationship Id="rId46" Type="http://schemas.openxmlformats.org/officeDocument/2006/relationships/hyperlink" Target="https://www.ahd.com/free_profile/060128/UCHealth_Longs_Peak_Hospital_/Longmont_/Colorado/" TargetMode="External"/><Relationship Id="rId20" Type="http://schemas.openxmlformats.org/officeDocument/2006/relationships/hyperlink" Target="https://www.ahd.com/free_profile/060001/North_Colorado_Medical_Center/Greeley/Colorado/" TargetMode="External"/><Relationship Id="rId41" Type="http://schemas.openxmlformats.org/officeDocument/2006/relationships/hyperlink" Target="https://www.ahd.com/free_profile/060100/The_Medical_Center_of_Aurora/Aurora/Colorado/" TargetMode="External"/><Relationship Id="rId54" Type="http://schemas.openxmlformats.org/officeDocument/2006/relationships/hyperlink" Target="https://www.ahd.com/free_profile/060096/Vail_Health_Hospital/Vail/Colorado/" TargetMode="External"/><Relationship Id="rId1" Type="http://schemas.openxmlformats.org/officeDocument/2006/relationships/hyperlink" Target="https://www.ahd.com/free_profile/06003F/_Evans_United_States_Army_Hospital/Fort_Carson/Colorado/" TargetMode="External"/><Relationship Id="rId6" Type="http://schemas.openxmlformats.org/officeDocument/2006/relationships/hyperlink" Target="https://www.ahd.com/free_profile/060125/Castle_Rock_Adventist_Hospital/Castle_Rock/Colorado/" TargetMode="External"/><Relationship Id="rId15" Type="http://schemas.openxmlformats.org/officeDocument/2006/relationships/hyperlink" Target="https://www.ahd.com/free_profile/060009/Lutheran_Medical_Center/Wheat_Ridge/Colorado/" TargetMode="External"/><Relationship Id="rId23" Type="http://schemas.openxmlformats.org/officeDocument/2006/relationships/hyperlink" Target="https://www.ahd.com/free_profile/060114/Parker_Adventist_Hospital/Parker/Colorado/" TargetMode="External"/><Relationship Id="rId28" Type="http://schemas.openxmlformats.org/officeDocument/2006/relationships/hyperlink" Target="https://www.ahd.com/free_profile/060014/Presbyterian%2FSaint_Luke%27s_Medical_Center/Denver/Colorado/" TargetMode="External"/><Relationship Id="rId36" Type="http://schemas.openxmlformats.org/officeDocument/2006/relationships/hyperlink" Target="https://www.ahd.com/free_profile/060023/Saint_Mary%27s_Medical_Center_-_SCL_Health/Grand_Junction/Colorado/" TargetMode="External"/><Relationship Id="rId49" Type="http://schemas.openxmlformats.org/officeDocument/2006/relationships/hyperlink" Target="https://www.ahd.com/free_profile/I41272/UCHealth_Memorial_Hospital_North/Colorado_Springs/Colorado/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ahd.com/free_profile/070027/Manchester_Memorial_Hospital/Manchester/Connecticut/" TargetMode="External"/><Relationship Id="rId18" Type="http://schemas.openxmlformats.org/officeDocument/2006/relationships/hyperlink" Target="https://www.ahd.com/free_profile/070034/Norwalk_Hospital/Norwalk/Connecticut/" TargetMode="External"/><Relationship Id="rId26" Type="http://schemas.openxmlformats.org/officeDocument/2006/relationships/hyperlink" Target="https://www.ahd.com/free_profile/070040/The_Hospital_at_Hebrew_Senior_Care/West_Hartford/Connecticut/" TargetMode="External"/><Relationship Id="rId3" Type="http://schemas.openxmlformats.org/officeDocument/2006/relationships/hyperlink" Target="https://www.ahd.com/free_profile/070019/Bridgeport_Hospital_Milford_Campus/Milford/Connecticut/" TargetMode="External"/><Relationship Id="rId21" Type="http://schemas.openxmlformats.org/officeDocument/2006/relationships/hyperlink" Target="https://www.ahd.com/free_profile/070016/Saint_Mary%27s_Hospital/Waterbury/Connecticut/" TargetMode="External"/><Relationship Id="rId34" Type="http://schemas.openxmlformats.org/officeDocument/2006/relationships/hyperlink" Target="https://www.ahd.com/free_profile/070001/Yale-New_Haven_Hospital_Saint_Raphael_Campus/New_Haven/Connecticut/" TargetMode="External"/><Relationship Id="rId7" Type="http://schemas.openxmlformats.org/officeDocument/2006/relationships/hyperlink" Target="https://www.ahd.com/free_profile/070003/Day_Kimball_Hospital/Putnam/Connecticut/" TargetMode="External"/><Relationship Id="rId12" Type="http://schemas.openxmlformats.org/officeDocument/2006/relationships/hyperlink" Target="https://www.ahd.com/free_profile/070007/Lawrence_%26_Memorial_Hospital/New_London/Connecticut/" TargetMode="External"/><Relationship Id="rId17" Type="http://schemas.openxmlformats.org/officeDocument/2006/relationships/hyperlink" Target="https://www.ahd.com/free_profile/070015/New_Milford_Hospital/New_Milford/Connecticut/" TargetMode="External"/><Relationship Id="rId25" Type="http://schemas.openxmlformats.org/officeDocument/2006/relationships/hyperlink" Target="https://www.ahd.com/free_profile/070038/The_Connecticut_Hospice/Branford/Connecticut/" TargetMode="External"/><Relationship Id="rId33" Type="http://schemas.openxmlformats.org/officeDocument/2006/relationships/hyperlink" Target="https://www.ahd.com/free_profile/070022/Yale-New_Haven_Hospital/New_Haven/Connecticut/" TargetMode="External"/><Relationship Id="rId2" Type="http://schemas.openxmlformats.org/officeDocument/2006/relationships/hyperlink" Target="https://www.ahd.com/free_profile/070010/Bridgeport_Hospital/Bridgeport/Connecticut/" TargetMode="External"/><Relationship Id="rId16" Type="http://schemas.openxmlformats.org/officeDocument/2006/relationships/hyperlink" Target="https://www.ahd.com/free_profile/070017/MidState_Medical_Center/Meriden/Connecticut/" TargetMode="External"/><Relationship Id="rId20" Type="http://schemas.openxmlformats.org/officeDocument/2006/relationships/hyperlink" Target="https://www.ahd.com/free_profile/070002/Saint_Francis_Hospital/Hartford/Connecticut/" TargetMode="External"/><Relationship Id="rId29" Type="http://schemas.openxmlformats.org/officeDocument/2006/relationships/hyperlink" Target="https://www.ahd.com/free_profile/070036/UConn_John_Dempsey_Hospital/Farmington/Connecticut/" TargetMode="External"/><Relationship Id="rId1" Type="http://schemas.openxmlformats.org/officeDocument/2006/relationships/hyperlink" Target="https://www.ahd.com/free_profile/070024/Backus_Hospital_/Norwich/Connecticut/" TargetMode="External"/><Relationship Id="rId6" Type="http://schemas.openxmlformats.org/officeDocument/2006/relationships/hyperlink" Target="https://www.ahd.com/free_profile/070033/Danbury_Hospital/Danbury/Connecticut/" TargetMode="External"/><Relationship Id="rId11" Type="http://schemas.openxmlformats.org/officeDocument/2006/relationships/hyperlink" Target="https://www.ahd.com/free_profile/070008/Johnson_Memorial_Hospital/Stafford_Springs/Connecticut/" TargetMode="External"/><Relationship Id="rId24" Type="http://schemas.openxmlformats.org/officeDocument/2006/relationships/hyperlink" Target="https://www.ahd.com/free_profile/070006/Stamford_Hospital/Stamford/Connecticut/" TargetMode="External"/><Relationship Id="rId32" Type="http://schemas.openxmlformats.org/officeDocument/2006/relationships/hyperlink" Target="https://www.ahd.com/free_profile/070021/Windham_Hospital/Willimantic/Connecticut/" TargetMode="External"/><Relationship Id="rId5" Type="http://schemas.openxmlformats.org/officeDocument/2006/relationships/hyperlink" Target="https://www.ahd.com/free_profile/070011/Charlotte_Hungerford_Hospital/Torrington/Connecticut/" TargetMode="External"/><Relationship Id="rId15" Type="http://schemas.openxmlformats.org/officeDocument/2006/relationships/hyperlink" Target="https://www.ahd.com/free_profile/070020/Middlesex_Hospital/Middletown/Connecticut/" TargetMode="External"/><Relationship Id="rId23" Type="http://schemas.openxmlformats.org/officeDocument/2006/relationships/hyperlink" Target="https://www.ahd.com/free_profile/070004/Sharon_Hospital/Sharon/Connecticut/" TargetMode="External"/><Relationship Id="rId28" Type="http://schemas.openxmlformats.org/officeDocument/2006/relationships/hyperlink" Target="https://www.ahd.com/free_profile/070035/The_Hospital_of_Central_Connecticut_at_New_Britain_General/New_Britain/Connecticut/" TargetMode="External"/><Relationship Id="rId10" Type="http://schemas.openxmlformats.org/officeDocument/2006/relationships/hyperlink" Target="https://www.ahd.com/free_profile/070025/Hartford_Hospital/Hartford/Connecticut/" TargetMode="External"/><Relationship Id="rId19" Type="http://schemas.openxmlformats.org/officeDocument/2006/relationships/hyperlink" Target="https://www.ahd.com/free_profile/070012/Rockville_General_Hospital/Vernon/Connecticut/" TargetMode="External"/><Relationship Id="rId31" Type="http://schemas.openxmlformats.org/officeDocument/2006/relationships/hyperlink" Target="https://www.ahd.com/free_profile/070005/Waterbury_Hospital/Waterbury/Connecticut/" TargetMode="External"/><Relationship Id="rId4" Type="http://schemas.openxmlformats.org/officeDocument/2006/relationships/hyperlink" Target="https://www.ahd.com/free_profile/070029/Bristol_Hospital/Bristol/Connecticut/" TargetMode="External"/><Relationship Id="rId9" Type="http://schemas.openxmlformats.org/officeDocument/2006/relationships/hyperlink" Target="https://www.ahd.com/free_profile/070031/Griffin_Hospital/Derby/Connecticut/" TargetMode="External"/><Relationship Id="rId14" Type="http://schemas.openxmlformats.org/officeDocument/2006/relationships/hyperlink" Target="https://www.ahd.com/free_profile/070039/Masonicare_Main_Campus/Wallingford/Connecticut/" TargetMode="External"/><Relationship Id="rId22" Type="http://schemas.openxmlformats.org/officeDocument/2006/relationships/hyperlink" Target="https://www.ahd.com/free_profile/070028/Saint_Vincent%27s_Medical_Center/Bridgeport/Connecticut/" TargetMode="External"/><Relationship Id="rId27" Type="http://schemas.openxmlformats.org/officeDocument/2006/relationships/hyperlink" Target="https://www.ahd.com/free_profile/070009/The_Hospital_of_Central_Connecticut__Bradley_Memorial_Campus/Southington/Connecticut/" TargetMode="External"/><Relationship Id="rId30" Type="http://schemas.openxmlformats.org/officeDocument/2006/relationships/hyperlink" Target="https://www.ahd.com/free_profile/07003F/VA_Connecticut_Healthcare_System_-_West_Haven_Campus/West_Haven/Connecticut/" TargetMode="External"/><Relationship Id="rId8" Type="http://schemas.openxmlformats.org/officeDocument/2006/relationships/hyperlink" Target="https://www.ahd.com/free_profile/070018/Greenwich_Hospital/Greenwich/Connecticut/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hd.com/free_profile/090011/Medstar_Washington_Hospital_Center/Washington/Washington_D.C./" TargetMode="External"/><Relationship Id="rId7" Type="http://schemas.openxmlformats.org/officeDocument/2006/relationships/hyperlink" Target="https://www.ahd.com/free_profile/09002F/Washington_DC_VA_Medical_Center/Washington/Washington_D.C./" TargetMode="External"/><Relationship Id="rId2" Type="http://schemas.openxmlformats.org/officeDocument/2006/relationships/hyperlink" Target="https://www.ahd.com/free_profile/090004/MedStar_Georgetown_University_Hospital/Washington/Washington_D.C./" TargetMode="External"/><Relationship Id="rId1" Type="http://schemas.openxmlformats.org/officeDocument/2006/relationships/hyperlink" Target="https://www.ahd.com/free_profile/090003/Howard_University_Hospital/Washington/Washington_D.C./" TargetMode="External"/><Relationship Id="rId6" Type="http://schemas.openxmlformats.org/officeDocument/2006/relationships/hyperlink" Target="https://www.ahd.com/free_profile/090008/United_Medical_Center/Washington/Washington_D.C./" TargetMode="External"/><Relationship Id="rId5" Type="http://schemas.openxmlformats.org/officeDocument/2006/relationships/hyperlink" Target="https://www.ahd.com/free_profile/090001/The_George_Washington_University_Hospital/Washington/Washington_D.C./" TargetMode="External"/><Relationship Id="rId4" Type="http://schemas.openxmlformats.org/officeDocument/2006/relationships/hyperlink" Target="https://www.ahd.com/free_profile/090005/Sibley_Memorial_Hospital/Washington/Washington_D.C./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hd.com/free_profile/08002F/Wilmington_VA_Medical_Center/Wilmington/Delaware/" TargetMode="External"/><Relationship Id="rId3" Type="http://schemas.openxmlformats.org/officeDocument/2006/relationships/hyperlink" Target="https://www.ahd.com/free_profile/080007/Beebe_Healthcare/Lewes/Delaware/" TargetMode="External"/><Relationship Id="rId7" Type="http://schemas.openxmlformats.org/officeDocument/2006/relationships/hyperlink" Target="https://www.ahd.com/free_profile/I08189/Wilmington_Hospital/Wilmington/Delaware/" TargetMode="External"/><Relationship Id="rId2" Type="http://schemas.openxmlformats.org/officeDocument/2006/relationships/hyperlink" Target="https://www.ahd.com/free_profile/080009/Bayhealth_Hospital%2C_Sussex_Campus/Milford/Delaware/" TargetMode="External"/><Relationship Id="rId1" Type="http://schemas.openxmlformats.org/officeDocument/2006/relationships/hyperlink" Target="https://www.ahd.com/free_profile/080004/Bayhealth_Hospital%2C_Kent_Campus/Dover/Delaware/" TargetMode="External"/><Relationship Id="rId6" Type="http://schemas.openxmlformats.org/officeDocument/2006/relationships/hyperlink" Target="https://www.ahd.com/free_profile/080003/Saint_Francis_Healthcare/Wilmington/Delaware/" TargetMode="External"/><Relationship Id="rId5" Type="http://schemas.openxmlformats.org/officeDocument/2006/relationships/hyperlink" Target="https://www.ahd.com/free_profile/080006/Nanticoke_Memorial_Hospital/Seaford/Delaware/" TargetMode="External"/><Relationship Id="rId4" Type="http://schemas.openxmlformats.org/officeDocument/2006/relationships/hyperlink" Target="https://www.ahd.com/free_profile/080001/Christiana_Hospital/Newark/Delaware/" TargetMode="Externa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hd.com/free_profile/100181/Larkin_Community_Hospital_South_Miami/South_Miami/Florida/" TargetMode="External"/><Relationship Id="rId21" Type="http://schemas.openxmlformats.org/officeDocument/2006/relationships/hyperlink" Target="https://www.ahd.com/free_profile/100109/AdventHealth_Sebring/Sebring/Florida/" TargetMode="External"/><Relationship Id="rId42" Type="http://schemas.openxmlformats.org/officeDocument/2006/relationships/hyperlink" Target="https://www.ahd.com/free_profile/100240/Bascom_Palmer_Eye_Institute/Miami/Florida/" TargetMode="External"/><Relationship Id="rId63" Type="http://schemas.openxmlformats.org/officeDocument/2006/relationships/hyperlink" Target="https://www.ahd.com/free_profile/100023/Citrus_Memorial_Hospital/Inverness/Florida/" TargetMode="External"/><Relationship Id="rId84" Type="http://schemas.openxmlformats.org/officeDocument/2006/relationships/hyperlink" Target="https://www.ahd.com/free_profile/100266/Gulf_Breeze_Hospital/Gulf_Breeze/Florida/" TargetMode="External"/><Relationship Id="rId138" Type="http://schemas.openxmlformats.org/officeDocument/2006/relationships/hyperlink" Target="https://www.ahd.com/free_profile/10064F/Miami_VA_Healthcare_System/Miami/Florida/" TargetMode="External"/><Relationship Id="rId159" Type="http://schemas.openxmlformats.org/officeDocument/2006/relationships/hyperlink" Target="https://www.ahd.com/free_profile/100329/Oviedo_Medical_Center/Oviedo/Florida/" TargetMode="External"/><Relationship Id="rId170" Type="http://schemas.openxmlformats.org/officeDocument/2006/relationships/hyperlink" Target="https://www.ahd.com/free_profile/100232/Putnam_Community_Medical_Center/Palatka/Florida/" TargetMode="External"/><Relationship Id="rId191" Type="http://schemas.openxmlformats.org/officeDocument/2006/relationships/hyperlink" Target="https://www.ahd.com/free_profile/I08456/South_Seminole_Hospital/Longwood/Florida/" TargetMode="External"/><Relationship Id="rId205" Type="http://schemas.openxmlformats.org/officeDocument/2006/relationships/hyperlink" Target="https://www.ahd.com/free_profile/100315/Viera_Hospital/Melbourne/Florida/" TargetMode="External"/><Relationship Id="rId107" Type="http://schemas.openxmlformats.org/officeDocument/2006/relationships/hyperlink" Target="https://www.ahd.com/free_profile/100253/Jupiter_Medical_Center/Jupiter/Florida/" TargetMode="External"/><Relationship Id="rId11" Type="http://schemas.openxmlformats.org/officeDocument/2006/relationships/hyperlink" Target="https://www.ahd.com/free_profile/100137/AdventHealth_Heart_of_Florida/Davenport/Florida/" TargetMode="External"/><Relationship Id="rId32" Type="http://schemas.openxmlformats.org/officeDocument/2006/relationships/hyperlink" Target="https://www.ahd.com/free_profile/100307/Ascension_St_Vincent%27s_Southside_Hospital/Jacksonville/Florida/" TargetMode="External"/><Relationship Id="rId53" Type="http://schemas.openxmlformats.org/officeDocument/2006/relationships/hyperlink" Target="https://www.ahd.com/free_profile/100213/Blake_Medical_Center/Bradenton/Florida/" TargetMode="External"/><Relationship Id="rId74" Type="http://schemas.openxmlformats.org/officeDocument/2006/relationships/hyperlink" Target="https://www.ahd.com/free_profile/100106/Doctors%27_Memorial_Hospital/Perry/Florida/" TargetMode="External"/><Relationship Id="rId128" Type="http://schemas.openxmlformats.org/officeDocument/2006/relationships/hyperlink" Target="https://www.ahd.com/free_profile/100291/Melbourne_Regional_Medical_Center/Melbourne/Florida/" TargetMode="External"/><Relationship Id="rId149" Type="http://schemas.openxmlformats.org/officeDocument/2006/relationships/hyperlink" Target="https://www.ahd.com/free_profile/100029/North_Shore_Medical_Center/Miami/Florida/" TargetMode="External"/><Relationship Id="rId5" Type="http://schemas.openxmlformats.org/officeDocument/2006/relationships/hyperlink" Target="https://www.ahd.com/free_profile/I07823/AdventHealth_Celebration/Celebration/Florida/" TargetMode="External"/><Relationship Id="rId95" Type="http://schemas.openxmlformats.org/officeDocument/2006/relationships/hyperlink" Target="https://www.ahd.com/free_profile/100053/Hialeah_Hospital/Hialeah/Florida/" TargetMode="External"/><Relationship Id="rId160" Type="http://schemas.openxmlformats.org/officeDocument/2006/relationships/hyperlink" Target="https://www.ahd.com/free_profile/100316/Palm_Bay_Hospital/Palm_Bay/Florida/" TargetMode="External"/><Relationship Id="rId181" Type="http://schemas.openxmlformats.org/officeDocument/2006/relationships/hyperlink" Target="https://www.ahd.com/free_profile/100288/Saint_Mary%27s_Medical_Center/West_Palm_Beach/Florida/" TargetMode="External"/><Relationship Id="rId22" Type="http://schemas.openxmlformats.org/officeDocument/2006/relationships/hyperlink" Target="https://www.ahd.com/free_profile/100173/AdventHealth_Tampa/Tampa/Florida/" TargetMode="External"/><Relationship Id="rId43" Type="http://schemas.openxmlformats.org/officeDocument/2006/relationships/hyperlink" Target="https://www.ahd.com/free_profile/100026/Bay_Medical_Sacred_Heart/Panama_City/Florida/" TargetMode="External"/><Relationship Id="rId64" Type="http://schemas.openxmlformats.org/officeDocument/2006/relationships/hyperlink" Target="https://www.ahd.com/free_profile/100289/Cleveland_Clinic_in_Florida_-_Weston/Weston/Florida/" TargetMode="External"/><Relationship Id="rId118" Type="http://schemas.openxmlformats.org/officeDocument/2006/relationships/hyperlink" Target="https://www.ahd.com/free_profile/100246/Lawnwood_Regional_Medical_Center_%26_Heart_Institute/Fort_Pierce/Florida/" TargetMode="External"/><Relationship Id="rId139" Type="http://schemas.openxmlformats.org/officeDocument/2006/relationships/hyperlink" Target="https://www.ahd.com/free_profile/100271/Moffitt_Cancer_Center_/Tampa/Florida/" TargetMode="External"/><Relationship Id="rId85" Type="http://schemas.openxmlformats.org/officeDocument/2006/relationships/hyperlink" Target="https://www.ahd.com/free_profile/100220/Gulf_Coast_Medical_Center/Fort_Myers/Florida/" TargetMode="External"/><Relationship Id="rId150" Type="http://schemas.openxmlformats.org/officeDocument/2006/relationships/hyperlink" Target="https://www.ahd.com/free_profile/100238/Northside_Hospital_%26_Tampa_Bay_Heart_Institute/Saint_Petersburg/Florida/" TargetMode="External"/><Relationship Id="rId171" Type="http://schemas.openxmlformats.org/officeDocument/2006/relationships/hyperlink" Target="https://www.ahd.com/free_profile/100252/Raulerson_Hospital/Okeechobee/Florida/" TargetMode="External"/><Relationship Id="rId192" Type="http://schemas.openxmlformats.org/officeDocument/2006/relationships/hyperlink" Target="https://www.ahd.com/free_profile/I42361/Sylvester_Comprehensive_Cancer_Center/Miami/Florida/" TargetMode="External"/><Relationship Id="rId206" Type="http://schemas.openxmlformats.org/officeDocument/2006/relationships/hyperlink" Target="https://www.ahd.com/free_profile/100275/Wellington_Regional_Medical_Center/Wellington/Florida/" TargetMode="External"/><Relationship Id="rId12" Type="http://schemas.openxmlformats.org/officeDocument/2006/relationships/hyperlink" Target="https://www.ahd.com/free_profile/I08177/AdventHealth_Kissimmee/Kissimmee/Florida/" TargetMode="External"/><Relationship Id="rId33" Type="http://schemas.openxmlformats.org/officeDocument/2006/relationships/hyperlink" Target="https://www.ahd.com/free_profile/100131/Aventura_Hospital_and_Medical_Center/Aventura/Florida/" TargetMode="External"/><Relationship Id="rId108" Type="http://schemas.openxmlformats.org/officeDocument/2006/relationships/hyperlink" Target="https://www.ahd.com/free_profile/100209/Kendall_Regional_Medical_Center/Miami/Florida/" TargetMode="External"/><Relationship Id="rId129" Type="http://schemas.openxmlformats.org/officeDocument/2006/relationships/hyperlink" Target="https://www.ahd.com/free_profile/100179/Memorial_Hospital_/Jacksonville/Florida/" TargetMode="External"/><Relationship Id="rId54" Type="http://schemas.openxmlformats.org/officeDocument/2006/relationships/hyperlink" Target="https://www.ahd.com/free_profile/100168/Boca_Raton_Regional_Hospital/Boca_Raton/Florida/" TargetMode="External"/><Relationship Id="rId75" Type="http://schemas.openxmlformats.org/officeDocument/2006/relationships/hyperlink" Target="https://www.ahd.com/free_profile/I16398/Dr_P_Phillips_Hospital/Orlando/Florida/" TargetMode="External"/><Relationship Id="rId96" Type="http://schemas.openxmlformats.org/officeDocument/2006/relationships/hyperlink" Target="https://www.ahd.com/free_profile/100049/Highlands_Regional_Medical_Center/Sebring/Florida/" TargetMode="External"/><Relationship Id="rId140" Type="http://schemas.openxmlformats.org/officeDocument/2006/relationships/hyperlink" Target="https://www.ahd.com/free_profile/100127/Morton_Plant_Hospital/Clearwater/Florida/" TargetMode="External"/><Relationship Id="rId161" Type="http://schemas.openxmlformats.org/officeDocument/2006/relationships/hyperlink" Target="https://www.ahd.com/free_profile/100176/Palm_Beach_Gardens_Medical_Center/Palm_Beach_Gardens/Florida/" TargetMode="External"/><Relationship Id="rId182" Type="http://schemas.openxmlformats.org/officeDocument/2006/relationships/hyperlink" Target="https://www.ahd.com/free_profile/100180/Saint_Petersburg_General_Hospital/Saint_Petersburg/Florida/" TargetMode="External"/><Relationship Id="rId6" Type="http://schemas.openxmlformats.org/officeDocument/2006/relationships/hyperlink" Target="https://www.ahd.com/free_profile/100211/AdventHealth_Dade_City/Dade_City/Florida/" TargetMode="External"/><Relationship Id="rId23" Type="http://schemas.openxmlformats.org/officeDocument/2006/relationships/hyperlink" Target="https://www.ahd.com/free_profile/100057/AdventHealth_Waterman/Tavares/Florida/" TargetMode="External"/><Relationship Id="rId119" Type="http://schemas.openxmlformats.org/officeDocument/2006/relationships/hyperlink" Target="https://www.ahd.com/free_profile/100012/Lee_Memorial_Hospital/Fort_Myers/Florida/" TargetMode="External"/><Relationship Id="rId44" Type="http://schemas.openxmlformats.org/officeDocument/2006/relationships/hyperlink" Target="https://www.ahd.com/free_profile/10009F/Bay_Pines_VA_Healthcare_System/Bay_Pines/Florida/" TargetMode="External"/><Relationship Id="rId65" Type="http://schemas.openxmlformats.org/officeDocument/2006/relationships/hyperlink" Target="https://www.ahd.com/free_profile/100105/Cleveland_Clinic_Indian_River_Hospital/Vero_Beach/Florida/" TargetMode="External"/><Relationship Id="rId86" Type="http://schemas.openxmlformats.org/officeDocument/2006/relationships/hyperlink" Target="https://www.ahd.com/free_profile/100242/Gulf_Coast_Regional_Medical_Center/Panama_City/Florida/" TargetMode="External"/><Relationship Id="rId130" Type="http://schemas.openxmlformats.org/officeDocument/2006/relationships/hyperlink" Target="https://www.ahd.com/free_profile/100285/Memorial_Hospital_Miramar/Miramar/Florida/" TargetMode="External"/><Relationship Id="rId151" Type="http://schemas.openxmlformats.org/officeDocument/2006/relationships/hyperlink" Target="https://www.ahd.com/free_profile/100189/Northwest_Medical_Center/Margate/Florida/" TargetMode="External"/><Relationship Id="rId172" Type="http://schemas.openxmlformats.org/officeDocument/2006/relationships/hyperlink" Target="https://www.ahd.com/free_profile/I07230/Reception_and_Medical_Center/Lake_Butler/Florida/" TargetMode="External"/><Relationship Id="rId193" Type="http://schemas.openxmlformats.org/officeDocument/2006/relationships/hyperlink" Target="https://www.ahd.com/free_profile/100135/Tallahassee_Memorial_Healthcare/Tallahassee/Florida/" TargetMode="External"/><Relationship Id="rId207" Type="http://schemas.openxmlformats.org/officeDocument/2006/relationships/hyperlink" Target="https://www.ahd.com/free_profile/100268/West_Boca_Medical_Center/West_Boca_Raton/Florida/" TargetMode="External"/><Relationship Id="rId13" Type="http://schemas.openxmlformats.org/officeDocument/2006/relationships/hyperlink" Target="https://www.ahd.com/free_profile/I08181/AdventHealth_Lake_Placid/Lake_Placid/Florida/" TargetMode="External"/><Relationship Id="rId109" Type="http://schemas.openxmlformats.org/officeDocument/2006/relationships/hyperlink" Target="https://www.ahd.com/free_profile/100156/Lake_City_Medical_Center/Lake_City/Florida/" TargetMode="External"/><Relationship Id="rId34" Type="http://schemas.openxmlformats.org/officeDocument/2006/relationships/hyperlink" Target="https://www.ahd.com/free_profile/I41963/Baptist_Heart_Hospital/Jacksonville_/Florida/" TargetMode="External"/><Relationship Id="rId55" Type="http://schemas.openxmlformats.org/officeDocument/2006/relationships/hyperlink" Target="https://www.ahd.com/free_profile/100243/Brandon_Regional_Hospital/Brandon/Florida/" TargetMode="External"/><Relationship Id="rId76" Type="http://schemas.openxmlformats.org/officeDocument/2006/relationships/hyperlink" Target="https://www.ahd.com/free_profile/100134/Ed_Fraser_Memorial_Hospital/MacClenny/Florida/" TargetMode="External"/><Relationship Id="rId97" Type="http://schemas.openxmlformats.org/officeDocument/2006/relationships/hyperlink" Target="https://www.ahd.com/free_profile/100073/Holy_Cross_Hospital/Fort_Lauderdale/Florida/" TargetMode="External"/><Relationship Id="rId120" Type="http://schemas.openxmlformats.org/officeDocument/2006/relationships/hyperlink" Target="https://www.ahd.com/free_profile/100107/Lehigh_Regional_Medical_Center/Lehigh_Acres/Florida/" TargetMode="External"/><Relationship Id="rId141" Type="http://schemas.openxmlformats.org/officeDocument/2006/relationships/hyperlink" Target="https://www.ahd.com/free_profile/100063/Morton_Plant_North_Bay_Hospital/New_Port_Richey/Florida/" TargetMode="External"/><Relationship Id="rId7" Type="http://schemas.openxmlformats.org/officeDocument/2006/relationships/hyperlink" Target="https://www.ahd.com/free_profile/I41652/AdventHealth_Daytona_Beach/Daytona_Beach/Florida/" TargetMode="External"/><Relationship Id="rId162" Type="http://schemas.openxmlformats.org/officeDocument/2006/relationships/hyperlink" Target="https://www.ahd.com/free_profile/100187/Palmetto_General_Hospital/Hialeah/Florida/" TargetMode="External"/><Relationship Id="rId183" Type="http://schemas.openxmlformats.org/officeDocument/2006/relationships/hyperlink" Target="https://www.ahd.com/free_profile/100124/Santa_Rosa_Medical_Center/Milton/Florida/" TargetMode="External"/><Relationship Id="rId24" Type="http://schemas.openxmlformats.org/officeDocument/2006/relationships/hyperlink" Target="https://www.ahd.com/free_profile/100319/AdventHealth_Wesley_Chapel/Wesley_Chapel/Florida/" TargetMode="External"/><Relationship Id="rId45" Type="http://schemas.openxmlformats.org/officeDocument/2006/relationships/hyperlink" Target="https://www.ahd.com/free_profile/100071/Bayfront_Health_Brooksville/Brooksville/Florida/" TargetMode="External"/><Relationship Id="rId66" Type="http://schemas.openxmlformats.org/officeDocument/2006/relationships/hyperlink" Target="https://www.ahd.com/free_profile/100044/Cleveland_Clinic_Martin_Medical_Center/Stuart/Florida/" TargetMode="External"/><Relationship Id="rId87" Type="http://schemas.openxmlformats.org/officeDocument/2006/relationships/hyperlink" Target="https://www.ahd.com/free_profile/100017/Halifax_Health_Medical_Center_of_Daytona_Beach/Daytona_Beach/Florida/" TargetMode="External"/><Relationship Id="rId110" Type="http://schemas.openxmlformats.org/officeDocument/2006/relationships/hyperlink" Target="https://www.ahd.com/free_profile/10015F/Lake_City_VA_Medical_Center/Lake_City/Florida/" TargetMode="External"/><Relationship Id="rId131" Type="http://schemas.openxmlformats.org/officeDocument/2006/relationships/hyperlink" Target="https://www.ahd.com/free_profile/100206/Memorial_Hospital_of_Tampa/Tampa/Florida/" TargetMode="External"/><Relationship Id="rId152" Type="http://schemas.openxmlformats.org/officeDocument/2006/relationships/hyperlink" Target="https://www.ahd.com/free_profile/100264/Oak_Hill_Hospital/Brooksville/Florida/" TargetMode="External"/><Relationship Id="rId173" Type="http://schemas.openxmlformats.org/officeDocument/2006/relationships/hyperlink" Target="https://www.ahd.com/free_profile/100256/Regional_Medical_Center_Bayonet_Point/Hudson/Florida/" TargetMode="External"/><Relationship Id="rId194" Type="http://schemas.openxmlformats.org/officeDocument/2006/relationships/hyperlink" Target="https://www.ahd.com/free_profile/100255/Tampa_Community_Hospital/Tampa/Florida/" TargetMode="External"/><Relationship Id="rId208" Type="http://schemas.openxmlformats.org/officeDocument/2006/relationships/hyperlink" Target="https://www.ahd.com/free_profile/100231/West_Florida_Hospital/Pensacola/Florida/" TargetMode="External"/><Relationship Id="rId19" Type="http://schemas.openxmlformats.org/officeDocument/2006/relationships/hyperlink" Target="https://www.ahd.com/free_profile/100118/AdventHealth_Palm_Coast/Palm_Coast/Florida/" TargetMode="External"/><Relationship Id="rId14" Type="http://schemas.openxmlformats.org/officeDocument/2006/relationships/hyperlink" Target="https://www.ahd.com/free_profile/100099/AdventHealth_Lake_Wales/Lake_Wales/Florida/" TargetMode="External"/><Relationship Id="rId30" Type="http://schemas.openxmlformats.org/officeDocument/2006/relationships/hyperlink" Target="https://www.ahd.com/free_profile/100321/Ascension_St_Vincent%27s_Clay_County_Hospital/Middleburg/Florida/" TargetMode="External"/><Relationship Id="rId35" Type="http://schemas.openxmlformats.org/officeDocument/2006/relationships/hyperlink" Target="https://www.ahd.com/free_profile/100093/Baptist_Hospital/Pensacola/Florida/" TargetMode="External"/><Relationship Id="rId56" Type="http://schemas.openxmlformats.org/officeDocument/2006/relationships/hyperlink" Target="https://www.ahd.com/free_profile/100276/Broward_Health_Coral_Springs/Coral_Springs/Florida/" TargetMode="External"/><Relationship Id="rId77" Type="http://schemas.openxmlformats.org/officeDocument/2006/relationships/hyperlink" Target="https://www.ahd.com/free_profile/100267/Englewood_Community_Hospital/Englewood/Florida/" TargetMode="External"/><Relationship Id="rId100" Type="http://schemas.openxmlformats.org/officeDocument/2006/relationships/hyperlink" Target="https://www.ahd.com/free_profile/100022/Jackson_Memorial_Hospital/Miami/Florida/" TargetMode="External"/><Relationship Id="rId105" Type="http://schemas.openxmlformats.org/officeDocument/2006/relationships/hyperlink" Target="https://www.ahd.com/free_profile/100080/JFK_Medical_Center_-_Main/Atlantis/Florida/" TargetMode="External"/><Relationship Id="rId126" Type="http://schemas.openxmlformats.org/officeDocument/2006/relationships/hyperlink" Target="https://www.ahd.com/free_profile/100043/Mease_Dunedin_Hospital/Dunedin/Florida/" TargetMode="External"/><Relationship Id="rId147" Type="http://schemas.openxmlformats.org/officeDocument/2006/relationships/hyperlink" Target="https://www.ahd.com/free_profile/100204/North_Florida_Regional_Medical_Center/Gainesville/Florida/" TargetMode="External"/><Relationship Id="rId168" Type="http://schemas.openxmlformats.org/officeDocument/2006/relationships/hyperlink" Target="https://www.ahd.com/free_profile/100167/Plantation_General_Hospital/Plantation/Florida/" TargetMode="External"/><Relationship Id="rId8" Type="http://schemas.openxmlformats.org/officeDocument/2006/relationships/hyperlink" Target="https://www.ahd.com/free_profile/100045/AdventHealth_DeLand/DeLand/Florida/" TargetMode="External"/><Relationship Id="rId51" Type="http://schemas.openxmlformats.org/officeDocument/2006/relationships/hyperlink" Target="https://www.ahd.com/free_profile/100002/Bethesda_Hospital_East/Boynton_Beach/Florida/" TargetMode="External"/><Relationship Id="rId72" Type="http://schemas.openxmlformats.org/officeDocument/2006/relationships/hyperlink" Target="https://www.ahd.com/free_profile/100296/Doctors_Hospital/Coral_Gables/Florida/" TargetMode="External"/><Relationship Id="rId93" Type="http://schemas.openxmlformats.org/officeDocument/2006/relationships/hyperlink" Target="https://www.ahd.com/free_profile/100081/Healthmark_Regional_Medical_Center/Defuniak_Springs/Florida/" TargetMode="External"/><Relationship Id="rId98" Type="http://schemas.openxmlformats.org/officeDocument/2006/relationships/hyperlink" Target="https://www.ahd.com/free_profile/100125/Homestead_Hospital/Homestead/Florida/" TargetMode="External"/><Relationship Id="rId121" Type="http://schemas.openxmlformats.org/officeDocument/2006/relationships/hyperlink" Target="https://www.ahd.com/free_profile/100150/Lower_Keys_Medical_Center/Key_West/Florida/" TargetMode="External"/><Relationship Id="rId142" Type="http://schemas.openxmlformats.org/officeDocument/2006/relationships/hyperlink" Target="https://www.ahd.com/free_profile/100034/Mount_Sinai_Medical_Center/Miami_Beach/Florida/" TargetMode="External"/><Relationship Id="rId163" Type="http://schemas.openxmlformats.org/officeDocument/2006/relationships/hyperlink" Target="https://www.ahd.com/free_profile/100126/Palms_of_Pasadena_Hospital/Saint_Petersburg/Florida/" TargetMode="External"/><Relationship Id="rId184" Type="http://schemas.openxmlformats.org/officeDocument/2006/relationships/hyperlink" Target="https://www.ahd.com/free_profile/100087/Sarasota_Memorial_Hospital/Sarasota/Florida/" TargetMode="External"/><Relationship Id="rId189" Type="http://schemas.openxmlformats.org/officeDocument/2006/relationships/hyperlink" Target="https://www.ahd.com/free_profile/100051/South_Lake_Hospital/Clermont/Florida/" TargetMode="External"/><Relationship Id="rId3" Type="http://schemas.openxmlformats.org/officeDocument/2006/relationships/hyperlink" Target="https://www.ahd.com/free_profile/I08054/AdventHealth_Apopka/Apopka/Florida/" TargetMode="External"/><Relationship Id="rId214" Type="http://schemas.openxmlformats.org/officeDocument/2006/relationships/hyperlink" Target="https://www.ahd.com/free_profile/100052/Winter_Haven_Hospital/Winter_Haven/Florida/" TargetMode="External"/><Relationship Id="rId25" Type="http://schemas.openxmlformats.org/officeDocument/2006/relationships/hyperlink" Target="https://www.ahd.com/free_profile/I41172/AdventHealth_Winter_Park/Winter_Park/Florida/" TargetMode="External"/><Relationship Id="rId46" Type="http://schemas.openxmlformats.org/officeDocument/2006/relationships/hyperlink" Target="https://www.ahd.com/free_profile/100077/Bayfront_Health_Port_Charlotte/Port_Charlotte/Florida/" TargetMode="External"/><Relationship Id="rId67" Type="http://schemas.openxmlformats.org/officeDocument/2006/relationships/hyperlink" Target="https://www.ahd.com/free_profile/I41188/Cleveland_Clinic_Martin_South_Hospital/Stuart/Florida/" TargetMode="External"/><Relationship Id="rId116" Type="http://schemas.openxmlformats.org/officeDocument/2006/relationships/hyperlink" Target="https://www.ahd.com/free_profile/100050/Larkin_Community_Hospital_Palm_Springs_Campus/Hialeah/Florida/" TargetMode="External"/><Relationship Id="rId137" Type="http://schemas.openxmlformats.org/officeDocument/2006/relationships/hyperlink" Target="https://www.ahd.com/free_profile/100277/Miami_Jewish_Health_Systems/Miami/Florida/" TargetMode="External"/><Relationship Id="rId158" Type="http://schemas.openxmlformats.org/officeDocument/2006/relationships/hyperlink" Target="https://www.ahd.com/free_profile/100110/Osceola_Regional_Medical_Center/Kissimmee/Florida/" TargetMode="External"/><Relationship Id="rId20" Type="http://schemas.openxmlformats.org/officeDocument/2006/relationships/hyperlink" Target="https://www.ahd.com/free_profile/I41726/AdventHealth_Pepin_Heart_Institute/Tampa/Florida/" TargetMode="External"/><Relationship Id="rId41" Type="http://schemas.openxmlformats.org/officeDocument/2006/relationships/hyperlink" Target="https://www.ahd.com/free_profile/100121/Bartow_Regional_Medical_Center/Bartow/Florida/" TargetMode="External"/><Relationship Id="rId62" Type="http://schemas.openxmlformats.org/officeDocument/2006/relationships/hyperlink" Target="https://www.ahd.com/free_profile/100161/Central_Florida_Regional_Hospital/Sanford/Florida/" TargetMode="External"/><Relationship Id="rId83" Type="http://schemas.openxmlformats.org/officeDocument/2006/relationships/hyperlink" Target="https://www.ahd.com/free_profile/100287/Good_Samaritan_Medical_Center/West_Palm_Beach/Florida/" TargetMode="External"/><Relationship Id="rId88" Type="http://schemas.openxmlformats.org/officeDocument/2006/relationships/hyperlink" Target="https://www.ahd.com/free_profile/I41312/Halifax_Health_Medical_Center_of_Port_Orange/Port_Orange/Florida/" TargetMode="External"/><Relationship Id="rId111" Type="http://schemas.openxmlformats.org/officeDocument/2006/relationships/hyperlink" Target="https://www.ahd.com/free_profile/100157/Lakeland_Regional_Health_Medical_Center/Lakeland/Florida/" TargetMode="External"/><Relationship Id="rId132" Type="http://schemas.openxmlformats.org/officeDocument/2006/relationships/hyperlink" Target="https://www.ahd.com/free_profile/100230/Memorial_Hospital_Pembroke/Pembroke_Pines/Florida/" TargetMode="External"/><Relationship Id="rId153" Type="http://schemas.openxmlformats.org/officeDocument/2006/relationships/hyperlink" Target="https://www.ahd.com/free_profile/100212/Ocala_Regional_Medical_Center/Ocala/Florida/" TargetMode="External"/><Relationship Id="rId174" Type="http://schemas.openxmlformats.org/officeDocument/2006/relationships/hyperlink" Target="https://www.ahd.com/free_profile/100092/Rockledge_Regional_Medical_Center/Rockledge/Florida/" TargetMode="External"/><Relationship Id="rId179" Type="http://schemas.openxmlformats.org/officeDocument/2006/relationships/hyperlink" Target="https://www.ahd.com/free_profile/100227/Saint_Joseph%27s_Women%27s_Hospital/Tampa/Florida/" TargetMode="External"/><Relationship Id="rId195" Type="http://schemas.openxmlformats.org/officeDocument/2006/relationships/hyperlink" Target="https://www.ahd.com/free_profile/100128/Tampa_General_Hospital/Tampa/Florida/" TargetMode="External"/><Relationship Id="rId209" Type="http://schemas.openxmlformats.org/officeDocument/2006/relationships/hyperlink" Target="https://www.ahd.com/free_profile/100314/West_Kendall_Baptist_Hospital/Miami/Florida/" TargetMode="External"/><Relationship Id="rId190" Type="http://schemas.openxmlformats.org/officeDocument/2006/relationships/hyperlink" Target="https://www.ahd.com/free_profile/100154/South_Miami_Hospital/South_Miami/Florida/" TargetMode="External"/><Relationship Id="rId204" Type="http://schemas.openxmlformats.org/officeDocument/2006/relationships/hyperlink" Target="https://www.ahd.com/free_profile/100070/Venice_Regional_Bayfront_Health/Venice/Florida/" TargetMode="External"/><Relationship Id="rId15" Type="http://schemas.openxmlformats.org/officeDocument/2006/relationships/hyperlink" Target="https://www.ahd.com/free_profile/100014/AdventHealth_New_Smyrna_Beach/New_Smyrna_Beach/Florida/" TargetMode="External"/><Relationship Id="rId36" Type="http://schemas.openxmlformats.org/officeDocument/2006/relationships/hyperlink" Target="https://www.ahd.com/free_profile/100008/Baptist_Hospital_/Miami/Florida/" TargetMode="External"/><Relationship Id="rId57" Type="http://schemas.openxmlformats.org/officeDocument/2006/relationships/hyperlink" Target="https://www.ahd.com/free_profile/100200/Broward_Health_Imperial_Point/Fort_Lauderdale/Florida/" TargetMode="External"/><Relationship Id="rId106" Type="http://schemas.openxmlformats.org/officeDocument/2006/relationships/hyperlink" Target="https://www.ahd.com/free_profile/100234/JFK_Medical_Center_-_North_Campus/West_Palm_Beach/Florida/" TargetMode="External"/><Relationship Id="rId127" Type="http://schemas.openxmlformats.org/officeDocument/2006/relationships/hyperlink" Target="https://www.ahd.com/free_profile/100191/Medical_Center_of_Trinity/Trinity/Florida/" TargetMode="External"/><Relationship Id="rId10" Type="http://schemas.openxmlformats.org/officeDocument/2006/relationships/hyperlink" Target="https://www.ahd.com/free_profile/100072/AdventHealth_Fish_Memorial/Orange_City/Florida/" TargetMode="External"/><Relationship Id="rId31" Type="http://schemas.openxmlformats.org/officeDocument/2006/relationships/hyperlink" Target="https://www.ahd.com/free_profile/100040/Ascension_St_Vincent%27s_Riverside_Hospital/Jacksonville/Florida/" TargetMode="External"/><Relationship Id="rId52" Type="http://schemas.openxmlformats.org/officeDocument/2006/relationships/hyperlink" Target="https://www.ahd.com/free_profile/I42053/Bethesda_Hospital_West/Boynton_Beach_/Florida/" TargetMode="External"/><Relationship Id="rId73" Type="http://schemas.openxmlformats.org/officeDocument/2006/relationships/hyperlink" Target="https://www.ahd.com/free_profile/100166/Doctors_Hospital_of_Sarasota/Sarasota/Florida/" TargetMode="External"/><Relationship Id="rId78" Type="http://schemas.openxmlformats.org/officeDocument/2006/relationships/hyperlink" Target="https://www.ahd.com/free_profile/100236/Fawcett_Memorial_Hospital/Port_Charlotte/Florida/" TargetMode="External"/><Relationship Id="rId94" Type="http://schemas.openxmlformats.org/officeDocument/2006/relationships/hyperlink" Target="https://www.ahd.com/free_profile/I41292/HealthPark_Medical_Center/Fort_Myers/Florida/" TargetMode="External"/><Relationship Id="rId99" Type="http://schemas.openxmlformats.org/officeDocument/2006/relationships/hyperlink" Target="https://www.ahd.com/free_profile/100142/Jackson_Hospital/Marianna/Florida/" TargetMode="External"/><Relationship Id="rId101" Type="http://schemas.openxmlformats.org/officeDocument/2006/relationships/hyperlink" Target="https://www.ahd.com/free_profile/I41572/Jackson_North_Medical_Center/North_Miami_Beach/Florida/" TargetMode="External"/><Relationship Id="rId122" Type="http://schemas.openxmlformats.org/officeDocument/2006/relationships/hyperlink" Target="https://www.ahd.com/free_profile/10057F/Malcom_Randall_VA_Medical_Center/Gainesville/Florida/" TargetMode="External"/><Relationship Id="rId143" Type="http://schemas.openxmlformats.org/officeDocument/2006/relationships/hyperlink" Target="https://www.ahd.com/free_profile/10013F/Naval_Hospital_Jacksonville/Jacksonville/Florida/" TargetMode="External"/><Relationship Id="rId148" Type="http://schemas.openxmlformats.org/officeDocument/2006/relationships/hyperlink" Target="https://www.ahd.com/free_profile/100122/North_Okaloosa_Medical_Center/Crestview/Florida/" TargetMode="External"/><Relationship Id="rId164" Type="http://schemas.openxmlformats.org/officeDocument/2006/relationships/hyperlink" Target="https://www.ahd.com/free_profile/100269/Palms_West_Hospital/Loxahatchee/Florida/" TargetMode="External"/><Relationship Id="rId169" Type="http://schemas.openxmlformats.org/officeDocument/2006/relationships/hyperlink" Target="https://www.ahd.com/free_profile/100320/Poinciana_Medical_Center/Kissimmee/Florida/" TargetMode="External"/><Relationship Id="rId185" Type="http://schemas.openxmlformats.org/officeDocument/2006/relationships/hyperlink" Target="https://www.ahd.com/free_profile/100217/Sebastian_River_Medical_Center/Sebastian/Florida/" TargetMode="External"/><Relationship Id="rId4" Type="http://schemas.openxmlformats.org/officeDocument/2006/relationships/hyperlink" Target="https://www.ahd.com/free_profile/100069/AdventHealth_Carrollwood/Tampa/Florida/" TargetMode="External"/><Relationship Id="rId9" Type="http://schemas.openxmlformats.org/officeDocument/2006/relationships/hyperlink" Target="https://www.ahd.com/free_profile/I08175/AdventHealth_East_Orlando/Orlando/Florida/" TargetMode="External"/><Relationship Id="rId180" Type="http://schemas.openxmlformats.org/officeDocument/2006/relationships/hyperlink" Target="https://www.ahd.com/free_profile/100260/Saint_Lucie_Medical_Center/Port_Saint_Lucie/Florida/" TargetMode="External"/><Relationship Id="rId210" Type="http://schemas.openxmlformats.org/officeDocument/2006/relationships/hyperlink" Target="https://www.ahd.com/free_profile/I41133/West_Marion_Community_Hospital/Ocala/Florida/" TargetMode="External"/><Relationship Id="rId215" Type="http://schemas.openxmlformats.org/officeDocument/2006/relationships/hyperlink" Target="https://www.ahd.com/free_profile/I42201/Winter_Haven_Women%27s_Hospital/Winter_Haven_/Florida/" TargetMode="External"/><Relationship Id="rId26" Type="http://schemas.openxmlformats.org/officeDocument/2006/relationships/hyperlink" Target="https://www.ahd.com/free_profile/100046/AdventHealth_Zephyrhills/Zephyrhills/Florida/" TargetMode="External"/><Relationship Id="rId47" Type="http://schemas.openxmlformats.org/officeDocument/2006/relationships/hyperlink" Target="https://www.ahd.com/free_profile/100047/Bayfront_Health_Punta_Gorda/Punta_Gorda/Florida/" TargetMode="External"/><Relationship Id="rId68" Type="http://schemas.openxmlformats.org/officeDocument/2006/relationships/hyperlink" Target="https://www.ahd.com/free_profile/I41954/Cleveland_Clinic_Tradition_Hospital/Port_St._Lucie/Florida/" TargetMode="External"/><Relationship Id="rId89" Type="http://schemas.openxmlformats.org/officeDocument/2006/relationships/hyperlink" Target="https://www.ahd.com/free_profile/100330/Halifax_Health%2FUF_Health_Medical_Center_of_Deltona/Deltona/Florida/" TargetMode="External"/><Relationship Id="rId112" Type="http://schemas.openxmlformats.org/officeDocument/2006/relationships/hyperlink" Target="https://www.ahd.com/free_profile/100130/Lakeside_Medical_Center/Belle_Glade/Florida/" TargetMode="External"/><Relationship Id="rId133" Type="http://schemas.openxmlformats.org/officeDocument/2006/relationships/hyperlink" Target="https://www.ahd.com/free_profile/100281/Memorial_Hospital_West/Pembroke_Pines/Florida/" TargetMode="External"/><Relationship Id="rId154" Type="http://schemas.openxmlformats.org/officeDocument/2006/relationships/hyperlink" Target="https://www.ahd.com/free_profile/100226/Orange_Park_Medical_Center/Orange_Park/Florida/" TargetMode="External"/><Relationship Id="rId175" Type="http://schemas.openxmlformats.org/officeDocument/2006/relationships/hyperlink" Target="https://www.ahd.com/free_profile/100067/Saint_Anthony%27s_Hospital/Saint_Petersburg/Florida/" TargetMode="External"/><Relationship Id="rId196" Type="http://schemas.openxmlformats.org/officeDocument/2006/relationships/hyperlink" Target="https://www.ahd.com/free_profile/100054/Twin_Cities_Hospital/Niceville/Florida/" TargetMode="External"/><Relationship Id="rId200" Type="http://schemas.openxmlformats.org/officeDocument/2006/relationships/hyperlink" Target="https://www.ahd.com/free_profile/100113/UF_Health_Shands_Florida/Gainesville/Florida/" TargetMode="External"/><Relationship Id="rId16" Type="http://schemas.openxmlformats.org/officeDocument/2006/relationships/hyperlink" Target="https://www.ahd.com/free_profile/100055/AdventHealth_North_Pinellas/Tarpon_Springs/Florida/" TargetMode="External"/><Relationship Id="rId37" Type="http://schemas.openxmlformats.org/officeDocument/2006/relationships/hyperlink" Target="https://www.ahd.com/free_profile/100117/Baptist_Medical_Center_Beaches/Jacksonville_Beach/Florida/" TargetMode="External"/><Relationship Id="rId58" Type="http://schemas.openxmlformats.org/officeDocument/2006/relationships/hyperlink" Target="https://www.ahd.com/free_profile/100039/Broward_Health_Medical_Center/Fort_Lauderdale/Florida/" TargetMode="External"/><Relationship Id="rId79" Type="http://schemas.openxmlformats.org/officeDocument/2006/relationships/hyperlink" Target="https://www.ahd.com/free_profile/100090/Flagler_Hospital/Saint_Augustine/Florida/" TargetMode="External"/><Relationship Id="rId102" Type="http://schemas.openxmlformats.org/officeDocument/2006/relationships/hyperlink" Target="https://www.ahd.com/free_profile/100208/Jackson_South_Medical_Center/Miami/Florida/" TargetMode="External"/><Relationship Id="rId123" Type="http://schemas.openxmlformats.org/officeDocument/2006/relationships/hyperlink" Target="https://www.ahd.com/free_profile/100035/Manatee_Memorial_Hospital/Bradenton/Florida/" TargetMode="External"/><Relationship Id="rId144" Type="http://schemas.openxmlformats.org/officeDocument/2006/relationships/hyperlink" Target="https://www.ahd.com/free_profile/10018F/Naval_Hospital_Pensacola/Pensacola/Florida/" TargetMode="External"/><Relationship Id="rId90" Type="http://schemas.openxmlformats.org/officeDocument/2006/relationships/hyperlink" Target="https://www.ahd.com/free_profile/100030/Health_Central_Hospital_/Ocoee/Florida/" TargetMode="External"/><Relationship Id="rId165" Type="http://schemas.openxmlformats.org/officeDocument/2006/relationships/hyperlink" Target="https://www.ahd.com/free_profile/100028/Parrish_Medical_Center/Titusville/Florida/" TargetMode="External"/><Relationship Id="rId186" Type="http://schemas.openxmlformats.org/officeDocument/2006/relationships/hyperlink" Target="https://www.ahd.com/free_profile/100102/Shands_Lake_Shore_Regional_Medical_Center/Lake_City/Florida/" TargetMode="External"/><Relationship Id="rId211" Type="http://schemas.openxmlformats.org/officeDocument/2006/relationships/hyperlink" Target="https://www.ahd.com/free_profile/10065F/West_Palm_Beach_VA_Medical_Center/West_Palm_Beach/Florida/" TargetMode="External"/><Relationship Id="rId27" Type="http://schemas.openxmlformats.org/officeDocument/2006/relationships/hyperlink" Target="https://www.ahd.com/free_profile/100292/Ascension_Sacred_Heart_Hospital_on_the_Emerald_Coast/Miramar_Beach/Florida/" TargetMode="External"/><Relationship Id="rId48" Type="http://schemas.openxmlformats.org/officeDocument/2006/relationships/hyperlink" Target="https://www.ahd.com/free_profile/100249/Bayfront_Health_Seven_Rivers/Crystal_River/Florida/" TargetMode="External"/><Relationship Id="rId69" Type="http://schemas.openxmlformats.org/officeDocument/2006/relationships/hyperlink" Target="https://www.ahd.com/free_profile/100183/Coral_Gables_Hospital/Coral_Gables/Florida/" TargetMode="External"/><Relationship Id="rId113" Type="http://schemas.openxmlformats.org/officeDocument/2006/relationships/hyperlink" Target="https://www.ahd.com/free_profile/100299/Lakewood_Ranch_Medical_Center/Lakewood_Ranch/Florida/" TargetMode="External"/><Relationship Id="rId134" Type="http://schemas.openxmlformats.org/officeDocument/2006/relationships/hyperlink" Target="https://www.ahd.com/free_profile/100038/Memorial_Regional_Hospital/Hollywood/Florida/" TargetMode="External"/><Relationship Id="rId80" Type="http://schemas.openxmlformats.org/officeDocument/2006/relationships/hyperlink" Target="https://www.ahd.com/free_profile/100210/Florida_Medical_Center/Fort_Lauderdale/Florida/" TargetMode="External"/><Relationship Id="rId155" Type="http://schemas.openxmlformats.org/officeDocument/2006/relationships/hyperlink" Target="https://www.ahd.com/free_profile/100302/Orlando_Health_St_Cloud_Hospital/Saint_Cloud/Florida/" TargetMode="External"/><Relationship Id="rId176" Type="http://schemas.openxmlformats.org/officeDocument/2006/relationships/hyperlink" Target="https://www.ahd.com/free_profile/100075/Saint_Joseph%27s_Hospital/Tampa/Florida/" TargetMode="External"/><Relationship Id="rId197" Type="http://schemas.openxmlformats.org/officeDocument/2006/relationships/hyperlink" Target="https://www.ahd.com/free_profile/I16399/UF_Health_Cancer_Center_at_Orlando_Health/Orlando/Florida/" TargetMode="External"/><Relationship Id="rId201" Type="http://schemas.openxmlformats.org/officeDocument/2006/relationships/hyperlink" Target="https://www.ahd.com/free_profile/100290/UF_Health_The_Villages_Hospital/The_Villages/Florida/" TargetMode="External"/><Relationship Id="rId17" Type="http://schemas.openxmlformats.org/officeDocument/2006/relationships/hyperlink" Target="https://www.ahd.com/free_profile/100062/AdventHealth_Ocala/Ocala/Florida/" TargetMode="External"/><Relationship Id="rId38" Type="http://schemas.openxmlformats.org/officeDocument/2006/relationships/hyperlink" Target="https://www.ahd.com/free_profile/100088/Baptist_Medical_Center_Jacksonville/Jacksonville/Florida/" TargetMode="External"/><Relationship Id="rId59" Type="http://schemas.openxmlformats.org/officeDocument/2006/relationships/hyperlink" Target="https://www.ahd.com/free_profile/100086/Broward_Health_North/Deerfield_Beach/Florida/" TargetMode="External"/><Relationship Id="rId103" Type="http://schemas.openxmlformats.org/officeDocument/2006/relationships/hyperlink" Target="https://www.ahd.com/free_profile/10063F/James_A_Haley_Veterans%27_Hospital/Tampa/Florida/" TargetMode="External"/><Relationship Id="rId124" Type="http://schemas.openxmlformats.org/officeDocument/2006/relationships/hyperlink" Target="https://www.ahd.com/free_profile/100151/Mayo_Clinic_Hospital_in_Florida/Jacksonville/Florida/" TargetMode="External"/><Relationship Id="rId70" Type="http://schemas.openxmlformats.org/officeDocument/2006/relationships/hyperlink" Target="https://www.ahd.com/free_profile/100258/Delray_Medical_Center/Delray_Beach/Florida/" TargetMode="External"/><Relationship Id="rId91" Type="http://schemas.openxmlformats.org/officeDocument/2006/relationships/hyperlink" Target="https://www.ahd.com/free_profile/100177/Health_First_Cape_Canaveral_Hospital/Cocoa_Beach/Florida/" TargetMode="External"/><Relationship Id="rId145" Type="http://schemas.openxmlformats.org/officeDocument/2006/relationships/hyperlink" Target="https://www.ahd.com/free_profile/100018/NCH_Baker_Hospital_Downtown/Naples/Florida/" TargetMode="External"/><Relationship Id="rId166" Type="http://schemas.openxmlformats.org/officeDocument/2006/relationships/hyperlink" Target="https://www.ahd.com/free_profile/I41075/Physicians_Regional_-_Collier_Boulevard/Naples/Florida/" TargetMode="External"/><Relationship Id="rId187" Type="http://schemas.openxmlformats.org/officeDocument/2006/relationships/hyperlink" Target="https://www.ahd.com/free_profile/100259/South_Bay_Hospital/Sun_City_Center/Florida/" TargetMode="External"/><Relationship Id="rId1" Type="http://schemas.openxmlformats.org/officeDocument/2006/relationships/hyperlink" Target="https://www.ahd.com/free_profile/I07965/96th_Medical_Group_-_United_States_Air_Force_Eglin_Regional_Hospital/Eglin_Air_Force_Base/Florida/" TargetMode="External"/><Relationship Id="rId212" Type="http://schemas.openxmlformats.org/officeDocument/2006/relationships/hyperlink" Target="https://www.ahd.com/free_profile/100284/Westchester_General_Hospital/Miami/Florida/" TargetMode="External"/><Relationship Id="rId28" Type="http://schemas.openxmlformats.org/officeDocument/2006/relationships/hyperlink" Target="https://www.ahd.com/free_profile/100313/Ascension_Sacred_Heart_Hospital_on_the_Gulf/Port_Saint_Joe/Florida/" TargetMode="External"/><Relationship Id="rId49" Type="http://schemas.openxmlformats.org/officeDocument/2006/relationships/hyperlink" Target="https://www.ahd.com/free_profile/100280/Bayfront_Health_Spring_Hill/Spring_Hill/Florida/" TargetMode="External"/><Relationship Id="rId114" Type="http://schemas.openxmlformats.org/officeDocument/2006/relationships/hyperlink" Target="https://www.ahd.com/free_profile/100248/Largo_Medical_Center/Largo/Florida/" TargetMode="External"/><Relationship Id="rId60" Type="http://schemas.openxmlformats.org/officeDocument/2006/relationships/hyperlink" Target="https://www.ahd.com/free_profile/100244/Cape_Coral_Hospital/Cape_Coral/Florida/" TargetMode="External"/><Relationship Id="rId81" Type="http://schemas.openxmlformats.org/officeDocument/2006/relationships/hyperlink" Target="https://www.ahd.com/free_profile/100298/Florida_State_Hospital/Chattahoochee/Florida/" TargetMode="External"/><Relationship Id="rId135" Type="http://schemas.openxmlformats.org/officeDocument/2006/relationships/hyperlink" Target="https://www.ahd.com/free_profile/I41595/Memorial_Regional_Hospital_South/Hollywood/Florida/" TargetMode="External"/><Relationship Id="rId156" Type="http://schemas.openxmlformats.org/officeDocument/2006/relationships/hyperlink" Target="https://www.ahd.com/free_profile/100006/Orlando_Regional_Medical_Center/Orlando/Florida/" TargetMode="External"/><Relationship Id="rId177" Type="http://schemas.openxmlformats.org/officeDocument/2006/relationships/hyperlink" Target="https://www.ahd.com/free_profile/I41709/Saint_Joseph%27s_Hospital_-_North/Lutz/Florida/" TargetMode="External"/><Relationship Id="rId198" Type="http://schemas.openxmlformats.org/officeDocument/2006/relationships/hyperlink" Target="https://www.ahd.com/free_profile/100001/UF_Health_Jacksonville/Jacksonville/Florida/" TargetMode="External"/><Relationship Id="rId202" Type="http://schemas.openxmlformats.org/officeDocument/2006/relationships/hyperlink" Target="https://www.ahd.com/free_profile/100079/UHealth_Tower/Miami/Florida/" TargetMode="External"/><Relationship Id="rId18" Type="http://schemas.openxmlformats.org/officeDocument/2006/relationships/hyperlink" Target="https://www.ahd.com/free_profile/100007/AdventHealth_Orlando/Orlando/Florida/" TargetMode="External"/><Relationship Id="rId39" Type="http://schemas.openxmlformats.org/officeDocument/2006/relationships/hyperlink" Target="https://www.ahd.com/free_profile/100140/Baptist_Medical_Center_Nassau/Fernandina_Beach/Florida/" TargetMode="External"/><Relationship Id="rId50" Type="http://schemas.openxmlformats.org/officeDocument/2006/relationships/hyperlink" Target="https://www.ahd.com/free_profile/100032/Bayfront_Health_St_Petersburg/Saint_Petersburg/Florida/" TargetMode="External"/><Relationship Id="rId104" Type="http://schemas.openxmlformats.org/officeDocument/2006/relationships/hyperlink" Target="https://www.ahd.com/free_profile/100048/Jay_Hospital/Jay/Florida/" TargetMode="External"/><Relationship Id="rId125" Type="http://schemas.openxmlformats.org/officeDocument/2006/relationships/hyperlink" Target="https://www.ahd.com/free_profile/100265/Mease_Countryside_Hospital/Safety_Harbor/Florida/" TargetMode="External"/><Relationship Id="rId146" Type="http://schemas.openxmlformats.org/officeDocument/2006/relationships/hyperlink" Target="https://www.ahd.com/free_profile/I41289/NCH_North_Naples_Hospital/Naples/Florida/" TargetMode="External"/><Relationship Id="rId167" Type="http://schemas.openxmlformats.org/officeDocument/2006/relationships/hyperlink" Target="https://www.ahd.com/free_profile/100286/Physicians_Regional_-_Pine_Ridge/Naples/Florida/" TargetMode="External"/><Relationship Id="rId188" Type="http://schemas.openxmlformats.org/officeDocument/2006/relationships/hyperlink" Target="https://www.ahd.com/free_profile/100132/South_Florida_Baptist_Hospital/Plant_City/Florida/" TargetMode="External"/><Relationship Id="rId71" Type="http://schemas.openxmlformats.org/officeDocument/2006/relationships/hyperlink" Target="https://www.ahd.com/free_profile/100175/DeSoto_Memorial_Hospital/Arcadia/Florida/" TargetMode="External"/><Relationship Id="rId92" Type="http://schemas.openxmlformats.org/officeDocument/2006/relationships/hyperlink" Target="https://www.ahd.com/free_profile/100019/Health_First_Holmes_Regional_Medical_Center/Melbourne/Florida/" TargetMode="External"/><Relationship Id="rId213" Type="http://schemas.openxmlformats.org/officeDocument/2006/relationships/hyperlink" Target="https://www.ahd.com/free_profile/100228/Westside_Regional_Medical_Center/Plantation/Florida/" TargetMode="External"/><Relationship Id="rId2" Type="http://schemas.openxmlformats.org/officeDocument/2006/relationships/hyperlink" Target="https://www.ahd.com/free_profile/I08132/AdventHealth_Altamonte_Springs/Altamonte_Springs/Florida/" TargetMode="External"/><Relationship Id="rId29" Type="http://schemas.openxmlformats.org/officeDocument/2006/relationships/hyperlink" Target="https://www.ahd.com/free_profile/100025/Ascension_Sacred_Heart_Hospital_Pensacola/Pensacola/Florida/" TargetMode="External"/><Relationship Id="rId40" Type="http://schemas.openxmlformats.org/officeDocument/2006/relationships/hyperlink" Target="https://www.ahd.com/free_profile/I08186/Baptist_Medical_Center_South/Jacksonville/Florida/" TargetMode="External"/><Relationship Id="rId115" Type="http://schemas.openxmlformats.org/officeDocument/2006/relationships/hyperlink" Target="https://www.ahd.com/free_profile/100015/Largo_Medical_Center_-_Indian_Rocks_Campus/Largo/Florida/" TargetMode="External"/><Relationship Id="rId136" Type="http://schemas.openxmlformats.org/officeDocument/2006/relationships/hyperlink" Target="https://www.ahd.com/free_profile/100061/Mercy_Hospital/Miami/Florida/" TargetMode="External"/><Relationship Id="rId157" Type="http://schemas.openxmlformats.org/officeDocument/2006/relationships/hyperlink" Target="https://www.ahd.com/free_profile/10099F/Orlando_VA_Medical_Center/Orlando/Florida/" TargetMode="External"/><Relationship Id="rId178" Type="http://schemas.openxmlformats.org/officeDocument/2006/relationships/hyperlink" Target="https://www.ahd.com/free_profile/I42089/Saint_Joseph%27s_Hospital_-_South/Riverview/Florida/" TargetMode="External"/><Relationship Id="rId61" Type="http://schemas.openxmlformats.org/officeDocument/2006/relationships/hyperlink" Target="https://www.ahd.com/free_profile/100254/Capital_Regional_Medical_Center/Tallahassee/Florida/" TargetMode="External"/><Relationship Id="rId82" Type="http://schemas.openxmlformats.org/officeDocument/2006/relationships/hyperlink" Target="https://www.ahd.com/free_profile/100223/Fort_Walton_Beach_Medical_Center/Fort_Walton_Beach/Florida/" TargetMode="External"/><Relationship Id="rId199" Type="http://schemas.openxmlformats.org/officeDocument/2006/relationships/hyperlink" Target="https://www.ahd.com/free_profile/100084/UF_Health_Leesburg/Leesburg/Florida/" TargetMode="External"/><Relationship Id="rId203" Type="http://schemas.openxmlformats.org/officeDocument/2006/relationships/hyperlink" Target="https://www.ahd.com/free_profile/100224/University_Hospital_and_Medical_Center/Tamarac/Florida/" TargetMode="External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hd.com/free_profile/11033F/Eisenhower_Army_Medical_Center/Fort_Gordon/Georgia/" TargetMode="External"/><Relationship Id="rId21" Type="http://schemas.openxmlformats.org/officeDocument/2006/relationships/hyperlink" Target="https://www.ahd.com/free_profile/110194/Donalsonville_Hospital/Donalsonville/Georgia/" TargetMode="External"/><Relationship Id="rId42" Type="http://schemas.openxmlformats.org/officeDocument/2006/relationships/hyperlink" Target="https://www.ahd.com/free_profile/110079/Grady_Memorial_Hospital/Atlanta/Georgia/" TargetMode="External"/><Relationship Id="rId47" Type="http://schemas.openxmlformats.org/officeDocument/2006/relationships/hyperlink" Target="https://www.ahd.com/free_profile/110100/Jefferson_Hospital/Louisville/Georgia/" TargetMode="External"/><Relationship Id="rId63" Type="http://schemas.openxmlformats.org/officeDocument/2006/relationships/hyperlink" Target="https://www.ahd.com/free_profile/110087/Northside_Hospital_Gwinnett/Lawrenceville/Georgia/" TargetMode="External"/><Relationship Id="rId68" Type="http://schemas.openxmlformats.org/officeDocument/2006/relationships/hyperlink" Target="https://www.ahd.com/free_profile/110074/Piedmont_Athens_Regional/Athens/Georgia/" TargetMode="External"/><Relationship Id="rId84" Type="http://schemas.openxmlformats.org/officeDocument/2006/relationships/hyperlink" Target="https://www.ahd.com/free_profile/110122/South_Georgia_Medical_Center/Valdosta/Georgia/" TargetMode="External"/><Relationship Id="rId89" Type="http://schemas.openxmlformats.org/officeDocument/2006/relationships/hyperlink" Target="https://www.ahd.com/free_profile/110006/St_Mary%27s_Hospital/Athens/Georgia/" TargetMode="External"/><Relationship Id="rId112" Type="http://schemas.openxmlformats.org/officeDocument/2006/relationships/hyperlink" Target="https://www.ahd.com/free_profile/11035F/Winn_Army_Community_Hospital/Fort_Stewart/Georgia/" TargetMode="External"/><Relationship Id="rId16" Type="http://schemas.openxmlformats.org/officeDocument/2006/relationships/hyperlink" Target="https://www.ahd.com/free_profile/110201/Coliseum_Northside_Hospital/Macon/Georgia/" TargetMode="External"/><Relationship Id="rId107" Type="http://schemas.openxmlformats.org/officeDocument/2006/relationships/hyperlink" Target="https://www.ahd.com/free_profile/110035/WellStar_Kennestone_Hospital/Marietta/Georgia/" TargetMode="External"/><Relationship Id="rId11" Type="http://schemas.openxmlformats.org/officeDocument/2006/relationships/hyperlink" Target="https://www.ahd.com/free_profile/110030/Cartersville_Medical_Center/Cartersville/Georgia/" TargetMode="External"/><Relationship Id="rId32" Type="http://schemas.openxmlformats.org/officeDocument/2006/relationships/hyperlink" Target="https://www.ahd.com/free_profile/110010/Emory_University_Hospital/Atlanta/Georgia/" TargetMode="External"/><Relationship Id="rId37" Type="http://schemas.openxmlformats.org/officeDocument/2006/relationships/hyperlink" Target="https://www.ahd.com/free_profile/110125/Fairview_Park_Hospital/Dublin/Georgia/" TargetMode="External"/><Relationship Id="rId53" Type="http://schemas.openxmlformats.org/officeDocument/2006/relationships/hyperlink" Target="https://www.ahd.com/free_profile/110003/Memorial_Satilla_Health/Waycross/Georgia/" TargetMode="External"/><Relationship Id="rId58" Type="http://schemas.openxmlformats.org/officeDocument/2006/relationships/hyperlink" Target="https://www.ahd.com/free_profile/110040/Northridge_Medical_Center/Commerce/Georgia/" TargetMode="External"/><Relationship Id="rId74" Type="http://schemas.openxmlformats.org/officeDocument/2006/relationships/hyperlink" Target="https://www.ahd.com/free_profile/110225/Piedmont_Mountainside_Hospital/Jasper/Georgia/" TargetMode="External"/><Relationship Id="rId79" Type="http://schemas.openxmlformats.org/officeDocument/2006/relationships/hyperlink" Target="https://www.ahd.com/free_profile/110168/Redmond_Regional_Medical_Center/Rome/Georgia/" TargetMode="External"/><Relationship Id="rId102" Type="http://schemas.openxmlformats.org/officeDocument/2006/relationships/hyperlink" Target="https://www.ahd.com/free_profile/110124/Wayne_Memorial_Hospital/Jesup/Georgia/" TargetMode="External"/><Relationship Id="rId5" Type="http://schemas.openxmlformats.org/officeDocument/2006/relationships/hyperlink" Target="https://www.ahd.com/free_profile/110038/Archbold_Medical_Center/Thomasville/Georgia/" TargetMode="External"/><Relationship Id="rId90" Type="http://schemas.openxmlformats.org/officeDocument/2006/relationships/hyperlink" Target="https://www.ahd.com/free_profile/110032/Stephens_County_Hospital/Toccoa/Georgia/" TargetMode="External"/><Relationship Id="rId95" Type="http://schemas.openxmlformats.org/officeDocument/2006/relationships/hyperlink" Target="https://www.ahd.com/free_profile/110209/Turning_Point_Care_Center/Moultrie/Georgia/" TargetMode="External"/><Relationship Id="rId22" Type="http://schemas.openxmlformats.org/officeDocument/2006/relationships/hyperlink" Target="https://www.ahd.com/free_profile/110073/Dorminy_Medical_Center/Fitzgerald/Georgia/" TargetMode="External"/><Relationship Id="rId27" Type="http://schemas.openxmlformats.org/officeDocument/2006/relationships/hyperlink" Target="https://www.ahd.com/free_profile/110026/Elbert_Memorial_Hospital/Elberton/Georgia/" TargetMode="External"/><Relationship Id="rId43" Type="http://schemas.openxmlformats.org/officeDocument/2006/relationships/hyperlink" Target="https://www.ahd.com/free_profile/110041/Habersham_Medical_Center/Demorest/Georgia/" TargetMode="External"/><Relationship Id="rId48" Type="http://schemas.openxmlformats.org/officeDocument/2006/relationships/hyperlink" Target="https://www.ahd.com/free_profile/11032F/Martin_Army_Community_Hospital/Fort_Benning/Georgia/" TargetMode="External"/><Relationship Id="rId64" Type="http://schemas.openxmlformats.org/officeDocument/2006/relationships/hyperlink" Target="https://www.ahd.com/free_profile/110153/Perry_Hospital/Perry/Georgia/" TargetMode="External"/><Relationship Id="rId69" Type="http://schemas.openxmlformats.org/officeDocument/2006/relationships/hyperlink" Target="https://www.ahd.com/free_profile/110083/Piedmont_Atlanta_Hospital/Atlanta/Georgia/" TargetMode="External"/><Relationship Id="rId80" Type="http://schemas.openxmlformats.org/officeDocument/2006/relationships/hyperlink" Target="https://www.ahd.com/free_profile/110129/Saint_Francis_Hospital/Columbus/Georgia/" TargetMode="External"/><Relationship Id="rId85" Type="http://schemas.openxmlformats.org/officeDocument/2006/relationships/hyperlink" Target="https://www.ahd.com/free_profile/110025/Southeast_Georgia_Health_System_-_Brunswick_Campus/Brunswick/Georgia/" TargetMode="External"/><Relationship Id="rId12" Type="http://schemas.openxmlformats.org/officeDocument/2006/relationships/hyperlink" Target="https://www.ahd.com/free_profile/11030F/Charlie_Norwood_VA_Medical_Center/Augusta/Georgia/" TargetMode="External"/><Relationship Id="rId17" Type="http://schemas.openxmlformats.org/officeDocument/2006/relationships/hyperlink" Target="https://www.ahd.com/free_profile/110105/Colquitt_Regional_Medical_Center/Moultrie/Georgia/" TargetMode="External"/><Relationship Id="rId33" Type="http://schemas.openxmlformats.org/officeDocument/2006/relationships/hyperlink" Target="https://www.ahd.com/free_profile/110203/Emory_University_Hospital_at_Wesley_Woods_/Atlanta/Georgia/" TargetMode="External"/><Relationship Id="rId38" Type="http://schemas.openxmlformats.org/officeDocument/2006/relationships/hyperlink" Target="https://www.ahd.com/free_profile/110189/Fannin_Regional_Hospital/Blue_Ridge/Georgia/" TargetMode="External"/><Relationship Id="rId59" Type="http://schemas.openxmlformats.org/officeDocument/2006/relationships/hyperlink" Target="https://www.ahd.com/free_profile/110161/Northside_Hospital_Atlanta/Atlanta/Georgia/" TargetMode="External"/><Relationship Id="rId103" Type="http://schemas.openxmlformats.org/officeDocument/2006/relationships/hyperlink" Target="https://www.ahd.com/free_profile/110115/WellStar_Atlanta_Medical_Center/Atlanta/Georgia/" TargetMode="External"/><Relationship Id="rId108" Type="http://schemas.openxmlformats.org/officeDocument/2006/relationships/hyperlink" Target="https://www.ahd.com/free_profile/110198/WellStar_North_Fulton_Regional_Hospital/Roswell/Georgia/" TargetMode="External"/><Relationship Id="rId54" Type="http://schemas.openxmlformats.org/officeDocument/2006/relationships/hyperlink" Target="https://www.ahd.com/free_profile/110150/Navicent_Health_Baldwin/Milledgeville/Georgia/" TargetMode="External"/><Relationship Id="rId70" Type="http://schemas.openxmlformats.org/officeDocument/2006/relationships/hyperlink" Target="https://www.ahd.com/free_profile/110064/Piedmont_Columbus_Regional_-_Midtown_Campus/Columbus/Georgia/" TargetMode="External"/><Relationship Id="rId75" Type="http://schemas.openxmlformats.org/officeDocument/2006/relationships/hyperlink" Target="https://www.ahd.com/free_profile/110229/Piedmont_Newnan_Hospital/Newnan/Georgia/" TargetMode="External"/><Relationship Id="rId91" Type="http://schemas.openxmlformats.org/officeDocument/2006/relationships/hyperlink" Target="https://www.ahd.com/free_profile/110011/Tanner_Medical_Center_Carrollton/Carrollton/Georgia/" TargetMode="External"/><Relationship Id="rId96" Type="http://schemas.openxmlformats.org/officeDocument/2006/relationships/hyperlink" Target="https://www.ahd.com/free_profile/110051/Union_General_Hospital/Blairsville/Georgia/" TargetMode="External"/><Relationship Id="rId1" Type="http://schemas.openxmlformats.org/officeDocument/2006/relationships/hyperlink" Target="https://www.ahd.com/free_profile/110226/_Emory_Hillandale_Hospital/Lithonia/Georgia/" TargetMode="External"/><Relationship Id="rId6" Type="http://schemas.openxmlformats.org/officeDocument/2006/relationships/hyperlink" Target="https://www.ahd.com/free_profile/11083F/Atlanta_VA_Medical_Center/Decatur/Georgia/" TargetMode="External"/><Relationship Id="rId15" Type="http://schemas.openxmlformats.org/officeDocument/2006/relationships/hyperlink" Target="https://www.ahd.com/free_profile/110164/Coliseum_Medical_Center/Macon/Georgia/" TargetMode="External"/><Relationship Id="rId23" Type="http://schemas.openxmlformats.org/officeDocument/2006/relationships/hyperlink" Target="https://www.ahd.com/free_profile/11031F/Dublin_VA_Medical_Center/Dublin/Georgia/" TargetMode="External"/><Relationship Id="rId28" Type="http://schemas.openxmlformats.org/officeDocument/2006/relationships/hyperlink" Target="https://www.ahd.com/free_profile/110109/Emanuel_Medical_Center/Swainsboro/Georgia/" TargetMode="External"/><Relationship Id="rId36" Type="http://schemas.openxmlformats.org/officeDocument/2006/relationships/hyperlink" Target="https://www.ahd.com/free_profile/110142/Evans_Memorial_Hospital/Claxton/Georgia/" TargetMode="External"/><Relationship Id="rId49" Type="http://schemas.openxmlformats.org/officeDocument/2006/relationships/hyperlink" Target="https://www.ahd.com/free_profile/110128/Meadows_Regional_Medical_Center/Vidalia/Georgia/" TargetMode="External"/><Relationship Id="rId57" Type="http://schemas.openxmlformats.org/officeDocument/2006/relationships/hyperlink" Target="https://www.ahd.com/free_profile/110029/Northeast_Georgia_Medical_Center_Gainesville/Gainesville/Georgia/" TargetMode="External"/><Relationship Id="rId106" Type="http://schemas.openxmlformats.org/officeDocument/2006/relationships/hyperlink" Target="https://www.ahd.com/free_profile/110184/WellStar_Douglas_Hospital/Douglasville/Georgia/" TargetMode="External"/><Relationship Id="rId10" Type="http://schemas.openxmlformats.org/officeDocument/2006/relationships/hyperlink" Target="https://www.ahd.com/free_profile/110024/Candler_Hospital/Savannah/Georgia/" TargetMode="External"/><Relationship Id="rId31" Type="http://schemas.openxmlformats.org/officeDocument/2006/relationships/hyperlink" Target="https://www.ahd.com/free_profile/110082/Emory_Saint_Joseph%27s_Hospital_/Atlanta/Georgia/" TargetMode="External"/><Relationship Id="rId44" Type="http://schemas.openxmlformats.org/officeDocument/2006/relationships/hyperlink" Target="https://www.ahd.com/free_profile/110001/Hamilton_Medical_Center/Dalton/Georgia/" TargetMode="External"/><Relationship Id="rId52" Type="http://schemas.openxmlformats.org/officeDocument/2006/relationships/hyperlink" Target="https://www.ahd.com/free_profile/110132/Memorial_Hospital_and_Manor/Bainbridge/Georgia/" TargetMode="External"/><Relationship Id="rId60" Type="http://schemas.openxmlformats.org/officeDocument/2006/relationships/hyperlink" Target="https://www.ahd.com/free_profile/110008/Northside_Hospital_Cherokee/Canton/Georgia/" TargetMode="External"/><Relationship Id="rId65" Type="http://schemas.openxmlformats.org/officeDocument/2006/relationships/hyperlink" Target="https://www.ahd.com/free_profile/110007/Phoebe_Putney_Memorial_Hospital/Albany/Georgia/" TargetMode="External"/><Relationship Id="rId73" Type="http://schemas.openxmlformats.org/officeDocument/2006/relationships/hyperlink" Target="https://www.ahd.com/free_profile/110191/Piedmont_Henry_Hospital/Stockbridge/Georgia/" TargetMode="External"/><Relationship Id="rId78" Type="http://schemas.openxmlformats.org/officeDocument/2006/relationships/hyperlink" Target="https://www.ahd.com/free_profile/110046/Piedmont_Walton/Monroe/Georgia/" TargetMode="External"/><Relationship Id="rId81" Type="http://schemas.openxmlformats.org/officeDocument/2006/relationships/hyperlink" Target="https://www.ahd.com/free_profile/110043/Saint_Joseph%27s_Hospital/Savannah/Georgia/" TargetMode="External"/><Relationship Id="rId86" Type="http://schemas.openxmlformats.org/officeDocument/2006/relationships/hyperlink" Target="https://www.ahd.com/free_profile/110146/Southeast_Georgia_Health_System_-_Camden_Campus/Saint_Marys/Georgia/" TargetMode="External"/><Relationship Id="rId94" Type="http://schemas.openxmlformats.org/officeDocument/2006/relationships/hyperlink" Target="https://www.ahd.com/free_profile/110095/Tift_Regional_Medical_Center/Tifton/Georgia/" TargetMode="External"/><Relationship Id="rId99" Type="http://schemas.openxmlformats.org/officeDocument/2006/relationships/hyperlink" Target="https://www.ahd.com/free_profile/110039/University_Hospital_Summerville/Augusta/Georgia/" TargetMode="External"/><Relationship Id="rId101" Type="http://schemas.openxmlformats.org/officeDocument/2006/relationships/hyperlink" Target="https://www.ahd.com/free_profile/110086/Washington_County_Regional_Medical_Center/Sandersville/Georgia/" TargetMode="External"/><Relationship Id="rId4" Type="http://schemas.openxmlformats.org/officeDocument/2006/relationships/hyperlink" Target="https://www.ahd.com/free_profile/110071/Appling_Hospital/Baxley/Georgia/" TargetMode="External"/><Relationship Id="rId9" Type="http://schemas.openxmlformats.org/officeDocument/2006/relationships/hyperlink" Target="https://www.ahd.com/free_profile/110233/Cancer_Treatment_Centers_of_America_Atlanta/Newnan/Georgia/" TargetMode="External"/><Relationship Id="rId13" Type="http://schemas.openxmlformats.org/officeDocument/2006/relationships/hyperlink" Target="https://www.ahd.com/free_profile/110236/CHI_Memorial_Hospital_Georgia/Fort_Oglethorpe/Georgia/" TargetMode="External"/><Relationship Id="rId18" Type="http://schemas.openxmlformats.org/officeDocument/2006/relationships/hyperlink" Target="https://www.ahd.com/free_profile/110104/Crisp_Regional_Hospital/Cordele/Georgia/" TargetMode="External"/><Relationship Id="rId39" Type="http://schemas.openxmlformats.org/officeDocument/2006/relationships/hyperlink" Target="https://www.ahd.com/free_profile/110190/Flint_River_Community_Hospital/Montezuma/Georgia/" TargetMode="External"/><Relationship Id="rId109" Type="http://schemas.openxmlformats.org/officeDocument/2006/relationships/hyperlink" Target="https://www.ahd.com/free_profile/110042/WellStar_Paulding_Hospital/Hiram/Georgia/" TargetMode="External"/><Relationship Id="rId34" Type="http://schemas.openxmlformats.org/officeDocument/2006/relationships/hyperlink" Target="https://www.ahd.com/free_profile/110078/Emory_University_Hospital_Midtown/Atlanta/Georgia/" TargetMode="External"/><Relationship Id="rId50" Type="http://schemas.openxmlformats.org/officeDocument/2006/relationships/hyperlink" Target="https://www.ahd.com/free_profile/110107/Medical_Center_Navicent_Health/Macon/Georgia/" TargetMode="External"/><Relationship Id="rId55" Type="http://schemas.openxmlformats.org/officeDocument/2006/relationships/hyperlink" Target="https://www.ahd.com/free_profile/110045/Northeast_Georgia_Medical_Center_Barrow/Winder/Georgia/" TargetMode="External"/><Relationship Id="rId76" Type="http://schemas.openxmlformats.org/officeDocument/2006/relationships/hyperlink" Target="https://www.ahd.com/free_profile/110018/Piedmont_Newton_Hospital/Covington/Georgia/" TargetMode="External"/><Relationship Id="rId97" Type="http://schemas.openxmlformats.org/officeDocument/2006/relationships/hyperlink" Target="https://www.ahd.com/free_profile/110028/University_Hospital/Augusta/Georgia/" TargetMode="External"/><Relationship Id="rId104" Type="http://schemas.openxmlformats.org/officeDocument/2006/relationships/hyperlink" Target="https://www.ahd.com/free_profile/110219/WellStar_Atlanta_Medical_Center_-_South_Campus/East_Point/Georgia/" TargetMode="External"/><Relationship Id="rId7" Type="http://schemas.openxmlformats.org/officeDocument/2006/relationships/hyperlink" Target="https://www.ahd.com/free_profile/110034/Augusta_University_Medical_Center/Augusta/Georgia/" TargetMode="External"/><Relationship Id="rId71" Type="http://schemas.openxmlformats.org/officeDocument/2006/relationships/hyperlink" Target="https://www.ahd.com/free_profile/110200/Piedmont_Columbus_Regional_-_Northside/Columbus/Georgia/" TargetMode="External"/><Relationship Id="rId92" Type="http://schemas.openxmlformats.org/officeDocument/2006/relationships/hyperlink" Target="https://www.ahd.com/free_profile/110015/Tanner_Medical_Center_Villa_Rica/Villa_Rica/Georgia/" TargetMode="External"/><Relationship Id="rId2" Type="http://schemas.openxmlformats.org/officeDocument/2006/relationships/hyperlink" Target="https://www.ahd.com/free_profile/110023/AdventHealth_Gordon/Calhoun/Georgia/" TargetMode="External"/><Relationship Id="rId29" Type="http://schemas.openxmlformats.org/officeDocument/2006/relationships/hyperlink" Target="https://www.ahd.com/free_profile/110076/Emory_Decatur_Hospital/Decatur/Georgia/" TargetMode="External"/><Relationship Id="rId24" Type="http://schemas.openxmlformats.org/officeDocument/2006/relationships/hyperlink" Target="https://www.ahd.com/free_profile/110075/East_Georgia_Regional_Medical_Center/Statesboro/Georgia/" TargetMode="External"/><Relationship Id="rId40" Type="http://schemas.openxmlformats.org/officeDocument/2006/relationships/hyperlink" Target="https://www.ahd.com/free_profile/110054/Floyd_Medical_Center/Rome/Georgia/" TargetMode="External"/><Relationship Id="rId45" Type="http://schemas.openxmlformats.org/officeDocument/2006/relationships/hyperlink" Target="https://www.ahd.com/free_profile/110069/Houston_Medical_Center/Warner_Robins/Georgia/" TargetMode="External"/><Relationship Id="rId66" Type="http://schemas.openxmlformats.org/officeDocument/2006/relationships/hyperlink" Target="https://www.ahd.com/free_profile/110163/Phoebe_Putney_Memorial_Hospital_North_Campus/Albany/Georgia/" TargetMode="External"/><Relationship Id="rId87" Type="http://schemas.openxmlformats.org/officeDocument/2006/relationships/hyperlink" Target="https://www.ahd.com/free_profile/110165/Southern_Regional_Medical_Center/Riverdale/Georgia/" TargetMode="External"/><Relationship Id="rId110" Type="http://schemas.openxmlformats.org/officeDocument/2006/relationships/hyperlink" Target="https://www.ahd.com/free_profile/110031/WellStar_Spalding_Regional_Hospital/Griffin/Georgia/" TargetMode="External"/><Relationship Id="rId61" Type="http://schemas.openxmlformats.org/officeDocument/2006/relationships/hyperlink" Target="https://www.ahd.com/free_profile/I41270/Northside_Hospital_Duluth_/Duluth/Georgia/" TargetMode="External"/><Relationship Id="rId82" Type="http://schemas.openxmlformats.org/officeDocument/2006/relationships/hyperlink" Target="https://www.ahd.com/free_profile/110027/Saint_Mary%27s_Sacred_Heart_Hospital_/Lavonia_/Georgia/" TargetMode="External"/><Relationship Id="rId19" Type="http://schemas.openxmlformats.org/officeDocument/2006/relationships/hyperlink" Target="https://www.ahd.com/free_profile/110177/Doctors_Hospital_of_Augusta/Augusta/Georgia/" TargetMode="External"/><Relationship Id="rId14" Type="http://schemas.openxmlformats.org/officeDocument/2006/relationships/hyperlink" Target="https://www.ahd.com/free_profile/110089/Coffee_Regional_Medical_Center/Douglas/Georgia/" TargetMode="External"/><Relationship Id="rId30" Type="http://schemas.openxmlformats.org/officeDocument/2006/relationships/hyperlink" Target="https://www.ahd.com/free_profile/110230/Emory_Johns_Creek_Hospital/Johns_Creek/Georgia/" TargetMode="External"/><Relationship Id="rId35" Type="http://schemas.openxmlformats.org/officeDocument/2006/relationships/hyperlink" Target="https://www.ahd.com/free_profile/I41665/Emory_University_Orthopaedics_%26_Spine_Hospital/Tucker/Georgia/" TargetMode="External"/><Relationship Id="rId56" Type="http://schemas.openxmlformats.org/officeDocument/2006/relationships/hyperlink" Target="https://www.ahd.com/free_profile/I42018/Northeast_Georgia_Medical_Center_Braselton/Braselton/Georgia/" TargetMode="External"/><Relationship Id="rId77" Type="http://schemas.openxmlformats.org/officeDocument/2006/relationships/hyperlink" Target="https://www.ahd.com/free_profile/110091/Piedmont_Rockdale_Hospital/Conyers/Georgia/" TargetMode="External"/><Relationship Id="rId100" Type="http://schemas.openxmlformats.org/officeDocument/2006/relationships/hyperlink" Target="https://www.ahd.com/free_profile/110002/Upson_Regional_Medical_Center/Thomaston/Georgia/" TargetMode="External"/><Relationship Id="rId105" Type="http://schemas.openxmlformats.org/officeDocument/2006/relationships/hyperlink" Target="https://www.ahd.com/free_profile/110143/WellStar_Cobb_Hospital/Austell/Georgia/" TargetMode="External"/><Relationship Id="rId8" Type="http://schemas.openxmlformats.org/officeDocument/2006/relationships/hyperlink" Target="https://www.ahd.com/free_profile/110113/Burke_Medical_Center/Waynesboro/Georgia/" TargetMode="External"/><Relationship Id="rId51" Type="http://schemas.openxmlformats.org/officeDocument/2006/relationships/hyperlink" Target="https://www.ahd.com/free_profile/110036/Memorial_Health_University_Medical_Center/Savannah/Georgia/" TargetMode="External"/><Relationship Id="rId72" Type="http://schemas.openxmlformats.org/officeDocument/2006/relationships/hyperlink" Target="https://www.ahd.com/free_profile/110215/Piedmont_Fayette_Hospital/Fayetteville/Georgia/" TargetMode="External"/><Relationship Id="rId93" Type="http://schemas.openxmlformats.org/officeDocument/2006/relationships/hyperlink" Target="https://www.ahd.com/free_profile/110135/Taylor_Regional_Hospital/Hawkinsville/Georgia/" TargetMode="External"/><Relationship Id="rId98" Type="http://schemas.openxmlformats.org/officeDocument/2006/relationships/hyperlink" Target="https://www.ahd.com/free_profile/110111/University_Hospital_McDuffie/Thomson/Georgia/" TargetMode="External"/><Relationship Id="rId3" Type="http://schemas.openxmlformats.org/officeDocument/2006/relationships/hyperlink" Target="https://www.ahd.com/free_profile/110050/AdventHealth_Murray/Chatsworth/Georgia/" TargetMode="External"/><Relationship Id="rId25" Type="http://schemas.openxmlformats.org/officeDocument/2006/relationships/hyperlink" Target="https://www.ahd.com/free_profile/110192/Eastside_Medical_Center/Snellville/Georgia/" TargetMode="External"/><Relationship Id="rId46" Type="http://schemas.openxmlformats.org/officeDocument/2006/relationships/hyperlink" Target="https://www.ahd.com/free_profile/110130/Irwin_County_Hospital/Ocilla/Georgia/" TargetMode="External"/><Relationship Id="rId67" Type="http://schemas.openxmlformats.org/officeDocument/2006/relationships/hyperlink" Target="https://www.ahd.com/free_profile/110044/Phoebe_Sumter_Medical_Center/Americus/Georgia/" TargetMode="External"/><Relationship Id="rId20" Type="http://schemas.openxmlformats.org/officeDocument/2006/relationships/hyperlink" Target="https://www.ahd.com/free_profile/110092/Dodge_County_Hospital/Eastman/Georgia/" TargetMode="External"/><Relationship Id="rId41" Type="http://schemas.openxmlformats.org/officeDocument/2006/relationships/hyperlink" Target="https://www.ahd.com/free_profile/110121/Grady_General_Hospital_/Cairo/Georgia/" TargetMode="External"/><Relationship Id="rId62" Type="http://schemas.openxmlformats.org/officeDocument/2006/relationships/hyperlink" Target="https://www.ahd.com/free_profile/110005/Northside_Hospital_Forsyth/Cumming/Georgia/" TargetMode="External"/><Relationship Id="rId83" Type="http://schemas.openxmlformats.org/officeDocument/2006/relationships/hyperlink" Target="https://www.ahd.com/free_profile/110234/SGMC_Berrien_Campus/Nashville/Georgia/" TargetMode="External"/><Relationship Id="rId88" Type="http://schemas.openxmlformats.org/officeDocument/2006/relationships/hyperlink" Target="https://www.ahd.com/free_profile/110101/Southwell_Medical/Adel/Georgia/" TargetMode="External"/><Relationship Id="rId111" Type="http://schemas.openxmlformats.org/officeDocument/2006/relationships/hyperlink" Target="https://www.ahd.com/free_profile/110016/WellStar_West_Georgia_Medical_Center/LaGrange/Georgia/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hd.com/free_profile/120026/Pali_Momi_Medical_Center/Aiea/Hawaii/" TargetMode="External"/><Relationship Id="rId13" Type="http://schemas.openxmlformats.org/officeDocument/2006/relationships/hyperlink" Target="https://www.ahd.com/free_profile/120004/Wahiawa_General_Hospital/Wahiawa/Hawaii/" TargetMode="External"/><Relationship Id="rId3" Type="http://schemas.openxmlformats.org/officeDocument/2006/relationships/hyperlink" Target="https://www.ahd.com/free_profile/120011/Kaiser_Permanente_Moanalua_Medical_Center_%26_Clinic/Honolulu/Hawaii/" TargetMode="External"/><Relationship Id="rId7" Type="http://schemas.openxmlformats.org/officeDocument/2006/relationships/hyperlink" Target="https://www.ahd.com/free_profile/120028/North_Hawaii_Community_Hospital/Kamuela/Hawaii/" TargetMode="External"/><Relationship Id="rId12" Type="http://schemas.openxmlformats.org/officeDocument/2006/relationships/hyperlink" Target="https://www.ahd.com/free_profile/12001F/Tripler_Army_Medical_Center/Honolulu/Hawaii/" TargetMode="External"/><Relationship Id="rId2" Type="http://schemas.openxmlformats.org/officeDocument/2006/relationships/hyperlink" Target="https://www.ahd.com/free_profile/120005/Hilo_Medical_Center/Hilo/Hawaii/" TargetMode="External"/><Relationship Id="rId1" Type="http://schemas.openxmlformats.org/officeDocument/2006/relationships/hyperlink" Target="https://www.ahd.com/free_profile/120006/Adventist_Health_Castle/Kailua/Hawaii/" TargetMode="External"/><Relationship Id="rId6" Type="http://schemas.openxmlformats.org/officeDocument/2006/relationships/hyperlink" Target="https://www.ahd.com/free_profile/120002/Maui_Memorial_Medical_Center/Wailuku/Hawaii/" TargetMode="External"/><Relationship Id="rId11" Type="http://schemas.openxmlformats.org/officeDocument/2006/relationships/hyperlink" Target="https://www.ahd.com/free_profile/I42032/The_Queen%27s_Medical_Center_West_O%27Ahu/Ewa_Beach/Hawaii/" TargetMode="External"/><Relationship Id="rId5" Type="http://schemas.openxmlformats.org/officeDocument/2006/relationships/hyperlink" Target="https://www.ahd.com/free_profile/120007/Kuakini_Medical_Center/Honolulu/Hawaii/" TargetMode="External"/><Relationship Id="rId10" Type="http://schemas.openxmlformats.org/officeDocument/2006/relationships/hyperlink" Target="https://www.ahd.com/free_profile/120001/The_Queen%27s_Medical_Center/Honolulu/Hawaii/" TargetMode="External"/><Relationship Id="rId4" Type="http://schemas.openxmlformats.org/officeDocument/2006/relationships/hyperlink" Target="https://www.ahd.com/free_profile/120019/Kona_Community_Hospital/Kealakekua/Hawaii/" TargetMode="External"/><Relationship Id="rId9" Type="http://schemas.openxmlformats.org/officeDocument/2006/relationships/hyperlink" Target="https://www.ahd.com/free_profile/120022/Straub_Medical_Center/Honolulu/Hawaii/" TargetMode="External"/><Relationship Id="rId14" Type="http://schemas.openxmlformats.org/officeDocument/2006/relationships/hyperlink" Target="https://www.ahd.com/free_profile/120014/Wilcox_Memorial_Hospital/Lihue/Hawaii/" TargetMode="Externa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ahd.com/free_profile/160029/Mercy_Iowa_City/Iowa_City/Iowa/" TargetMode="External"/><Relationship Id="rId18" Type="http://schemas.openxmlformats.org/officeDocument/2006/relationships/hyperlink" Target="https://www.ahd.com/free_profile/160032/MercyOne_Newton_Medical_Center/Newton/Iowa/" TargetMode="External"/><Relationship Id="rId26" Type="http://schemas.openxmlformats.org/officeDocument/2006/relationships/hyperlink" Target="https://www.ahd.com/free_profile/160005/Saint_Anthony_Regional_Hospital/Carroll/Iowa/" TargetMode="External"/><Relationship Id="rId39" Type="http://schemas.openxmlformats.org/officeDocument/2006/relationships/hyperlink" Target="https://www.ahd.com/free_profile/16003F/VA_Central_Iowa_Health_Care_System/Des_Moines/Iowa/" TargetMode="External"/><Relationship Id="rId21" Type="http://schemas.openxmlformats.org/officeDocument/2006/relationships/hyperlink" Target="https://www.ahd.com/free_profile/160067/MercyOne_Waterloo_Medical_Center/Waterloo/Iowa/" TargetMode="External"/><Relationship Id="rId34" Type="http://schemas.openxmlformats.org/officeDocument/2006/relationships/hyperlink" Target="https://www.ahd.com/free_profile/160013/UnityPoint_Health_-_Trinity/Muscatine/Iowa/" TargetMode="External"/><Relationship Id="rId7" Type="http://schemas.openxmlformats.org/officeDocument/2006/relationships/hyperlink" Target="https://www.ahd.com/free_profile/160057/Great_River_Medical_Center/West_Burlington/Iowa/" TargetMode="External"/><Relationship Id="rId12" Type="http://schemas.openxmlformats.org/officeDocument/2006/relationships/hyperlink" Target="https://www.ahd.com/free_profile/160030/Mary_Greeley_Medical_Center/Ames/Iowa/" TargetMode="External"/><Relationship Id="rId17" Type="http://schemas.openxmlformats.org/officeDocument/2006/relationships/hyperlink" Target="https://www.ahd.com/free_profile/160069/MercyOne_Dubuque_Medical_Center/Dubuque/Iowa/" TargetMode="External"/><Relationship Id="rId25" Type="http://schemas.openxmlformats.org/officeDocument/2006/relationships/hyperlink" Target="https://www.ahd.com/free_profile/160089/Ottumwa_Regional_Health_Center/Ottumwa/Iowa/" TargetMode="External"/><Relationship Id="rId33" Type="http://schemas.openxmlformats.org/officeDocument/2006/relationships/hyperlink" Target="https://www.ahd.com/free_profile/160104/UnityPoint_Health_-_Trinity/Bettendorf/Iowa/" TargetMode="External"/><Relationship Id="rId38" Type="http://schemas.openxmlformats.org/officeDocument/2006/relationships/hyperlink" Target="https://www.ahd.com/free_profile/160058/University_of_Iowa_Hospitals_%26_Clinics/Iowa_City/Iowa/" TargetMode="External"/><Relationship Id="rId2" Type="http://schemas.openxmlformats.org/officeDocument/2006/relationships/hyperlink" Target="https://www.ahd.com/free_profile/160101/Broadlawns_Medical_Center/Des_Moines/Iowa/" TargetMode="External"/><Relationship Id="rId16" Type="http://schemas.openxmlformats.org/officeDocument/2006/relationships/hyperlink" Target="https://www.ahd.com/free_profile/160083/MercyOne_Des_Moines/Des_Moines/Iowa/" TargetMode="External"/><Relationship Id="rId20" Type="http://schemas.openxmlformats.org/officeDocument/2006/relationships/hyperlink" Target="https://www.ahd.com/free_profile/160153/MercyOne_Siouxland_Medical_Center/Sioux_City/Iowa/" TargetMode="External"/><Relationship Id="rId29" Type="http://schemas.openxmlformats.org/officeDocument/2006/relationships/hyperlink" Target="https://www.ahd.com/free_profile/160016/Trinity_Regional_Medical_Center/Fort_Dodge/Iowa/" TargetMode="External"/><Relationship Id="rId1" Type="http://schemas.openxmlformats.org/officeDocument/2006/relationships/hyperlink" Target="https://www.ahd.com/free_profile/160033/_Genesis_Medical_Center%2C_East_Rusholme_Street_/Davenport/Iowa/" TargetMode="External"/><Relationship Id="rId6" Type="http://schemas.openxmlformats.org/officeDocument/2006/relationships/hyperlink" Target="https://www.ahd.com/free_profile/I41815/Genesis_Medical_Center%2C_West_Central_Park/Davenport/Iowa/" TargetMode="External"/><Relationship Id="rId11" Type="http://schemas.openxmlformats.org/officeDocument/2006/relationships/hyperlink" Target="https://www.ahd.com/free_profile/160124/Lakes_Regional_Hospital/Spirit_Lake/Iowa/" TargetMode="External"/><Relationship Id="rId24" Type="http://schemas.openxmlformats.org/officeDocument/2006/relationships/hyperlink" Target="https://www.ahd.com/free_profile/I41613/Methodist_West_Hospital/West_Des_Moines/Iowa/" TargetMode="External"/><Relationship Id="rId32" Type="http://schemas.openxmlformats.org/officeDocument/2006/relationships/hyperlink" Target="https://www.ahd.com/free_profile/160147/UnityPoint_Health_-_Grinnell_Regional_Medical_Center_/Grinnell/Iowa/" TargetMode="External"/><Relationship Id="rId37" Type="http://schemas.openxmlformats.org/officeDocument/2006/relationships/hyperlink" Target="https://www.ahd.com/free_profile/160146/UnityPoint_Health_St_Luke%27s_Regional_Medical_Center/Sioux_City/Iowa/" TargetMode="External"/><Relationship Id="rId5" Type="http://schemas.openxmlformats.org/officeDocument/2006/relationships/hyperlink" Target="https://www.ahd.com/free_profile/160122/Fort_Madison_Community_Hospital/Fort_Madison/Iowa/" TargetMode="External"/><Relationship Id="rId15" Type="http://schemas.openxmlformats.org/officeDocument/2006/relationships/hyperlink" Target="https://www.ahd.com/free_profile/160080/MercyOne_Clinton_Medical_Center/Clinton/Iowa/" TargetMode="External"/><Relationship Id="rId23" Type="http://schemas.openxmlformats.org/officeDocument/2006/relationships/hyperlink" Target="https://www.ahd.com/free_profile/160047/Methodist_Jennie_Edmundson_Hospital/Council_Bluffs/Iowa/" TargetMode="External"/><Relationship Id="rId28" Type="http://schemas.openxmlformats.org/officeDocument/2006/relationships/hyperlink" Target="https://www.ahd.com/free_profile/160112/Spencer_Hospital/Spencer/Iowa/" TargetMode="External"/><Relationship Id="rId36" Type="http://schemas.openxmlformats.org/officeDocument/2006/relationships/hyperlink" Target="https://www.ahd.com/free_profile/160001/UnityPoint_Health_Marshalltown/Marshalltown/Iowa/" TargetMode="External"/><Relationship Id="rId10" Type="http://schemas.openxmlformats.org/officeDocument/2006/relationships/hyperlink" Target="https://www.ahd.com/free_profile/160082/Iowa_Methodist_Medical_Center_/Des_Moines/Iowa/" TargetMode="External"/><Relationship Id="rId19" Type="http://schemas.openxmlformats.org/officeDocument/2006/relationships/hyperlink" Target="https://www.ahd.com/free_profile/160064/MercyOne_North_Iowa/Mason_City/Iowa/" TargetMode="External"/><Relationship Id="rId31" Type="http://schemas.openxmlformats.org/officeDocument/2006/relationships/hyperlink" Target="https://www.ahd.com/free_profile/160117/UnityPoint_Health_-_Finley_Hospital_/Dubuque/Iowa/" TargetMode="External"/><Relationship Id="rId4" Type="http://schemas.openxmlformats.org/officeDocument/2006/relationships/hyperlink" Target="https://www.ahd.com/free_profile/160028/CHI_Health_Mercy_Council_Bluffs/Council_Bluffs/Iowa/" TargetMode="External"/><Relationship Id="rId9" Type="http://schemas.openxmlformats.org/officeDocument/2006/relationships/hyperlink" Target="https://www.ahd.com/free_profile/160024/Iowa_Lutheran_Hospital/Des_Moines/Iowa/" TargetMode="External"/><Relationship Id="rId14" Type="http://schemas.openxmlformats.org/officeDocument/2006/relationships/hyperlink" Target="https://www.ahd.com/free_profile/160079/Mercy_Medical_Center/Cedar_Rapids/Iowa/" TargetMode="External"/><Relationship Id="rId22" Type="http://schemas.openxmlformats.org/officeDocument/2006/relationships/hyperlink" Target="https://www.ahd.com/free_profile/I41627/MercyOne_West_Des_Moines_Medical_Center/West_Des_Moines/Iowa/" TargetMode="External"/><Relationship Id="rId27" Type="http://schemas.openxmlformats.org/officeDocument/2006/relationships/hyperlink" Target="https://www.ahd.com/free_profile/160045/Saint_Luke%27s_Hospital/Cedar_Rapids/Iowa/" TargetMode="External"/><Relationship Id="rId30" Type="http://schemas.openxmlformats.org/officeDocument/2006/relationships/hyperlink" Target="https://www.ahd.com/free_profile/160110/UnityPoint_Health_-_Allen_Hospital/Waterloo/Iowa/" TargetMode="External"/><Relationship Id="rId35" Type="http://schemas.openxmlformats.org/officeDocument/2006/relationships/hyperlink" Target="https://www.ahd.com/free_profile/160008/UnityPoint_Health_Keokuk/Keokuk/Iowa/" TargetMode="External"/><Relationship Id="rId8" Type="http://schemas.openxmlformats.org/officeDocument/2006/relationships/hyperlink" Target="https://www.ahd.com/free_profile/16004F/Iowa_City_VA_Health_Care_System/Iowa_City/Iowa/" TargetMode="External"/><Relationship Id="rId3" Type="http://schemas.openxmlformats.org/officeDocument/2006/relationships/hyperlink" Target="https://www.ahd.com/free_profile/160040/Cedar_Falls_Medical_Center/Cedar_Falls/Iowa/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hd.com/free_profile/130066/Northwest_Specialty_Hospital/Post_Falls/Idaho/" TargetMode="External"/><Relationship Id="rId13" Type="http://schemas.openxmlformats.org/officeDocument/2006/relationships/hyperlink" Target="https://www.ahd.com/free_profile/130003/Saint_Joseph_Regional_Medical_Center/Lewiston/Idaho/" TargetMode="External"/><Relationship Id="rId18" Type="http://schemas.openxmlformats.org/officeDocument/2006/relationships/hyperlink" Target="https://www.ahd.com/free_profile/130063/Treasure_Valley_Hospital/Boise/Idaho/" TargetMode="External"/><Relationship Id="rId3" Type="http://schemas.openxmlformats.org/officeDocument/2006/relationships/hyperlink" Target="https://www.ahd.com/free_profile/130073/Grove_Creek_Medical_Center/Blackfoot/Idaho/" TargetMode="External"/><Relationship Id="rId7" Type="http://schemas.openxmlformats.org/officeDocument/2006/relationships/hyperlink" Target="https://www.ahd.com/free_profile/130065/Mountain_View_Hospital/Idaho_Falls/Idaho/" TargetMode="External"/><Relationship Id="rId12" Type="http://schemas.openxmlformats.org/officeDocument/2006/relationships/hyperlink" Target="https://www.ahd.com/free_profile/130007/Saint_Alphonsus_Regional_Medical_Center/Boise/Idaho/" TargetMode="External"/><Relationship Id="rId17" Type="http://schemas.openxmlformats.org/officeDocument/2006/relationships/hyperlink" Target="https://www.ahd.com/free_profile/130071/St_Luke%27s_Nampa_Medical_Center/Nampa_/Idaho/" TargetMode="External"/><Relationship Id="rId2" Type="http://schemas.openxmlformats.org/officeDocument/2006/relationships/hyperlink" Target="https://www.ahd.com/free_profile/130018/Eastern_Idaho_Regional_Medical_Center/Idaho_Falls/Idaho/" TargetMode="External"/><Relationship Id="rId16" Type="http://schemas.openxmlformats.org/officeDocument/2006/relationships/hyperlink" Target="https://www.ahd.com/free_profile/I40987/St_Luke%27s_Meridian_Medical_Center/Meridian/Idaho/" TargetMode="External"/><Relationship Id="rId1" Type="http://schemas.openxmlformats.org/officeDocument/2006/relationships/hyperlink" Target="https://www.ahd.com/free_profile/13003F/Boise_VA_Medical_Center/Boise/Idaho/" TargetMode="External"/><Relationship Id="rId6" Type="http://schemas.openxmlformats.org/officeDocument/2006/relationships/hyperlink" Target="https://www.ahd.com/free_profile/130025/Madison_Memorial_Hospital/Rexburg/Idaho/" TargetMode="External"/><Relationship Id="rId11" Type="http://schemas.openxmlformats.org/officeDocument/2006/relationships/hyperlink" Target="https://www.ahd.com/free_profile/130072/Saint_Alphonsus_Nampa_Emergency_Room_-_12_Ave/Nampa/Idaho/" TargetMode="External"/><Relationship Id="rId5" Type="http://schemas.openxmlformats.org/officeDocument/2006/relationships/hyperlink" Target="https://www.ahd.com/free_profile/130049/Kootenai_Health/Coeur_d%27Alene/Idaho/" TargetMode="External"/><Relationship Id="rId15" Type="http://schemas.openxmlformats.org/officeDocument/2006/relationships/hyperlink" Target="https://www.ahd.com/free_profile/130002/St_Luke%27s_Magic_Valley_Medical_Center/Twin_Falls/Idaho/" TargetMode="External"/><Relationship Id="rId10" Type="http://schemas.openxmlformats.org/officeDocument/2006/relationships/hyperlink" Target="https://www.ahd.com/free_profile/130013/Saint_Alphonsus_Medical_Center_-_Nampa/Nampa/Idaho/" TargetMode="External"/><Relationship Id="rId19" Type="http://schemas.openxmlformats.org/officeDocument/2006/relationships/hyperlink" Target="https://www.ahd.com/free_profile/130014/West_Valley_Medical_Center/Caldwell/Idaho/" TargetMode="External"/><Relationship Id="rId4" Type="http://schemas.openxmlformats.org/officeDocument/2006/relationships/hyperlink" Target="https://www.ahd.com/free_profile/130074/Idaho_Falls_Community_Hospital/Idaho_Falls/Idaho/" TargetMode="External"/><Relationship Id="rId9" Type="http://schemas.openxmlformats.org/officeDocument/2006/relationships/hyperlink" Target="https://www.ahd.com/free_profile/130028/Portneuf_Medical_Center/Pocatello/Idaho/" TargetMode="External"/><Relationship Id="rId14" Type="http://schemas.openxmlformats.org/officeDocument/2006/relationships/hyperlink" Target="https://www.ahd.com/free_profile/130006/St_Luke%27s_Boise_Medical_Center/Boise/Idaho/" TargetMode="Externa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hd.com/free_profile/140103/Saint_Bernard_Hospital_and_Health_Care_Center/Chicago/Illinois/" TargetMode="External"/><Relationship Id="rId21" Type="http://schemas.openxmlformats.org/officeDocument/2006/relationships/hyperlink" Target="https://www.ahd.com/free_profile/140080/AMITA_Health_Saint_Francis_Hospital_Evanston/Evanston/Illinois/" TargetMode="External"/><Relationship Id="rId42" Type="http://schemas.openxmlformats.org/officeDocument/2006/relationships/hyperlink" Target="https://www.ahd.com/free_profile/140010/Evanston_Hospital/Evanston/Illinois/" TargetMode="External"/><Relationship Id="rId63" Type="http://schemas.openxmlformats.org/officeDocument/2006/relationships/hyperlink" Target="https://www.ahd.com/free_profile/140234/Illinois_Valley_Community_Hospital/Peru/Illinois/" TargetMode="External"/><Relationship Id="rId84" Type="http://schemas.openxmlformats.org/officeDocument/2006/relationships/hyperlink" Target="https://www.ahd.com/free_profile/140197/Methodist_Hospital_of_Chicago/Chicago/Illinois/" TargetMode="External"/><Relationship Id="rId138" Type="http://schemas.openxmlformats.org/officeDocument/2006/relationships/hyperlink" Target="https://www.ahd.com/free_profile/140150/University_of_Illinois_Medical_Center/Chicago/Illinois/" TargetMode="External"/><Relationship Id="rId107" Type="http://schemas.openxmlformats.org/officeDocument/2006/relationships/hyperlink" Target="https://www.ahd.com/free_profile/140064/OSF_Saint_Mary_Medical_Center/Galesburg/Illinois/" TargetMode="External"/><Relationship Id="rId11" Type="http://schemas.openxmlformats.org/officeDocument/2006/relationships/hyperlink" Target="https://www.ahd.com/free_profile/140250/Advocate_South_Suburban_Hospital/Hazel_Crest/Illinois/" TargetMode="External"/><Relationship Id="rId32" Type="http://schemas.openxmlformats.org/officeDocument/2006/relationships/hyperlink" Target="https://www.ahd.com/free_profile/14034F/Captain_James_A_Lovell_Federal_Health_Care_Center/North_Chicago/Illinois/" TargetMode="External"/><Relationship Id="rId37" Type="http://schemas.openxmlformats.org/officeDocument/2006/relationships/hyperlink" Target="https://www.ahd.com/free_profile/140294/Crossroads_Community_Hospital/Mount_Vernon/Illinois/" TargetMode="External"/><Relationship Id="rId53" Type="http://schemas.openxmlformats.org/officeDocument/2006/relationships/hyperlink" Target="https://www.ahd.com/free_profile/I41187/Highland_Park_Hospital/Highland_Park/Illinois/" TargetMode="External"/><Relationship Id="rId58" Type="http://schemas.openxmlformats.org/officeDocument/2006/relationships/hyperlink" Target="https://www.ahd.com/free_profile/140187/HSHS_Saint_Elizabeth%27s_Hospital/O%27Fallon/Illinois/" TargetMode="External"/><Relationship Id="rId74" Type="http://schemas.openxmlformats.org/officeDocument/2006/relationships/hyperlink" Target="https://www.ahd.com/free_profile/140008/Loyola_Gottlieb_Memorial_Hospital/Melrose_Park/Illinois/" TargetMode="External"/><Relationship Id="rId79" Type="http://schemas.openxmlformats.org/officeDocument/2006/relationships/hyperlink" Target="https://www.ahd.com/free_profile/140185/Memorial_Hospital_Belleville/Belleville/Illinois/" TargetMode="External"/><Relationship Id="rId102" Type="http://schemas.openxmlformats.org/officeDocument/2006/relationships/hyperlink" Target="https://www.ahd.com/free_profile/140052/OSF_Saint_Anthony%27s_Health_Center/Alton/Illinois/" TargetMode="External"/><Relationship Id="rId123" Type="http://schemas.openxmlformats.org/officeDocument/2006/relationships/hyperlink" Target="https://www.ahd.com/free_profile/140046/SSM_Health_Good_Samaritan_Hospital_-_Mount_Vernon/Mount_Vernon/Illinois/" TargetMode="External"/><Relationship Id="rId128" Type="http://schemas.openxmlformats.org/officeDocument/2006/relationships/hyperlink" Target="https://www.ahd.com/free_profile/140115/Thorek_Memorial_Hospital/Chicago/Illinois/" TargetMode="External"/><Relationship Id="rId5" Type="http://schemas.openxmlformats.org/officeDocument/2006/relationships/hyperlink" Target="https://www.ahd.com/free_profile/140202/Advocate_Condell_Medical_Center/Libertyville/Illinois/" TargetMode="External"/><Relationship Id="rId90" Type="http://schemas.openxmlformats.org/officeDocument/2006/relationships/hyperlink" Target="https://www.ahd.com/free_profile/I42115/Northwestern_Medicine_Huntley_Hospital/Huntley/Illinois/" TargetMode="External"/><Relationship Id="rId95" Type="http://schemas.openxmlformats.org/officeDocument/2006/relationships/hyperlink" Target="https://www.ahd.com/free_profile/140281/Northwestern_Memorial_Hospital/Chicago/Illinois/" TargetMode="External"/><Relationship Id="rId22" Type="http://schemas.openxmlformats.org/officeDocument/2006/relationships/hyperlink" Target="https://www.ahd.com/free_profile/140224/AMITA_Health_Saint_Joseph_Hospital_Chicago/Chicago/Illinois/" TargetMode="External"/><Relationship Id="rId27" Type="http://schemas.openxmlformats.org/officeDocument/2006/relationships/hyperlink" Target="https://www.ahd.com/free_profile/140290/AMITA_Health_St_Alexius_Medical_Center_Hoffman_Estates_/Hoffman_Estates/Illinois/" TargetMode="External"/><Relationship Id="rId43" Type="http://schemas.openxmlformats.org/officeDocument/2006/relationships/hyperlink" Target="https://www.ahd.com/free_profile/140160/FHN_Memorial_Hospital/Freeport/Illinois/" TargetMode="External"/><Relationship Id="rId48" Type="http://schemas.openxmlformats.org/officeDocument/2006/relationships/hyperlink" Target="https://www.ahd.com/free_profile/I41056/Glenbrook_Hospital/Glenview/Illinois/" TargetMode="External"/><Relationship Id="rId64" Type="http://schemas.openxmlformats.org/officeDocument/2006/relationships/hyperlink" Target="https://www.ahd.com/free_profile/140167/Iroquois_Memorial_Hospital/Watseka/Illinois/" TargetMode="External"/><Relationship Id="rId69" Type="http://schemas.openxmlformats.org/officeDocument/2006/relationships/hyperlink" Target="https://www.ahd.com/free_profile/14003F/Jesse_Brown_VA_Medical_Center/Chicago/Illinois/" TargetMode="External"/><Relationship Id="rId113" Type="http://schemas.openxmlformats.org/officeDocument/2006/relationships/hyperlink" Target="https://www.ahd.com/free_profile/140063/Rush_Oak_Park_Hospital/Oak_Park/Illinois/" TargetMode="External"/><Relationship Id="rId118" Type="http://schemas.openxmlformats.org/officeDocument/2006/relationships/hyperlink" Target="https://www.ahd.com/free_profile/140143/Saint_Margaret%27s_Hospital/Spring_Valley/Illinois/" TargetMode="External"/><Relationship Id="rId134" Type="http://schemas.openxmlformats.org/officeDocument/2006/relationships/hyperlink" Target="https://www.ahd.com/free_profile/140120/UnityPoint_Health_-_Pekin/Pekin/Illinois/" TargetMode="External"/><Relationship Id="rId139" Type="http://schemas.openxmlformats.org/officeDocument/2006/relationships/hyperlink" Target="https://www.ahd.com/free_profile/14004F/VA_Illiana_Health_Care_System/Danville/Illinois/" TargetMode="External"/><Relationship Id="rId80" Type="http://schemas.openxmlformats.org/officeDocument/2006/relationships/hyperlink" Target="https://www.ahd.com/free_profile/140307/Memorial_Hospital_East/Shiloh/Illinois/" TargetMode="External"/><Relationship Id="rId85" Type="http://schemas.openxmlformats.org/officeDocument/2006/relationships/hyperlink" Target="https://www.ahd.com/free_profile/140101/Morris_Hospital/Morris/Illinois/" TargetMode="External"/><Relationship Id="rId12" Type="http://schemas.openxmlformats.org/officeDocument/2006/relationships/hyperlink" Target="https://www.ahd.com/free_profile/140048/Advocate_Trinity_Hospital/Chicago/Illinois/" TargetMode="External"/><Relationship Id="rId17" Type="http://schemas.openxmlformats.org/officeDocument/2006/relationships/hyperlink" Target="https://www.ahd.com/free_profile/140065/AMITA_Health_Adventist_Medical_Center_La_Grange/La_Grange/Illinois/" TargetMode="External"/><Relationship Id="rId33" Type="http://schemas.openxmlformats.org/officeDocument/2006/relationships/hyperlink" Target="https://www.ahd.com/free_profile/140127/Carle_BroMenn_Medical_Center/Normal/Illinois/" TargetMode="External"/><Relationship Id="rId38" Type="http://schemas.openxmlformats.org/officeDocument/2006/relationships/hyperlink" Target="https://www.ahd.com/free_profile/140135/Decatur_Memorial_Hospital/Decatur/Illinois/" TargetMode="External"/><Relationship Id="rId59" Type="http://schemas.openxmlformats.org/officeDocument/2006/relationships/hyperlink" Target="https://www.ahd.com/free_profile/140053/HSHS_Saint_John%27s_Hospital/Springfield/Illinois/" TargetMode="External"/><Relationship Id="rId103" Type="http://schemas.openxmlformats.org/officeDocument/2006/relationships/hyperlink" Target="https://www.ahd.com/free_profile/140110/OSF_Saint_Elizabeth_Medical_Center/Ottawa/Illinois/" TargetMode="External"/><Relationship Id="rId108" Type="http://schemas.openxmlformats.org/officeDocument/2006/relationships/hyperlink" Target="https://www.ahd.com/free_profile/140062/Palos_Hospital/Palos_Heights/Illinois/" TargetMode="External"/><Relationship Id="rId124" Type="http://schemas.openxmlformats.org/officeDocument/2006/relationships/hyperlink" Target="https://www.ahd.com/free_profile/140034/SSM_Health_Saint_Mary%27s_Hospital-Centralia/Centralia/Illinois/" TargetMode="External"/><Relationship Id="rId129" Type="http://schemas.openxmlformats.org/officeDocument/2006/relationships/hyperlink" Target="https://www.ahd.com/free_profile/140077/Touchette_Regional_Hospital/Centreville/Illinois/" TargetMode="External"/><Relationship Id="rId54" Type="http://schemas.openxmlformats.org/officeDocument/2006/relationships/hyperlink" Target="https://www.ahd.com/free_profile/140133/Holy_Cross_Hospital/Chicago/Illinois/" TargetMode="External"/><Relationship Id="rId70" Type="http://schemas.openxmlformats.org/officeDocument/2006/relationships/hyperlink" Target="https://www.ahd.com/free_profile/140124/John_H_Stroger%2C_Jr_Hospital_of_Cook_County/Chicago/Illinois/" TargetMode="External"/><Relationship Id="rId75" Type="http://schemas.openxmlformats.org/officeDocument/2006/relationships/hyperlink" Target="https://www.ahd.com/free_profile/140276/Loyola_University_Medical_Center/Maywood/Illinois/" TargetMode="External"/><Relationship Id="rId91" Type="http://schemas.openxmlformats.org/officeDocument/2006/relationships/hyperlink" Target="https://www.ahd.com/free_profile/140130/Northwestern_Medicine_Lake_Forest_Hospital/Lake_Forest/Illinois/" TargetMode="External"/><Relationship Id="rId96" Type="http://schemas.openxmlformats.org/officeDocument/2006/relationships/hyperlink" Target="https://www.ahd.com/free_profile/140206/Norwegian_American_Hospital/Chicago/Illinois/" TargetMode="External"/><Relationship Id="rId140" Type="http://schemas.openxmlformats.org/officeDocument/2006/relationships/hyperlink" Target="https://www.ahd.com/free_profile/140084/Vista_Medical_Center_East/Waukegan/Illinois/" TargetMode="External"/><Relationship Id="rId1" Type="http://schemas.openxmlformats.org/officeDocument/2006/relationships/hyperlink" Target="https://www.ahd.com/free_profile/140147/_Carle_Richland_Memorial_Hospital/Olney/Illinois/" TargetMode="External"/><Relationship Id="rId6" Type="http://schemas.openxmlformats.org/officeDocument/2006/relationships/hyperlink" Target="https://www.ahd.com/free_profile/140288/Advocate_Good_Samaritan_Hospital/Downers_Grove/Illinois/" TargetMode="External"/><Relationship Id="rId23" Type="http://schemas.openxmlformats.org/officeDocument/2006/relationships/hyperlink" Target="https://www.ahd.com/free_profile/140217/AMITA_Health_Saint_Joseph_Hospital_Elgin/Elgin/Illinois/" TargetMode="External"/><Relationship Id="rId28" Type="http://schemas.openxmlformats.org/officeDocument/2006/relationships/hyperlink" Target="https://www.ahd.com/free_profile/140155/AMITA_Health_St_Marys_Hospital_Kankakee/Kankakee/Illinois/" TargetMode="External"/><Relationship Id="rId49" Type="http://schemas.openxmlformats.org/officeDocument/2006/relationships/hyperlink" Target="https://www.ahd.com/free_profile/140001/Graham_Hospital/Canton/Illinois/" TargetMode="External"/><Relationship Id="rId114" Type="http://schemas.openxmlformats.org/officeDocument/2006/relationships/hyperlink" Target="https://www.ahd.com/free_profile/140119/Rush_University_Medical_Center/Chicago/Illinois/" TargetMode="External"/><Relationship Id="rId119" Type="http://schemas.openxmlformats.org/officeDocument/2006/relationships/hyperlink" Target="https://www.ahd.com/free_profile/140189/Sarah_Bush_Lincoln_Health_Center/Mattoon/Illinois/" TargetMode="External"/><Relationship Id="rId44" Type="http://schemas.openxmlformats.org/officeDocument/2006/relationships/hyperlink" Target="https://www.ahd.com/free_profile/140172/Franciscan_Health_Olympia_Fields_Campus/Olympia_Fields/Illinois/" TargetMode="External"/><Relationship Id="rId60" Type="http://schemas.openxmlformats.org/officeDocument/2006/relationships/hyperlink" Target="https://www.ahd.com/free_profile/140145/HSHS_Saint_Joseph%27s_Hospital_Breese/Breese/Illinois/" TargetMode="External"/><Relationship Id="rId65" Type="http://schemas.openxmlformats.org/officeDocument/2006/relationships/hyperlink" Target="https://www.ahd.com/free_profile/140177/Jackson_Park_Hospital/Chicago/Illinois/" TargetMode="External"/><Relationship Id="rId81" Type="http://schemas.openxmlformats.org/officeDocument/2006/relationships/hyperlink" Target="https://www.ahd.com/free_profile/140164/Memorial_Hospital_of_Carbondale/Carbondale/Illinois/" TargetMode="External"/><Relationship Id="rId86" Type="http://schemas.openxmlformats.org/officeDocument/2006/relationships/hyperlink" Target="https://www.ahd.com/free_profile/140018/Mount_Sinai_Hospital/Chicago/Illinois/" TargetMode="External"/><Relationship Id="rId130" Type="http://schemas.openxmlformats.org/officeDocument/2006/relationships/hyperlink" Target="https://www.ahd.com/free_profile/140191/UChcago_Medicine_Ingalls_Memorial_Hospital/Harvey/Illinois/" TargetMode="External"/><Relationship Id="rId135" Type="http://schemas.openxmlformats.org/officeDocument/2006/relationships/hyperlink" Target="https://www.ahd.com/free_profile/140013/UnityPoint_Health_-_Proctor/Peoria/Illinois/" TargetMode="External"/><Relationship Id="rId13" Type="http://schemas.openxmlformats.org/officeDocument/2006/relationships/hyperlink" Target="https://www.ahd.com/free_profile/140002/Alton_Memorial_Hospital/Alton/Illinois/" TargetMode="External"/><Relationship Id="rId18" Type="http://schemas.openxmlformats.org/officeDocument/2006/relationships/hyperlink" Target="https://www.ahd.com/free_profile/140258/AMITA_Health_Alexian_Brothers_Medical_Center_Elk_Grove_Village/Elk_Grove_Village/Illinois/" TargetMode="External"/><Relationship Id="rId39" Type="http://schemas.openxmlformats.org/officeDocument/2006/relationships/hyperlink" Target="https://www.ahd.com/free_profile/14007F/Edward_Hines%2C_Jr_VA_Hospital/Hines/Illinois/" TargetMode="External"/><Relationship Id="rId109" Type="http://schemas.openxmlformats.org/officeDocument/2006/relationships/hyperlink" Target="https://www.ahd.com/free_profile/140058/Passavant_Area_Hospital/Jacksonville/Illinois/" TargetMode="External"/><Relationship Id="rId34" Type="http://schemas.openxmlformats.org/officeDocument/2006/relationships/hyperlink" Target="https://www.ahd.com/free_profile/140091/Carle_Foundation_Hospital/Urbana/Illinois/" TargetMode="External"/><Relationship Id="rId50" Type="http://schemas.openxmlformats.org/officeDocument/2006/relationships/hyperlink" Target="https://www.ahd.com/free_profile/140210/Harrisburg_Medical_Center/Harrisburg/Illinois/" TargetMode="External"/><Relationship Id="rId55" Type="http://schemas.openxmlformats.org/officeDocument/2006/relationships/hyperlink" Target="https://www.ahd.com/free_profile/140019/HSHS_Good_Shepherd_Hospital/Shelbyville/Illinois/" TargetMode="External"/><Relationship Id="rId76" Type="http://schemas.openxmlformats.org/officeDocument/2006/relationships/hyperlink" Target="https://www.ahd.com/free_profile/140054/MacNeal_Hospital/Berwyn/Illinois/" TargetMode="External"/><Relationship Id="rId97" Type="http://schemas.openxmlformats.org/officeDocument/2006/relationships/hyperlink" Target="https://www.ahd.com/free_profile/I42348/OSF_Children%27s_Hospital_of_Illinois/Peoria/Illinois/" TargetMode="External"/><Relationship Id="rId104" Type="http://schemas.openxmlformats.org/officeDocument/2006/relationships/hyperlink" Target="https://www.ahd.com/free_profile/140067/OSF_Saint_Francis_Medical_Center/Peoria/Illinois/" TargetMode="External"/><Relationship Id="rId120" Type="http://schemas.openxmlformats.org/officeDocument/2006/relationships/hyperlink" Target="https://www.ahd.com/free_profile/140213/Silver_Cross_Hospital/New_Lenox/Illinois/" TargetMode="External"/><Relationship Id="rId125" Type="http://schemas.openxmlformats.org/officeDocument/2006/relationships/hyperlink" Target="https://www.ahd.com/free_profile/140114/Swedish_Hospital/Chicago/Illinois/" TargetMode="External"/><Relationship Id="rId141" Type="http://schemas.openxmlformats.org/officeDocument/2006/relationships/hyperlink" Target="https://www.ahd.com/free_profile/140082/Weiss_Memorial_Hospital/Chicago/Illinois/" TargetMode="External"/><Relationship Id="rId7" Type="http://schemas.openxmlformats.org/officeDocument/2006/relationships/hyperlink" Target="https://www.ahd.com/free_profile/140291/Advocate_Good_Shepherd_Hospital/Barrington/Illinois/" TargetMode="External"/><Relationship Id="rId71" Type="http://schemas.openxmlformats.org/officeDocument/2006/relationships/hyperlink" Target="https://www.ahd.com/free_profile/140012/Katherine_Shaw_Bethea_Hospital/Dixon/Illinois/" TargetMode="External"/><Relationship Id="rId92" Type="http://schemas.openxmlformats.org/officeDocument/2006/relationships/hyperlink" Target="https://www.ahd.com/free_profile/140116/Northwestern_Medicine_McHenry_Hospital/McHenry/Illinois/" TargetMode="External"/><Relationship Id="rId2" Type="http://schemas.openxmlformats.org/officeDocument/2006/relationships/hyperlink" Target="https://www.ahd.com/free_profile/140286/_Northwestern_Medicine_Kishwaukee_Hospital/DeKalb/Illinois/" TargetMode="External"/><Relationship Id="rId29" Type="http://schemas.openxmlformats.org/officeDocument/2006/relationships/hyperlink" Target="https://www.ahd.com/free_profile/140289/Anderson_Hospital/Maryville/Illinois/" TargetMode="External"/><Relationship Id="rId24" Type="http://schemas.openxmlformats.org/officeDocument/2006/relationships/hyperlink" Target="https://www.ahd.com/free_profile/140007/AMITA_Health_Saint_Joseph_Medical_Center_Joliet/Joliet/Illinois/" TargetMode="External"/><Relationship Id="rId40" Type="http://schemas.openxmlformats.org/officeDocument/2006/relationships/hyperlink" Target="https://www.ahd.com/free_profile/140231/Edward_Hospital/Naperville/Illinois/" TargetMode="External"/><Relationship Id="rId45" Type="http://schemas.openxmlformats.org/officeDocument/2006/relationships/hyperlink" Target="https://www.ahd.com/free_profile/140040/Galesburg_Cottage_Hospital/Galesburg/Illinois/" TargetMode="External"/><Relationship Id="rId66" Type="http://schemas.openxmlformats.org/officeDocument/2006/relationships/hyperlink" Target="https://www.ahd.com/free_profile/140239/Javon_Bea_Hospital_Rockton/Rockford/Illinois/" TargetMode="External"/><Relationship Id="rId87" Type="http://schemas.openxmlformats.org/officeDocument/2006/relationships/hyperlink" Target="https://www.ahd.com/free_profile/140252/Northwest_Community_Hospital/Arlington_Heights/Illinois/" TargetMode="External"/><Relationship Id="rId110" Type="http://schemas.openxmlformats.org/officeDocument/2006/relationships/hyperlink" Target="https://www.ahd.com/free_profile/140300/Provident_Hospital_of_Cook_County/Chicago/Illinois/" TargetMode="External"/><Relationship Id="rId115" Type="http://schemas.openxmlformats.org/officeDocument/2006/relationships/hyperlink" Target="https://www.ahd.com/free_profile/140029/Rush-Copley_Medical_Center/Aurora/Illinois/" TargetMode="External"/><Relationship Id="rId131" Type="http://schemas.openxmlformats.org/officeDocument/2006/relationships/hyperlink" Target="https://www.ahd.com/free_profile/I41920/UChicago_Medicine_Center_for_Care_and_Discovery_-_Hyde_Park/Chicago/Illinois/" TargetMode="External"/><Relationship Id="rId136" Type="http://schemas.openxmlformats.org/officeDocument/2006/relationships/hyperlink" Target="https://www.ahd.com/free_profile/I41472/UnityPoint_Health_Trinity_-_Moline/Moline/Illinois/" TargetMode="External"/><Relationship Id="rId61" Type="http://schemas.openxmlformats.org/officeDocument/2006/relationships/hyperlink" Target="https://www.ahd.com/free_profile/140166/HSHS_Saint_Mary%27s_Hospital/Decatur/Illinois/" TargetMode="External"/><Relationship Id="rId82" Type="http://schemas.openxmlformats.org/officeDocument/2006/relationships/hyperlink" Target="https://www.ahd.com/free_profile/140148/Memorial_Medical_Center/Springfield/Illinois/" TargetMode="External"/><Relationship Id="rId19" Type="http://schemas.openxmlformats.org/officeDocument/2006/relationships/hyperlink" Target="https://www.ahd.com/free_profile/140174/AMITA_Health_Mercy_Medical_Center_Aurora/Aurora/Illinois/" TargetMode="External"/><Relationship Id="rId14" Type="http://schemas.openxmlformats.org/officeDocument/2006/relationships/hyperlink" Target="https://www.ahd.com/free_profile/140292/AMITA_Health_Adventist_GlenOaks_Hospital/Glendale_Heights/Illinois/" TargetMode="External"/><Relationship Id="rId30" Type="http://schemas.openxmlformats.org/officeDocument/2006/relationships/hyperlink" Target="https://www.ahd.com/free_profile/140015/Blessing_Hospital/Quincy/Illinois/" TargetMode="External"/><Relationship Id="rId35" Type="http://schemas.openxmlformats.org/officeDocument/2006/relationships/hyperlink" Target="https://www.ahd.com/free_profile/140043/CGH_Medical_Center/Sterling/Illinois/" TargetMode="External"/><Relationship Id="rId56" Type="http://schemas.openxmlformats.org/officeDocument/2006/relationships/hyperlink" Target="https://www.ahd.com/free_profile/140137/HSHS_Holy_Family_Hospital/Greenville/Illinois/" TargetMode="External"/><Relationship Id="rId77" Type="http://schemas.openxmlformats.org/officeDocument/2006/relationships/hyperlink" Target="https://www.ahd.com/free_profile/14008F/Marion_VA_Medical_Center/Marion/Illinois/" TargetMode="External"/><Relationship Id="rId100" Type="http://schemas.openxmlformats.org/officeDocument/2006/relationships/hyperlink" Target="https://www.ahd.com/free_profile/140093/OSF_Sacred_Heart_Medical_Center/Danville/Illinois/" TargetMode="External"/><Relationship Id="rId105" Type="http://schemas.openxmlformats.org/officeDocument/2006/relationships/hyperlink" Target="https://www.ahd.com/free_profile/140161/OSF_Saint_James-John_W_Albrecht_Medical_Center/Pontiac/Illinois/" TargetMode="External"/><Relationship Id="rId126" Type="http://schemas.openxmlformats.org/officeDocument/2006/relationships/hyperlink" Target="https://www.ahd.com/free_profile/140228/SwedishAmerican_Hospital/Rockford/Illinois/" TargetMode="External"/><Relationship Id="rId8" Type="http://schemas.openxmlformats.org/officeDocument/2006/relationships/hyperlink" Target="https://www.ahd.com/free_profile/140182/Advocate_Illinois_Masonic_Medical_Center/Chicago/Illinois/" TargetMode="External"/><Relationship Id="rId51" Type="http://schemas.openxmlformats.org/officeDocument/2006/relationships/hyperlink" Target="https://www.ahd.com/free_profile/140184/Heartland_Regional_Medical_Center/Marion/Illinois/" TargetMode="External"/><Relationship Id="rId72" Type="http://schemas.openxmlformats.org/officeDocument/2006/relationships/hyperlink" Target="https://www.ahd.com/free_profile/140033/Lake_Behavioral_Hospital_/Waukegan/Illinois/" TargetMode="External"/><Relationship Id="rId93" Type="http://schemas.openxmlformats.org/officeDocument/2006/relationships/hyperlink" Target="https://www.ahd.com/free_profile/I41607/Northwestern_Medicine_Prentice_Women%27s_Hospital/Chicago/Illinois/" TargetMode="External"/><Relationship Id="rId98" Type="http://schemas.openxmlformats.org/officeDocument/2006/relationships/hyperlink" Target="https://www.ahd.com/free_profile/140113/OSF_Heart_of_Mary_Medical_Center/Urbana/Illinois/" TargetMode="External"/><Relationship Id="rId121" Type="http://schemas.openxmlformats.org/officeDocument/2006/relationships/hyperlink" Target="https://www.ahd.com/free_profile/140051/Skokie_Hospital/Skokie/Illinois/" TargetMode="External"/><Relationship Id="rId142" Type="http://schemas.openxmlformats.org/officeDocument/2006/relationships/hyperlink" Target="https://www.ahd.com/free_profile/140049/West_Suburban_Medical_Center/Oak_Park/Illinois/" TargetMode="External"/><Relationship Id="rId3" Type="http://schemas.openxmlformats.org/officeDocument/2006/relationships/hyperlink" Target="https://www.ahd.com/free_profile/14011F/375th_Medical_Group_-_Scott_Air_Force_Base_Medical_Center/Scott_Air_Force_Base/Illinois/" TargetMode="External"/><Relationship Id="rId25" Type="http://schemas.openxmlformats.org/officeDocument/2006/relationships/hyperlink" Target="https://www.ahd.com/free_profile/140094/AMITA_Health_Saints_Mary_and_Elizabeth_Medical_Center_Saint_Elizabeth_Campus/Chicago/Illinois/" TargetMode="External"/><Relationship Id="rId46" Type="http://schemas.openxmlformats.org/officeDocument/2006/relationships/hyperlink" Target="https://www.ahd.com/free_profile/140125/Gateway_Regional_Medical_Center/Granite_City/Illinois/" TargetMode="External"/><Relationship Id="rId67" Type="http://schemas.openxmlformats.org/officeDocument/2006/relationships/hyperlink" Target="https://www.ahd.com/free_profile/I42262/Javon_Bea_Hospital-Riverside/Rockford/Illinois/" TargetMode="External"/><Relationship Id="rId116" Type="http://schemas.openxmlformats.org/officeDocument/2006/relationships/hyperlink" Target="https://www.ahd.com/free_profile/140095/Saint_Anthony_Hospital/Chicago/Illinois/" TargetMode="External"/><Relationship Id="rId137" Type="http://schemas.openxmlformats.org/officeDocument/2006/relationships/hyperlink" Target="https://www.ahd.com/free_profile/140280/UnityPoint_Health_Trinity_-_Rock_Island/Rock_Island/Illinois/" TargetMode="External"/><Relationship Id="rId20" Type="http://schemas.openxmlformats.org/officeDocument/2006/relationships/hyperlink" Target="https://www.ahd.com/free_profile/140117/AMITA_Health_Resurrection_Medical_Center_Chicago/Chicago/Illinois/" TargetMode="External"/><Relationship Id="rId41" Type="http://schemas.openxmlformats.org/officeDocument/2006/relationships/hyperlink" Target="https://www.ahd.com/free_profile/140200/Elmhurst_Hospital_/Elmhurst/Illinois/" TargetMode="External"/><Relationship Id="rId62" Type="http://schemas.openxmlformats.org/officeDocument/2006/relationships/hyperlink" Target="https://www.ahd.com/free_profile/I42375/HSHS_St_John%27s_Children%27s_Hospital/Springfield/Illinois/" TargetMode="External"/><Relationship Id="rId83" Type="http://schemas.openxmlformats.org/officeDocument/2006/relationships/hyperlink" Target="https://www.ahd.com/free_profile/140158/Mercy_Hospital_%26_Medical_Center/Chicago/Illinois/" TargetMode="External"/><Relationship Id="rId88" Type="http://schemas.openxmlformats.org/officeDocument/2006/relationships/hyperlink" Target="https://www.ahd.com/free_profile/140242/Northwestern_Medicine_Central_DuPage_Hospital/Winfield/Illinois/" TargetMode="External"/><Relationship Id="rId111" Type="http://schemas.openxmlformats.org/officeDocument/2006/relationships/hyperlink" Target="https://www.ahd.com/free_profile/140186/Riverside_Medical_Center_/Kankakee/Illinois/" TargetMode="External"/><Relationship Id="rId132" Type="http://schemas.openxmlformats.org/officeDocument/2006/relationships/hyperlink" Target="https://www.ahd.com/free_profile/I42218/UChicago_Medicine_Mitchell_Hospital_-_Hyde_Park/Chicago/Illinois/" TargetMode="External"/><Relationship Id="rId15" Type="http://schemas.openxmlformats.org/officeDocument/2006/relationships/hyperlink" Target="https://www.ahd.com/free_profile/140304/AMITA_Health_Adventist_Medical_Center__Bolingbrook_/Bolingbrook/Illinois/" TargetMode="External"/><Relationship Id="rId36" Type="http://schemas.openxmlformats.org/officeDocument/2006/relationships/hyperlink" Target="https://www.ahd.com/free_profile/140251/Community_First_Medical_Center/Chicago/Illinois/" TargetMode="External"/><Relationship Id="rId57" Type="http://schemas.openxmlformats.org/officeDocument/2006/relationships/hyperlink" Target="https://www.ahd.com/free_profile/140032/HSHS_Saint_Anthony%27s_Memorial_Hospital/Effingham/Illinois/" TargetMode="External"/><Relationship Id="rId106" Type="http://schemas.openxmlformats.org/officeDocument/2006/relationships/hyperlink" Target="https://www.ahd.com/free_profile/140162/OSF_Saint_Joseph_Medical_Center/Bloomington/Illinois/" TargetMode="External"/><Relationship Id="rId127" Type="http://schemas.openxmlformats.org/officeDocument/2006/relationships/hyperlink" Target="https://www.ahd.com/free_profile/140088/The_University_of_Chicago_Medical_Center/Chicago/Illinois/" TargetMode="External"/><Relationship Id="rId10" Type="http://schemas.openxmlformats.org/officeDocument/2006/relationships/hyperlink" Target="https://www.ahd.com/free_profile/140030/Advocate_Sherman_Hospital/Elgin/Illinois/" TargetMode="External"/><Relationship Id="rId31" Type="http://schemas.openxmlformats.org/officeDocument/2006/relationships/hyperlink" Target="https://www.ahd.com/free_profile/140100/Cancer_Treatment_Centers_of_America_Chicago/Zion/Illinois/" TargetMode="External"/><Relationship Id="rId52" Type="http://schemas.openxmlformats.org/officeDocument/2006/relationships/hyperlink" Target="https://www.ahd.com/free_profile/140011/Herrin_Hospital/Herrin/Illinois/" TargetMode="External"/><Relationship Id="rId73" Type="http://schemas.openxmlformats.org/officeDocument/2006/relationships/hyperlink" Target="https://www.ahd.com/free_profile/140083/Loretto_Hospital/Chicago/Illinois/" TargetMode="External"/><Relationship Id="rId78" Type="http://schemas.openxmlformats.org/officeDocument/2006/relationships/hyperlink" Target="https://www.ahd.com/free_profile/140089/McDonough_District_Hospital/Macomb/Illinois/" TargetMode="External"/><Relationship Id="rId94" Type="http://schemas.openxmlformats.org/officeDocument/2006/relationships/hyperlink" Target="https://www.ahd.com/free_profile/140176/Northwestern_Medicine_Woodstock_Hospital/Woodstock/Illinois/" TargetMode="External"/><Relationship Id="rId99" Type="http://schemas.openxmlformats.org/officeDocument/2006/relationships/hyperlink" Target="https://www.ahd.com/free_profile/140179/OSF_Little_Company_of_Mary_Medical_Center/Evergreen_Park/Illinois/" TargetMode="External"/><Relationship Id="rId101" Type="http://schemas.openxmlformats.org/officeDocument/2006/relationships/hyperlink" Target="https://www.ahd.com/free_profile/140233/OSF_Saint_Anthony_Medical_Center/Rockford/Illinois/" TargetMode="External"/><Relationship Id="rId122" Type="http://schemas.openxmlformats.org/officeDocument/2006/relationships/hyperlink" Target="https://www.ahd.com/free_profile/140181/South_Shore_Hospital/Chicago/Illinois/" TargetMode="External"/><Relationship Id="rId143" Type="http://schemas.openxmlformats.org/officeDocument/2006/relationships/hyperlink" Target="https://www.ahd.com/free_profile/140240/Westlake_Hospital/Melrose_Park/Illinois/" TargetMode="External"/><Relationship Id="rId4" Type="http://schemas.openxmlformats.org/officeDocument/2006/relationships/hyperlink" Target="https://www.ahd.com/free_profile/140208/Advocate_Christ_Medical_Center/Oak_Lawn/Illinois/" TargetMode="External"/><Relationship Id="rId9" Type="http://schemas.openxmlformats.org/officeDocument/2006/relationships/hyperlink" Target="https://www.ahd.com/free_profile/140223/Advocate_Lutheran_General_Hospital/Park_Ridge/Illinois/" TargetMode="External"/><Relationship Id="rId26" Type="http://schemas.openxmlformats.org/officeDocument/2006/relationships/hyperlink" Target="https://www.ahd.com/free_profile/140180/AMITA_Health_Saints_Mary_and_Elizabeth_Medical_Center_Saint_Mary_Campus/Chicago/Illinois/" TargetMode="External"/><Relationship Id="rId47" Type="http://schemas.openxmlformats.org/officeDocument/2006/relationships/hyperlink" Target="https://www.ahd.com/free_profile/140275/Genesis_Medical_Center_Silvis/Silvis/Illinois/" TargetMode="External"/><Relationship Id="rId68" Type="http://schemas.openxmlformats.org/officeDocument/2006/relationships/hyperlink" Target="https://www.ahd.com/free_profile/140059/Jersey_Community_Hospital/Jerseyville/Illinois/" TargetMode="External"/><Relationship Id="rId89" Type="http://schemas.openxmlformats.org/officeDocument/2006/relationships/hyperlink" Target="https://www.ahd.com/free_profile/140211/Northwestern_Medicine_Delnor_Hospital/Geneva/Illinois/" TargetMode="External"/><Relationship Id="rId112" Type="http://schemas.openxmlformats.org/officeDocument/2006/relationships/hyperlink" Target="https://www.ahd.com/free_profile/140068/Roseland_Community_Hospital/Chicago/Illinois/" TargetMode="External"/><Relationship Id="rId133" Type="http://schemas.openxmlformats.org/officeDocument/2006/relationships/hyperlink" Target="https://www.ahd.com/free_profile/140209/UnityPoint_Health_-_Methodist_/Peoria/Illinois/" TargetMode="External"/><Relationship Id="rId16" Type="http://schemas.openxmlformats.org/officeDocument/2006/relationships/hyperlink" Target="https://www.ahd.com/free_profile/140122/AMITA_Health_Adventist_Medical_Center_Hinsdale_/Hinsdale/Illinois/" TargetMode="External"/></Relationships>
</file>

<file path=xl/worksheets/_rels/sheet17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hd.com/free_profile/150022/Franciscan__Health__Crawfordsville/Crawfordsville/Indiana/" TargetMode="External"/><Relationship Id="rId21" Type="http://schemas.openxmlformats.org/officeDocument/2006/relationships/hyperlink" Target="https://www.ahd.com/free_profile/I41044/Deaconess_Gateway_Hospital/Newburgh/Indiana/" TargetMode="External"/><Relationship Id="rId42" Type="http://schemas.openxmlformats.org/officeDocument/2006/relationships/hyperlink" Target="https://www.ahd.com/free_profile/150173/IU_Health_Arnett_Hospital/Lafayette/Indiana/" TargetMode="External"/><Relationship Id="rId47" Type="http://schemas.openxmlformats.org/officeDocument/2006/relationships/hyperlink" Target="https://www.ahd.com/free_profile/I41816/IU_Health_Saxony_Hospital_/Fishers/Indiana/" TargetMode="External"/><Relationship Id="rId63" Type="http://schemas.openxmlformats.org/officeDocument/2006/relationships/hyperlink" Target="https://www.ahd.com/free_profile/150183/Monroe_Hospital/Bloomington/Indiana/" TargetMode="External"/><Relationship Id="rId68" Type="http://schemas.openxmlformats.org/officeDocument/2006/relationships/hyperlink" Target="https://www.ahd.com/free_profile/150146/Parkview_Noble_Hospital/Kendallville/Indiana/" TargetMode="External"/><Relationship Id="rId84" Type="http://schemas.openxmlformats.org/officeDocument/2006/relationships/hyperlink" Target="https://www.ahd.com/free_profile/150047/Saint_Joseph_Hospital/Fort_Wayne/Indiana/" TargetMode="External"/><Relationship Id="rId89" Type="http://schemas.openxmlformats.org/officeDocument/2006/relationships/hyperlink" Target="https://www.ahd.com/free_profile/150065/Schneck_Medical_Center/Seymour/Indiana/" TargetMode="External"/><Relationship Id="rId16" Type="http://schemas.openxmlformats.org/officeDocument/2006/relationships/hyperlink" Target="https://www.ahd.com/free_profile/150169/Community_Hospital_North/Indianapolis/Indiana/" TargetMode="External"/><Relationship Id="rId11" Type="http://schemas.openxmlformats.org/officeDocument/2006/relationships/hyperlink" Target="https://www.ahd.com/free_profile/150112/Columbus_Regional_Hospital/Columbus/Indiana/" TargetMode="External"/><Relationship Id="rId32" Type="http://schemas.openxmlformats.org/officeDocument/2006/relationships/hyperlink" Target="https://www.ahd.com/free_profile/150057/Franciscan_Health__Mooresville_Campus/Mooresville/Indiana/" TargetMode="External"/><Relationship Id="rId37" Type="http://schemas.openxmlformats.org/officeDocument/2006/relationships/hyperlink" Target="https://www.ahd.com/free_profile/150042/Good_Samaritan_Hospital/Vincennes/Indiana/" TargetMode="External"/><Relationship Id="rId53" Type="http://schemas.openxmlformats.org/officeDocument/2006/relationships/hyperlink" Target="https://www.ahd.com/free_profile/150006/La_Porte_Hospital/La_Porte/Indiana/" TargetMode="External"/><Relationship Id="rId58" Type="http://schemas.openxmlformats.org/officeDocument/2006/relationships/hyperlink" Target="https://www.ahd.com/free_profile/150058/Memorial_Hospital/South_Bend/Indiana/" TargetMode="External"/><Relationship Id="rId74" Type="http://schemas.openxmlformats.org/officeDocument/2006/relationships/hyperlink" Target="https://www.ahd.com/free_profile/150076/Plymouth_Medical_Center/Plymouth/Indiana/" TargetMode="External"/><Relationship Id="rId79" Type="http://schemas.openxmlformats.org/officeDocument/2006/relationships/hyperlink" Target="https://www.ahd.com/free_profile/15003F/Richard_L_Roudebush_VA_Medical_Center/Indianapolis/Indiana/" TargetMode="External"/><Relationship Id="rId5" Type="http://schemas.openxmlformats.org/officeDocument/2006/relationships/hyperlink" Target="https://www.ahd.com/free_profile/I42294/Ascension_St_Vincent_Castleton/Indianapolis/Indiana/" TargetMode="External"/><Relationship Id="rId90" Type="http://schemas.openxmlformats.org/officeDocument/2006/relationships/hyperlink" Target="https://www.ahd.com/free_profile/150024/Sidney_and_Lois_Eskenazi_Hospital_/Indianapolis/Indiana/" TargetMode="External"/><Relationship Id="rId95" Type="http://schemas.openxmlformats.org/officeDocument/2006/relationships/hyperlink" Target="https://www.ahd.com/free_profile/150046/Terre_Haute_Regional_Hospital/Terre_Haute/Indiana/" TargetMode="External"/><Relationship Id="rId22" Type="http://schemas.openxmlformats.org/officeDocument/2006/relationships/hyperlink" Target="https://www.ahd.com/free_profile/150082/Deaconess_Midtown_Hospital/Evansville/Indiana/" TargetMode="External"/><Relationship Id="rId27" Type="http://schemas.openxmlformats.org/officeDocument/2006/relationships/hyperlink" Target="https://www.ahd.com/free_profile/150162/Franciscan__Health__Indianapolis_/Indianapolis/Indiana/" TargetMode="External"/><Relationship Id="rId43" Type="http://schemas.openxmlformats.org/officeDocument/2006/relationships/hyperlink" Target="https://www.ahd.com/free_profile/150089/IU_Health_Ball_Memorial_Hospital_/Muncie/Indiana/" TargetMode="External"/><Relationship Id="rId48" Type="http://schemas.openxmlformats.org/officeDocument/2006/relationships/hyperlink" Target="https://www.ahd.com/free_profile/I08367/IU_Health_University_Hospital_/Indianapolis/Indiana/" TargetMode="External"/><Relationship Id="rId64" Type="http://schemas.openxmlformats.org/officeDocument/2006/relationships/hyperlink" Target="https://www.ahd.com/free_profile/150160/OrthoIndy_Hospital/Indianapolis/Indiana/" TargetMode="External"/><Relationship Id="rId69" Type="http://schemas.openxmlformats.org/officeDocument/2006/relationships/hyperlink" Target="https://www.ahd.com/free_profile/150167/Parkview_Ortho_Hospital/Fort_Wayne/Indiana/" TargetMode="External"/><Relationship Id="rId80" Type="http://schemas.openxmlformats.org/officeDocument/2006/relationships/hyperlink" Target="https://www.ahd.com/free_profile/150059/Riverview_Health_Noblesville_Hospital/Noblesville/Indiana/" TargetMode="External"/><Relationship Id="rId85" Type="http://schemas.openxmlformats.org/officeDocument/2006/relationships/hyperlink" Target="https://www.ahd.com/free_profile/150034/Saint_Mary_Medical_Center/Hobart/Indiana/" TargetMode="External"/><Relationship Id="rId12" Type="http://schemas.openxmlformats.org/officeDocument/2006/relationships/hyperlink" Target="https://www.ahd.com/free_profile/150154/Community_Heart_And_Vascular_Hospital/Indianapolis/Indiana/" TargetMode="External"/><Relationship Id="rId17" Type="http://schemas.openxmlformats.org/officeDocument/2006/relationships/hyperlink" Target="https://www.ahd.com/free_profile/150128/Community_Hospital_South/Indianapolis/Indiana/" TargetMode="External"/><Relationship Id="rId25" Type="http://schemas.openxmlformats.org/officeDocument/2006/relationships/hyperlink" Target="https://www.ahd.com/free_profile/150179/Fairbanks_Hospital/Indianapolis/Indiana/" TargetMode="External"/><Relationship Id="rId33" Type="http://schemas.openxmlformats.org/officeDocument/2006/relationships/hyperlink" Target="https://www.ahd.com/free_profile/150165/Franciscan_Health__Munster_/Munster/Indiana/" TargetMode="External"/><Relationship Id="rId38" Type="http://schemas.openxmlformats.org/officeDocument/2006/relationships/hyperlink" Target="https://www.ahd.com/free_profile/150026/Goshen_Hospital/Goshen/Indiana/" TargetMode="External"/><Relationship Id="rId46" Type="http://schemas.openxmlformats.org/officeDocument/2006/relationships/hyperlink" Target="https://www.ahd.com/free_profile/150161/IU_Health_North_Hospital_/Carmel/Indiana/" TargetMode="External"/><Relationship Id="rId59" Type="http://schemas.openxmlformats.org/officeDocument/2006/relationships/hyperlink" Target="https://www.ahd.com/free_profile/150115/Memorial_Hospital_and_Health_Care_Center/Jasper/Indiana/" TargetMode="External"/><Relationship Id="rId67" Type="http://schemas.openxmlformats.org/officeDocument/2006/relationships/hyperlink" Target="https://www.ahd.com/free_profile/150091/Parkview_Huntington_Hospital/Huntington/Indiana/" TargetMode="External"/><Relationship Id="rId20" Type="http://schemas.openxmlformats.org/officeDocument/2006/relationships/hyperlink" Target="https://www.ahd.com/free_profile/150061/Daviess_Community_Hospital/Washington/Indiana/" TargetMode="External"/><Relationship Id="rId41" Type="http://schemas.openxmlformats.org/officeDocument/2006/relationships/hyperlink" Target="https://www.ahd.com/free_profile/150086/Highpoint_Health/Lawrenceburg/Indiana/" TargetMode="External"/><Relationship Id="rId54" Type="http://schemas.openxmlformats.org/officeDocument/2006/relationships/hyperlink" Target="https://www.ahd.com/free_profile/150072/Logansport_Memorial_Hospital/Logansport/Indiana/" TargetMode="External"/><Relationship Id="rId62" Type="http://schemas.openxmlformats.org/officeDocument/2006/relationships/hyperlink" Target="https://www.ahd.com/free_profile/150097/MHP_Medical_Center/Shelbyville/Indiana/" TargetMode="External"/><Relationship Id="rId70" Type="http://schemas.openxmlformats.org/officeDocument/2006/relationships/hyperlink" Target="https://www.ahd.com/free_profile/150021/Parkview_Regional_Medical_Center/Fort_Wayne/Indiana/" TargetMode="External"/><Relationship Id="rId75" Type="http://schemas.openxmlformats.org/officeDocument/2006/relationships/hyperlink" Target="https://www.ahd.com/free_profile/150172/PMC_Regional_Hospital_/New_Albany/Indiana/" TargetMode="External"/><Relationship Id="rId83" Type="http://schemas.openxmlformats.org/officeDocument/2006/relationships/hyperlink" Target="https://www.ahd.com/free_profile/150012/Saint_Joseph_Health_Mishawaka_Medical_Center/Mishawaka/Indiana/" TargetMode="External"/><Relationship Id="rId88" Type="http://schemas.openxmlformats.org/officeDocument/2006/relationships/hyperlink" Target="https://www.ahd.com/free_profile/150136/Saint_Vincent_Women%27s_Hospital/Indianapolis/Indiana/" TargetMode="External"/><Relationship Id="rId91" Type="http://schemas.openxmlformats.org/officeDocument/2006/relationships/hyperlink" Target="https://www.ahd.com/free_profile/I42296/St_Vincent_Neighborhood_Hospital_Indianapolis_South/Indianapolis/Indiana/" TargetMode="External"/><Relationship Id="rId96" Type="http://schemas.openxmlformats.org/officeDocument/2006/relationships/hyperlink" Target="https://www.ahd.com/free_profile/150175/The_Heart_Hospital_/Newburgh/Indiana/" TargetMode="External"/><Relationship Id="rId1" Type="http://schemas.openxmlformats.org/officeDocument/2006/relationships/hyperlink" Target="https://www.ahd.com/free_profile/150157/Ascension_Saint_Vincent_Carmel/Carmel/Indiana/" TargetMode="External"/><Relationship Id="rId6" Type="http://schemas.openxmlformats.org/officeDocument/2006/relationships/hyperlink" Target="https://www.ahd.com/free_profile/150184/Ascension_St_Vincent_Hospital_Avon/Avon/Indiana/" TargetMode="External"/><Relationship Id="rId15" Type="http://schemas.openxmlformats.org/officeDocument/2006/relationships/hyperlink" Target="https://www.ahd.com/free_profile/150074/Community_Hospital_East/Indianapolis/Indiana/" TargetMode="External"/><Relationship Id="rId23" Type="http://schemas.openxmlformats.org/officeDocument/2006/relationships/hyperlink" Target="https://www.ahd.com/free_profile/150150/Dupont_Hospital/Fort_Wayne/Indiana/" TargetMode="External"/><Relationship Id="rId28" Type="http://schemas.openxmlformats.org/officeDocument/2006/relationships/hyperlink" Target="https://www.ahd.com/free_profile/150003/Franciscan__Health__Lafayette_Central/Lafayette/Indiana/" TargetMode="External"/><Relationship Id="rId36" Type="http://schemas.openxmlformats.org/officeDocument/2006/relationships/hyperlink" Target="https://www.ahd.com/free_profile/150090/Franciscan_Health_Dyer_Campus/Dyer/Indiana/" TargetMode="External"/><Relationship Id="rId49" Type="http://schemas.openxmlformats.org/officeDocument/2006/relationships/hyperlink" Target="https://www.ahd.com/free_profile/150158/IU_Health_West_Hospital_/Avon/Indiana/" TargetMode="External"/><Relationship Id="rId57" Type="http://schemas.openxmlformats.org/officeDocument/2006/relationships/hyperlink" Target="https://www.ahd.com/free_profile/150011/Marion_General_Hospital/Marion/Indiana/" TargetMode="External"/><Relationship Id="rId10" Type="http://schemas.openxmlformats.org/officeDocument/2006/relationships/hyperlink" Target="https://www.ahd.com/free_profile/150009/Clark_Memorial_Hospital/Jeffersonville/Indiana/" TargetMode="External"/><Relationship Id="rId31" Type="http://schemas.openxmlformats.org/officeDocument/2006/relationships/hyperlink" Target="https://www.ahd.com/free_profile/150015/Franciscan_Health__Michigan_City_/Michigan_City/Indiana/" TargetMode="External"/><Relationship Id="rId44" Type="http://schemas.openxmlformats.org/officeDocument/2006/relationships/hyperlink" Target="https://www.ahd.com/free_profile/150051/IU_Health_Bloomington_Hospital_/Bloomington/Indiana/" TargetMode="External"/><Relationship Id="rId52" Type="http://schemas.openxmlformats.org/officeDocument/2006/relationships/hyperlink" Target="https://www.ahd.com/free_profile/150133/Kosciusko_Community_Hospital/Warsaw/Indiana/" TargetMode="External"/><Relationship Id="rId60" Type="http://schemas.openxmlformats.org/officeDocument/2006/relationships/hyperlink" Target="https://www.ahd.com/free_profile/150002/Methodist_Hospitals_-_Northlake_Campus/Gary/Indiana/" TargetMode="External"/><Relationship Id="rId65" Type="http://schemas.openxmlformats.org/officeDocument/2006/relationships/hyperlink" Target="https://www.ahd.com/free_profile/150045/Parkview_DeKalb_Hospital/Auburn/Indiana/" TargetMode="External"/><Relationship Id="rId73" Type="http://schemas.openxmlformats.org/officeDocument/2006/relationships/hyperlink" Target="https://www.ahd.com/free_profile/150166/Pinnacle_Hospital/Crown_Point/Indiana/" TargetMode="External"/><Relationship Id="rId78" Type="http://schemas.openxmlformats.org/officeDocument/2006/relationships/hyperlink" Target="https://www.ahd.com/free_profile/150048/Reid_Hospital/Richmond/Indiana/" TargetMode="External"/><Relationship Id="rId81" Type="http://schemas.openxmlformats.org/officeDocument/2006/relationships/hyperlink" Target="https://www.ahd.com/free_profile/I42266/Riverview_Health_Westfield_Hospital_/Westfield/Indiana/" TargetMode="External"/><Relationship Id="rId86" Type="http://schemas.openxmlformats.org/officeDocument/2006/relationships/hyperlink" Target="https://www.ahd.com/free_profile/150088/Saint_Vincent_Anderson_/Anderson/Indiana/" TargetMode="External"/><Relationship Id="rId94" Type="http://schemas.openxmlformats.org/officeDocument/2006/relationships/hyperlink" Target="https://www.ahd.com/free_profile/150102/Starke_Hospital/Knox/Indiana/" TargetMode="External"/><Relationship Id="rId99" Type="http://schemas.openxmlformats.org/officeDocument/2006/relationships/hyperlink" Target="https://www.ahd.com/free_profile/150177/Unity_Medical_and_Surgical_Hospital_/Mishawaka/Indiana/" TargetMode="External"/><Relationship Id="rId101" Type="http://schemas.openxmlformats.org/officeDocument/2006/relationships/hyperlink" Target="https://www.ahd.com/free_profile/150104/Witham_Memorial_Hospital/Lebanon/Indiana/" TargetMode="External"/><Relationship Id="rId4" Type="http://schemas.openxmlformats.org/officeDocument/2006/relationships/hyperlink" Target="https://www.ahd.com/free_profile/150153/Ascension_St_Vincent_Carmel/Carmel/Indiana/" TargetMode="External"/><Relationship Id="rId9" Type="http://schemas.openxmlformats.org/officeDocument/2006/relationships/hyperlink" Target="https://www.ahd.com/free_profile/150075/Bluffton_Regional_Medical_Center/Bluffton/Indiana/" TargetMode="External"/><Relationship Id="rId13" Type="http://schemas.openxmlformats.org/officeDocument/2006/relationships/hyperlink" Target="https://www.ahd.com/free_profile/150125/Community_Hospital/Munster/Indiana/" TargetMode="External"/><Relationship Id="rId18" Type="http://schemas.openxmlformats.org/officeDocument/2006/relationships/hyperlink" Target="https://www.ahd.com/free_profile/150007/Community_Howard_Regional_Health/Kokomo/Indiana/" TargetMode="External"/><Relationship Id="rId39" Type="http://schemas.openxmlformats.org/officeDocument/2006/relationships/hyperlink" Target="https://www.ahd.com/free_profile/150037/Hancock_Regional_Hospital/Greenfield/Indiana/" TargetMode="External"/><Relationship Id="rId34" Type="http://schemas.openxmlformats.org/officeDocument/2006/relationships/hyperlink" Target="https://www.ahd.com/free_profile/150182/Franciscan_Health_Carmel/Carmel/Indiana/" TargetMode="External"/><Relationship Id="rId50" Type="http://schemas.openxmlformats.org/officeDocument/2006/relationships/hyperlink" Target="https://www.ahd.com/free_profile/150001/Johnson_Memorial_Hospital/Franklin/Indiana/" TargetMode="External"/><Relationship Id="rId55" Type="http://schemas.openxmlformats.org/officeDocument/2006/relationships/hyperlink" Target="https://www.ahd.com/free_profile/150168/Lutheran_Health_Network_The_Orthopedic_Hospital/Fort_Wayne/Indiana/" TargetMode="External"/><Relationship Id="rId76" Type="http://schemas.openxmlformats.org/officeDocument/2006/relationships/hyperlink" Target="https://www.ahd.com/free_profile/I41250/Portage_Hospital_/Portage/Indiana/" TargetMode="External"/><Relationship Id="rId97" Type="http://schemas.openxmlformats.org/officeDocument/2006/relationships/hyperlink" Target="https://www.ahd.com/free_profile/150149/The_Women%27s_Hospital/Newburgh/Indiana/" TargetMode="External"/><Relationship Id="rId7" Type="http://schemas.openxmlformats.org/officeDocument/2006/relationships/hyperlink" Target="https://www.ahd.com/free_profile/150010/Ascension_St_Vincent_Kokomo/Kokomo/Indiana/" TargetMode="External"/><Relationship Id="rId71" Type="http://schemas.openxmlformats.org/officeDocument/2006/relationships/hyperlink" Target="https://www.ahd.com/free_profile/150101/Parkview_Whitley_Hospital/Columbia_City/Indiana/" TargetMode="External"/><Relationship Id="rId92" Type="http://schemas.openxmlformats.org/officeDocument/2006/relationships/hyperlink" Target="https://www.ahd.com/free_profile/I42298/St_Vincent_Neighborhood_Hospital_Noblesville/Noblesville/Indiana/" TargetMode="External"/><Relationship Id="rId2" Type="http://schemas.openxmlformats.org/officeDocument/2006/relationships/hyperlink" Target="https://www.ahd.com/free_profile/150100/Ascension_Saint_Vincent_Evansville/Evansville/Indiana/" TargetMode="External"/><Relationship Id="rId29" Type="http://schemas.openxmlformats.org/officeDocument/2006/relationships/hyperlink" Target="https://www.ahd.com/free_profile/150109/Franciscan__Health_Lafayette_East/Lafayette/Indiana/" TargetMode="External"/><Relationship Id="rId24" Type="http://schemas.openxmlformats.org/officeDocument/2006/relationships/hyperlink" Target="https://www.ahd.com/free_profile/150018/Elkhart_General_Hospital/Elkhart/Indiana/" TargetMode="External"/><Relationship Id="rId40" Type="http://schemas.openxmlformats.org/officeDocument/2006/relationships/hyperlink" Target="https://www.ahd.com/free_profile/150030/Henry_Community_Health/New_Castle/Indiana/" TargetMode="External"/><Relationship Id="rId45" Type="http://schemas.openxmlformats.org/officeDocument/2006/relationships/hyperlink" Target="https://www.ahd.com/free_profile/150056/IU_Health_Methodist_University/Indianapolis/Indiana/" TargetMode="External"/><Relationship Id="rId66" Type="http://schemas.openxmlformats.org/officeDocument/2006/relationships/hyperlink" Target="https://www.ahd.com/free_profile/I42180/Parkview_Hospital_Randallia/Fort_Wayne/Indiana/" TargetMode="External"/><Relationship Id="rId87" Type="http://schemas.openxmlformats.org/officeDocument/2006/relationships/hyperlink" Target="https://www.ahd.com/free_profile/150181/Saint_Vincent_Fishers_Hospital/Fishers/Indiana/" TargetMode="External"/><Relationship Id="rId61" Type="http://schemas.openxmlformats.org/officeDocument/2006/relationships/hyperlink" Target="https://www.ahd.com/free_profile/150132/Methodist_Hospitals_-_Southlake_Campus/Merrillville/Indiana/" TargetMode="External"/><Relationship Id="rId82" Type="http://schemas.openxmlformats.org/officeDocument/2006/relationships/hyperlink" Target="https://www.ahd.com/free_profile/150008/Saint_Catherine_Hospital/East_Chicago/Indiana/" TargetMode="External"/><Relationship Id="rId19" Type="http://schemas.openxmlformats.org/officeDocument/2006/relationships/hyperlink" Target="https://www.ahd.com/free_profile/150005/Danville_Hospital_Main_Campus/Danville/Indiana/" TargetMode="External"/><Relationship Id="rId14" Type="http://schemas.openxmlformats.org/officeDocument/2006/relationships/hyperlink" Target="https://www.ahd.com/free_profile/150113/Community_Hospital_Anderson/Anderson/Indiana/" TargetMode="External"/><Relationship Id="rId30" Type="http://schemas.openxmlformats.org/officeDocument/2006/relationships/hyperlink" Target="https://www.ahd.com/free_profile/150004/Franciscan_Health__Hammond/Hammond/Indiana/" TargetMode="External"/><Relationship Id="rId35" Type="http://schemas.openxmlformats.org/officeDocument/2006/relationships/hyperlink" Target="https://www.ahd.com/free_profile/150126/Franciscan_Health_Crown_Point/Crown_Point/Indiana/" TargetMode="External"/><Relationship Id="rId56" Type="http://schemas.openxmlformats.org/officeDocument/2006/relationships/hyperlink" Target="https://www.ahd.com/free_profile/150017/Lutheran_Hospital_/Fort_Wayne/Indiana/" TargetMode="External"/><Relationship Id="rId77" Type="http://schemas.openxmlformats.org/officeDocument/2006/relationships/hyperlink" Target="https://www.ahd.com/free_profile/150035/Porter_Regional_Hospital_/Valparaiso/Indiana/" TargetMode="External"/><Relationship Id="rId100" Type="http://schemas.openxmlformats.org/officeDocument/2006/relationships/hyperlink" Target="https://www.ahd.com/free_profile/15002F/VA_Northern_Indiana_Health_Care_System_-_Fort_Wayne_Campus/Fort_Wayne/Indiana/" TargetMode="External"/><Relationship Id="rId8" Type="http://schemas.openxmlformats.org/officeDocument/2006/relationships/hyperlink" Target="https://www.ahd.com/free_profile/150044/Baptist_Health_Floyd/New_Albany/Indiana/" TargetMode="External"/><Relationship Id="rId51" Type="http://schemas.openxmlformats.org/officeDocument/2006/relationships/hyperlink" Target="https://www.ahd.com/free_profile/150069/King%27s_Daughters%27_Hospital_%26_Health_Services/Madison/Indiana/" TargetMode="External"/><Relationship Id="rId72" Type="http://schemas.openxmlformats.org/officeDocument/2006/relationships/hyperlink" Target="https://www.ahd.com/free_profile/I41733/Peyton_Manning_Children%27s_Hospital/Indianapolis/Indiana/" TargetMode="External"/><Relationship Id="rId93" Type="http://schemas.openxmlformats.org/officeDocument/2006/relationships/hyperlink" Target="https://www.ahd.com/free_profile/I42299/St_Vincent_Neighborhood_Hospital_Plainfield/Plainfield/Indiana/" TargetMode="External"/><Relationship Id="rId98" Type="http://schemas.openxmlformats.org/officeDocument/2006/relationships/hyperlink" Target="https://www.ahd.com/free_profile/150023/Union_Hospital/Terre_Haute/Indiana/" TargetMode="External"/><Relationship Id="rId3" Type="http://schemas.openxmlformats.org/officeDocument/2006/relationships/hyperlink" Target="https://www.ahd.com/free_profile/150084/Ascension_Saint_Vincent_Indianapolis_Hospital/Indianapolis/Indiana/" TargetMode="Externa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ahd.com/free_profile/170191/Great_Bend_Regional_Hospital/Great_Bend/Kansas/" TargetMode="External"/><Relationship Id="rId18" Type="http://schemas.openxmlformats.org/officeDocument/2006/relationships/hyperlink" Target="https://www.ahd.com/free_profile/170186/Kansas_Heart_Hospital/Wichita/Kansas/" TargetMode="External"/><Relationship Id="rId26" Type="http://schemas.openxmlformats.org/officeDocument/2006/relationships/hyperlink" Target="https://www.ahd.com/free_profile/170182/Menorah_Medical_Center/Overland_Park/Kansas/" TargetMode="External"/><Relationship Id="rId39" Type="http://schemas.openxmlformats.org/officeDocument/2006/relationships/hyperlink" Target="https://www.ahd.com/free_profile/170023/Saint_Catherine_Hospital/Garden_City/Kansas/" TargetMode="External"/><Relationship Id="rId21" Type="http://schemas.openxmlformats.org/officeDocument/2006/relationships/hyperlink" Target="https://www.ahd.com/free_profile/170183/Kansas_Surgery_%26_Recovery_Center/Wichita/Kansas/" TargetMode="External"/><Relationship Id="rId34" Type="http://schemas.openxmlformats.org/officeDocument/2006/relationships/hyperlink" Target="https://www.ahd.com/free_profile/170027/Pratt_Regional_Medical_Center/Pratt/Kansas/" TargetMode="External"/><Relationship Id="rId42" Type="http://schemas.openxmlformats.org/officeDocument/2006/relationships/hyperlink" Target="https://www.ahd.com/free_profile/170185/Saint_Luke%27s_South_Hospital/Overland_Park/Kansas/" TargetMode="External"/><Relationship Id="rId47" Type="http://schemas.openxmlformats.org/officeDocument/2006/relationships/hyperlink" Target="https://www.ahd.com/free_profile/170086/Stormont_Vail_Hospital_/Topeka/Kansas/" TargetMode="External"/><Relationship Id="rId50" Type="http://schemas.openxmlformats.org/officeDocument/2006/relationships/hyperlink" Target="https://www.ahd.com/free_profile/I42146/The_University_of_Kansas_Health_System-_Indian_Creek_Campus/Overland_Park/Kansas/" TargetMode="External"/><Relationship Id="rId55" Type="http://schemas.openxmlformats.org/officeDocument/2006/relationships/hyperlink" Target="https://www.ahd.com/free_profile/170202/Wesley_Woodlawn_Hospital_%26_ER/Wichita/Kansas/" TargetMode="External"/><Relationship Id="rId7" Type="http://schemas.openxmlformats.org/officeDocument/2006/relationships/hyperlink" Target="https://www.ahd.com/free_profile/I41235/Ascension_Via_Christi_St_Joseph/Wichita/Kansas/" TargetMode="External"/><Relationship Id="rId2" Type="http://schemas.openxmlformats.org/officeDocument/2006/relationships/hyperlink" Target="https://www.ahd.com/free_profile/170014/AdventHealth_Ottawa/Ottawa/Kansas/" TargetMode="External"/><Relationship Id="rId16" Type="http://schemas.openxmlformats.org/officeDocument/2006/relationships/hyperlink" Target="https://www.ahd.com/free_profile/17002F/Irwin_Army_Community_Hospital/Fort_Riley/Kansas/" TargetMode="External"/><Relationship Id="rId29" Type="http://schemas.openxmlformats.org/officeDocument/2006/relationships/hyperlink" Target="https://www.ahd.com/free_profile/170199/MISH_Hospital_and_Clinics/Lenexa/Kansas/" TargetMode="External"/><Relationship Id="rId11" Type="http://schemas.openxmlformats.org/officeDocument/2006/relationships/hyperlink" Target="https://www.ahd.com/free_profile/170194/Doctors_Hospital/Leawood/Kansas/" TargetMode="External"/><Relationship Id="rId24" Type="http://schemas.openxmlformats.org/officeDocument/2006/relationships/hyperlink" Target="https://www.ahd.com/free_profile/170190/Manhattan_Surgical_Center/Manhattan/Kansas/" TargetMode="External"/><Relationship Id="rId32" Type="http://schemas.openxmlformats.org/officeDocument/2006/relationships/hyperlink" Target="https://www.ahd.com/free_profile/170049/Olathe_Medical_Center/Olathe/Kansas/" TargetMode="External"/><Relationship Id="rId37" Type="http://schemas.openxmlformats.org/officeDocument/2006/relationships/hyperlink" Target="https://www.ahd.com/free_profile/17008F/Robert_J_Dole_VA_Medical_Center/Wichita/Kansas/" TargetMode="External"/><Relationship Id="rId40" Type="http://schemas.openxmlformats.org/officeDocument/2006/relationships/hyperlink" Target="https://www.ahd.com/free_profile/170009/Saint_John_Hospital/Leavenworth/Kansas/" TargetMode="External"/><Relationship Id="rId45" Type="http://schemas.openxmlformats.org/officeDocument/2006/relationships/hyperlink" Target="https://www.ahd.com/free_profile/170150/South_Central_Kansas_Regional_Medical_Center/Arkansas_City/Kansas/" TargetMode="External"/><Relationship Id="rId53" Type="http://schemas.openxmlformats.org/officeDocument/2006/relationships/hyperlink" Target="https://www.ahd.com/free_profile/I41040/VA_Eastern_Kansas_Health_Care_System_-_Dwight_D_Eisenhower_VA_Medical_Center/Leavenworth/Kansas/" TargetMode="External"/><Relationship Id="rId5" Type="http://schemas.openxmlformats.org/officeDocument/2006/relationships/hyperlink" Target="https://www.ahd.com/free_profile/170006/Ascension_Via_Christi_Hospital_in_Pittsburg/Pittsburg/Kansas/" TargetMode="External"/><Relationship Id="rId10" Type="http://schemas.openxmlformats.org/officeDocument/2006/relationships/hyperlink" Target="https://www.ahd.com/free_profile/170145/Coffeyville_Regional_Medical_Center/Coffeyville/Kansas/" TargetMode="External"/><Relationship Id="rId19" Type="http://schemas.openxmlformats.org/officeDocument/2006/relationships/hyperlink" Target="https://www.ahd.com/free_profile/170197/Kansas_Medical_Center/Andover/Kansas/" TargetMode="External"/><Relationship Id="rId31" Type="http://schemas.openxmlformats.org/officeDocument/2006/relationships/hyperlink" Target="https://www.ahd.com/free_profile/170103/Newton_Medical_Center/Newton/Kansas/" TargetMode="External"/><Relationship Id="rId44" Type="http://schemas.openxmlformats.org/officeDocument/2006/relationships/hyperlink" Target="https://www.ahd.com/free_profile/170187/Salina_Surgical_Hospital/Salina/Kansas/" TargetMode="External"/><Relationship Id="rId52" Type="http://schemas.openxmlformats.org/officeDocument/2006/relationships/hyperlink" Target="https://www.ahd.com/free_profile/17005F/VA_Eastern_Kansas_Health_Care_System_-_Colmery-O%27Neil_VA_Medical_Center/Topeka/Kansas/" TargetMode="External"/><Relationship Id="rId4" Type="http://schemas.openxmlformats.org/officeDocument/2006/relationships/hyperlink" Target="https://www.ahd.com/free_profile/170142/Ascension_Via_Christi_Hospital_in_Manhattan/Manhattan/Kansas/" TargetMode="External"/><Relationship Id="rId9" Type="http://schemas.openxmlformats.org/officeDocument/2006/relationships/hyperlink" Target="https://www.ahd.com/free_profile/170110/Bob_Wilson_Memorial_Grant_County_Hospital/Ulysses/Kansas/" TargetMode="External"/><Relationship Id="rId14" Type="http://schemas.openxmlformats.org/officeDocument/2006/relationships/hyperlink" Target="https://www.ahd.com/free_profile/170013/Hays_Medical_Center/Hays/Kansas/" TargetMode="External"/><Relationship Id="rId22" Type="http://schemas.openxmlformats.org/officeDocument/2006/relationships/hyperlink" Target="https://www.ahd.com/free_profile/170120/Labette_Health_/Parsons/Kansas/" TargetMode="External"/><Relationship Id="rId27" Type="http://schemas.openxmlformats.org/officeDocument/2006/relationships/hyperlink" Target="https://www.ahd.com/free_profile/170075/Mercy_Hospital/Moundridge/Kansas/" TargetMode="External"/><Relationship Id="rId30" Type="http://schemas.openxmlformats.org/officeDocument/2006/relationships/hyperlink" Target="https://www.ahd.com/free_profile/170166/Morton_County_Hospital/Elkhart/Kansas/" TargetMode="External"/><Relationship Id="rId35" Type="http://schemas.openxmlformats.org/officeDocument/2006/relationships/hyperlink" Target="https://www.ahd.com/free_profile/170203/Premier_Surgical_Institute/Galena/Kansas/" TargetMode="External"/><Relationship Id="rId43" Type="http://schemas.openxmlformats.org/officeDocument/2006/relationships/hyperlink" Target="https://www.ahd.com/free_profile/170012/Salina_Regional_Health_Center/Salina/Kansas/" TargetMode="External"/><Relationship Id="rId48" Type="http://schemas.openxmlformats.org/officeDocument/2006/relationships/hyperlink" Target="https://www.ahd.com/free_profile/170198/Summit_Surgical/Hutchinson/Kansas/" TargetMode="External"/><Relationship Id="rId56" Type="http://schemas.openxmlformats.org/officeDocument/2006/relationships/hyperlink" Target="https://www.ahd.com/free_profile/170175/Western_Plains_Medical_Complex/Dodge_City/Kansas/" TargetMode="External"/><Relationship Id="rId8" Type="http://schemas.openxmlformats.org/officeDocument/2006/relationships/hyperlink" Target="https://www.ahd.com/free_profile/170200/Ascension_Via_Christi_St_Teresa/Wichita/Kansas/" TargetMode="External"/><Relationship Id="rId51" Type="http://schemas.openxmlformats.org/officeDocument/2006/relationships/hyperlink" Target="https://www.ahd.com/free_profile/170040/The_University_of_Kansas_Hospital_/Kansas_City/Kansas/" TargetMode="External"/><Relationship Id="rId3" Type="http://schemas.openxmlformats.org/officeDocument/2006/relationships/hyperlink" Target="https://www.ahd.com/free_profile/170104/AdventHealth_Shawnee_Mission/Shawnee_Mission/Kansas/" TargetMode="External"/><Relationship Id="rId12" Type="http://schemas.openxmlformats.org/officeDocument/2006/relationships/hyperlink" Target="https://www.ahd.com/free_profile/170074/Geary_Community_Hospital/Junction_City/Kansas/" TargetMode="External"/><Relationship Id="rId17" Type="http://schemas.openxmlformats.org/officeDocument/2006/relationships/hyperlink" Target="https://www.ahd.com/free_profile/170188/Kansas_City_Orthopaedic_Institute/Leawood/Kansas/" TargetMode="External"/><Relationship Id="rId25" Type="http://schemas.openxmlformats.org/officeDocument/2006/relationships/hyperlink" Target="https://www.ahd.com/free_profile/170105/McPherson_Hospital/McPherson/Kansas/" TargetMode="External"/><Relationship Id="rId33" Type="http://schemas.openxmlformats.org/officeDocument/2006/relationships/hyperlink" Target="https://www.ahd.com/free_profile/170176/Overland_Park_Regional_Medical_Center/Overland_Park/Kansas/" TargetMode="External"/><Relationship Id="rId38" Type="http://schemas.openxmlformats.org/officeDocument/2006/relationships/hyperlink" Target="https://www.ahd.com/free_profile/170204/Rock_Regional_Hospital/Derby/Kansas/" TargetMode="External"/><Relationship Id="rId46" Type="http://schemas.openxmlformats.org/officeDocument/2006/relationships/hyperlink" Target="https://www.ahd.com/free_profile/170068/Southwest_Medical_Center/Liberal/Kansas/" TargetMode="External"/><Relationship Id="rId20" Type="http://schemas.openxmlformats.org/officeDocument/2006/relationships/hyperlink" Target="https://www.ahd.com/free_profile/170196/Kansas_Spine_%26_Specialty_Hospital_/Wichita/Kansas/" TargetMode="External"/><Relationship Id="rId41" Type="http://schemas.openxmlformats.org/officeDocument/2006/relationships/hyperlink" Target="https://www.ahd.com/free_profile/170133/Saint_Luke%27s_Cushing_Memorial_Hospital/Leavenworth/Kansas/" TargetMode="External"/><Relationship Id="rId54" Type="http://schemas.openxmlformats.org/officeDocument/2006/relationships/hyperlink" Target="https://www.ahd.com/free_profile/170123/Wesley_Medical_Center/Wichita/Kansas/" TargetMode="External"/><Relationship Id="rId1" Type="http://schemas.openxmlformats.org/officeDocument/2006/relationships/hyperlink" Target="https://www.ahd.com/free_profile/170016/_University_of_Kansas_Health_System_Saint_Francis_Campus/Topeka/Kansas/" TargetMode="External"/><Relationship Id="rId6" Type="http://schemas.openxmlformats.org/officeDocument/2006/relationships/hyperlink" Target="https://www.ahd.com/free_profile/170122/Ascension_Via_Christi_St_Francis/Wichita/Kansas/" TargetMode="External"/><Relationship Id="rId15" Type="http://schemas.openxmlformats.org/officeDocument/2006/relationships/hyperlink" Target="https://www.ahd.com/free_profile/170020/Hutchinson_Regional_Medical_Center/Hutchinson/Kansas/" TargetMode="External"/><Relationship Id="rId23" Type="http://schemas.openxmlformats.org/officeDocument/2006/relationships/hyperlink" Target="https://www.ahd.com/free_profile/170137/Lawrence_Memorial_Hospital/Lawrence/Kansas/" TargetMode="External"/><Relationship Id="rId28" Type="http://schemas.openxmlformats.org/officeDocument/2006/relationships/hyperlink" Target="https://www.ahd.com/free_profile/170109/Miami_County_Medical_Center/Paola/Kansas/" TargetMode="External"/><Relationship Id="rId36" Type="http://schemas.openxmlformats.org/officeDocument/2006/relationships/hyperlink" Target="https://www.ahd.com/free_profile/170146/Providence_Medical_Center/Kansas_City/Kansas/" TargetMode="External"/><Relationship Id="rId49" Type="http://schemas.openxmlformats.org/officeDocument/2006/relationships/hyperlink" Target="https://www.ahd.com/free_profile/170017/Susan_B_Allen_Memorial_Hospital/El_Dorado/Kansas/" TargetMode="External"/></Relationships>
</file>

<file path=xl/worksheets/_rels/sheet19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hd.com/free_profile/180029/Hazard_ARH_Regional_Medical_Center/Hazard/Kentucky/" TargetMode="External"/><Relationship Id="rId21" Type="http://schemas.openxmlformats.org/officeDocument/2006/relationships/hyperlink" Target="https://www.ahd.com/free_profile/180127/Frankfort_Regional_Medical_Center/Frankfort/Kentucky/" TargetMode="External"/><Relationship Id="rId42" Type="http://schemas.openxmlformats.org/officeDocument/2006/relationships/hyperlink" Target="https://www.ahd.com/free_profile/I40992/Norton_Audubon_Hospital/Louisville/Kentucky/" TargetMode="External"/><Relationship Id="rId47" Type="http://schemas.openxmlformats.org/officeDocument/2006/relationships/hyperlink" Target="https://www.ahd.com/free_profile/180038/Owensboro_Health_Regional_Hospital/Owensboro/Kentucky/" TargetMode="External"/><Relationship Id="rId63" Type="http://schemas.openxmlformats.org/officeDocument/2006/relationships/hyperlink" Target="https://www.ahd.com/free_profile/180128/Three_Rivers_Medical_Center/Louisa/Kentucky/" TargetMode="External"/><Relationship Id="rId68" Type="http://schemas.openxmlformats.org/officeDocument/2006/relationships/hyperlink" Target="https://www.ahd.com/free_profile/180067/University_of_Kentucky_Albert_B_Chandler_Hospital/Lexington/Kentucky/" TargetMode="External"/><Relationship Id="rId2" Type="http://schemas.openxmlformats.org/officeDocument/2006/relationships/hyperlink" Target="https://www.ahd.com/free_profile/180080/Baptist_Health_Corbin/Corbin/Kentucky/" TargetMode="External"/><Relationship Id="rId16" Type="http://schemas.openxmlformats.org/officeDocument/2006/relationships/hyperlink" Target="https://www.ahd.com/free_profile/180095/Crittenden_Health_System/Marion/Kentucky/" TargetMode="External"/><Relationship Id="rId29" Type="http://schemas.openxmlformats.org/officeDocument/2006/relationships/hyperlink" Target="https://www.ahd.com/free_profile/180051/Jennie_Stuart_Medical_Center/Hopkinsville/Kentucky/" TargetMode="External"/><Relationship Id="rId11" Type="http://schemas.openxmlformats.org/officeDocument/2006/relationships/hyperlink" Target="https://www.ahd.com/free_profile/180143/CHI_Saint_Joseph_Health_East/Lexington/Kentucky/" TargetMode="External"/><Relationship Id="rId24" Type="http://schemas.openxmlformats.org/officeDocument/2006/relationships/hyperlink" Target="https://www.ahd.com/free_profile/180050/Harlan_ARH_Hospital/Harlan/Kentucky/" TargetMode="External"/><Relationship Id="rId32" Type="http://schemas.openxmlformats.org/officeDocument/2006/relationships/hyperlink" Target="https://www.ahd.com/free_profile/180132/Lake_Cumberland_Regional_Hospital/Somerset/Kentucky/" TargetMode="External"/><Relationship Id="rId37" Type="http://schemas.openxmlformats.org/officeDocument/2006/relationships/hyperlink" Target="https://www.ahd.com/free_profile/180102/Mercy_Health-Lourdes_Hospital/Paducah/Kentucky/" TargetMode="External"/><Relationship Id="rId40" Type="http://schemas.openxmlformats.org/officeDocument/2006/relationships/hyperlink" Target="https://www.ahd.com/free_profile/180105/Monroe_County_Medical_Center/Tompkinsville/Kentucky/" TargetMode="External"/><Relationship Id="rId45" Type="http://schemas.openxmlformats.org/officeDocument/2006/relationships/hyperlink" Target="https://www.ahd.com/free_profile/I40989/Norton_Women%27s_%26_Children%27s_Hospital/Louisville/Kentucky/" TargetMode="External"/><Relationship Id="rId53" Type="http://schemas.openxmlformats.org/officeDocument/2006/relationships/hyperlink" Target="https://www.ahd.com/free_profile/I41186/Saint_Elizabeth_Covington/Covington/Kentucky/" TargetMode="External"/><Relationship Id="rId58" Type="http://schemas.openxmlformats.org/officeDocument/2006/relationships/hyperlink" Target="https://www.ahd.com/free_profile/180017/T_J_Samson_Community_Hospital/Glasgow/Kentucky/" TargetMode="External"/><Relationship Id="rId66" Type="http://schemas.openxmlformats.org/officeDocument/2006/relationships/hyperlink" Target="https://www.ahd.com/free_profile/180070/Twin_Lakes_Regional_Medical_Center/Leitchfield/Kentucky/" TargetMode="External"/><Relationship Id="rId74" Type="http://schemas.openxmlformats.org/officeDocument/2006/relationships/hyperlink" Target="https://www.ahd.com/free_profile/I42086/Women%27s_Hospital_Saint_Joseph_East/Lexington/Kentucky/" TargetMode="External"/><Relationship Id="rId5" Type="http://schemas.openxmlformats.org/officeDocument/2006/relationships/hyperlink" Target="https://www.ahd.com/free_profile/180130/Baptist_Health_Louisville/Louisville/Kentucky/" TargetMode="External"/><Relationship Id="rId61" Type="http://schemas.openxmlformats.org/officeDocument/2006/relationships/hyperlink" Target="https://www.ahd.com/free_profile/180106/The_Medical_Center_at_Albany/Albany/Kentucky/" TargetMode="External"/><Relationship Id="rId19" Type="http://schemas.openxmlformats.org/officeDocument/2006/relationships/hyperlink" Target="https://www.ahd.com/free_profile/180025/Flaget_Memorial_Hospital/Bardstown/Kentucky/" TargetMode="External"/><Relationship Id="rId14" Type="http://schemas.openxmlformats.org/officeDocument/2006/relationships/hyperlink" Target="https://www.ahd.com/free_profile/180064/CHI_Saint_Joseph_Health_Mount_Sterling/Mount_Sterling/Kentucky/" TargetMode="External"/><Relationship Id="rId22" Type="http://schemas.openxmlformats.org/officeDocument/2006/relationships/hyperlink" Target="https://www.ahd.com/free_profile/180101/Georgetown_Community_Hospital/Georgetown/Kentucky/" TargetMode="External"/><Relationship Id="rId27" Type="http://schemas.openxmlformats.org/officeDocument/2006/relationships/hyperlink" Target="https://www.ahd.com/free_profile/180005/Highlands_ARH_Regional_Medical_Center/Prestonsburg/Kentucky/" TargetMode="External"/><Relationship Id="rId30" Type="http://schemas.openxmlformats.org/officeDocument/2006/relationships/hyperlink" Target="https://www.ahd.com/free_profile/180139/Kentucky_River_Medical_Center/Jackson/Kentucky/" TargetMode="External"/><Relationship Id="rId35" Type="http://schemas.openxmlformats.org/officeDocument/2006/relationships/hyperlink" Target="https://www.ahd.com/free_profile/18006F/Louisville_VA_Medical_Center/Louisville/Kentucky/" TargetMode="External"/><Relationship Id="rId43" Type="http://schemas.openxmlformats.org/officeDocument/2006/relationships/hyperlink" Target="https://www.ahd.com/free_profile/I41651/Norton_Brownsboro_Hospital/Louisville/Kentucky/" TargetMode="External"/><Relationship Id="rId48" Type="http://schemas.openxmlformats.org/officeDocument/2006/relationships/hyperlink" Target="https://www.ahd.com/free_profile/180078/Paul_B_Hall_Regional_Medical_Center/Paintsville/Kentucky/" TargetMode="External"/><Relationship Id="rId56" Type="http://schemas.openxmlformats.org/officeDocument/2006/relationships/hyperlink" Target="https://www.ahd.com/free_profile/180001/Saint_Elizabeth_Fort_Thomas/Fort_Thomas/Kentucky/" TargetMode="External"/><Relationship Id="rId64" Type="http://schemas.openxmlformats.org/officeDocument/2006/relationships/hyperlink" Target="https://www.ahd.com/free_profile/180124/TriStar_Greenview_Regional_Hospital/Bowling_Green/Kentucky/" TargetMode="External"/><Relationship Id="rId69" Type="http://schemas.openxmlformats.org/officeDocument/2006/relationships/hyperlink" Target="https://www.ahd.com/free_profile/180141/University_of_Louisville_Hospital/Louisville/Kentucky/" TargetMode="External"/><Relationship Id="rId8" Type="http://schemas.openxmlformats.org/officeDocument/2006/relationships/hyperlink" Target="https://www.ahd.com/free_profile/180049/Baptist_Health_Richmond/Richmond/Kentucky/" TargetMode="External"/><Relationship Id="rId51" Type="http://schemas.openxmlformats.org/officeDocument/2006/relationships/hyperlink" Target="https://www.ahd.com/free_profile/180115/Rockcastle_Regional_Hospital_/Mount_Vernon/Kentucky/" TargetMode="External"/><Relationship Id="rId72" Type="http://schemas.openxmlformats.org/officeDocument/2006/relationships/hyperlink" Target="https://www.ahd.com/free_profile/180037/UofL_Health-Mary_%26_Elizabeth_Hospital/Louisville/Kentucky/" TargetMode="External"/><Relationship Id="rId3" Type="http://schemas.openxmlformats.org/officeDocument/2006/relationships/hyperlink" Target="https://www.ahd.com/free_profile/180138/Baptist_Health_LaGrange/La_Grange/Kentucky/" TargetMode="External"/><Relationship Id="rId12" Type="http://schemas.openxmlformats.org/officeDocument/2006/relationships/hyperlink" Target="https://www.ahd.com/free_profile/180010/CHI_Saint_Joseph_Health_Hospital/Lexington/Kentucky/" TargetMode="External"/><Relationship Id="rId17" Type="http://schemas.openxmlformats.org/officeDocument/2006/relationships/hyperlink" Target="https://www.ahd.com/free_profile/180048/Ephraim_McDowell_Regional_Medical_Center/Danville/Kentucky/" TargetMode="External"/><Relationship Id="rId25" Type="http://schemas.openxmlformats.org/officeDocument/2006/relationships/hyperlink" Target="https://www.ahd.com/free_profile/180079/Harrison_Memorial_Hospital/Cynthiana/Kentucky/" TargetMode="External"/><Relationship Id="rId33" Type="http://schemas.openxmlformats.org/officeDocument/2006/relationships/hyperlink" Target="https://www.ahd.com/free_profile/18007F/Lexington_VA_Medical_Center-Cooper_Division/Lexington/Kentucky/" TargetMode="External"/><Relationship Id="rId38" Type="http://schemas.openxmlformats.org/officeDocument/2006/relationships/hyperlink" Target="https://www.ahd.com/free_profile/180056/Methodist_Health_Henderson_County_Campus/Henderson/Kentucky/" TargetMode="External"/><Relationship Id="rId46" Type="http://schemas.openxmlformats.org/officeDocument/2006/relationships/hyperlink" Target="https://www.ahd.com/free_profile/180004/Owensboro_Health_Muhlenberg_Community_Hospital/Greenville/Kentucky/" TargetMode="External"/><Relationship Id="rId59" Type="http://schemas.openxmlformats.org/officeDocument/2006/relationships/hyperlink" Target="https://www.ahd.com/free_profile/180149/TJ_Health_Columbia/Columbia/Kentucky/" TargetMode="External"/><Relationship Id="rId67" Type="http://schemas.openxmlformats.org/officeDocument/2006/relationships/hyperlink" Target="https://www.ahd.com/free_profile/180151/UK_Good_Samaritan_Hospital/Lexington/Kentucky/" TargetMode="External"/><Relationship Id="rId20" Type="http://schemas.openxmlformats.org/officeDocument/2006/relationships/hyperlink" Target="https://www.ahd.com/free_profile/180053/Fleming_County_Hospital/Flemingsburg/Kentucky/" TargetMode="External"/><Relationship Id="rId41" Type="http://schemas.openxmlformats.org/officeDocument/2006/relationships/hyperlink" Target="https://www.ahd.com/free_profile/180027/Murray-Calloway_County_Hospital/Murray/Kentucky/" TargetMode="External"/><Relationship Id="rId54" Type="http://schemas.openxmlformats.org/officeDocument/2006/relationships/hyperlink" Target="https://www.ahd.com/free_profile/180035/Saint_Elizabeth_Edgewood/Edgewood/Kentucky/" TargetMode="External"/><Relationship Id="rId62" Type="http://schemas.openxmlformats.org/officeDocument/2006/relationships/hyperlink" Target="https://www.ahd.com/free_profile/180013/The_Medical_Center_at_Bowling_Green/Bowling_Green/Kentucky/" TargetMode="External"/><Relationship Id="rId70" Type="http://schemas.openxmlformats.org/officeDocument/2006/relationships/hyperlink" Target="https://www.ahd.com/free_profile/180040/UofL_Health_-_Jewish_Hospital/Louisville/Kentucky/" TargetMode="External"/><Relationship Id="rId1" Type="http://schemas.openxmlformats.org/officeDocument/2006/relationships/hyperlink" Target="https://www.ahd.com/free_profile/180043/AdventHealth_Manchester/Manchester/Kentucky/" TargetMode="External"/><Relationship Id="rId6" Type="http://schemas.openxmlformats.org/officeDocument/2006/relationships/hyperlink" Target="https://www.ahd.com/free_profile/180093/Baptist_Health_Madisonville/Madisonville/Kentucky/" TargetMode="External"/><Relationship Id="rId15" Type="http://schemas.openxmlformats.org/officeDocument/2006/relationships/hyperlink" Target="https://www.ahd.com/free_profile/180092/Clark_Regional_Medical_Center/Winchester/Kentucky/" TargetMode="External"/><Relationship Id="rId23" Type="http://schemas.openxmlformats.org/officeDocument/2006/relationships/hyperlink" Target="https://www.ahd.com/free_profile/180012/Hardin_Memorial_Hospital/Elizabethtown/Kentucky/" TargetMode="External"/><Relationship Id="rId28" Type="http://schemas.openxmlformats.org/officeDocument/2006/relationships/hyperlink" Target="https://www.ahd.com/free_profile/180116/Jackson_Purchase_Medical_Center/Mayfield/Kentucky/" TargetMode="External"/><Relationship Id="rId36" Type="http://schemas.openxmlformats.org/officeDocument/2006/relationships/hyperlink" Target="https://www.ahd.com/free_profile/180019/Meadowview_Regional_Medical_Center/Maysville/Kentucky/" TargetMode="External"/><Relationship Id="rId49" Type="http://schemas.openxmlformats.org/officeDocument/2006/relationships/hyperlink" Target="https://www.ahd.com/free_profile/180044/Pikeville_Medical_Center/Pikeville/Kentucky/" TargetMode="External"/><Relationship Id="rId57" Type="http://schemas.openxmlformats.org/officeDocument/2006/relationships/hyperlink" Target="https://www.ahd.com/free_profile/180024/Spring_View_Hospital/Lebanon/Kentucky/" TargetMode="External"/><Relationship Id="rId10" Type="http://schemas.openxmlformats.org/officeDocument/2006/relationships/hyperlink" Target="https://www.ahd.com/free_profile/180046/Bourbon_Community_Hospital/Paris/Kentucky/" TargetMode="External"/><Relationship Id="rId31" Type="http://schemas.openxmlformats.org/officeDocument/2006/relationships/hyperlink" Target="https://www.ahd.com/free_profile/180009/King%27s_Daughters_Medical_Center/Ashland/Kentucky/" TargetMode="External"/><Relationship Id="rId44" Type="http://schemas.openxmlformats.org/officeDocument/2006/relationships/hyperlink" Target="https://www.ahd.com/free_profile/180088/Norton_Hospital/Louisville/Kentucky/" TargetMode="External"/><Relationship Id="rId52" Type="http://schemas.openxmlformats.org/officeDocument/2006/relationships/hyperlink" Target="https://www.ahd.com/free_profile/180018/Saint_Claire_Regional_Medical_Center/Morehead/Kentucky/" TargetMode="External"/><Relationship Id="rId60" Type="http://schemas.openxmlformats.org/officeDocument/2006/relationships/hyperlink" Target="https://www.ahd.com/free_profile/180087/Taylor_Regional_Hospital/Campbellsville/Kentucky/" TargetMode="External"/><Relationship Id="rId65" Type="http://schemas.openxmlformats.org/officeDocument/2006/relationships/hyperlink" Target="https://www.ahd.com/free_profile/180069/Tug_Valley_ARH_Regional_Medical_Center/South_Williamson/Kentucky/" TargetMode="External"/><Relationship Id="rId73" Type="http://schemas.openxmlformats.org/officeDocument/2006/relationships/hyperlink" Target="https://www.ahd.com/free_profile/180002/Whitesburg_ARH_Hospital/Whitesburg/Kentucky/" TargetMode="External"/><Relationship Id="rId4" Type="http://schemas.openxmlformats.org/officeDocument/2006/relationships/hyperlink" Target="https://www.ahd.com/free_profile/180103/Baptist_Health_Lexington/Lexington/Kentucky/" TargetMode="External"/><Relationship Id="rId9" Type="http://schemas.openxmlformats.org/officeDocument/2006/relationships/hyperlink" Target="https://www.ahd.com/free_profile/18003F/Blanchfield_Army_Community_Hospital/Fort_Campbell/Kentucky/" TargetMode="External"/><Relationship Id="rId13" Type="http://schemas.openxmlformats.org/officeDocument/2006/relationships/hyperlink" Target="https://www.ahd.com/free_profile/180011/CHI_Saint_Joseph_Health_London/London/Kentucky/" TargetMode="External"/><Relationship Id="rId18" Type="http://schemas.openxmlformats.org/officeDocument/2006/relationships/hyperlink" Target="https://www.ahd.com/free_profile/I08153/Federal_Medical_Center_Lexington/Lexington/Kentucky/" TargetMode="External"/><Relationship Id="rId39" Type="http://schemas.openxmlformats.org/officeDocument/2006/relationships/hyperlink" Target="https://www.ahd.com/free_profile/180020/Middlesboro_ARH_Hospital/Middlesboro/Kentucky/" TargetMode="External"/><Relationship Id="rId34" Type="http://schemas.openxmlformats.org/officeDocument/2006/relationships/hyperlink" Target="https://www.ahd.com/free_profile/180066/Logan_Memorial_Hospital/Russellville/Kentucky/" TargetMode="External"/><Relationship Id="rId50" Type="http://schemas.openxmlformats.org/officeDocument/2006/relationships/hyperlink" Target="https://www.ahd.com/free_profile/180021/Pineville_Community_Hospital_/Pineville/Kentucky/" TargetMode="External"/><Relationship Id="rId55" Type="http://schemas.openxmlformats.org/officeDocument/2006/relationships/hyperlink" Target="https://www.ahd.com/free_profile/180045/Saint_Elizabeth_Florence/Florence/Kentucky/" TargetMode="External"/><Relationship Id="rId7" Type="http://schemas.openxmlformats.org/officeDocument/2006/relationships/hyperlink" Target="https://www.ahd.com/free_profile/180104/Baptist_Health_Paducah/Paducah/Kentucky/" TargetMode="External"/><Relationship Id="rId71" Type="http://schemas.openxmlformats.org/officeDocument/2006/relationships/hyperlink" Target="https://www.ahd.com/free_profile/180016/UofL_Health-_Shelbyville_Hospital/Shelbyville/Kentucky/" TargetMode="External"/></Relationships>
</file>

<file path=xl/worksheets/_rels/sheet20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hd.com/free_profile/190140/Franklin_Medical_Center/Winnsboro/Louisiana/" TargetMode="External"/><Relationship Id="rId21" Type="http://schemas.openxmlformats.org/officeDocument/2006/relationships/hyperlink" Target="https://www.ahd.com/free_profile/190303/Cypress_Pointe_Surgical_Hospital/Hammond/Louisiana/" TargetMode="External"/><Relationship Id="rId42" Type="http://schemas.openxmlformats.org/officeDocument/2006/relationships/hyperlink" Target="https://www.ahd.com/free_profile/190144/Minden_Medical_Center/Minden/Louisiana/" TargetMode="External"/><Relationship Id="rId47" Type="http://schemas.openxmlformats.org/officeDocument/2006/relationships/hyperlink" Target="https://www.ahd.com/free_profile/190015/North_Oaks_Medical_Center/Hammond/Louisiana/" TargetMode="External"/><Relationship Id="rId63" Type="http://schemas.openxmlformats.org/officeDocument/2006/relationships/hyperlink" Target="https://www.ahd.com/free_profile/190102/Our_Lady_of_Lourdes_Regional_Medical_Center/Lafayette/Louisiana/" TargetMode="External"/><Relationship Id="rId68" Type="http://schemas.openxmlformats.org/officeDocument/2006/relationships/hyperlink" Target="https://www.ahd.com/free_profile/190064/Our_Lady_of_the_Lake_Regional_Medical_Center/Baton_Rouge/Louisiana/" TargetMode="External"/><Relationship Id="rId84" Type="http://schemas.openxmlformats.org/officeDocument/2006/relationships/hyperlink" Target="https://www.ahd.com/free_profile/190270/Southern_Surgical_Hospital/Slidell/Louisiana/" TargetMode="External"/><Relationship Id="rId89" Type="http://schemas.openxmlformats.org/officeDocument/2006/relationships/hyperlink" Target="https://www.ahd.com/free_profile/190256/Sterling_Surgical_Hospital/Slidell/Louisiana/" TargetMode="External"/><Relationship Id="rId16" Type="http://schemas.openxmlformats.org/officeDocument/2006/relationships/hyperlink" Target="https://www.ahd.com/free_profile/190201/CHRISTUS_Ochsner_Lake_Area_Hospital/Lake_Charles/Louisiana/" TargetMode="External"/><Relationship Id="rId107" Type="http://schemas.openxmlformats.org/officeDocument/2006/relationships/hyperlink" Target="https://www.ahd.com/free_profile/190090/Winn_Parish_Medical_Center/Winnfield/Louisiana/" TargetMode="External"/><Relationship Id="rId11" Type="http://schemas.openxmlformats.org/officeDocument/2006/relationships/hyperlink" Target="https://www.ahd.com/free_profile/190050/Beauregard_Memorial_Hospital/DeRidder/Louisiana/" TargetMode="External"/><Relationship Id="rId32" Type="http://schemas.openxmlformats.org/officeDocument/2006/relationships/hyperlink" Target="https://www.ahd.com/free_profile/I42224/Lafayette_General_Orthopaedic_Hospital/Lafayette/Louisiana/" TargetMode="External"/><Relationship Id="rId37" Type="http://schemas.openxmlformats.org/officeDocument/2006/relationships/hyperlink" Target="https://www.ahd.com/free_profile/190177/Lakeview_Regional_Medical_Center/Covington/Louisiana/" TargetMode="External"/><Relationship Id="rId53" Type="http://schemas.openxmlformats.org/officeDocument/2006/relationships/hyperlink" Target="https://www.ahd.com/free_profile/190011/Ochsner_LSU_Health_Shreveport_-_Monroe_Medical_Center/Monroe/Louisiana/" TargetMode="External"/><Relationship Id="rId58" Type="http://schemas.openxmlformats.org/officeDocument/2006/relationships/hyperlink" Target="https://www.ahd.com/free_profile/190275/Ochsner_Medical_Center_-_West_Bank/Gretna/Louisiana/" TargetMode="External"/><Relationship Id="rId74" Type="http://schemas.openxmlformats.org/officeDocument/2006/relationships/hyperlink" Target="https://www.ahd.com/free_profile/190151/Richardson_Medical_Center/Rayville/Louisiana/" TargetMode="External"/><Relationship Id="rId79" Type="http://schemas.openxmlformats.org/officeDocument/2006/relationships/hyperlink" Target="https://www.ahd.com/free_profile/190045/Saint_Tammany_Parish_Hospital/Covington/Louisiana/" TargetMode="External"/><Relationship Id="rId102" Type="http://schemas.openxmlformats.org/officeDocument/2006/relationships/hyperlink" Target="https://www.ahd.com/free_profile/190039/West_Jefferson_Medical_Center/Marrero/Louisiana/" TargetMode="External"/><Relationship Id="rId5" Type="http://schemas.openxmlformats.org/officeDocument/2006/relationships/hyperlink" Target="https://www.ahd.com/free_profile/190133/Allen_Parish_Community_Healthcare/Kinder/Louisiana/" TargetMode="External"/><Relationship Id="rId90" Type="http://schemas.openxmlformats.org/officeDocument/2006/relationships/hyperlink" Target="https://www.ahd.com/free_profile/190251/Surgical_Specialty_Center_of_Baton_Rouge/Baton_Rouge/Louisiana/" TargetMode="External"/><Relationship Id="rId95" Type="http://schemas.openxmlformats.org/officeDocument/2006/relationships/hyperlink" Target="https://www.ahd.com/free_profile/190182/Tulane_Lakeside_Hospital_/Metairie/Louisiana/" TargetMode="External"/><Relationship Id="rId22" Type="http://schemas.openxmlformats.org/officeDocument/2006/relationships/hyperlink" Target="https://www.ahd.com/free_profile/190118/Desoto_Regional_Health_System/Mansfield/Louisiana/" TargetMode="External"/><Relationship Id="rId27" Type="http://schemas.openxmlformats.org/officeDocument/2006/relationships/hyperlink" Target="https://www.ahd.com/free_profile/190160/Glenwood_Regional_Medical_Center/West_Monroe/Louisiana/" TargetMode="External"/><Relationship Id="rId43" Type="http://schemas.openxmlformats.org/officeDocument/2006/relationships/hyperlink" Target="https://www.ahd.com/free_profile/190245/Monroe_Surgical_Hospital/Monroe/Louisiana/" TargetMode="External"/><Relationship Id="rId48" Type="http://schemas.openxmlformats.org/officeDocument/2006/relationships/hyperlink" Target="https://www.ahd.com/free_profile/190086/Northern_Louisiana_Medical_Center/Ruston/Louisiana/" TargetMode="External"/><Relationship Id="rId64" Type="http://schemas.openxmlformats.org/officeDocument/2006/relationships/hyperlink" Target="https://www.ahd.com/free_profile/190205/Our_Lady_of_Lourdes_Women%27s_and_Children%27s_Hospital/Lafayette/Louisiana/" TargetMode="External"/><Relationship Id="rId69" Type="http://schemas.openxmlformats.org/officeDocument/2006/relationships/hyperlink" Target="https://www.ahd.com/free_profile/19048F/Overton_Brooks_VA_Medical_Center/Shreveport/Louisiana/" TargetMode="External"/><Relationship Id="rId80" Type="http://schemas.openxmlformats.org/officeDocument/2006/relationships/hyperlink" Target="https://www.ahd.com/free_profile/190025/Savoy_Medical_Center/Mamou/Louisiana/" TargetMode="External"/><Relationship Id="rId85" Type="http://schemas.openxmlformats.org/officeDocument/2006/relationships/hyperlink" Target="https://www.ahd.com/free_profile/190278/Specialists_Hospital__Shreveport/Shreveport/Louisiana/" TargetMode="External"/><Relationship Id="rId12" Type="http://schemas.openxmlformats.org/officeDocument/2006/relationships/hyperlink" Target="https://www.ahd.com/free_profile/190164/Byrd_Regional_Hospital/Leesville/Louisiana/" TargetMode="External"/><Relationship Id="rId17" Type="http://schemas.openxmlformats.org/officeDocument/2006/relationships/hyperlink" Target="https://www.ahd.com/free_profile/190027/CHRISTUS_Ochsner_St_Patrick_Hospital/Lake_Charles/Louisiana/" TargetMode="External"/><Relationship Id="rId33" Type="http://schemas.openxmlformats.org/officeDocument/2006/relationships/hyperlink" Target="https://www.ahd.com/free_profile/190268/Lafayette_General_Surgical_Hospital/Lafayette/Louisiana/" TargetMode="External"/><Relationship Id="rId38" Type="http://schemas.openxmlformats.org/officeDocument/2006/relationships/hyperlink" Target="https://www.ahd.com/free_profile/190020/Lane_Regional_Medical_Center/Zachary/Louisiana/" TargetMode="External"/><Relationship Id="rId59" Type="http://schemas.openxmlformats.org/officeDocument/2006/relationships/hyperlink" Target="https://www.ahd.com/free_profile/190014/Ochsner_St_Mary/Morgan_City/Louisiana/" TargetMode="External"/><Relationship Id="rId103" Type="http://schemas.openxmlformats.org/officeDocument/2006/relationships/hyperlink" Target="https://www.ahd.com/free_profile/190236/Willis-Knighton_Bossier_Health_Center/Bossier_City/Louisiana/" TargetMode="External"/><Relationship Id="rId108" Type="http://schemas.openxmlformats.org/officeDocument/2006/relationships/hyperlink" Target="https://www.ahd.com/free_profile/190128/Woman%27s_Hospital/Baton_Rouge/Louisiana/" TargetMode="External"/><Relationship Id="rId20" Type="http://schemas.openxmlformats.org/officeDocument/2006/relationships/hyperlink" Target="https://www.ahd.com/free_profile/190114/Claiborne_Memorial_Medical_Center/Homer/Louisiana/" TargetMode="External"/><Relationship Id="rId41" Type="http://schemas.openxmlformats.org/officeDocument/2006/relationships/hyperlink" Target="https://www.ahd.com/free_profile/190167/Mercy_Regional_Medical_Center/Ville_Platte/Louisiana/" TargetMode="External"/><Relationship Id="rId54" Type="http://schemas.openxmlformats.org/officeDocument/2006/relationships/hyperlink" Target="https://www.ahd.com/free_profile/190036/Ochsner_Medical_Center_/New_Orleans/Louisiana/" TargetMode="External"/><Relationship Id="rId62" Type="http://schemas.openxmlformats.org/officeDocument/2006/relationships/hyperlink" Target="https://www.ahd.com/free_profile/190191/Opelousas_General_South_Campus/Opelousas/Louisiana/" TargetMode="External"/><Relationship Id="rId70" Type="http://schemas.openxmlformats.org/officeDocument/2006/relationships/hyperlink" Target="https://www.ahd.com/free_profile/190255/Park_Place_Surgical_Hospital/Lafayette/Louisiana/" TargetMode="External"/><Relationship Id="rId75" Type="http://schemas.openxmlformats.org/officeDocument/2006/relationships/hyperlink" Target="https://www.ahd.com/free_profile/190218/Sabine_Medical_Center/Many/Louisiana/" TargetMode="External"/><Relationship Id="rId83" Type="http://schemas.openxmlformats.org/officeDocument/2006/relationships/hyperlink" Target="https://www.ahd.com/free_profile/19047F/Southeast_Louisiana_Veterans_Health_Care_System/New_Orleans/Louisiana/" TargetMode="External"/><Relationship Id="rId88" Type="http://schemas.openxmlformats.org/officeDocument/2006/relationships/hyperlink" Target="https://www.ahd.com/free_profile/190246/St_Francis_P%26S_Surgery_%26_Heart_Center/Monroe/Louisiana/" TargetMode="External"/><Relationship Id="rId91" Type="http://schemas.openxmlformats.org/officeDocument/2006/relationships/hyperlink" Target="https://www.ahd.com/free_profile/190008/Terrebonne_General_Medical_Center/Houma/Louisiana/" TargetMode="External"/><Relationship Id="rId96" Type="http://schemas.openxmlformats.org/officeDocument/2006/relationships/hyperlink" Target="https://www.ahd.com/free_profile/190176/Tulane_Medical_Center/New_Orleans/Louisiana/" TargetMode="External"/><Relationship Id="rId1" Type="http://schemas.openxmlformats.org/officeDocument/2006/relationships/hyperlink" Target="https://www.ahd.com/free_profile/190034/Abbeville_General_Hospital/Abbeville/Louisiana/" TargetMode="External"/><Relationship Id="rId6" Type="http://schemas.openxmlformats.org/officeDocument/2006/relationships/hyperlink" Target="https://www.ahd.com/free_profile/190267/Avala_Hospital/Covington/Louisiana/" TargetMode="External"/><Relationship Id="rId15" Type="http://schemas.openxmlformats.org/officeDocument/2006/relationships/hyperlink" Target="https://www.ahd.com/free_profile/190041/CHRISTUS_Highland_Medical_Center/Shreveport/Louisiana/" TargetMode="External"/><Relationship Id="rId23" Type="http://schemas.openxmlformats.org/officeDocument/2006/relationships/hyperlink" Target="https://www.ahd.com/free_profile/190297/Doctors_Hospital_at_Deer_Creek/Leesville/Louisiana/" TargetMode="External"/><Relationship Id="rId28" Type="http://schemas.openxmlformats.org/officeDocument/2006/relationships/hyperlink" Target="https://www.ahd.com/free_profile/190263/Heart_Hospital_of_Lafayette/Lafayette/Louisiana/" TargetMode="External"/><Relationship Id="rId36" Type="http://schemas.openxmlformats.org/officeDocument/2006/relationships/hyperlink" Target="https://www.ahd.com/free_profile/I41857/Lake_Charles_Memorial_Hospital_for_Women/Lake_Charles/Louisiana/" TargetMode="External"/><Relationship Id="rId49" Type="http://schemas.openxmlformats.org/officeDocument/2006/relationships/hyperlink" Target="https://www.ahd.com/free_profile/190106/Oakdale_Community_Hospital/Oakdale/Louisiana/" TargetMode="External"/><Relationship Id="rId57" Type="http://schemas.openxmlformats.org/officeDocument/2006/relationships/hyperlink" Target="https://www.ahd.com/free_profile/190204/Ochsner_Medical_Center_-_North_Shore/Slidell/Louisiana/" TargetMode="External"/><Relationship Id="rId106" Type="http://schemas.openxmlformats.org/officeDocument/2006/relationships/hyperlink" Target="https://www.ahd.com/free_profile/I16387/Willis-Knighton_South_%26_the_Center_for_Women%27s_Health/Shreveport/Louisiana/" TargetMode="External"/><Relationship Id="rId10" Type="http://schemas.openxmlformats.org/officeDocument/2006/relationships/hyperlink" Target="https://www.ahd.com/free_profile/19050F/Bayne-Jones_Army_Community_Hospital/Fort_Polk/Louisiana/" TargetMode="External"/><Relationship Id="rId31" Type="http://schemas.openxmlformats.org/officeDocument/2006/relationships/hyperlink" Target="https://www.ahd.com/free_profile/190002/Lafayette_General_Medical_Center/Lafayette/Louisiana/" TargetMode="External"/><Relationship Id="rId44" Type="http://schemas.openxmlformats.org/officeDocument/2006/relationships/hyperlink" Target="https://www.ahd.com/free_profile/190116/Morehouse_General_Hospital/Bastrop/Louisiana/" TargetMode="External"/><Relationship Id="rId52" Type="http://schemas.openxmlformats.org/officeDocument/2006/relationships/hyperlink" Target="https://www.ahd.com/free_profile/190098/Ochsner_LSU_Health_Shreveport_-_Academic_Medical_Center/Shreveport/Louisiana/" TargetMode="External"/><Relationship Id="rId60" Type="http://schemas.openxmlformats.org/officeDocument/2006/relationships/hyperlink" Target="https://www.ahd.com/free_profile/190302/Omega_Hospital/Metairie/Louisiana/" TargetMode="External"/><Relationship Id="rId65" Type="http://schemas.openxmlformats.org/officeDocument/2006/relationships/hyperlink" Target="https://www.ahd.com/free_profile/190312/Our_Lady_of_the_Angels_Hospital/Bogalusa/Louisiana/" TargetMode="External"/><Relationship Id="rId73" Type="http://schemas.openxmlformats.org/officeDocument/2006/relationships/hyperlink" Target="https://www.ahd.com/free_profile/190026/Rapides_Regional_Medical_Center/Alexandria/Louisiana/" TargetMode="External"/><Relationship Id="rId78" Type="http://schemas.openxmlformats.org/officeDocument/2006/relationships/hyperlink" Target="https://www.ahd.com/free_profile/190125/Saint_Francis_Medical_Center_-_Downtown/Monroe/Louisiana/" TargetMode="External"/><Relationship Id="rId81" Type="http://schemas.openxmlformats.org/officeDocument/2006/relationships/hyperlink" Target="https://www.ahd.com/free_profile/190040/Slidell_Memorial_Hospital/Slidell/Louisiana/" TargetMode="External"/><Relationship Id="rId86" Type="http://schemas.openxmlformats.org/officeDocument/2006/relationships/hyperlink" Target="https://www.ahd.com/free_profile/190088/Springhill_Medical_Center/Springhill/Louisiana/" TargetMode="External"/><Relationship Id="rId94" Type="http://schemas.openxmlformats.org/officeDocument/2006/relationships/hyperlink" Target="https://www.ahd.com/free_profile/190046/Touro_Infirmary/New_Orleans/Louisiana/" TargetMode="External"/><Relationship Id="rId99" Type="http://schemas.openxmlformats.org/officeDocument/2006/relationships/hyperlink" Target="https://www.ahd.com/free_profile/190199/Villa_Feliciana_Medical_Complex/Jackson/Louisiana/" TargetMode="External"/><Relationship Id="rId101" Type="http://schemas.openxmlformats.org/officeDocument/2006/relationships/hyperlink" Target="https://www.ahd.com/free_profile/190081/West_Carroll_Memorial_Hospital/Oak_Grove/Louisiana/" TargetMode="External"/><Relationship Id="rId4" Type="http://schemas.openxmlformats.org/officeDocument/2006/relationships/hyperlink" Target="https://www.ahd.com/free_profile/19043F/Alexandria_VA_Health_Care_System/Pineville/Louisiana/" TargetMode="External"/><Relationship Id="rId9" Type="http://schemas.openxmlformats.org/officeDocument/2006/relationships/hyperlink" Target="https://www.ahd.com/free_profile/190065/Baton_Rouge_General_Mid_City_Campus/Baton_Rouge/Louisiana/" TargetMode="External"/><Relationship Id="rId13" Type="http://schemas.openxmlformats.org/officeDocument/2006/relationships/hyperlink" Target="https://www.ahd.com/free_profile/190190/Caldwell_Memorial_Hospital/Columbia/Louisiana/" TargetMode="External"/><Relationship Id="rId18" Type="http://schemas.openxmlformats.org/officeDocument/2006/relationships/hyperlink" Target="https://www.ahd.com/free_profile/190019/CHRISTUS_Saint_Frances_Cabrini_Hospital/Alexandria/Louisiana/" TargetMode="External"/><Relationship Id="rId39" Type="http://schemas.openxmlformats.org/officeDocument/2006/relationships/hyperlink" Target="https://www.ahd.com/free_profile/190145/Lasalle_General_Hospital/Jena/Louisiana/" TargetMode="External"/><Relationship Id="rId34" Type="http://schemas.openxmlformats.org/officeDocument/2006/relationships/hyperlink" Target="https://www.ahd.com/free_profile/190259/Lafayette_Surgical_Specialty_Hospital/Lafayette/Louisiana/" TargetMode="External"/><Relationship Id="rId50" Type="http://schemas.openxmlformats.org/officeDocument/2006/relationships/hyperlink" Target="https://www.ahd.com/free_profile/I42332/Oceans_Behavioral_Hospital_Greater_New_Orleans_-_Marrero/Marrero/Louisiana/" TargetMode="External"/><Relationship Id="rId55" Type="http://schemas.openxmlformats.org/officeDocument/2006/relationships/hyperlink" Target="https://www.ahd.com/free_profile/190202/Ochsner_Medical_Center_-_Baton_Rouge/Baton_Rouge/Louisiana/" TargetMode="External"/><Relationship Id="rId76" Type="http://schemas.openxmlformats.org/officeDocument/2006/relationships/hyperlink" Target="https://www.ahd.com/free_profile/190079/Saint_Charles_Parish_Hospital/Luling/Louisiana/" TargetMode="External"/><Relationship Id="rId97" Type="http://schemas.openxmlformats.org/officeDocument/2006/relationships/hyperlink" Target="https://www.ahd.com/free_profile/190006/University_Hospital_and_Clinics/Lafayette/Louisiana/" TargetMode="External"/><Relationship Id="rId104" Type="http://schemas.openxmlformats.org/officeDocument/2006/relationships/hyperlink" Target="https://www.ahd.com/free_profile/190111/Willis-Knighton_Medical_Center/Shreveport/Louisiana/" TargetMode="External"/><Relationship Id="rId7" Type="http://schemas.openxmlformats.org/officeDocument/2006/relationships/hyperlink" Target="https://www.ahd.com/free_profile/190099/Avoyelles_Hospital/Marksville/Louisiana/" TargetMode="External"/><Relationship Id="rId71" Type="http://schemas.openxmlformats.org/officeDocument/2006/relationships/hyperlink" Target="https://www.ahd.com/free_profile/190241/Physicians_Medical_Center_of_Houma/Houma/Louisiana/" TargetMode="External"/><Relationship Id="rId92" Type="http://schemas.openxmlformats.org/officeDocument/2006/relationships/hyperlink" Target="https://www.ahd.com/free_profile/190266/The_Spine_Hospital_of_Louisiana_/Baton_Rouge/Louisiana/" TargetMode="External"/><Relationship Id="rId2" Type="http://schemas.openxmlformats.org/officeDocument/2006/relationships/hyperlink" Target="https://www.ahd.com/free_profile/190044/Acadia_General_Hospital/Crowley/Louisiana/" TargetMode="External"/><Relationship Id="rId29" Type="http://schemas.openxmlformats.org/officeDocument/2006/relationships/hyperlink" Target="https://www.ahd.com/free_profile/190054/Iberia_Medical_Center/New_Iberia/Louisiana/" TargetMode="External"/><Relationship Id="rId24" Type="http://schemas.openxmlformats.org/officeDocument/2006/relationships/hyperlink" Target="https://www.ahd.com/free_profile/190208/East_Carroll_Parish_Hospital/Lake_Providence/Louisiana/" TargetMode="External"/><Relationship Id="rId40" Type="http://schemas.openxmlformats.org/officeDocument/2006/relationships/hyperlink" Target="https://www.ahd.com/free_profile/190183/Leonard_J_Chabert_Medical_Center/Houma/Louisiana/" TargetMode="External"/><Relationship Id="rId45" Type="http://schemas.openxmlformats.org/officeDocument/2006/relationships/hyperlink" Target="https://www.ahd.com/free_profile/190007/Natchitoches_Regional_Medical_Center/Natchitoches/Louisiana/" TargetMode="External"/><Relationship Id="rId66" Type="http://schemas.openxmlformats.org/officeDocument/2006/relationships/hyperlink" Target="https://www.ahd.com/free_profile/190242/Our_Lady_of_the_Lake_Ascension/Gonzales/Louisiana/" TargetMode="External"/><Relationship Id="rId87" Type="http://schemas.openxmlformats.org/officeDocument/2006/relationships/hyperlink" Target="https://www.ahd.com/free_profile/190308/St_Bernard_Parish_Hospital/Chalmette/Louisiana/" TargetMode="External"/><Relationship Id="rId61" Type="http://schemas.openxmlformats.org/officeDocument/2006/relationships/hyperlink" Target="https://www.ahd.com/free_profile/190017/Opelousas_General_Main_Campus/Opelousas/Louisiana/" TargetMode="External"/><Relationship Id="rId82" Type="http://schemas.openxmlformats.org/officeDocument/2006/relationships/hyperlink" Target="https://www.ahd.com/free_profile/190307/South_Cameron_Memorial_Hospital/Cameron/Louisiana/" TargetMode="External"/><Relationship Id="rId19" Type="http://schemas.openxmlformats.org/officeDocument/2006/relationships/hyperlink" Target="https://www.ahd.com/free_profile/190184/Citizens_Medical_Center/Columbia/Louisiana/" TargetMode="External"/><Relationship Id="rId14" Type="http://schemas.openxmlformats.org/officeDocument/2006/relationships/hyperlink" Target="https://www.ahd.com/free_profile/190298/Central_Louisiana_Surgical_Hospital/Alexandria/Louisiana/" TargetMode="External"/><Relationship Id="rId30" Type="http://schemas.openxmlformats.org/officeDocument/2006/relationships/hyperlink" Target="https://www.ahd.com/free_profile/190053/Jennings_American_Legion_Hospital/Jennings/Louisiana/" TargetMode="External"/><Relationship Id="rId35" Type="http://schemas.openxmlformats.org/officeDocument/2006/relationships/hyperlink" Target="https://www.ahd.com/free_profile/190060/Lake_Charles_Memorial_Hospital/Lake_Charles/Louisiana/" TargetMode="External"/><Relationship Id="rId56" Type="http://schemas.openxmlformats.org/officeDocument/2006/relationships/hyperlink" Target="https://www.ahd.com/free_profile/190274/Ochsner_Medical_Center_-_Kenner/Kenner/Louisiana/" TargetMode="External"/><Relationship Id="rId77" Type="http://schemas.openxmlformats.org/officeDocument/2006/relationships/hyperlink" Target="https://www.ahd.com/free_profile/190300/Saint_Charles_Surgical_Hospital/New_Orleans/Louisiana/" TargetMode="External"/><Relationship Id="rId100" Type="http://schemas.openxmlformats.org/officeDocument/2006/relationships/hyperlink" Target="https://www.ahd.com/free_profile/190013/West_Calcasieu_Cameron_Hospital/Sulphur/Louisiana/" TargetMode="External"/><Relationship Id="rId105" Type="http://schemas.openxmlformats.org/officeDocument/2006/relationships/hyperlink" Target="https://www.ahd.com/free_profile/I16388/Willis-Knighton_Pierremont_Health_Center/Shreveport/Louisiana/" TargetMode="External"/><Relationship Id="rId8" Type="http://schemas.openxmlformats.org/officeDocument/2006/relationships/hyperlink" Target="https://www.ahd.com/free_profile/190231/Baton_Rouge_General_Bluebonnet_Campus/Baton_Rouge/Louisiana/" TargetMode="External"/><Relationship Id="rId51" Type="http://schemas.openxmlformats.org/officeDocument/2006/relationships/hyperlink" Target="https://www.ahd.com/free_profile/190135/Ochsner_Baptist_-_A_Campus_of_Ochsner_Medical_Center/New_Orleans/Louisiana/" TargetMode="External"/><Relationship Id="rId72" Type="http://schemas.openxmlformats.org/officeDocument/2006/relationships/hyperlink" Target="https://www.ahd.com/free_profile/I42329/Prairieville_Family_Hospital/Prairieville/Louisiana/" TargetMode="External"/><Relationship Id="rId93" Type="http://schemas.openxmlformats.org/officeDocument/2006/relationships/hyperlink" Target="https://www.ahd.com/free_profile/190004/Thibodaux_Regional_Health_System/Thibodaux/Louisiana/" TargetMode="External"/><Relationship Id="rId98" Type="http://schemas.openxmlformats.org/officeDocument/2006/relationships/hyperlink" Target="https://www.ahd.com/free_profile/190005/University_Medical_Center_New_Orleans/New_Orleans/Louisiana/" TargetMode="External"/><Relationship Id="rId3" Type="http://schemas.openxmlformats.org/officeDocument/2006/relationships/hyperlink" Target="https://www.ahd.com/free_profile/190078/Acadian_Medical_Center/Eunice/Louisiana/" TargetMode="External"/><Relationship Id="rId25" Type="http://schemas.openxmlformats.org/officeDocument/2006/relationships/hyperlink" Target="https://www.ahd.com/free_profile/190146/East_Jefferson_General_Hospital/Metairie/Louisiana/" TargetMode="External"/><Relationship Id="rId46" Type="http://schemas.openxmlformats.org/officeDocument/2006/relationships/hyperlink" Target="https://www.ahd.com/free_profile/190313/New_Orleans_East_Hospital/New_Orleans_/Louisiana/" TargetMode="External"/><Relationship Id="rId67" Type="http://schemas.openxmlformats.org/officeDocument/2006/relationships/hyperlink" Target="https://www.ahd.com/free_profile/I42246/Our_Lady_of_the_Lake_Children%27s_Hospital/Baton_Rouge/Louisiana/" TargetMode="External"/></Relationships>
</file>

<file path=xl/worksheets/_rels/sheet21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hd.com/free_profile/22001F/Edith_Nourse_Rogers_Memorial_Veterans_Hospital/Bedford/Massachusetts/" TargetMode="External"/><Relationship Id="rId21" Type="http://schemas.openxmlformats.org/officeDocument/2006/relationships/hyperlink" Target="https://www.ahd.com/free_profile/I41024/CHA_Everett_Hospital/Everett/Massachusetts/" TargetMode="External"/><Relationship Id="rId42" Type="http://schemas.openxmlformats.org/officeDocument/2006/relationships/hyperlink" Target="https://www.ahd.com/free_profile/220082/Lowell_General_Hospital_-_Saints_Campus/Lowell/Massachusetts/" TargetMode="External"/><Relationship Id="rId47" Type="http://schemas.openxmlformats.org/officeDocument/2006/relationships/hyperlink" Target="https://www.ahd.com/free_profile/220090/Milford_Regional_Medical_Center/Milford/Massachusetts/" TargetMode="External"/><Relationship Id="rId63" Type="http://schemas.openxmlformats.org/officeDocument/2006/relationships/hyperlink" Target="https://www.ahd.com/free_profile/I08182/Tobey_Hospital/Wareham/Massachusetts/" TargetMode="External"/><Relationship Id="rId68" Type="http://schemas.openxmlformats.org/officeDocument/2006/relationships/hyperlink" Target="https://www.ahd.com/free_profile/I41160/UMass_Memorial_Medical_Center_-_Memorial_Campus/Worcester/Massachusetts/" TargetMode="External"/><Relationship Id="rId2" Type="http://schemas.openxmlformats.org/officeDocument/2006/relationships/hyperlink" Target="https://www.ahd.com/free_profile/220062/AdCare_Hospital/Worcester/Massachusetts/" TargetMode="External"/><Relationship Id="rId16" Type="http://schemas.openxmlformats.org/officeDocument/2006/relationships/hyperlink" Target="https://www.ahd.com/free_profile/220119/Brigham_and_Women%27s_Faulkner_Hospital/Boston/Massachusetts/" TargetMode="External"/><Relationship Id="rId29" Type="http://schemas.openxmlformats.org/officeDocument/2006/relationships/hyperlink" Target="https://www.ahd.com/free_profile/220175/Framingham_Union_Hospital/Framingham/Massachusetts/" TargetMode="External"/><Relationship Id="rId11" Type="http://schemas.openxmlformats.org/officeDocument/2006/relationships/hyperlink" Target="https://www.ahd.com/free_profile/220083/Beth_Israel_Deaconess_Hospital_Needham/Needham/Massachusetts/" TargetMode="External"/><Relationship Id="rId24" Type="http://schemas.openxmlformats.org/officeDocument/2006/relationships/hyperlink" Target="https://www.ahd.com/free_profile/220015/Cooley_Dickinson_Hospital/Northampton/Massachusetts/" TargetMode="External"/><Relationship Id="rId32" Type="http://schemas.openxmlformats.org/officeDocument/2006/relationships/hyperlink" Target="https://www.ahd.com/free_profile/220095/Heywood_Hospital/Gardner/Massachusetts/" TargetMode="External"/><Relationship Id="rId37" Type="http://schemas.openxmlformats.org/officeDocument/2006/relationships/hyperlink" Target="https://www.ahd.com/free_profile/I42046/Lahey_Medical_Center_Peabody/Peabody/Massachusetts/" TargetMode="External"/><Relationship Id="rId40" Type="http://schemas.openxmlformats.org/officeDocument/2006/relationships/hyperlink" Target="https://www.ahd.com/free_profile/I08145/Leonard_Morse_Hospital/Natick/Massachusetts/" TargetMode="External"/><Relationship Id="rId45" Type="http://schemas.openxmlformats.org/officeDocument/2006/relationships/hyperlink" Target="https://www.ahd.com/free_profile/I41166/Melrose-Wakefield_Hospital/Melrose/Massachusetts/" TargetMode="External"/><Relationship Id="rId53" Type="http://schemas.openxmlformats.org/officeDocument/2006/relationships/hyperlink" Target="https://www.ahd.com/free_profile/220101/Newton-Wellesley_Hospital/Newton/Massachusetts/" TargetMode="External"/><Relationship Id="rId58" Type="http://schemas.openxmlformats.org/officeDocument/2006/relationships/hyperlink" Target="https://www.ahd.com/free_profile/220036/Saint_Elizabeth%27s_Medical_Center/Brighton/Massachusetts/" TargetMode="External"/><Relationship Id="rId66" Type="http://schemas.openxmlformats.org/officeDocument/2006/relationships/hyperlink" Target="https://www.ahd.com/free_profile/220001/UMass_Memorial_HealthAlliance_-_Clinton_Hospital_-_Leominster_Campus/Leominster/Massachusetts/" TargetMode="External"/><Relationship Id="rId5" Type="http://schemas.openxmlformats.org/officeDocument/2006/relationships/hyperlink" Target="https://www.ahd.com/free_profile/220016/Baystate_Franklin_Medical_Center/Greenfield/Massachusetts/" TargetMode="External"/><Relationship Id="rId61" Type="http://schemas.openxmlformats.org/officeDocument/2006/relationships/hyperlink" Target="https://www.ahd.com/free_profile/220100/South_Shore_Hospital/South_Weymouth/Massachusetts/" TargetMode="External"/><Relationship Id="rId19" Type="http://schemas.openxmlformats.org/officeDocument/2006/relationships/hyperlink" Target="https://www.ahd.com/free_profile/220017/Carney_Hospital/Dorchester/Massachusetts/" TargetMode="External"/><Relationship Id="rId14" Type="http://schemas.openxmlformats.org/officeDocument/2006/relationships/hyperlink" Target="https://www.ahd.com/free_profile/220033/Beverly_Hospital/Beverly/Massachusetts/" TargetMode="External"/><Relationship Id="rId22" Type="http://schemas.openxmlformats.org/officeDocument/2006/relationships/hyperlink" Target="https://www.ahd.com/free_profile/220004/CHA_Somerville_Hospital/Somerville/Massachusetts/" TargetMode="External"/><Relationship Id="rId27" Type="http://schemas.openxmlformats.org/officeDocument/2006/relationships/hyperlink" Target="https://www.ahd.com/free_profile/220084/Emerson_Hospital/Concord/Massachusetts/" TargetMode="External"/><Relationship Id="rId30" Type="http://schemas.openxmlformats.org/officeDocument/2006/relationships/hyperlink" Target="https://www.ahd.com/free_profile/220111/Good_Samaritan_Medical_Center/Brockton/Massachusetts/" TargetMode="External"/><Relationship Id="rId35" Type="http://schemas.openxmlformats.org/officeDocument/2006/relationships/hyperlink" Target="https://www.ahd.com/free_profile/220024/Holyoke_Medical_Center/Holyoke/Massachusetts/" TargetMode="External"/><Relationship Id="rId43" Type="http://schemas.openxmlformats.org/officeDocument/2006/relationships/hyperlink" Target="https://www.ahd.com/free_profile/220075/Massachusetts_Eye_and_Ear_Infirmary/Boston/Massachusetts/" TargetMode="External"/><Relationship Id="rId48" Type="http://schemas.openxmlformats.org/officeDocument/2006/relationships/hyperlink" Target="https://www.ahd.com/free_profile/220073/Morton_Hospital_/Taunton/Massachusetts/" TargetMode="External"/><Relationship Id="rId56" Type="http://schemas.openxmlformats.org/officeDocument/2006/relationships/hyperlink" Target="https://www.ahd.com/free_profile/220035/NSMC_Union_Hospital/Lynn/Massachusetts/" TargetMode="External"/><Relationship Id="rId64" Type="http://schemas.openxmlformats.org/officeDocument/2006/relationships/hyperlink" Target="https://www.ahd.com/free_profile/220116/Tufts_Medical_Center/Boston/Massachusetts/" TargetMode="External"/><Relationship Id="rId69" Type="http://schemas.openxmlformats.org/officeDocument/2006/relationships/hyperlink" Target="https://www.ahd.com/free_profile/220163/UMass_Memorial_Medical_Center_-_University_Campus/Worcester/Massachusetts/" TargetMode="External"/><Relationship Id="rId8" Type="http://schemas.openxmlformats.org/officeDocument/2006/relationships/hyperlink" Target="https://www.ahd.com/free_profile/220030/Baystate_Wing_Hospital/Palmer/Massachusetts/" TargetMode="External"/><Relationship Id="rId51" Type="http://schemas.openxmlformats.org/officeDocument/2006/relationships/hyperlink" Target="https://www.ahd.com/free_profile/220098/Nashoba_Valley_Medical_Center/Ayer/Massachusetts/" TargetMode="External"/><Relationship Id="rId72" Type="http://schemas.openxmlformats.org/officeDocument/2006/relationships/hyperlink" Target="https://www.ahd.com/free_profile/22003F/VA_Boston_Healthcare_System_-_West_Roxbury_Campus/West_Roxbury/Massachusetts/" TargetMode="External"/><Relationship Id="rId3" Type="http://schemas.openxmlformats.org/officeDocument/2006/relationships/hyperlink" Target="https://www.ahd.com/free_profile/220128/Addison_Gilbert_Hospital/Gloucester/Massachusetts/" TargetMode="External"/><Relationship Id="rId12" Type="http://schemas.openxmlformats.org/officeDocument/2006/relationships/hyperlink" Target="https://www.ahd.com/free_profile/220060/Beth_Israel_Deaconess_Hospital-Plymouth/Plymouth/Massachusetts/" TargetMode="External"/><Relationship Id="rId17" Type="http://schemas.openxmlformats.org/officeDocument/2006/relationships/hyperlink" Target="https://www.ahd.com/free_profile/220110/Brigham_and_Women%27s_Hospital/Boston/Massachusetts/" TargetMode="External"/><Relationship Id="rId25" Type="http://schemas.openxmlformats.org/officeDocument/2006/relationships/hyperlink" Target="https://www.ahd.com/free_profile/220162/Dana-Farber_Cancer_Institute/Boston/Massachusetts/" TargetMode="External"/><Relationship Id="rId33" Type="http://schemas.openxmlformats.org/officeDocument/2006/relationships/hyperlink" Target="https://www.ahd.com/free_profile/220080/Holy_Family_Hospital_-_Methuen/Methuen/Massachusetts/" TargetMode="External"/><Relationship Id="rId38" Type="http://schemas.openxmlformats.org/officeDocument/2006/relationships/hyperlink" Target="https://www.ahd.com/free_profile/220010/Lawrence_General_Hospital/Lawrence/Massachusetts/" TargetMode="External"/><Relationship Id="rId46" Type="http://schemas.openxmlformats.org/officeDocument/2006/relationships/hyperlink" Target="https://www.ahd.com/free_profile/220066/Mercy_Medical_Center/Springfield/Massachusetts/" TargetMode="External"/><Relationship Id="rId59" Type="http://schemas.openxmlformats.org/officeDocument/2006/relationships/hyperlink" Target="https://www.ahd.com/free_profile/I08183/Saint_Luke%27s_Hospital/New_Bedford/Massachusetts/" TargetMode="External"/><Relationship Id="rId67" Type="http://schemas.openxmlformats.org/officeDocument/2006/relationships/hyperlink" Target="https://www.ahd.com/free_profile/220049/UMass_Memorial_Marlborough_Hospital/Marlborough/Massachusetts/" TargetMode="External"/><Relationship Id="rId20" Type="http://schemas.openxmlformats.org/officeDocument/2006/relationships/hyperlink" Target="https://www.ahd.com/free_profile/220011/CHA_Cambridge_Hospital_/Cambridge/Massachusetts/" TargetMode="External"/><Relationship Id="rId41" Type="http://schemas.openxmlformats.org/officeDocument/2006/relationships/hyperlink" Target="https://www.ahd.com/free_profile/220063/Lowell_General_Hospital_-_Main_Campus/Lowell/Massachusetts/" TargetMode="External"/><Relationship Id="rId54" Type="http://schemas.openxmlformats.org/officeDocument/2006/relationships/hyperlink" Target="https://www.ahd.com/free_profile/220126/Norwood_Hospital/Norwood/Massachusetts/" TargetMode="External"/><Relationship Id="rId62" Type="http://schemas.openxmlformats.org/officeDocument/2006/relationships/hyperlink" Target="https://www.ahd.com/free_profile/220008/Sturdy_Memorial_Hospital/Attleboro/Massachusetts/" TargetMode="External"/><Relationship Id="rId70" Type="http://schemas.openxmlformats.org/officeDocument/2006/relationships/hyperlink" Target="https://www.ahd.com/free_profile/22004F/VA_Boston_Healthcare_System_-_Brockton_Campus/Brockton/Massachusetts/" TargetMode="External"/><Relationship Id="rId1" Type="http://schemas.openxmlformats.org/officeDocument/2006/relationships/hyperlink" Target="https://www.ahd.com/free_profile/220052/_Brockton_Hospital/Brockton/Massachusetts/" TargetMode="External"/><Relationship Id="rId6" Type="http://schemas.openxmlformats.org/officeDocument/2006/relationships/hyperlink" Target="https://www.ahd.com/free_profile/220077/Baystate_Medical_Center/Springfield/Massachusetts/" TargetMode="External"/><Relationship Id="rId15" Type="http://schemas.openxmlformats.org/officeDocument/2006/relationships/hyperlink" Target="https://www.ahd.com/free_profile/220031/Boston_Medical_Center/Boston/Massachusetts/" TargetMode="External"/><Relationship Id="rId23" Type="http://schemas.openxmlformats.org/officeDocument/2006/relationships/hyperlink" Target="https://www.ahd.com/free_profile/220074/Charlton_Memorial_Hospital/Fall_River/Massachusetts/" TargetMode="External"/><Relationship Id="rId28" Type="http://schemas.openxmlformats.org/officeDocument/2006/relationships/hyperlink" Target="https://www.ahd.com/free_profile/220135/Falmouth_Hospital/Falmouth/Massachusetts/" TargetMode="External"/><Relationship Id="rId36" Type="http://schemas.openxmlformats.org/officeDocument/2006/relationships/hyperlink" Target="https://www.ahd.com/free_profile/220171/Lahey_Hospital_and_Medical_Center_Burlington/Burlington/Massachusetts/" TargetMode="External"/><Relationship Id="rId49" Type="http://schemas.openxmlformats.org/officeDocument/2006/relationships/hyperlink" Target="https://www.ahd.com/free_profile/220002/Mount_Auburn_Hospital/Cambridge/Massachusetts/" TargetMode="External"/><Relationship Id="rId57" Type="http://schemas.openxmlformats.org/officeDocument/2006/relationships/hyperlink" Target="https://www.ahd.com/free_profile/220020/Saint_Anne%27s_Hospital/Fall_River/Massachusetts/" TargetMode="External"/><Relationship Id="rId10" Type="http://schemas.openxmlformats.org/officeDocument/2006/relationships/hyperlink" Target="https://www.ahd.com/free_profile/220108/Beth_Israel_Deaconess_Hospital_Milton/Milton/Massachusetts/" TargetMode="External"/><Relationship Id="rId31" Type="http://schemas.openxmlformats.org/officeDocument/2006/relationships/hyperlink" Target="https://www.ahd.com/free_profile/220019/Harrington_Hospital/Southbridge/Massachusetts/" TargetMode="External"/><Relationship Id="rId44" Type="http://schemas.openxmlformats.org/officeDocument/2006/relationships/hyperlink" Target="https://www.ahd.com/free_profile/220071/Massachusetts_General_Hospital/Boston/Massachusetts/" TargetMode="External"/><Relationship Id="rId52" Type="http://schemas.openxmlformats.org/officeDocument/2006/relationships/hyperlink" Target="https://www.ahd.com/free_profile/220088/New_England_Baptist_Hospital/Boston/Massachusetts/" TargetMode="External"/><Relationship Id="rId60" Type="http://schemas.openxmlformats.org/officeDocument/2006/relationships/hyperlink" Target="https://www.ahd.com/free_profile/220176/Saint_Vincent_Hospital_at_Worcester_Medical_Center/Worcester/Massachusetts/" TargetMode="External"/><Relationship Id="rId65" Type="http://schemas.openxmlformats.org/officeDocument/2006/relationships/hyperlink" Target="https://www.ahd.com/free_profile/220058/UMass_Memorial_Health_Alliance-Clinton_Hospital/Clinton/Massachusetts/" TargetMode="External"/><Relationship Id="rId73" Type="http://schemas.openxmlformats.org/officeDocument/2006/relationships/hyperlink" Target="https://www.ahd.com/free_profile/220105/Winchester_Hospital/Winchester/Massachusetts/" TargetMode="External"/><Relationship Id="rId4" Type="http://schemas.openxmlformats.org/officeDocument/2006/relationships/hyperlink" Target="https://www.ahd.com/free_profile/220029/Anna_Jaques_Hospital/Newburyport/Massachusetts/" TargetMode="External"/><Relationship Id="rId9" Type="http://schemas.openxmlformats.org/officeDocument/2006/relationships/hyperlink" Target="https://www.ahd.com/free_profile/220046/Berkshire_Medical_Center/Pittsfield/Massachusetts/" TargetMode="External"/><Relationship Id="rId13" Type="http://schemas.openxmlformats.org/officeDocument/2006/relationships/hyperlink" Target="https://www.ahd.com/free_profile/220086/Beth_Israel_Deaconess_Medical_Center/Boston/Massachusetts/" TargetMode="External"/><Relationship Id="rId18" Type="http://schemas.openxmlformats.org/officeDocument/2006/relationships/hyperlink" Target="https://www.ahd.com/free_profile/220012/Cape_Cod_Hospital/Hyannis/Massachusetts/" TargetMode="External"/><Relationship Id="rId39" Type="http://schemas.openxmlformats.org/officeDocument/2006/relationships/hyperlink" Target="https://www.ahd.com/free_profile/220070/Lawrence_Memorial_Hospital/Medford/Massachusetts/" TargetMode="External"/><Relationship Id="rId34" Type="http://schemas.openxmlformats.org/officeDocument/2006/relationships/hyperlink" Target="https://www.ahd.com/free_profile/220174/Holy_Family_Hospital_-Haverhill/Haverhill/Massachusetts/" TargetMode="External"/><Relationship Id="rId50" Type="http://schemas.openxmlformats.org/officeDocument/2006/relationships/hyperlink" Target="https://www.ahd.com/free_profile/220177/Nantucket_Cottage_Hospital/Nantucket/Massachusetts/" TargetMode="External"/><Relationship Id="rId55" Type="http://schemas.openxmlformats.org/officeDocument/2006/relationships/hyperlink" Target="https://www.ahd.com/free_profile/220006/NSMC_Salem_Hospital/Salem/Massachusetts/" TargetMode="External"/><Relationship Id="rId7" Type="http://schemas.openxmlformats.org/officeDocument/2006/relationships/hyperlink" Target="https://www.ahd.com/free_profile/220065/Baystate_Noble_Hospital/Westfield/Massachusetts/" TargetMode="External"/><Relationship Id="rId71" Type="http://schemas.openxmlformats.org/officeDocument/2006/relationships/hyperlink" Target="https://www.ahd.com/free_profile/22010F/VA_Boston_Healthcare_System_-_Jamaica_Plain_Division/Boston/Massachusetts/" TargetMode="Externa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ahd.com/free_profile/210044/Greater_Baltimore_Medical_Center/Baltimore/Maryland/" TargetMode="External"/><Relationship Id="rId18" Type="http://schemas.openxmlformats.org/officeDocument/2006/relationships/hyperlink" Target="https://www.ahd.com/free_profile/210022/Johns_Hopkins_Suburban_Hospital/Bethesda/Maryland/" TargetMode="External"/><Relationship Id="rId26" Type="http://schemas.openxmlformats.org/officeDocument/2006/relationships/hyperlink" Target="https://www.ahd.com/free_profile/210062/MedStar_Southern_Maryland_Hospital/Clinton/Maryland/" TargetMode="External"/><Relationship Id="rId39" Type="http://schemas.openxmlformats.org/officeDocument/2006/relationships/hyperlink" Target="https://www.ahd.com/free_profile/210043/University_of_Maryland_Baltimore_Washington_Medical_Center/Glen_Burnie/Maryland/" TargetMode="External"/><Relationship Id="rId21" Type="http://schemas.openxmlformats.org/officeDocument/2006/relationships/hyperlink" Target="https://www.ahd.com/free_profile/210015/MedStar_Franklin_Square_Medical_Center/Baltimore/Maryland/" TargetMode="External"/><Relationship Id="rId34" Type="http://schemas.openxmlformats.org/officeDocument/2006/relationships/hyperlink" Target="https://www.ahd.com/free_profile/I42352/The_Herman_%26_Walter_Samuelson_Children%27s_Hospital_at_Sinai/Baltimore/Maryland/" TargetMode="External"/><Relationship Id="rId42" Type="http://schemas.openxmlformats.org/officeDocument/2006/relationships/hyperlink" Target="https://www.ahd.com/free_profile/210002/University_of_Maryland_Medical_Center/Baltimore/Maryland/" TargetMode="External"/><Relationship Id="rId47" Type="http://schemas.openxmlformats.org/officeDocument/2006/relationships/hyperlink" Target="https://www.ahd.com/free_profile/210030/University_of_Maryland_Shore_Medical_Center_at_Chestertown/Chestertown/Maryland/" TargetMode="External"/><Relationship Id="rId50" Type="http://schemas.openxmlformats.org/officeDocument/2006/relationships/hyperlink" Target="https://www.ahd.com/free_profile/210049/University_of_Maryland_Upper_Chesapeake_Medical_Center_/Bel_Air/Maryland/" TargetMode="External"/><Relationship Id="rId7" Type="http://schemas.openxmlformats.org/officeDocument/2006/relationships/hyperlink" Target="https://www.ahd.com/free_profile/210033/Carroll_Hospital_/Westminster/Maryland/" TargetMode="External"/><Relationship Id="rId2" Type="http://schemas.openxmlformats.org/officeDocument/2006/relationships/hyperlink" Target="https://www.ahd.com/free_profile/210016/Adventist_HealthCare_Takoma_Park/Takoma_Park/Maryland/" TargetMode="External"/><Relationship Id="rId16" Type="http://schemas.openxmlformats.org/officeDocument/2006/relationships/hyperlink" Target="https://www.ahd.com/free_profile/210048/Howard_County_General_Hospital/Columbia/Maryland/" TargetMode="External"/><Relationship Id="rId29" Type="http://schemas.openxmlformats.org/officeDocument/2006/relationships/hyperlink" Target="https://www.ahd.com/free_profile/210001/Meritus_Medical_Center/Hagerstown/Maryland/" TargetMode="External"/><Relationship Id="rId11" Type="http://schemas.openxmlformats.org/officeDocument/2006/relationships/hyperlink" Target="https://www.ahd.com/free_profile/210017/Garrett_Regional_Medical_Center/Oakland/Maryland/" TargetMode="External"/><Relationship Id="rId24" Type="http://schemas.openxmlformats.org/officeDocument/2006/relationships/hyperlink" Target="https://www.ahd.com/free_profile/210018/MedStar_Montgomery_Medical_Center/Olney/Maryland/" TargetMode="External"/><Relationship Id="rId32" Type="http://schemas.openxmlformats.org/officeDocument/2006/relationships/hyperlink" Target="https://www.ahd.com/free_profile/210011/Saint_Agnes_Hospital/Baltimore/Maryland/" TargetMode="External"/><Relationship Id="rId37" Type="http://schemas.openxmlformats.org/officeDocument/2006/relationships/hyperlink" Target="https://www.ahd.com/free_profile/210055/UM_Laurel_Medical_Center/Laurel/Maryland/" TargetMode="External"/><Relationship Id="rId40" Type="http://schemas.openxmlformats.org/officeDocument/2006/relationships/hyperlink" Target="https://www.ahd.com/free_profile/210035/University_of_Maryland_Charles_Regional_Medical_Center/La_Plata/Maryland/" TargetMode="External"/><Relationship Id="rId45" Type="http://schemas.openxmlformats.org/officeDocument/2006/relationships/hyperlink" Target="https://www.ahd.com/free_profile/210058/University_of_Maryland_Rehabilitaion_and_Orthopaedic_Insitute/Baltimore/Maryland/" TargetMode="External"/><Relationship Id="rId53" Type="http://schemas.openxmlformats.org/officeDocument/2006/relationships/hyperlink" Target="https://www.ahd.com/free_profile/21007F/Walter_Reed_National_Military_Medical_Center/Bethesda/Maryland/" TargetMode="External"/><Relationship Id="rId5" Type="http://schemas.openxmlformats.org/officeDocument/2006/relationships/hyperlink" Target="https://www.ahd.com/free_profile/210061/Atlantic_General_Hospital/Berlin/Maryland/" TargetMode="External"/><Relationship Id="rId10" Type="http://schemas.openxmlformats.org/officeDocument/2006/relationships/hyperlink" Target="https://www.ahd.com/free_profile/210005/Frederick_Memorial_Hospital/Frederick/Maryland/" TargetMode="External"/><Relationship Id="rId19" Type="http://schemas.openxmlformats.org/officeDocument/2006/relationships/hyperlink" Target="https://www.ahd.com/free_profile/210064/Levindale_Hebrew_Geriatric_Center_and_Hospital/Baltimore/Maryland/" TargetMode="External"/><Relationship Id="rId31" Type="http://schemas.openxmlformats.org/officeDocument/2006/relationships/hyperlink" Target="https://www.ahd.com/free_profile/210019/Peninsula_Regional_Medical_Center/Salisbury/Maryland/" TargetMode="External"/><Relationship Id="rId44" Type="http://schemas.openxmlformats.org/officeDocument/2006/relationships/hyperlink" Target="https://www.ahd.com/free_profile/210003/University_of_Maryland_Prince_George%27s_Hospital_Center/Cheverly/Maryland/" TargetMode="External"/><Relationship Id="rId52" Type="http://schemas.openxmlformats.org/officeDocument/2006/relationships/hyperlink" Target="https://www.ahd.com/free_profile/21005F/VA_Maryland_Health_Care_System_-_Baltimore_VA_Medical_Center/Baltimore/Maryland/" TargetMode="External"/><Relationship Id="rId4" Type="http://schemas.openxmlformats.org/officeDocument/2006/relationships/hyperlink" Target="https://www.ahd.com/free_profile/210023/Anne_Arundel_Medical_Center/Annapolis/Maryland/" TargetMode="External"/><Relationship Id="rId9" Type="http://schemas.openxmlformats.org/officeDocument/2006/relationships/hyperlink" Target="https://www.ahd.com/free_profile/210060/Fort_Washington_Medical_Center/Fort_Washington/Maryland/" TargetMode="External"/><Relationship Id="rId14" Type="http://schemas.openxmlformats.org/officeDocument/2006/relationships/hyperlink" Target="https://www.ahd.com/free_profile/210065/Holy_Cross_Germantown_Hospital/Germantown/Maryland/" TargetMode="External"/><Relationship Id="rId22" Type="http://schemas.openxmlformats.org/officeDocument/2006/relationships/hyperlink" Target="https://www.ahd.com/free_profile/210056/Medstar_Good_Samaritan_Hospital/Baltimore/Maryland/" TargetMode="External"/><Relationship Id="rId27" Type="http://schemas.openxmlformats.org/officeDocument/2006/relationships/hyperlink" Target="https://www.ahd.com/free_profile/210024/MedStar_Union_Memorial_Hospital/Baltimore/Maryland/" TargetMode="External"/><Relationship Id="rId30" Type="http://schemas.openxmlformats.org/officeDocument/2006/relationships/hyperlink" Target="https://www.ahd.com/free_profile/210040/Northwest_Hospital/Randallstown/Maryland/" TargetMode="External"/><Relationship Id="rId35" Type="http://schemas.openxmlformats.org/officeDocument/2006/relationships/hyperlink" Target="https://www.ahd.com/free_profile/210009/The_Johns_Hopkins_Hospital/Baltimore/Maryland/" TargetMode="External"/><Relationship Id="rId43" Type="http://schemas.openxmlformats.org/officeDocument/2006/relationships/hyperlink" Target="https://www.ahd.com/free_profile/210038/University_of_Maryland_Medical_Center_Midtown_Campus/Baltimore/Maryland/" TargetMode="External"/><Relationship Id="rId48" Type="http://schemas.openxmlformats.org/officeDocument/2006/relationships/hyperlink" Target="https://www.ahd.com/free_profile/210010/University_of_Maryland_Shore_Medical_Center_at_Dorchester/Cambridge/Maryland/" TargetMode="External"/><Relationship Id="rId8" Type="http://schemas.openxmlformats.org/officeDocument/2006/relationships/hyperlink" Target="https://www.ahd.com/free_profile/210051/Doctors_Community_Hospital/Lanham/Maryland/" TargetMode="External"/><Relationship Id="rId51" Type="http://schemas.openxmlformats.org/officeDocument/2006/relationships/hyperlink" Target="https://www.ahd.com/free_profile/210027/UPMC_Western_Maryland/Cumberland/Maryland/" TargetMode="External"/><Relationship Id="rId3" Type="http://schemas.openxmlformats.org/officeDocument/2006/relationships/hyperlink" Target="https://www.ahd.com/free_profile/I42337/Adventist_HealthCare_White_Oak_Medical_Center/Silver_Spring/Maryland/" TargetMode="External"/><Relationship Id="rId12" Type="http://schemas.openxmlformats.org/officeDocument/2006/relationships/hyperlink" Target="https://www.ahd.com/free_profile/210013/Grace_Medical_Center/Baltimore/Maryland/" TargetMode="External"/><Relationship Id="rId17" Type="http://schemas.openxmlformats.org/officeDocument/2006/relationships/hyperlink" Target="https://www.ahd.com/free_profile/210029/Johns_Hopkins_Bayview_Medical_Center/Baltimore/Maryland/" TargetMode="External"/><Relationship Id="rId25" Type="http://schemas.openxmlformats.org/officeDocument/2006/relationships/hyperlink" Target="https://www.ahd.com/free_profile/210028/MedStar_Saint_Mary%27s_Hospital/Leonardtown/Maryland/" TargetMode="External"/><Relationship Id="rId33" Type="http://schemas.openxmlformats.org/officeDocument/2006/relationships/hyperlink" Target="https://www.ahd.com/free_profile/210012/Sinai_Hospital_/Baltimore/Maryland/" TargetMode="External"/><Relationship Id="rId38" Type="http://schemas.openxmlformats.org/officeDocument/2006/relationships/hyperlink" Target="https://www.ahd.com/free_profile/210032/Union_Hospital/Elkton/Maryland/" TargetMode="External"/><Relationship Id="rId46" Type="http://schemas.openxmlformats.org/officeDocument/2006/relationships/hyperlink" Target="https://www.ahd.com/free_profile/210063/University_of_Maryland_Saint_Joseph_Medical_Center/Towson/Maryland/" TargetMode="External"/><Relationship Id="rId20" Type="http://schemas.openxmlformats.org/officeDocument/2006/relationships/hyperlink" Target="https://www.ahd.com/free_profile/I08126/Malcolm_Grow_Medical_Clinics_and_Surgery_Center/Andrews_Air_Force_Base/Maryland/" TargetMode="External"/><Relationship Id="rId41" Type="http://schemas.openxmlformats.org/officeDocument/2006/relationships/hyperlink" Target="https://www.ahd.com/free_profile/210006/University_of_Maryland_Harford_Memorial_Hospital/Havre_de_Grace/Maryland/" TargetMode="External"/><Relationship Id="rId1" Type="http://schemas.openxmlformats.org/officeDocument/2006/relationships/hyperlink" Target="https://www.ahd.com/free_profile/210057/Adventist_HealthCare_Shady_Grove_Medical_Center/Rockville/Maryland/" TargetMode="External"/><Relationship Id="rId6" Type="http://schemas.openxmlformats.org/officeDocument/2006/relationships/hyperlink" Target="https://www.ahd.com/free_profile/210039/CalvertHealth_Medical_Center/Prince_Frederick/Maryland/" TargetMode="External"/><Relationship Id="rId15" Type="http://schemas.openxmlformats.org/officeDocument/2006/relationships/hyperlink" Target="https://www.ahd.com/free_profile/210004/Holy_Cross_Hospital/Silver_Spring/Maryland/" TargetMode="External"/><Relationship Id="rId23" Type="http://schemas.openxmlformats.org/officeDocument/2006/relationships/hyperlink" Target="https://www.ahd.com/free_profile/210034/MedStar_Harbor_Hospital/Baltimore/Maryland/" TargetMode="External"/><Relationship Id="rId28" Type="http://schemas.openxmlformats.org/officeDocument/2006/relationships/hyperlink" Target="https://www.ahd.com/free_profile/210008/Mercy_Medical_Center/Baltimore/Maryland/" TargetMode="External"/><Relationship Id="rId36" Type="http://schemas.openxmlformats.org/officeDocument/2006/relationships/hyperlink" Target="https://www.ahd.com/free_profile/21006F/The_National_Institutes_of_Health_%28NIH%29_Clinical_Center/Bethesda/Maryland/" TargetMode="External"/><Relationship Id="rId49" Type="http://schemas.openxmlformats.org/officeDocument/2006/relationships/hyperlink" Target="https://www.ahd.com/free_profile/210037/University_of_Maryland_Shore_Medical_Center_at_Easton/Easton/Maryland/" TargetMode="Externa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hd.com/free_profile/200018/Northern_Light_AR_Gould_Hospital/Presque_Isle/Maine/" TargetMode="External"/><Relationship Id="rId13" Type="http://schemas.openxmlformats.org/officeDocument/2006/relationships/hyperlink" Target="https://www.ahd.com/free_profile/200052/Northern_Maine_Medical_Center/Fort_Kent/Maine/" TargetMode="External"/><Relationship Id="rId18" Type="http://schemas.openxmlformats.org/officeDocument/2006/relationships/hyperlink" Target="https://www.ahd.com/free_profile/I42268/The_Barbara_Bush_Children%27s_Hospital_at_Maine_Medical_Center/Portland/Maine/" TargetMode="External"/><Relationship Id="rId3" Type="http://schemas.openxmlformats.org/officeDocument/2006/relationships/hyperlink" Target="https://www.ahd.com/free_profile/200037/Franklin_Memorial_Hospital/Farmington/Maine/" TargetMode="External"/><Relationship Id="rId7" Type="http://schemas.openxmlformats.org/officeDocument/2006/relationships/hyperlink" Target="https://www.ahd.com/free_profile/200021/Mid_Coast_Hospital/Brunswick/Maine/" TargetMode="External"/><Relationship Id="rId12" Type="http://schemas.openxmlformats.org/officeDocument/2006/relationships/hyperlink" Target="https://www.ahd.com/free_profile/200008/Northern_Light_Mercy_Hospital/Portland/Maine/" TargetMode="External"/><Relationship Id="rId17" Type="http://schemas.openxmlformats.org/officeDocument/2006/relationships/hyperlink" Target="https://www.ahd.com/free_profile/200019/SMHC_Medical_Center_-_Biddeford/Biddeford/Maine/" TargetMode="External"/><Relationship Id="rId2" Type="http://schemas.openxmlformats.org/officeDocument/2006/relationships/hyperlink" Target="https://www.ahd.com/free_profile/200024/Central_Maine_Medical_Center/Lewiston/Maine/" TargetMode="External"/><Relationship Id="rId16" Type="http://schemas.openxmlformats.org/officeDocument/2006/relationships/hyperlink" Target="https://www.ahd.com/free_profile/200034/Saint_Mary%27s_Regional_Medical_Center/Lewiston/Maine/" TargetMode="External"/><Relationship Id="rId1" Type="http://schemas.openxmlformats.org/officeDocument/2006/relationships/hyperlink" Target="https://www.ahd.com/free_profile/200031/Cary_Medical_Center/Caribou/Maine/" TargetMode="External"/><Relationship Id="rId6" Type="http://schemas.openxmlformats.org/officeDocument/2006/relationships/hyperlink" Target="https://www.ahd.com/free_profile/200039/MaineGeneral_Health/Augusta/Maine/" TargetMode="External"/><Relationship Id="rId11" Type="http://schemas.openxmlformats.org/officeDocument/2006/relationships/hyperlink" Target="https://www.ahd.com/free_profile/200050/Northern_Light_Maine_Coast_Hospital/Ellsworth/Maine/" TargetMode="External"/><Relationship Id="rId5" Type="http://schemas.openxmlformats.org/officeDocument/2006/relationships/hyperlink" Target="https://www.ahd.com/free_profile/20003F/Maine_VA_Medical_Center/Augusta/Maine/" TargetMode="External"/><Relationship Id="rId15" Type="http://schemas.openxmlformats.org/officeDocument/2006/relationships/hyperlink" Target="https://www.ahd.com/free_profile/200001/Saint_Joseph_Hospital/Bangor/Maine/" TargetMode="External"/><Relationship Id="rId10" Type="http://schemas.openxmlformats.org/officeDocument/2006/relationships/hyperlink" Target="https://www.ahd.com/free_profile/200041/Northern_Light_Inland_Hospital/Waterville/Maine/" TargetMode="External"/><Relationship Id="rId19" Type="http://schemas.openxmlformats.org/officeDocument/2006/relationships/hyperlink" Target="https://www.ahd.com/free_profile/200020/York_Hospital/York/Maine/" TargetMode="External"/><Relationship Id="rId4" Type="http://schemas.openxmlformats.org/officeDocument/2006/relationships/hyperlink" Target="https://www.ahd.com/free_profile/200009/Maine_Medical_Center_/Portland/Maine/" TargetMode="External"/><Relationship Id="rId9" Type="http://schemas.openxmlformats.org/officeDocument/2006/relationships/hyperlink" Target="https://www.ahd.com/free_profile/200033/Northern_Light_Eastern_Maine_Medical_Center/Bangor/Maine/" TargetMode="External"/><Relationship Id="rId14" Type="http://schemas.openxmlformats.org/officeDocument/2006/relationships/hyperlink" Target="https://www.ahd.com/free_profile/200063/Pen_Bay_Medical_Center/Rockport/Maine/" TargetMode="External"/></Relationships>
</file>

<file path=xl/worksheets/_rels/sheet24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hd.com/free_profile/230017/Bronson_Methodist_Hospital/Kalamazoo/Michigan/" TargetMode="External"/><Relationship Id="rId21" Type="http://schemas.openxmlformats.org/officeDocument/2006/relationships/hyperlink" Target="https://www.ahd.com/free_profile/230270/Beaumont_Hospital%2C_Taylor/Taylor/Michigan/" TargetMode="External"/><Relationship Id="rId42" Type="http://schemas.openxmlformats.org/officeDocument/2006/relationships/hyperlink" Target="https://www.ahd.com/free_profile/230146/Henry_Ford_Wyandotte_Hospital/Wyandotte/Michigan/" TargetMode="External"/><Relationship Id="rId47" Type="http://schemas.openxmlformats.org/officeDocument/2006/relationships/hyperlink" Target="https://www.ahd.com/free_profile/230297/Karmanos_Cancer_Institute/Detroit/Michigan/" TargetMode="External"/><Relationship Id="rId63" Type="http://schemas.openxmlformats.org/officeDocument/2006/relationships/hyperlink" Target="https://www.ahd.com/free_profile/230121/Memorial_Healthcare/Owosso/Michigan/" TargetMode="External"/><Relationship Id="rId68" Type="http://schemas.openxmlformats.org/officeDocument/2006/relationships/hyperlink" Target="https://www.ahd.com/free_profile/230264/Michigan_Surgical_Hospital/Warren/Michigan/" TargetMode="External"/><Relationship Id="rId84" Type="http://schemas.openxmlformats.org/officeDocument/2006/relationships/hyperlink" Target="https://www.ahd.com/free_profile/230099/ProMedica_Monroe_Regional_Hospital/Monroe/Michigan/" TargetMode="External"/><Relationship Id="rId89" Type="http://schemas.openxmlformats.org/officeDocument/2006/relationships/hyperlink" Target="https://www.ahd.com/free_profile/230208/Sparrow_Carson_Hospital/Carson_City/Michigan/" TargetMode="External"/><Relationship Id="rId16" Type="http://schemas.openxmlformats.org/officeDocument/2006/relationships/hyperlink" Target="https://www.ahd.com/free_profile/23012F/Battle_Creek_VA_Medical_Center/Battle_Creek/Michigan/" TargetMode="External"/><Relationship Id="rId11" Type="http://schemas.openxmlformats.org/officeDocument/2006/relationships/hyperlink" Target="https://www.ahd.com/free_profile/230019/Ascension_Providence_Hospital%2C_Southfield_Campus/Southfield/Michigan/" TargetMode="External"/><Relationship Id="rId32" Type="http://schemas.openxmlformats.org/officeDocument/2006/relationships/hyperlink" Target="https://www.ahd.com/free_profile/230104/DMC_Harper_University_Hospital/Detroit/Michigan/" TargetMode="External"/><Relationship Id="rId37" Type="http://schemas.openxmlformats.org/officeDocument/2006/relationships/hyperlink" Target="https://www.ahd.com/free_profile/230275/Healthsource_Saginaw/Saginaw/Michigan/" TargetMode="External"/><Relationship Id="rId53" Type="http://schemas.openxmlformats.org/officeDocument/2006/relationships/hyperlink" Target="https://www.ahd.com/free_profile/230080/McLaren_Central_Michigan_/Mount_Pleasant/Michigan/" TargetMode="External"/><Relationship Id="rId58" Type="http://schemas.openxmlformats.org/officeDocument/2006/relationships/hyperlink" Target="https://www.ahd.com/free_profile/230105/McLaren_Northern_Michigan_/Petoskey/Michigan/" TargetMode="External"/><Relationship Id="rId74" Type="http://schemas.openxmlformats.org/officeDocument/2006/relationships/hyperlink" Target="https://www.ahd.com/free_profile/230081/Munson_Healthcare_Cadillac_Hospital_/Cadillac/Michigan/" TargetMode="External"/><Relationship Id="rId79" Type="http://schemas.openxmlformats.org/officeDocument/2006/relationships/hyperlink" Target="https://www.ahd.com/free_profile/232331/Oscar_G_Johnson_VA_Medical_Center/Iron_Mountain/Michigan/" TargetMode="External"/><Relationship Id="rId102" Type="http://schemas.openxmlformats.org/officeDocument/2006/relationships/hyperlink" Target="https://www.ahd.com/free_profile/230108/UP_Health_System_Portage_/Hancock/Michigan/" TargetMode="External"/><Relationship Id="rId5" Type="http://schemas.openxmlformats.org/officeDocument/2006/relationships/hyperlink" Target="https://www.ahd.com/free_profile/230117/Ascension_Borgess_Hospital/Kalamazoo/Michigan/" TargetMode="External"/><Relationship Id="rId90" Type="http://schemas.openxmlformats.org/officeDocument/2006/relationships/hyperlink" Target="https://www.ahd.com/free_profile/230230/Sparrow_Hospital/Lansing/Michigan/" TargetMode="External"/><Relationship Id="rId95" Type="http://schemas.openxmlformats.org/officeDocument/2006/relationships/hyperlink" Target="https://www.ahd.com/free_profile/230035/Spectrum_Health_United_Hospital/Greenville/Michigan/" TargetMode="External"/><Relationship Id="rId22" Type="http://schemas.openxmlformats.org/officeDocument/2006/relationships/hyperlink" Target="https://www.ahd.com/free_profile/230176/Beaumont_Hospital%2C_Trenton/Trenton/Michigan/" TargetMode="External"/><Relationship Id="rId27" Type="http://schemas.openxmlformats.org/officeDocument/2006/relationships/hyperlink" Target="https://www.ahd.com/free_profile/230085/Bronson_South_Haven_Hospital/South_Haven/Michigan/" TargetMode="External"/><Relationship Id="rId43" Type="http://schemas.openxmlformats.org/officeDocument/2006/relationships/hyperlink" Target="https://www.ahd.com/free_profile/230037/Hillsdale_Hospital/Hillsdale/Michigan/" TargetMode="External"/><Relationship Id="rId48" Type="http://schemas.openxmlformats.org/officeDocument/2006/relationships/hyperlink" Target="https://www.ahd.com/free_profile/230031/Lake_Huron_Medical_Center/Port_Huron/Michigan/" TargetMode="External"/><Relationship Id="rId64" Type="http://schemas.openxmlformats.org/officeDocument/2006/relationships/hyperlink" Target="https://www.ahd.com/free_profile/230066/Mercy_Health_Hackley_Campus/Muskegon/Michigan/" TargetMode="External"/><Relationship Id="rId69" Type="http://schemas.openxmlformats.org/officeDocument/2006/relationships/hyperlink" Target="https://www.ahd.com/free_profile/230036/MidMichigan_Medical_Center_-_Alpena/Alpena/Michigan/" TargetMode="External"/><Relationship Id="rId80" Type="http://schemas.openxmlformats.org/officeDocument/2006/relationships/hyperlink" Target="https://www.ahd.com/free_profile/230133/Otsego_Memorial_Hospital/Gaylord/Michigan/" TargetMode="External"/><Relationship Id="rId85" Type="http://schemas.openxmlformats.org/officeDocument/2006/relationships/hyperlink" Target="https://www.ahd.com/free_profile/230259/Saint_Joseph_Mercy_Chelsea/Chelsea/Michigan/" TargetMode="External"/><Relationship Id="rId12" Type="http://schemas.openxmlformats.org/officeDocument/2006/relationships/hyperlink" Target="https://www.ahd.com/free_profile/230254/Ascension_Providence_Rochester_Hospital/Rochester/Michigan/" TargetMode="External"/><Relationship Id="rId17" Type="http://schemas.openxmlformats.org/officeDocument/2006/relationships/hyperlink" Target="https://www.ahd.com/free_profile/230020/Beaumont_Hospital%2C__Dearborn/Dearborn/Michigan/" TargetMode="External"/><Relationship Id="rId33" Type="http://schemas.openxmlformats.org/officeDocument/2006/relationships/hyperlink" Target="https://www.ahd.com/free_profile/230277/DMC_Huron_Valley-Sinai_Hospital/Commerce/Michigan/" TargetMode="External"/><Relationship Id="rId38" Type="http://schemas.openxmlformats.org/officeDocument/2006/relationships/hyperlink" Target="https://www.ahd.com/free_profile/230092/Henry_Ford_Allegiance_Health_Hospital/Jackson/Michigan/" TargetMode="External"/><Relationship Id="rId59" Type="http://schemas.openxmlformats.org/officeDocument/2006/relationships/hyperlink" Target="https://www.ahd.com/free_profile/230207/McLaren_Oakland/Pontiac/Michigan/" TargetMode="External"/><Relationship Id="rId103" Type="http://schemas.openxmlformats.org/officeDocument/2006/relationships/hyperlink" Target="https://www.ahd.com/free_profile/230054/UPHS__-__Marquette/Marquette/Michigan/" TargetMode="External"/><Relationship Id="rId20" Type="http://schemas.openxmlformats.org/officeDocument/2006/relationships/hyperlink" Target="https://www.ahd.com/free_profile/230130/Beaumont_Hospital%2C_Royal_Oak/Royal_Oak/Michigan/" TargetMode="External"/><Relationship Id="rId41" Type="http://schemas.openxmlformats.org/officeDocument/2006/relationships/hyperlink" Target="https://www.ahd.com/free_profile/230302/Henry_Ford_West_Bloomfield_Hospital/West_Bloomfield/Michigan/" TargetMode="External"/><Relationship Id="rId54" Type="http://schemas.openxmlformats.org/officeDocument/2006/relationships/hyperlink" Target="https://www.ahd.com/free_profile/230141/McLaren_Flint/Flint/Michigan/" TargetMode="External"/><Relationship Id="rId62" Type="http://schemas.openxmlformats.org/officeDocument/2006/relationships/hyperlink" Target="https://www.ahd.com/free_profile/230118/McLaren_Thumb_Region/Bad_Axe/Michigan/" TargetMode="External"/><Relationship Id="rId70" Type="http://schemas.openxmlformats.org/officeDocument/2006/relationships/hyperlink" Target="https://www.ahd.com/free_profile/230180/MidMichigan_Medical_Center_-_Clare/Clare/Michigan/" TargetMode="External"/><Relationship Id="rId75" Type="http://schemas.openxmlformats.org/officeDocument/2006/relationships/hyperlink" Target="https://www.ahd.com/free_profile/230058/Munson_Healthcare_Grayling_Hospital_/Grayling/Michigan/" TargetMode="External"/><Relationship Id="rId83" Type="http://schemas.openxmlformats.org/officeDocument/2006/relationships/hyperlink" Target="https://www.ahd.com/free_profile/230022/ProMedica_Coldwater_Regional_Hospital_/Coldwater/Michigan/" TargetMode="External"/><Relationship Id="rId88" Type="http://schemas.openxmlformats.org/officeDocument/2006/relationships/hyperlink" Target="https://www.ahd.com/free_profile/230002/Saint_Mary_Mercy_Livonia_Hospital/Livonia/Michigan/" TargetMode="External"/><Relationship Id="rId91" Type="http://schemas.openxmlformats.org/officeDocument/2006/relationships/hyperlink" Target="https://www.ahd.com/free_profile/230093/Spectrum_Health_Big_Rapids_Hospital/Big_Rapids/Michigan/" TargetMode="External"/><Relationship Id="rId96" Type="http://schemas.openxmlformats.org/officeDocument/2006/relationships/hyperlink" Target="https://www.ahd.com/free_profile/230156/St_Joseph_Mercy_Ann_Arbor/Ypsilanti/Michigan/" TargetMode="External"/><Relationship Id="rId1" Type="http://schemas.openxmlformats.org/officeDocument/2006/relationships/hyperlink" Target="https://www.ahd.com/free_profile/230165/_Ascension_Saint_John_Hospital_/Detroit/Michigan/" TargetMode="External"/><Relationship Id="rId6" Type="http://schemas.openxmlformats.org/officeDocument/2006/relationships/hyperlink" Target="https://www.ahd.com/free_profile/230279/Ascension_Brighton_Center_for_Recovery/Brighton/Michigan/" TargetMode="External"/><Relationship Id="rId15" Type="http://schemas.openxmlformats.org/officeDocument/2006/relationships/hyperlink" Target="https://www.ahd.com/free_profile/230077/Ascension_St_Mary%27s_Hospital/Saginaw/Michigan/" TargetMode="External"/><Relationship Id="rId23" Type="http://schemas.openxmlformats.org/officeDocument/2006/relationships/hyperlink" Target="https://www.ahd.com/free_profile/230269/Beaumont_Hospital%2C_Troy/Troy/Michigan/" TargetMode="External"/><Relationship Id="rId28" Type="http://schemas.openxmlformats.org/officeDocument/2006/relationships/hyperlink" Target="https://www.ahd.com/free_profile/I42110/Covenant_Medical_Center_Cooper/Saginaw_/Michigan/" TargetMode="External"/><Relationship Id="rId36" Type="http://schemas.openxmlformats.org/officeDocument/2006/relationships/hyperlink" Target="https://www.ahd.com/free_profile/230244/Garden_City_Hospital/Garden_City/Michigan/" TargetMode="External"/><Relationship Id="rId49" Type="http://schemas.openxmlformats.org/officeDocument/2006/relationships/hyperlink" Target="https://www.ahd.com/free_profile/I41125/Lakeland_Hospital_Niles/Niles/Michigan/" TargetMode="External"/><Relationship Id="rId57" Type="http://schemas.openxmlformats.org/officeDocument/2006/relationships/hyperlink" Target="https://www.ahd.com/free_profile/230227/McLaren_Macomb/Mount_Clemens/Michigan/" TargetMode="External"/><Relationship Id="rId10" Type="http://schemas.openxmlformats.org/officeDocument/2006/relationships/hyperlink" Target="https://www.ahd.com/free_profile/I41469/Ascension_Providence_Hospital_Novi_Campus/Novi/Michigan/" TargetMode="External"/><Relationship Id="rId31" Type="http://schemas.openxmlformats.org/officeDocument/2006/relationships/hyperlink" Target="https://www.ahd.com/free_profile/230273/DMC_Detroit_Receiving_Hospital/Detroit/Michigan/" TargetMode="External"/><Relationship Id="rId44" Type="http://schemas.openxmlformats.org/officeDocument/2006/relationships/hyperlink" Target="https://www.ahd.com/free_profile/230072/Holland_Hospital/Holland/Michigan/" TargetMode="External"/><Relationship Id="rId52" Type="http://schemas.openxmlformats.org/officeDocument/2006/relationships/hyperlink" Target="https://www.ahd.com/free_profile/230041/McLaren_Bay_Region/Bay_City/Michigan/" TargetMode="External"/><Relationship Id="rId60" Type="http://schemas.openxmlformats.org/officeDocument/2006/relationships/hyperlink" Target="https://www.ahd.com/free_profile/I41463/McLaren_Orthopedic_Hospital/Lansing/Michigan/" TargetMode="External"/><Relationship Id="rId65" Type="http://schemas.openxmlformats.org/officeDocument/2006/relationships/hyperlink" Target="https://www.ahd.com/free_profile/230004/Mercy_Health_Mercy_Campus/Muskegon/Michigan/" TargetMode="External"/><Relationship Id="rId73" Type="http://schemas.openxmlformats.org/officeDocument/2006/relationships/hyperlink" Target="https://www.ahd.com/free_profile/230095/MidMichigan_Medical_Center-West_Branch/West_Branch/Michigan/" TargetMode="External"/><Relationship Id="rId78" Type="http://schemas.openxmlformats.org/officeDocument/2006/relationships/hyperlink" Target="https://www.ahd.com/free_profile/230217/Oaklawn_Hospital/Marshall/Michigan/" TargetMode="External"/><Relationship Id="rId81" Type="http://schemas.openxmlformats.org/officeDocument/2006/relationships/hyperlink" Target="https://www.ahd.com/free_profile/230013/Pontiac_General_Hospital/Pontiac/Michigan/" TargetMode="External"/><Relationship Id="rId86" Type="http://schemas.openxmlformats.org/officeDocument/2006/relationships/hyperlink" Target="https://www.ahd.com/free_profile/230069/Saint_Joseph_Mercy_Livingston_Hospital/Howell/Michigan/" TargetMode="External"/><Relationship Id="rId94" Type="http://schemas.openxmlformats.org/officeDocument/2006/relationships/hyperlink" Target="https://www.ahd.com/free_profile/230110/Spectrum_Health_Ludington_Hospital/Ludington/Michigan/" TargetMode="External"/><Relationship Id="rId99" Type="http://schemas.openxmlformats.org/officeDocument/2006/relationships/hyperlink" Target="https://www.ahd.com/free_profile/230301/Surgeons_Choice_Medical_Center/Southfield/Michigan/" TargetMode="External"/><Relationship Id="rId101" Type="http://schemas.openxmlformats.org/officeDocument/2006/relationships/hyperlink" Target="https://www.ahd.com/free_profile/230046/University_of_Michigan_Hospitals_and_Health_Centers/Ann_Arbor/Michigan/" TargetMode="External"/><Relationship Id="rId4" Type="http://schemas.openxmlformats.org/officeDocument/2006/relationships/hyperlink" Target="https://www.ahd.com/free_profile/23009F/Aleda_E_Lutz_VA_Medical_Center/Saginaw/Michigan/" TargetMode="External"/><Relationship Id="rId9" Type="http://schemas.openxmlformats.org/officeDocument/2006/relationships/hyperlink" Target="https://www.ahd.com/free_profile/230223/Ascension_Macomb-Oakland_Hospital%2C_Madison_Heights_Campus/Madison_Heights/Michigan/" TargetMode="External"/><Relationship Id="rId13" Type="http://schemas.openxmlformats.org/officeDocument/2006/relationships/hyperlink" Target="https://www.ahd.com/free_profile/230241/Ascension_River_District_Hospital/East_China_Township/Michigan/" TargetMode="External"/><Relationship Id="rId18" Type="http://schemas.openxmlformats.org/officeDocument/2006/relationships/hyperlink" Target="https://www.ahd.com/free_profile/230151/Beaumont_Hospital%2C__Farmington_Hills/Farmington_Hills/Michigan/" TargetMode="External"/><Relationship Id="rId39" Type="http://schemas.openxmlformats.org/officeDocument/2006/relationships/hyperlink" Target="https://www.ahd.com/free_profile/230053/Henry_Ford_Hospital/Detroit/Michigan/" TargetMode="External"/><Relationship Id="rId34" Type="http://schemas.openxmlformats.org/officeDocument/2006/relationships/hyperlink" Target="https://www.ahd.com/free_profile/230024/DMC_Sinai-Grace_Hospital/Detroit/Michigan/" TargetMode="External"/><Relationship Id="rId50" Type="http://schemas.openxmlformats.org/officeDocument/2006/relationships/hyperlink" Target="https://www.ahd.com/free_profile/230078/Lakeland_Hospital%2C_Watervliet/Watervliet/Michigan/" TargetMode="External"/><Relationship Id="rId55" Type="http://schemas.openxmlformats.org/officeDocument/2006/relationships/hyperlink" Target="https://www.ahd.com/free_profile/230167/McLaren_Greater_Lansing/Lansing/Michigan/" TargetMode="External"/><Relationship Id="rId76" Type="http://schemas.openxmlformats.org/officeDocument/2006/relationships/hyperlink" Target="https://www.ahd.com/free_profile/230097/Munson_Medical_Center/Traverse_City/Michigan/" TargetMode="External"/><Relationship Id="rId97" Type="http://schemas.openxmlformats.org/officeDocument/2006/relationships/hyperlink" Target="https://www.ahd.com/free_profile/230071/Straith_Hospital/Southfield/Michigan/" TargetMode="External"/><Relationship Id="rId104" Type="http://schemas.openxmlformats.org/officeDocument/2006/relationships/hyperlink" Target="https://www.ahd.com/free_profile/23011F/VA_Ann_Arbor_Healthcare_System/Ann_Arbor/Michigan/" TargetMode="External"/><Relationship Id="rId7" Type="http://schemas.openxmlformats.org/officeDocument/2006/relationships/hyperlink" Target="https://www.ahd.com/free_profile/230197/Ascension_Genesys_Hospital/Grand_Blanc/Michigan/" TargetMode="External"/><Relationship Id="rId71" Type="http://schemas.openxmlformats.org/officeDocument/2006/relationships/hyperlink" Target="https://www.ahd.com/free_profile/230030/MidMichigan_Medical_Center_-_Gratiot/Alma/Michigan/" TargetMode="External"/><Relationship Id="rId92" Type="http://schemas.openxmlformats.org/officeDocument/2006/relationships/hyperlink" Target="https://www.ahd.com/free_profile/230032/Spectrum_Health_Blodgett_Hospital/Grand_Rapids/Michigan/" TargetMode="External"/><Relationship Id="rId2" Type="http://schemas.openxmlformats.org/officeDocument/2006/relationships/hyperlink" Target="https://www.ahd.com/free_profile/230303/_Munson_Healthcare_Manistee_Hospital/Manistee/Michigan/" TargetMode="External"/><Relationship Id="rId29" Type="http://schemas.openxmlformats.org/officeDocument/2006/relationships/hyperlink" Target="https://www.ahd.com/free_profile/230070/Covenant_Medical_Center_Harrison/Saginaw/Michigan/" TargetMode="External"/><Relationship Id="rId24" Type="http://schemas.openxmlformats.org/officeDocument/2006/relationships/hyperlink" Target="https://www.ahd.com/free_profile/230142/Beaumont_Hospital%2C_Wayne/Wayne/Michigan/" TargetMode="External"/><Relationship Id="rId40" Type="http://schemas.openxmlformats.org/officeDocument/2006/relationships/hyperlink" Target="https://www.ahd.com/free_profile/230047/Henry_Ford_Macomb_Hospital_-_Clinton_Township/Clinton_Township/Michigan/" TargetMode="External"/><Relationship Id="rId45" Type="http://schemas.openxmlformats.org/officeDocument/2006/relationships/hyperlink" Target="https://www.ahd.com/free_profile/230132/Hurley_Medical_Center/Flint/Michigan/" TargetMode="External"/><Relationship Id="rId66" Type="http://schemas.openxmlformats.org/officeDocument/2006/relationships/hyperlink" Target="https://www.ahd.com/free_profile/230059/Mercy_Health_Saint_Mary%27s/Grand_Rapids/Michigan/" TargetMode="External"/><Relationship Id="rId87" Type="http://schemas.openxmlformats.org/officeDocument/2006/relationships/hyperlink" Target="https://www.ahd.com/free_profile/230029/Saint_Joseph_Mercy_Oakland/Pontiac/Michigan/" TargetMode="External"/><Relationship Id="rId61" Type="http://schemas.openxmlformats.org/officeDocument/2006/relationships/hyperlink" Target="https://www.ahd.com/free_profile/230216/McLaren_Port_Huron_Hospital/Port_Huron/Michigan/" TargetMode="External"/><Relationship Id="rId82" Type="http://schemas.openxmlformats.org/officeDocument/2006/relationships/hyperlink" Target="https://www.ahd.com/free_profile/230005/ProMedica_Bixby_Hospital/Adrian/Michigan/" TargetMode="External"/><Relationship Id="rId19" Type="http://schemas.openxmlformats.org/officeDocument/2006/relationships/hyperlink" Target="https://www.ahd.com/free_profile/230089/Beaumont_Hospital%2C_Grosse_Pointe/Grosse_Pointe/Michigan/" TargetMode="External"/><Relationship Id="rId14" Type="http://schemas.openxmlformats.org/officeDocument/2006/relationships/hyperlink" Target="https://www.ahd.com/free_profile/230100/Ascension_St_Joseph_Hospital/Tawas_City/Michigan/" TargetMode="External"/><Relationship Id="rId30" Type="http://schemas.openxmlformats.org/officeDocument/2006/relationships/hyperlink" Target="https://www.ahd.com/free_profile/230055/Dickinson_County_Healthcare_System/Iron_Mountain/Michigan/" TargetMode="External"/><Relationship Id="rId35" Type="http://schemas.openxmlformats.org/officeDocument/2006/relationships/hyperlink" Target="https://www.ahd.com/free_profile/230144/Forest_Health_Medical_Center_Michigan/Ypsilanti/Michigan/" TargetMode="External"/><Relationship Id="rId56" Type="http://schemas.openxmlformats.org/officeDocument/2006/relationships/hyperlink" Target="https://www.ahd.com/free_profile/230193/McLaren_Lapeer_Region/Lapeer/Michigan/" TargetMode="External"/><Relationship Id="rId77" Type="http://schemas.openxmlformats.org/officeDocument/2006/relationships/hyperlink" Target="https://www.ahd.com/free_profile/230174/North_Ottawa_Community_Hospital/Grand_Haven/Michigan/" TargetMode="External"/><Relationship Id="rId100" Type="http://schemas.openxmlformats.org/officeDocument/2006/relationships/hyperlink" Target="https://www.ahd.com/free_profile/230015/Three_Rivers_Health_Medical_Center/Three_Rivers/Michigan/" TargetMode="External"/><Relationship Id="rId105" Type="http://schemas.openxmlformats.org/officeDocument/2006/relationships/hyperlink" Target="https://www.ahd.com/free_profile/230239/War_Memorial_Hospital/Sault_Saint_Marie/Michigan/" TargetMode="External"/><Relationship Id="rId8" Type="http://schemas.openxmlformats.org/officeDocument/2006/relationships/hyperlink" Target="https://www.ahd.com/free_profile/230195/Ascension_Macomb_-_Oakland_Hospital_Warren_Campus/Warren/Michigan/" TargetMode="External"/><Relationship Id="rId51" Type="http://schemas.openxmlformats.org/officeDocument/2006/relationships/hyperlink" Target="https://www.ahd.com/free_profile/230021/Lakeland_Medical_Center%2C_Saint_Joseph/Saint_Joseph/Michigan/" TargetMode="External"/><Relationship Id="rId72" Type="http://schemas.openxmlformats.org/officeDocument/2006/relationships/hyperlink" Target="https://www.ahd.com/free_profile/230222/MidMichigan_Medical_Center_-_Midland/Midland/Michigan/" TargetMode="External"/><Relationship Id="rId93" Type="http://schemas.openxmlformats.org/officeDocument/2006/relationships/hyperlink" Target="https://www.ahd.com/free_profile/230038/Spectrum_Health_Butterworth_Hospital/Grand_Rapids/Michigan/" TargetMode="External"/><Relationship Id="rId98" Type="http://schemas.openxmlformats.org/officeDocument/2006/relationships/hyperlink" Target="https://www.ahd.com/free_profile/230096/Sturgis_Hospital/Sturgis/Michigan/" TargetMode="External"/><Relationship Id="rId3" Type="http://schemas.openxmlformats.org/officeDocument/2006/relationships/hyperlink" Target="https://www.ahd.com/free_profile/230003/_Spectrum_Health_Zeeland_Community_Hospital/Zeeland/Michigan/" TargetMode="External"/><Relationship Id="rId25" Type="http://schemas.openxmlformats.org/officeDocument/2006/relationships/hyperlink" Target="https://www.ahd.com/free_profile/230075/Bronson_Battle_Creek/Battle_Creek/Michigan/" TargetMode="External"/><Relationship Id="rId46" Type="http://schemas.openxmlformats.org/officeDocument/2006/relationships/hyperlink" Target="https://www.ahd.com/free_profile/23037F/John_D_Dingell_VA_Medical_Center/Detroit/Michigan/" TargetMode="External"/><Relationship Id="rId67" Type="http://schemas.openxmlformats.org/officeDocument/2006/relationships/hyperlink" Target="https://www.ahd.com/free_profile/230236/Metro_Health_Hospital/Wyoming/Michigan/" TargetMode="External"/></Relationships>
</file>

<file path=xl/worksheets/_rels/sheet2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ahd.com/free_profile/240040/Fairview_Range/Hibbing/Minnesota/" TargetMode="External"/><Relationship Id="rId18" Type="http://schemas.openxmlformats.org/officeDocument/2006/relationships/hyperlink" Target="https://www.ahd.com/free_profile/240052/Lake_Region_Hospital/Fergus_Falls/Minnesota/" TargetMode="External"/><Relationship Id="rId26" Type="http://schemas.openxmlformats.org/officeDocument/2006/relationships/hyperlink" Target="https://www.ahd.com/free_profile/240214/Maple_Grove_Hospital/Maple_Grove/Minnesota/" TargetMode="External"/><Relationship Id="rId39" Type="http://schemas.openxmlformats.org/officeDocument/2006/relationships/hyperlink" Target="https://www.ahd.com/free_profile/240014/Northfield_Hospital/Northfield/Minnesota/" TargetMode="External"/><Relationship Id="rId21" Type="http://schemas.openxmlformats.org/officeDocument/2006/relationships/hyperlink" Target="https://www.ahd.com/free_profile/240207/M_Health_Fairview_Ridges_Hospital/Burnsville/Minnesota/" TargetMode="External"/><Relationship Id="rId34" Type="http://schemas.openxmlformats.org/officeDocument/2006/relationships/hyperlink" Target="https://www.ahd.com/free_profile/240115/Mercy_Hospital/Coon_Rapids/Minnesota/" TargetMode="External"/><Relationship Id="rId42" Type="http://schemas.openxmlformats.org/officeDocument/2006/relationships/hyperlink" Target="https://www.ahd.com/free_profile/240196/Phillips_Eye_Institute/Minneapolis/Minnesota/" TargetMode="External"/><Relationship Id="rId47" Type="http://schemas.openxmlformats.org/officeDocument/2006/relationships/hyperlink" Target="https://www.ahd.com/free_profile/240036/Saint_Cloud_Hospital/Saint_Cloud/Minnesota/" TargetMode="External"/><Relationship Id="rId50" Type="http://schemas.openxmlformats.org/officeDocument/2006/relationships/hyperlink" Target="https://www.ahd.com/free_profile/240047/Saint_Luke%27s_Hospital/Duluth/Minnesota/" TargetMode="External"/><Relationship Id="rId55" Type="http://schemas.openxmlformats.org/officeDocument/2006/relationships/hyperlink" Target="https://www.ahd.com/free_profile/240213/Woodwinds_Health_Campus/Woodbury/Minnesota/" TargetMode="External"/><Relationship Id="rId7" Type="http://schemas.openxmlformats.org/officeDocument/2006/relationships/hyperlink" Target="https://www.ahd.com/free_profile/240071/District_One_Hospital/Faribault/Minnesota/" TargetMode="External"/><Relationship Id="rId2" Type="http://schemas.openxmlformats.org/officeDocument/2006/relationships/hyperlink" Target="https://www.ahd.com/free_profile/240057/Abbott_Northwestern_Hospital/Minneapolis/Minnesota/" TargetMode="External"/><Relationship Id="rId16" Type="http://schemas.openxmlformats.org/officeDocument/2006/relationships/hyperlink" Target="https://www.ahd.com/free_profile/240004/Hennepin_Healthcare/Minneapolis/Minnesota/" TargetMode="External"/><Relationship Id="rId29" Type="http://schemas.openxmlformats.org/officeDocument/2006/relationships/hyperlink" Target="https://www.ahd.com/free_profile/240166/Mayo_Clinic_Health_System_in_Fairmont/Fairmont/Minnesota/" TargetMode="External"/><Relationship Id="rId11" Type="http://schemas.openxmlformats.org/officeDocument/2006/relationships/hyperlink" Target="https://www.ahd.com/free_profile/240101/Essentia_Health_Saint_Mary%27s_-_Detroit_Lakes/Detroit_Lakes/Minnesota/" TargetMode="External"/><Relationship Id="rId24" Type="http://schemas.openxmlformats.org/officeDocument/2006/relationships/hyperlink" Target="https://www.ahd.com/free_profile/240080/M_Health_Fairview_University_of_Minnesota_Medical_Center/Minneapolis/Minnesota/" TargetMode="External"/><Relationship Id="rId32" Type="http://schemas.openxmlformats.org/officeDocument/2006/relationships/hyperlink" Target="https://www.ahd.com/free_profile/240061/Mayo_Clinic_Hospital_-_Methodist_Campus/Rochester/Minnesota/" TargetMode="External"/><Relationship Id="rId37" Type="http://schemas.openxmlformats.org/officeDocument/2006/relationships/hyperlink" Target="https://www.ahd.com/free_profile/24001F/Minneapolis_VA_Medical_Center/Minneapolis/Minnesota/" TargetMode="External"/><Relationship Id="rId40" Type="http://schemas.openxmlformats.org/officeDocument/2006/relationships/hyperlink" Target="https://www.ahd.com/free_profile/240006/Olmsted_Medical_Center/Rochester/Minnesota/" TargetMode="External"/><Relationship Id="rId45" Type="http://schemas.openxmlformats.org/officeDocument/2006/relationships/hyperlink" Target="https://www.ahd.com/free_profile/240106/Regions_Hospital/Saint_Paul/Minnesota/" TargetMode="External"/><Relationship Id="rId53" Type="http://schemas.openxmlformats.org/officeDocument/2006/relationships/hyperlink" Target="https://www.ahd.com/free_profile/240038/United_Hospital/Saint_Paul/Minnesota/" TargetMode="External"/><Relationship Id="rId5" Type="http://schemas.openxmlformats.org/officeDocument/2006/relationships/hyperlink" Target="https://www.ahd.com/free_profile/240020/Cambridge_Medical_Center/Cambridge/Minnesota/" TargetMode="External"/><Relationship Id="rId10" Type="http://schemas.openxmlformats.org/officeDocument/2006/relationships/hyperlink" Target="https://www.ahd.com/free_profile/240019/Essentia_Health_Duluth/Duluth/Minnesota/" TargetMode="External"/><Relationship Id="rId19" Type="http://schemas.openxmlformats.org/officeDocument/2006/relationships/hyperlink" Target="https://www.ahd.com/free_profile/240066/Lakeview_Hospital/Stillwater/Minnesota/" TargetMode="External"/><Relationship Id="rId31" Type="http://schemas.openxmlformats.org/officeDocument/2006/relationships/hyperlink" Target="https://www.ahd.com/free_profile/240018/Mayo_Clinic_Health_System_in_Red_Wing/Red_Wing/Minnesota/" TargetMode="External"/><Relationship Id="rId44" Type="http://schemas.openxmlformats.org/officeDocument/2006/relationships/hyperlink" Target="https://www.ahd.com/free_profile/240059/Regina_Hospital/Hastings/Minnesota/" TargetMode="External"/><Relationship Id="rId52" Type="http://schemas.openxmlformats.org/officeDocument/2006/relationships/hyperlink" Target="https://www.ahd.com/free_profile/240022/Sanford_Worthington_Medical_Center/Worthington/Minnesota/" TargetMode="External"/><Relationship Id="rId4" Type="http://schemas.openxmlformats.org/officeDocument/2006/relationships/hyperlink" Target="https://www.ahd.com/free_profile/240076/Buffalo_Hospital/Buffalo/Minnesota/" TargetMode="External"/><Relationship Id="rId9" Type="http://schemas.openxmlformats.org/officeDocument/2006/relationships/hyperlink" Target="https://www.ahd.com/free_profile/240084/Essentia_Health_-_Virginia/Virginia/Minnesota/" TargetMode="External"/><Relationship Id="rId14" Type="http://schemas.openxmlformats.org/officeDocument/2006/relationships/hyperlink" Target="https://www.ahd.com/free_profile/240064/Grand_Itasca_Clinic_%26_Hospital/Grand_Rapids/Minnesota/" TargetMode="External"/><Relationship Id="rId22" Type="http://schemas.openxmlformats.org/officeDocument/2006/relationships/hyperlink" Target="https://www.ahd.com/free_profile/240078/M_Health_Fairview_Southdale_Hospital/Edina/Minnesota/" TargetMode="External"/><Relationship Id="rId27" Type="http://schemas.openxmlformats.org/officeDocument/2006/relationships/hyperlink" Target="https://www.ahd.com/free_profile/240043/Mayo_Clinic_Health_System_in_Albert_Lea/Albert_Lea/Minnesota/" TargetMode="External"/><Relationship Id="rId30" Type="http://schemas.openxmlformats.org/officeDocument/2006/relationships/hyperlink" Target="https://www.ahd.com/free_profile/240093/Mayo_Clinic_Health_System_in_Mankato/Mankato/Minnesota/" TargetMode="External"/><Relationship Id="rId35" Type="http://schemas.openxmlformats.org/officeDocument/2006/relationships/hyperlink" Target="https://www.ahd.com/free_profile/240132/Mercy_Hospital_-_Unity_Campus/Fridley/Minnesota/" TargetMode="External"/><Relationship Id="rId43" Type="http://schemas.openxmlformats.org/officeDocument/2006/relationships/hyperlink" Target="https://www.ahd.com/free_profile/240206/Red_Lake_IHS_Hospital/Redlake/Minnesota/" TargetMode="External"/><Relationship Id="rId48" Type="http://schemas.openxmlformats.org/officeDocument/2006/relationships/hyperlink" Target="https://www.ahd.com/free_profile/24002F/Saint_Cloud_VA_Medical_Center/Saint_Cloud/Minnesota/" TargetMode="External"/><Relationship Id="rId8" Type="http://schemas.openxmlformats.org/officeDocument/2006/relationships/hyperlink" Target="https://www.ahd.com/free_profile/240075/Essentia_Health_-_Saint_Joseph%27s_Medical_Center/Brainerd/Minnesota/" TargetMode="External"/><Relationship Id="rId51" Type="http://schemas.openxmlformats.org/officeDocument/2006/relationships/hyperlink" Target="https://www.ahd.com/free_profile/240100/Sanford_Bemidji_Medical_Center/Bemidji/Minnesota/" TargetMode="External"/><Relationship Id="rId3" Type="http://schemas.openxmlformats.org/officeDocument/2006/relationships/hyperlink" Target="https://www.ahd.com/free_profile/240030/Alomere_Health/Alexandria/Minnesota/" TargetMode="External"/><Relationship Id="rId12" Type="http://schemas.openxmlformats.org/officeDocument/2006/relationships/hyperlink" Target="https://www.ahd.com/free_profile/240002/Essentia_Health_Saint_Mary%27s_Medical_Center/Duluth/Minnesota/" TargetMode="External"/><Relationship Id="rId17" Type="http://schemas.openxmlformats.org/officeDocument/2006/relationships/hyperlink" Target="https://www.ahd.com/free_profile/240187/Hutchinson_Health_Hospital/Hutchinson/Minnesota/" TargetMode="External"/><Relationship Id="rId25" Type="http://schemas.openxmlformats.org/officeDocument/2006/relationships/hyperlink" Target="https://www.ahd.com/free_profile/I41241/M_Health_Fairview_University_of_Minnesota_Medical_Center_-_West_Bank_Campus/Minneapolis/Minnesota/" TargetMode="External"/><Relationship Id="rId33" Type="http://schemas.openxmlformats.org/officeDocument/2006/relationships/hyperlink" Target="https://www.ahd.com/free_profile/240010/Mayo_Clinic_Hospital_-_Saint_Mary%27s_Campus/Rochester/Minnesota/" TargetMode="External"/><Relationship Id="rId38" Type="http://schemas.openxmlformats.org/officeDocument/2006/relationships/hyperlink" Target="https://www.ahd.com/free_profile/240001/North_Memorial_Health_Hospital/Robbinsdale/Minnesota/" TargetMode="External"/><Relationship Id="rId46" Type="http://schemas.openxmlformats.org/officeDocument/2006/relationships/hyperlink" Target="https://www.ahd.com/free_profile/240056/Ridgeview_Medical_Center/Waconia/Minnesota/" TargetMode="External"/><Relationship Id="rId20" Type="http://schemas.openxmlformats.org/officeDocument/2006/relationships/hyperlink" Target="https://www.ahd.com/free_profile/240141/M_Health_Fairview_Northland_Medical_Center_/Princeton/Minnesota/" TargetMode="External"/><Relationship Id="rId41" Type="http://schemas.openxmlformats.org/officeDocument/2006/relationships/hyperlink" Target="https://www.ahd.com/free_profile/240069/Owatonna_Hospital/Owatonna/Minnesota/" TargetMode="External"/><Relationship Id="rId54" Type="http://schemas.openxmlformats.org/officeDocument/2006/relationships/hyperlink" Target="https://www.ahd.com/free_profile/240044/Winona_Community_Memorial_Hospital/Winona/Minnesota/" TargetMode="External"/><Relationship Id="rId1" Type="http://schemas.openxmlformats.org/officeDocument/2006/relationships/hyperlink" Target="https://www.ahd.com/free_profile/240050/_M_Health_Fairview_Lakes_Medical_Center/Wyoming/Minnesota/" TargetMode="External"/><Relationship Id="rId6" Type="http://schemas.openxmlformats.org/officeDocument/2006/relationships/hyperlink" Target="https://www.ahd.com/free_profile/240088/Carris_Health_-_Rice_Memorial_Hospital/Willmar/Minnesota/" TargetMode="External"/><Relationship Id="rId15" Type="http://schemas.openxmlformats.org/officeDocument/2006/relationships/hyperlink" Target="https://www.ahd.com/free_profile/240063/HealthEast_Saint_Joseph%27s_Hospital/Saint_Paul/Minnesota/" TargetMode="External"/><Relationship Id="rId23" Type="http://schemas.openxmlformats.org/officeDocument/2006/relationships/hyperlink" Target="https://www.ahd.com/free_profile/240210/M_Health_Fairview_St_John%27s_Hospital/Maplewood/Minnesota/" TargetMode="External"/><Relationship Id="rId28" Type="http://schemas.openxmlformats.org/officeDocument/2006/relationships/hyperlink" Target="https://www.ahd.com/free_profile/240117/Mayo_Clinic_Health_System_in_Austin/Austin/Minnesota/" TargetMode="External"/><Relationship Id="rId36" Type="http://schemas.openxmlformats.org/officeDocument/2006/relationships/hyperlink" Target="https://www.ahd.com/free_profile/240053/Methodist_Hospital/Saint_Louis_Park/Minnesota/" TargetMode="External"/><Relationship Id="rId49" Type="http://schemas.openxmlformats.org/officeDocument/2006/relationships/hyperlink" Target="https://www.ahd.com/free_profile/240104/Saint_Francis_Regional_Medical_Center/Shakopee/Minnesota/" TargetMode="External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hd.com/free_profile/260825/John_J_Pershing_VA_Medical_Center/Poplar_Bluff/Missouri/" TargetMode="External"/><Relationship Id="rId21" Type="http://schemas.openxmlformats.org/officeDocument/2006/relationships/hyperlink" Target="https://www.ahd.com/free_profile/I41003/General_Leonard_Wood_Army_Community_Hospital/Fort_Leonard_Wood/Missouri/" TargetMode="External"/><Relationship Id="rId42" Type="http://schemas.openxmlformats.org/officeDocument/2006/relationships/hyperlink" Target="https://www.ahd.com/free_profile/260113/Missouri_Delta_Medical_Center/Sikeston/Missouri/" TargetMode="External"/><Relationship Id="rId47" Type="http://schemas.openxmlformats.org/officeDocument/2006/relationships/hyperlink" Target="https://www.ahd.com/free_profile/260096/North_Kansas_City_Hospital/North_Kansas_City/Missouri/" TargetMode="External"/><Relationship Id="rId63" Type="http://schemas.openxmlformats.org/officeDocument/2006/relationships/hyperlink" Target="https://www.ahd.com/free_profile/I41298/Saint_Luke%27s_North_Hospital_-_Barry_Road_/Kansas_City/Missouri/" TargetMode="External"/><Relationship Id="rId68" Type="http://schemas.openxmlformats.org/officeDocument/2006/relationships/hyperlink" Target="https://www.ahd.com/free_profile/260081/SSM__Health_Saint_Clare_Hospital_-_Fenton/Fenton/Missouri/" TargetMode="External"/><Relationship Id="rId16" Type="http://schemas.openxmlformats.org/officeDocument/2006/relationships/hyperlink" Target="https://www.ahd.com/free_profile/I41043/Cox_Medical_Center_South_/Springfield/Missouri/" TargetMode="External"/><Relationship Id="rId11" Type="http://schemas.openxmlformats.org/officeDocument/2006/relationships/hyperlink" Target="https://www.ahd.com/free_profile/I42040/Capital_Region_Southwest_Campus_/Jefferson_City/Missouri/" TargetMode="External"/><Relationship Id="rId32" Type="http://schemas.openxmlformats.org/officeDocument/2006/relationships/hyperlink" Target="https://www.ahd.com/free_profile/I42095/Mercy_Children%27s_Hospital_Springfield/Springfield/Missouri/" TargetMode="External"/><Relationship Id="rId37" Type="http://schemas.openxmlformats.org/officeDocument/2006/relationships/hyperlink" Target="https://www.ahd.com/free_profile/260020/Mercy_Hospital_Saint_Louis/Saint_Louis/Missouri/" TargetMode="External"/><Relationship Id="rId53" Type="http://schemas.openxmlformats.org/officeDocument/2006/relationships/hyperlink" Target="https://www.ahd.com/free_profile/260119/Poplar_Bluff_Regional_Medical_Center_-_Oak_Grove/Poplar_Bluff/Missouri/" TargetMode="External"/><Relationship Id="rId58" Type="http://schemas.openxmlformats.org/officeDocument/2006/relationships/hyperlink" Target="https://www.ahd.com/free_profile/260085/Saint_Joseph_Medical_Center/Kansas_City/Missouri/" TargetMode="External"/><Relationship Id="rId74" Type="http://schemas.openxmlformats.org/officeDocument/2006/relationships/hyperlink" Target="https://www.ahd.com/free_profile/260200/SSM_Health_Saint_Joseph_Hospital_-_Lake_Saint_Louis/Lake_Saint_Louis/Missouri/" TargetMode="External"/><Relationship Id="rId79" Type="http://schemas.openxmlformats.org/officeDocument/2006/relationships/hyperlink" Target="https://www.ahd.com/free_profile/260024/Texas_County_Memorial_Hospital/Houston/Missouri/" TargetMode="External"/><Relationship Id="rId5" Type="http://schemas.openxmlformats.org/officeDocument/2006/relationships/hyperlink" Target="https://www.ahd.com/free_profile/260034/Bates_County_Memorial_Hospital/Butler/Missouri/" TargetMode="External"/><Relationship Id="rId61" Type="http://schemas.openxmlformats.org/officeDocument/2006/relationships/hyperlink" Target="https://www.ahd.com/free_profile/260179/Saint_Luke%27s_Hospital/Chesterfield/Missouri/" TargetMode="External"/><Relationship Id="rId82" Type="http://schemas.openxmlformats.org/officeDocument/2006/relationships/hyperlink" Target="https://www.ahd.com/free_profile/260141/University_of_Missouri_Hospital/Columbia/Missouri/" TargetMode="External"/><Relationship Id="rId19" Type="http://schemas.openxmlformats.org/officeDocument/2006/relationships/hyperlink" Target="https://www.ahd.com/free_profile/260137/Freeman_West/Joplin/Missouri/" TargetMode="External"/><Relationship Id="rId14" Type="http://schemas.openxmlformats.org/officeDocument/2006/relationships/hyperlink" Target="https://www.ahd.com/free_profile/260195/Citizens_Memorial_Hospital/Bolivar/Missouri/" TargetMode="External"/><Relationship Id="rId22" Type="http://schemas.openxmlformats.org/officeDocument/2006/relationships/hyperlink" Target="https://www.ahd.com/free_profile/260175/Golden_Valley_Memorial_Hospital/Clinton/Missouri/" TargetMode="External"/><Relationship Id="rId27" Type="http://schemas.openxmlformats.org/officeDocument/2006/relationships/hyperlink" Target="https://www.ahd.com/free_profile/260936/Kansas_City_VA_Medical_Center/Kansas_City/Missouri/" TargetMode="External"/><Relationship Id="rId30" Type="http://schemas.openxmlformats.org/officeDocument/2006/relationships/hyperlink" Target="https://www.ahd.com/free_profile/260177/Liberty_Hospital/Liberty/Missouri/" TargetMode="External"/><Relationship Id="rId35" Type="http://schemas.openxmlformats.org/officeDocument/2006/relationships/hyperlink" Target="https://www.ahd.com/free_profile/260001/Mercy_Hospital_Joplin/Joplin/Missouri/" TargetMode="External"/><Relationship Id="rId43" Type="http://schemas.openxmlformats.org/officeDocument/2006/relationships/hyperlink" Target="https://www.ahd.com/free_profile/260074/Moberly_Regional_Medical_Center/Moberly/Missouri/" TargetMode="External"/><Relationship Id="rId48" Type="http://schemas.openxmlformats.org/officeDocument/2006/relationships/hyperlink" Target="https://www.ahd.com/free_profile/260022/Northeast_Regional_Medical_Center/Kirksville/Missouri/" TargetMode="External"/><Relationship Id="rId56" Type="http://schemas.openxmlformats.org/officeDocument/2006/relationships/hyperlink" Target="https://www.ahd.com/free_profile/260210/Saint_Alexius_Hospital_-_Broadway_Campus/Saint_Louis/Missouri/" TargetMode="External"/><Relationship Id="rId64" Type="http://schemas.openxmlformats.org/officeDocument/2006/relationships/hyperlink" Target="https://www.ahd.com/free_profile/260062/Saint_Luke%27s_North_Hospital_-_Smithville/Smithville/Missouri/" TargetMode="External"/><Relationship Id="rId69" Type="http://schemas.openxmlformats.org/officeDocument/2006/relationships/hyperlink" Target="https://www.ahd.com/free_profile/260005/SSM__Health_Saint_Joseph_Hospital-Saint_Charles/Saint_Charles/Missouri/" TargetMode="External"/><Relationship Id="rId77" Type="http://schemas.openxmlformats.org/officeDocument/2006/relationships/hyperlink" Target="https://www.ahd.com/free_profile/260011/SSM_Health_Saint_Mary%27s_Hospital_-_Jefferson_City/Jefferson_City/Missouri/" TargetMode="External"/><Relationship Id="rId8" Type="http://schemas.openxmlformats.org/officeDocument/2006/relationships/hyperlink" Target="https://www.ahd.com/free_profile/260009/Bothwell_Regional_Health_Center/Sedalia/Missouri/" TargetMode="External"/><Relationship Id="rId51" Type="http://schemas.openxmlformats.org/officeDocument/2006/relationships/hyperlink" Target="https://www.ahd.com/free_profile/260070/Pemiscot_Memorial_Main_Hospital_/Hayti/Missouri/" TargetMode="External"/><Relationship Id="rId72" Type="http://schemas.openxmlformats.org/officeDocument/2006/relationships/hyperlink" Target="https://www.ahd.com/free_profile/I42349/SSM_Health_Rehabilitation_Hospital-_Lake_Saint_Louis/Lake_Saint_Louis/Missouri/" TargetMode="External"/><Relationship Id="rId80" Type="http://schemas.openxmlformats.org/officeDocument/2006/relationships/hyperlink" Target="https://www.ahd.com/free_profile/260048/TMC_Health_Sciences_District/Kansas_City/Missouri/" TargetMode="External"/><Relationship Id="rId3" Type="http://schemas.openxmlformats.org/officeDocument/2006/relationships/hyperlink" Target="https://www.ahd.com/free_profile/260191/Barnes-Jewish_Saint_Peters_Hospital/Saint_Peters/Missouri/" TargetMode="External"/><Relationship Id="rId12" Type="http://schemas.openxmlformats.org/officeDocument/2006/relationships/hyperlink" Target="https://www.ahd.com/free_profile/260095/Centerpoint_Medical_Center/Independence/Missouri/" TargetMode="External"/><Relationship Id="rId17" Type="http://schemas.openxmlformats.org/officeDocument/2006/relationships/hyperlink" Target="https://www.ahd.com/free_profile/260040/Cox_North_Hospital/Springfield/Missouri/" TargetMode="External"/><Relationship Id="rId25" Type="http://schemas.openxmlformats.org/officeDocument/2006/relationships/hyperlink" Target="https://www.ahd.com/free_profile/26010F/John_Cochran_Division/Saint_Louis/Missouri/" TargetMode="External"/><Relationship Id="rId33" Type="http://schemas.openxmlformats.org/officeDocument/2006/relationships/hyperlink" Target="https://www.ahd.com/free_profile/I42097/Mercy_Heart_and_Vascular_Hospital_Saint_Louis/Saint_Louis/Missouri/" TargetMode="External"/><Relationship Id="rId38" Type="http://schemas.openxmlformats.org/officeDocument/2006/relationships/hyperlink" Target="https://www.ahd.com/free_profile/260077/Mercy_Hospital_South/Saint_Louis/Missouri/" TargetMode="External"/><Relationship Id="rId46" Type="http://schemas.openxmlformats.org/officeDocument/2006/relationships/hyperlink" Target="https://www.ahd.com/free_profile/260061/Nevada_Regional_Medical_Center/Nevada/Missouri/" TargetMode="External"/><Relationship Id="rId59" Type="http://schemas.openxmlformats.org/officeDocument/2006/relationships/hyperlink" Target="https://www.ahd.com/free_profile/260176/Saint_Luke%27s_Des_Peres_Hospital/Saint_Louis/Missouri/" TargetMode="External"/><Relationship Id="rId67" Type="http://schemas.openxmlformats.org/officeDocument/2006/relationships/hyperlink" Target="https://www.ahd.com/free_profile/260110/Southeast_Hospital/Cape_Girardeau/Missouri/" TargetMode="External"/><Relationship Id="rId20" Type="http://schemas.openxmlformats.org/officeDocument/2006/relationships/hyperlink" Target="https://www.ahd.com/free_profile/260209/Fulton_Medical_Center/Fulton/Missouri/" TargetMode="External"/><Relationship Id="rId41" Type="http://schemas.openxmlformats.org/officeDocument/2006/relationships/hyperlink" Target="https://www.ahd.com/free_profile/260108/Missouri_Baptist_Medical_Center/Saint_Louis/Missouri/" TargetMode="External"/><Relationship Id="rId54" Type="http://schemas.openxmlformats.org/officeDocument/2006/relationships/hyperlink" Target="https://www.ahd.com/free_profile/260219/Progress_West_Hospital/O%27Fallon/Missouri/" TargetMode="External"/><Relationship Id="rId62" Type="http://schemas.openxmlformats.org/officeDocument/2006/relationships/hyperlink" Target="https://www.ahd.com/free_profile/260138/Saint_Luke%27s_Hospital_of_Kansas_City/Kansas_City/Missouri/" TargetMode="External"/><Relationship Id="rId70" Type="http://schemas.openxmlformats.org/officeDocument/2006/relationships/hyperlink" Target="https://www.ahd.com/free_profile/260104/SSM_Health_DePaul_Hospital_-_St_Louis/Bridgeton/Missouri/" TargetMode="External"/><Relationship Id="rId75" Type="http://schemas.openxmlformats.org/officeDocument/2006/relationships/hyperlink" Target="https://www.ahd.com/free_profile/260105/SSM_Health_Saint_Louis_University_Hospital/Saint_Louis/Missouri/" TargetMode="External"/><Relationship Id="rId83" Type="http://schemas.openxmlformats.org/officeDocument/2006/relationships/hyperlink" Target="https://www.ahd.com/free_profile/260097/Western_Missouri_Medical_Center/Warrensburg/Missouri/" TargetMode="External"/><Relationship Id="rId1" Type="http://schemas.openxmlformats.org/officeDocument/2006/relationships/hyperlink" Target="https://www.ahd.com/free_profile/260178/_University_of_Missouri_Women%27s_and_Children%27s_Hospital/Columbia/Missouri/" TargetMode="External"/><Relationship Id="rId6" Type="http://schemas.openxmlformats.org/officeDocument/2006/relationships/hyperlink" Target="https://www.ahd.com/free_profile/260214/Belton_Regional_Medical_Center/Belton/Missouri/" TargetMode="External"/><Relationship Id="rId15" Type="http://schemas.openxmlformats.org/officeDocument/2006/relationships/hyperlink" Target="https://www.ahd.com/free_profile/260094/Cox_Medical_Center_Branson/Branson/Missouri/" TargetMode="External"/><Relationship Id="rId23" Type="http://schemas.openxmlformats.org/officeDocument/2006/relationships/hyperlink" Target="https://www.ahd.com/free_profile/260025/Hannibal_Regional_Hospital/Hannibal/Missouri/" TargetMode="External"/><Relationship Id="rId28" Type="http://schemas.openxmlformats.org/officeDocument/2006/relationships/hyperlink" Target="https://www.ahd.com/free_profile/260186/Lake_Regional_Hospital/Osage_Beach/Missouri/" TargetMode="External"/><Relationship Id="rId36" Type="http://schemas.openxmlformats.org/officeDocument/2006/relationships/hyperlink" Target="https://www.ahd.com/free_profile/260059/Mercy_Hospital_Lebanon/Lebanon/Missouri/" TargetMode="External"/><Relationship Id="rId49" Type="http://schemas.openxmlformats.org/officeDocument/2006/relationships/hyperlink" Target="https://www.ahd.com/free_profile/260078/Ozarks_Medical_Center/West_Plains/Missouri/" TargetMode="External"/><Relationship Id="rId57" Type="http://schemas.openxmlformats.org/officeDocument/2006/relationships/hyperlink" Target="https://www.ahd.com/free_profile/260183/Saint_Francis_Medical_Center/Cape_Girardeau/Missouri/" TargetMode="External"/><Relationship Id="rId10" Type="http://schemas.openxmlformats.org/officeDocument/2006/relationships/hyperlink" Target="https://www.ahd.com/free_profile/260047/Capital_Region_Medical_Center/Jefferson_City/Missouri/" TargetMode="External"/><Relationship Id="rId31" Type="http://schemas.openxmlformats.org/officeDocument/2006/relationships/hyperlink" Target="https://www.ahd.com/free_profile/I42096/Mercy_Children%27s_Hospital_Saint_Louis/Saint_Louis/Missouri/" TargetMode="External"/><Relationship Id="rId44" Type="http://schemas.openxmlformats.org/officeDocument/2006/relationships/hyperlink" Target="https://www.ahd.com/free_profile/260006/Mosaic_Life_Care_at_St_Joseph_Medical_Center/Saint_Joseph/Missouri/" TargetMode="External"/><Relationship Id="rId52" Type="http://schemas.openxmlformats.org/officeDocument/2006/relationships/hyperlink" Target="https://www.ahd.com/free_profile/260017/Phelps_Health_Hospital/Rolla/Missouri/" TargetMode="External"/><Relationship Id="rId60" Type="http://schemas.openxmlformats.org/officeDocument/2006/relationships/hyperlink" Target="https://www.ahd.com/free_profile/260216/Saint_Luke%27s_East_Hospital_/Lee%27s_Summit/Missouri/" TargetMode="External"/><Relationship Id="rId65" Type="http://schemas.openxmlformats.org/officeDocument/2006/relationships/hyperlink" Target="https://www.ahd.com/free_profile/260193/Saint_Mary%27s_Medical_Center/Blue_Springs/Missouri/" TargetMode="External"/><Relationship Id="rId73" Type="http://schemas.openxmlformats.org/officeDocument/2006/relationships/hyperlink" Target="https://www.ahd.com/free_profile/260198/SSM_Health_Saint_Joseph_Health_Center_-_Wentzville/Wentzville/Missouri/" TargetMode="External"/><Relationship Id="rId78" Type="http://schemas.openxmlformats.org/officeDocument/2006/relationships/hyperlink" Target="https://www.ahd.com/free_profile/260091/SSM_Health_Saint_Mary%27s_Hospital_-_Saint_Louis/Saint_Louis/Missouri/" TargetMode="External"/><Relationship Id="rId81" Type="http://schemas.openxmlformats.org/officeDocument/2006/relationships/hyperlink" Target="https://www.ahd.com/free_profile/260102/Truman_Medical_Center_Lakewood/Kansas_City/Missouri/" TargetMode="External"/><Relationship Id="rId4" Type="http://schemas.openxmlformats.org/officeDocument/2006/relationships/hyperlink" Target="https://www.ahd.com/free_profile/260162/Barnes-Jewish_West_County_Hospital/Creve_Coeur/Missouri/" TargetMode="External"/><Relationship Id="rId9" Type="http://schemas.openxmlformats.org/officeDocument/2006/relationships/hyperlink" Target="https://www.ahd.com/free_profile/260057/Cameron_Regional_Medical_Center/Cameron/Missouri/" TargetMode="External"/><Relationship Id="rId13" Type="http://schemas.openxmlformats.org/officeDocument/2006/relationships/hyperlink" Target="https://www.ahd.com/free_profile/260180/Christian_Hospital/Saint_Louis/Missouri/" TargetMode="External"/><Relationship Id="rId18" Type="http://schemas.openxmlformats.org/officeDocument/2006/relationships/hyperlink" Target="https://www.ahd.com/free_profile/260142/Fitzgibbon_Hospital/Marshall/Missouri/" TargetMode="External"/><Relationship Id="rId39" Type="http://schemas.openxmlformats.org/officeDocument/2006/relationships/hyperlink" Target="https://www.ahd.com/free_profile/260065/Mercy_Hospital_Springfield_/Springfield/Missouri/" TargetMode="External"/><Relationship Id="rId34" Type="http://schemas.openxmlformats.org/officeDocument/2006/relationships/hyperlink" Target="https://www.ahd.com/free_profile/260023/Mercy_Hospital_Jefferson/Festus/Missouri/" TargetMode="External"/><Relationship Id="rId50" Type="http://schemas.openxmlformats.org/officeDocument/2006/relationships/hyperlink" Target="https://www.ahd.com/free_profile/260163/Parkland_Health_Center_-_Farmington/Farmington/Missouri/" TargetMode="External"/><Relationship Id="rId55" Type="http://schemas.openxmlformats.org/officeDocument/2006/relationships/hyperlink" Target="https://www.ahd.com/free_profile/260027/Research_Medical_Center/Kansas_City/Missouri/" TargetMode="External"/><Relationship Id="rId76" Type="http://schemas.openxmlformats.org/officeDocument/2006/relationships/hyperlink" Target="https://www.ahd.com/free_profile/260064/SSM_Health_Saint_Mary%27s_Hospital_-_Audrain_/Mexico/Missouri/" TargetMode="External"/><Relationship Id="rId7" Type="http://schemas.openxmlformats.org/officeDocument/2006/relationships/hyperlink" Target="https://www.ahd.com/free_profile/260068/Boone_Hospital_Center/Columbia/Missouri/" TargetMode="External"/><Relationship Id="rId71" Type="http://schemas.openxmlformats.org/officeDocument/2006/relationships/hyperlink" Target="https://www.ahd.com/free_profile/I42350/SSM_Health_Rehabilitation_Hospital_-_Bridgeton/Bridgeton/Missouri/" TargetMode="External"/><Relationship Id="rId2" Type="http://schemas.openxmlformats.org/officeDocument/2006/relationships/hyperlink" Target="https://www.ahd.com/free_profile/260032/Barnes-Jewish_Hospital/Saint_Louis/Missouri/" TargetMode="External"/><Relationship Id="rId29" Type="http://schemas.openxmlformats.org/officeDocument/2006/relationships/hyperlink" Target="https://www.ahd.com/free_profile/260190/Lee%27s_Summit_Medical_Center/Lee%27s_Summit/Missouri/" TargetMode="External"/><Relationship Id="rId24" Type="http://schemas.openxmlformats.org/officeDocument/2006/relationships/hyperlink" Target="https://www.ahd.com/free_profile/26023F/Harry_S_Truman_Memorial_Veterans%27_Hospital/Columbia/Missouri/" TargetMode="External"/><Relationship Id="rId40" Type="http://schemas.openxmlformats.org/officeDocument/2006/relationships/hyperlink" Target="https://www.ahd.com/free_profile/260052/Mercy_Hospital_Washington_/Washington/Missouri/" TargetMode="External"/><Relationship Id="rId45" Type="http://schemas.openxmlformats.org/officeDocument/2006/relationships/hyperlink" Target="https://www.ahd.com/free_profile/260050/Mosaic_Medical_Center_-_Maryville/Maryville/Missouri/" TargetMode="External"/><Relationship Id="rId66" Type="http://schemas.openxmlformats.org/officeDocument/2006/relationships/hyperlink" Target="https://www.ahd.com/free_profile/260160/Southeast_Health_Center_of_Stoddard_County/Dexter/Missouri/" TargetMode="External"/></Relationships>
</file>

<file path=xl/worksheets/_rels/sheet27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hd.com/free_profile/250124/Magee_General_Hospital/Magee/Mississippi/" TargetMode="External"/><Relationship Id="rId21" Type="http://schemas.openxmlformats.org/officeDocument/2006/relationships/hyperlink" Target="https://www.ahd.com/free_profile/25040F/Gulf_Coast_Veterans_Health_Care_System/Biloxi/Mississippi/" TargetMode="External"/><Relationship Id="rId42" Type="http://schemas.openxmlformats.org/officeDocument/2006/relationships/hyperlink" Target="https://www.ahd.com/free_profile/250043/Neshoba_County_General_Hospital/Philadelphia/Mississippi/" TargetMode="External"/><Relationship Id="rId47" Type="http://schemas.openxmlformats.org/officeDocument/2006/relationships/hyperlink" Target="https://www.ahd.com/free_profile/250025/North_Mississippi_Medical_Center_Gilmore_-_Amory/Amory/Mississippi/" TargetMode="External"/><Relationship Id="rId63" Type="http://schemas.openxmlformats.org/officeDocument/2006/relationships/hyperlink" Target="https://www.ahd.com/free_profile/250001/University_of_Mississippi_Medical_Center/Jackson/Mississippi/" TargetMode="External"/><Relationship Id="rId68" Type="http://schemas.openxmlformats.org/officeDocument/2006/relationships/hyperlink" Target="https://www.ahd.com/free_profile/250027/Winston_Medical_Center/Louisville/Mississippi/" TargetMode="External"/><Relationship Id="rId7" Type="http://schemas.openxmlformats.org/officeDocument/2006/relationships/hyperlink" Target="https://www.ahd.com/free_profile/250141/Baptist_Memorial_Hospital_-_DeSoto/Southaven/Mississippi/" TargetMode="External"/><Relationship Id="rId2" Type="http://schemas.openxmlformats.org/officeDocument/2006/relationships/hyperlink" Target="https://www.ahd.com/free_profile/250151/Alliance_Health_Center/Meridian/Mississippi/" TargetMode="External"/><Relationship Id="rId16" Type="http://schemas.openxmlformats.org/officeDocument/2006/relationships/hyperlink" Target="https://www.ahd.com/free_profile/250078/Forrest_General_Hospital/Hattiesburg/Mississippi/" TargetMode="External"/><Relationship Id="rId29" Type="http://schemas.openxmlformats.org/officeDocument/2006/relationships/hyperlink" Target="https://www.ahd.com/free_profile/250019/Memorial_Hospital_at_Gulfport/Gulfport/Mississippi/" TargetMode="External"/><Relationship Id="rId11" Type="http://schemas.openxmlformats.org/officeDocument/2006/relationships/hyperlink" Target="https://www.ahd.com/free_profile/250049/Beacham_Memorial_Hospital/Magnolia/Mississippi/" TargetMode="External"/><Relationship Id="rId24" Type="http://schemas.openxmlformats.org/officeDocument/2006/relationships/hyperlink" Target="https://www.ahd.com/free_profile/250060/Jefferson_Comprehensive_Health_Center/Fayette/Mississippi/" TargetMode="External"/><Relationship Id="rId32" Type="http://schemas.openxmlformats.org/officeDocument/2006/relationships/hyperlink" Target="https://www.ahd.com/free_profile/250038/Merit_Health_Madison/Canton/Mississippi/" TargetMode="External"/><Relationship Id="rId37" Type="http://schemas.openxmlformats.org/officeDocument/2006/relationships/hyperlink" Target="https://www.ahd.com/free_profile/250094/Merit_Health_Wesley/Hattiesburg/Mississippi/" TargetMode="External"/><Relationship Id="rId40" Type="http://schemas.openxmlformats.org/officeDocument/2006/relationships/hyperlink" Target="https://www.ahd.com/free_profile/250152/Methodist_Rehabilitation_Center/Jackson/Mississippi/" TargetMode="External"/><Relationship Id="rId45" Type="http://schemas.openxmlformats.org/officeDocument/2006/relationships/hyperlink" Target="https://www.ahd.com/free_profile/250004/North_Mississippi_Medical_Center_-_Tupelo/Tupelo/Mississippi/" TargetMode="External"/><Relationship Id="rId53" Type="http://schemas.openxmlformats.org/officeDocument/2006/relationships/hyperlink" Target="https://www.ahd.com/free_profile/250128/Panola_Medical_Center/Batesville/Mississippi/" TargetMode="External"/><Relationship Id="rId58" Type="http://schemas.openxmlformats.org/officeDocument/2006/relationships/hyperlink" Target="https://www.ahd.com/free_profile/250058/South_Central_Regional_Medical_Center/Laurel/Mississippi/" TargetMode="External"/><Relationship Id="rId66" Type="http://schemas.openxmlformats.org/officeDocument/2006/relationships/hyperlink" Target="https://www.ahd.com/free_profile/250134/Whitfield_Medical_Surgical_Hospital/Whitfield/Mississippi/" TargetMode="External"/><Relationship Id="rId5" Type="http://schemas.openxmlformats.org/officeDocument/2006/relationships/hyperlink" Target="https://www.ahd.com/free_profile/250081/Anderson_Regional_Medical_Center_South/Meridian/Mississippi/" TargetMode="External"/><Relationship Id="rId61" Type="http://schemas.openxmlformats.org/officeDocument/2006/relationships/hyperlink" Target="https://www.ahd.com/free_profile/250017/Trace_Regional_Hospital/Houston/Mississippi/" TargetMode="External"/><Relationship Id="rId19" Type="http://schemas.openxmlformats.org/officeDocument/2006/relationships/hyperlink" Target="https://www.ahd.com/free_profile/250036/George_Regional_Hospital/Lucedale/Mississippi/" TargetMode="External"/><Relationship Id="rId14" Type="http://schemas.openxmlformats.org/officeDocument/2006/relationships/hyperlink" Target="https://www.ahd.com/free_profile/I42128/Conerly_Critical_Care_Hospital/Jackson/Mississippi/" TargetMode="External"/><Relationship Id="rId22" Type="http://schemas.openxmlformats.org/officeDocument/2006/relationships/hyperlink" Target="https://www.ahd.com/free_profile/250117/Highland_Community_Hospital/Picayune/Mississippi/" TargetMode="External"/><Relationship Id="rId27" Type="http://schemas.openxmlformats.org/officeDocument/2006/relationships/hyperlink" Target="https://www.ahd.com/free_profile/250009/Magnolia_Regional_Health_Center/Corinth/Mississippi/" TargetMode="External"/><Relationship Id="rId30" Type="http://schemas.openxmlformats.org/officeDocument/2006/relationships/hyperlink" Target="https://www.ahd.com/free_profile/250007/Merit_Health_Biloxi_/Biloxi/Mississippi/" TargetMode="External"/><Relationship Id="rId35" Type="http://schemas.openxmlformats.org/officeDocument/2006/relationships/hyperlink" Target="https://www.ahd.com/free_profile/250138/Merit_Health_River_Oaks/Flowood/Mississippi/" TargetMode="External"/><Relationship Id="rId43" Type="http://schemas.openxmlformats.org/officeDocument/2006/relationships/hyperlink" Target="https://www.ahd.com/free_profile/250020/North_Mississippi_Medical_Center_-_Eupora/Eupora/Mississippi/" TargetMode="External"/><Relationship Id="rId48" Type="http://schemas.openxmlformats.org/officeDocument/2006/relationships/hyperlink" Target="https://www.ahd.com/free_profile/I42278/North_Mississippi_Medical_Center_Women%27s_Hospital/Tupelo/Mississippi/" TargetMode="External"/><Relationship Id="rId56" Type="http://schemas.openxmlformats.org/officeDocument/2006/relationships/hyperlink" Target="https://www.ahd.com/free_profile/250069/Rush_Foundation_Hospital/Meridian/Mississippi/" TargetMode="External"/><Relationship Id="rId64" Type="http://schemas.openxmlformats.org/officeDocument/2006/relationships/hyperlink" Target="https://www.ahd.com/free_profile/250077/Wayne_General_Hospital/Waynesboro/Mississippi/" TargetMode="External"/><Relationship Id="rId69" Type="http://schemas.openxmlformats.org/officeDocument/2006/relationships/hyperlink" Target="https://www.ahd.com/free_profile/250061/Yalobusha_General_Hospital/Water_Valley/Mississippi/" TargetMode="External"/><Relationship Id="rId8" Type="http://schemas.openxmlformats.org/officeDocument/2006/relationships/hyperlink" Target="https://www.ahd.com/free_profile/250100/Baptist_Memorial_Hospital_-_Golden_Triangle/Columbus/Mississippi/" TargetMode="External"/><Relationship Id="rId51" Type="http://schemas.openxmlformats.org/officeDocument/2006/relationships/hyperlink" Target="https://www.ahd.com/free_profile/250050/OCH_Regional_Medical_Center/Starkville/Mississippi/" TargetMode="External"/><Relationship Id="rId3" Type="http://schemas.openxmlformats.org/officeDocument/2006/relationships/hyperlink" Target="https://www.ahd.com/free_profile/250012/Alliance_Hospital/Holly_Springs/Mississippi/" TargetMode="External"/><Relationship Id="rId12" Type="http://schemas.openxmlformats.org/officeDocument/2006/relationships/hyperlink" Target="https://www.ahd.com/free_profile/250093/Bolivar_Medical_Center/Cleveland/Mississippi/" TargetMode="External"/><Relationship Id="rId17" Type="http://schemas.openxmlformats.org/officeDocument/2006/relationships/hyperlink" Target="https://www.ahd.com/free_profile/25043F/GV_Sonny_Montgomery_VA_Medical_Center/Jackson/Mississippi/" TargetMode="External"/><Relationship Id="rId25" Type="http://schemas.openxmlformats.org/officeDocument/2006/relationships/hyperlink" Target="https://www.ahd.com/free_profile/250057/King%27s_Daughters_Medical_Center/Brookhaven/Mississippi/" TargetMode="External"/><Relationship Id="rId33" Type="http://schemas.openxmlformats.org/officeDocument/2006/relationships/hyperlink" Target="https://www.ahd.com/free_profile/250084/Merit_Health_Natchez_/Natchez/Mississippi/" TargetMode="External"/><Relationship Id="rId38" Type="http://schemas.openxmlformats.org/officeDocument/2006/relationships/hyperlink" Target="https://www.ahd.com/free_profile/250136/Merit_Health_Woman%27s_Hospital/Jackson/Mississippi/" TargetMode="External"/><Relationship Id="rId46" Type="http://schemas.openxmlformats.org/officeDocument/2006/relationships/hyperlink" Target="https://www.ahd.com/free_profile/250067/North_Mississippi_Medical_Center_-_West_Point/West_Point/Mississippi/" TargetMode="External"/><Relationship Id="rId59" Type="http://schemas.openxmlformats.org/officeDocument/2006/relationships/hyperlink" Target="https://www.ahd.com/free_profile/250095/South_Sunflower_County_Hospital/Indianola/Mississippi/" TargetMode="External"/><Relationship Id="rId67" Type="http://schemas.openxmlformats.org/officeDocument/2006/relationships/hyperlink" Target="https://www.ahd.com/free_profile/I42126/Winfred_L_Wiser_Hospital_for_Women_and_Infants/Jackson_/Mississippi/" TargetMode="External"/><Relationship Id="rId20" Type="http://schemas.openxmlformats.org/officeDocument/2006/relationships/hyperlink" Target="https://www.ahd.com/free_profile/250099/Greenwood_Leflore_Hospital/Greenwood/Mississippi/" TargetMode="External"/><Relationship Id="rId41" Type="http://schemas.openxmlformats.org/officeDocument/2006/relationships/hyperlink" Target="https://www.ahd.com/free_profile/250102/Mississippi_Baptist_Medical_Center/Jackson/Mississippi/" TargetMode="External"/><Relationship Id="rId54" Type="http://schemas.openxmlformats.org/officeDocument/2006/relationships/hyperlink" Target="https://www.ahd.com/free_profile/250040/Pascagoula_Hospital/Pascagoula/Mississippi/" TargetMode="External"/><Relationship Id="rId62" Type="http://schemas.openxmlformats.org/officeDocument/2006/relationships/hyperlink" Target="https://www.ahd.com/free_profile/250168/UMMC_Grenada/Grenada/Mississippi/" TargetMode="External"/><Relationship Id="rId1" Type="http://schemas.openxmlformats.org/officeDocument/2006/relationships/hyperlink" Target="https://www.ahd.com/free_profile/25039F/81st_Medical_Group_-_Keesler_Medical_Center/Keesler_Air_Force_Base/Mississippi/" TargetMode="External"/><Relationship Id="rId6" Type="http://schemas.openxmlformats.org/officeDocument/2006/relationships/hyperlink" Target="https://www.ahd.com/free_profile/250044/Baptist_Memorial_Hospital_-_Booneville/Booneville/Mississippi/" TargetMode="External"/><Relationship Id="rId15" Type="http://schemas.openxmlformats.org/officeDocument/2006/relationships/hyperlink" Target="https://www.ahd.com/free_profile/250082/Delta_Regional_Medical_Center/Greenville/Mississippi/" TargetMode="External"/><Relationship Id="rId23" Type="http://schemas.openxmlformats.org/officeDocument/2006/relationships/hyperlink" Target="https://www.ahd.com/free_profile/250018/Jasper_General_Hospital/Bay_Springs/Mississippi/" TargetMode="External"/><Relationship Id="rId28" Type="http://schemas.openxmlformats.org/officeDocument/2006/relationships/hyperlink" Target="https://www.ahd.com/free_profile/250085/Marion_General_Hospital/Columbia/Mississippi/" TargetMode="External"/><Relationship Id="rId36" Type="http://schemas.openxmlformats.org/officeDocument/2006/relationships/hyperlink" Target="https://www.ahd.com/free_profile/250031/Merit_Health_River_Region/Vicksburg/Mississippi/" TargetMode="External"/><Relationship Id="rId49" Type="http://schemas.openxmlformats.org/officeDocument/2006/relationships/hyperlink" Target="https://www.ahd.com/free_profile/250042/Northwest_Mississippi_Medical_Center/Clarksdale/Mississippi/" TargetMode="External"/><Relationship Id="rId57" Type="http://schemas.openxmlformats.org/officeDocument/2006/relationships/hyperlink" Target="https://www.ahd.com/free_profile/250048/Saint_Dominic_Hospital/Jackson/Mississippi/" TargetMode="External"/><Relationship Id="rId10" Type="http://schemas.openxmlformats.org/officeDocument/2006/relationships/hyperlink" Target="https://www.ahd.com/free_profile/250006/Baptist_Memorial_Hospital_-_Union_County/New_Albany/Mississippi/" TargetMode="External"/><Relationship Id="rId31" Type="http://schemas.openxmlformats.org/officeDocument/2006/relationships/hyperlink" Target="https://www.ahd.com/free_profile/250072/Merit_Health_Central/Jackson/Mississippi/" TargetMode="External"/><Relationship Id="rId44" Type="http://schemas.openxmlformats.org/officeDocument/2006/relationships/hyperlink" Target="https://www.ahd.com/free_profile/250002/North_Mississippi_Medical_Center_-_Iuka/Iuka/Mississippi/" TargetMode="External"/><Relationship Id="rId52" Type="http://schemas.openxmlformats.org/officeDocument/2006/relationships/hyperlink" Target="https://www.ahd.com/free_profile/250162/Ochsner_Medical_Center_-_Hancock/Bay_Saint_Louis/Mississippi/" TargetMode="External"/><Relationship Id="rId60" Type="http://schemas.openxmlformats.org/officeDocument/2006/relationships/hyperlink" Target="https://www.ahd.com/free_profile/250097/Southwest_Mississippi_Regional_Medical_Center/McComb/Mississippi/" TargetMode="External"/><Relationship Id="rId65" Type="http://schemas.openxmlformats.org/officeDocument/2006/relationships/hyperlink" Target="https://www.ahd.com/free_profile/250120/West_Campus_of_Delta_Regional_Medical_Center/Greenville/Mississippi/" TargetMode="External"/><Relationship Id="rId4" Type="http://schemas.openxmlformats.org/officeDocument/2006/relationships/hyperlink" Target="https://www.ahd.com/free_profile/250104/Anderson_Regional_Medical_Center_North/Meridian/Mississippi/" TargetMode="External"/><Relationship Id="rId9" Type="http://schemas.openxmlformats.org/officeDocument/2006/relationships/hyperlink" Target="https://www.ahd.com/free_profile/250034/Baptist_Memorial_Hospital_-_North_Mississippi/Oxford/Mississippi/" TargetMode="External"/><Relationship Id="rId13" Type="http://schemas.openxmlformats.org/officeDocument/2006/relationships/hyperlink" Target="https://www.ahd.com/free_profile/250127/Choctaw_Hospital/Philadelphia/Mississippi/" TargetMode="External"/><Relationship Id="rId18" Type="http://schemas.openxmlformats.org/officeDocument/2006/relationships/hyperlink" Target="https://www.ahd.com/free_profile/250123/Garden_Park_Medical_Center/Gulfport/Mississippi/" TargetMode="External"/><Relationship Id="rId39" Type="http://schemas.openxmlformats.org/officeDocument/2006/relationships/hyperlink" Target="https://www.ahd.com/free_profile/250167/Methodist_Olive_Branch_Hospital/Olive_Branch/Mississippi/" TargetMode="External"/><Relationship Id="rId34" Type="http://schemas.openxmlformats.org/officeDocument/2006/relationships/hyperlink" Target="https://www.ahd.com/free_profile/250096/Merit_Health_Rankin/Brandon/Mississippi/" TargetMode="External"/><Relationship Id="rId50" Type="http://schemas.openxmlformats.org/officeDocument/2006/relationships/hyperlink" Target="https://www.ahd.com/free_profile/I07872/Ocean_Springs_Hospital/Ocean_Springs/Mississippi/" TargetMode="External"/><Relationship Id="rId55" Type="http://schemas.openxmlformats.org/officeDocument/2006/relationships/hyperlink" Target="https://www.ahd.com/free_profile/250163/Patients_Choice_Medical_Center_of_Smith_County/Raleigh/Mississippi/" TargetMode="Externa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hd.com/free_profile/270086/Great_Falls_Clinic_Hospital/Great_Falls/Montana/" TargetMode="External"/><Relationship Id="rId13" Type="http://schemas.openxmlformats.org/officeDocument/2006/relationships/hyperlink" Target="https://www.ahd.com/free_profile/270049/Saint_Vincent_Healthcare/Billings/Montana/" TargetMode="External"/><Relationship Id="rId3" Type="http://schemas.openxmlformats.org/officeDocument/2006/relationships/hyperlink" Target="https://www.ahd.com/free_profile/270004/Billings_Clinic_Hospital/Billings/Montana/" TargetMode="External"/><Relationship Id="rId7" Type="http://schemas.openxmlformats.org/officeDocument/2006/relationships/hyperlink" Target="https://www.ahd.com/free_profile/270023/Community_Medical_Center/Missoula/Montana/" TargetMode="External"/><Relationship Id="rId12" Type="http://schemas.openxmlformats.org/officeDocument/2006/relationships/hyperlink" Target="https://www.ahd.com/free_profile/270014/Providence_Saint_Patrick_Hospital_/Missoula/Montana/" TargetMode="External"/><Relationship Id="rId17" Type="http://schemas.openxmlformats.org/officeDocument/2006/relationships/hyperlink" Target="https://www.ahd.com/free_profile/270196/VA_Medical_Center_and_Ambulatory_Care_Clinic/Fort_Harrison/Montana/" TargetMode="External"/><Relationship Id="rId2" Type="http://schemas.openxmlformats.org/officeDocument/2006/relationships/hyperlink" Target="https://www.ahd.com/free_profile/I41494/Benefis_Healthcare_-_West_Campus/Great_Falls/Montana/" TargetMode="External"/><Relationship Id="rId16" Type="http://schemas.openxmlformats.org/officeDocument/2006/relationships/hyperlink" Target="https://www.ahd.com/free_profile/270087/The_HealthCenter/Kalispell/Montana/" TargetMode="External"/><Relationship Id="rId1" Type="http://schemas.openxmlformats.org/officeDocument/2006/relationships/hyperlink" Target="https://www.ahd.com/free_profile/270012/Benefis_East_Campus/Great_Falls/Montana/" TargetMode="External"/><Relationship Id="rId6" Type="http://schemas.openxmlformats.org/officeDocument/2006/relationships/hyperlink" Target="https://www.ahd.com/free_profile/270057/Bozeman_Health_Deaconess_Hospital/Bozeman/Montana/" TargetMode="External"/><Relationship Id="rId11" Type="http://schemas.openxmlformats.org/officeDocument/2006/relationships/hyperlink" Target="https://www.ahd.com/free_profile/270032/Northern_Montana_Hospital/Havre/Montana/" TargetMode="External"/><Relationship Id="rId5" Type="http://schemas.openxmlformats.org/officeDocument/2006/relationships/hyperlink" Target="https://www.ahd.com/free_profile/270089/Bozeman_Health_Big_Sky_Medical_Center/Big_Sky/Montana/" TargetMode="External"/><Relationship Id="rId15" Type="http://schemas.openxmlformats.org/officeDocument/2006/relationships/hyperlink" Target="https://www.ahd.com/free_profile/270003/St_Peter%27s_Health_Regional_Medical_Center/Helena/Montana/" TargetMode="External"/><Relationship Id="rId10" Type="http://schemas.openxmlformats.org/officeDocument/2006/relationships/hyperlink" Target="https://www.ahd.com/free_profile/I42344/Montana_Children%27s_Medical_Center/Kalispell/Montana/" TargetMode="External"/><Relationship Id="rId4" Type="http://schemas.openxmlformats.org/officeDocument/2006/relationships/hyperlink" Target="https://www.ahd.com/free_profile/270074/Blackfeet_Community_Hospital/Browning/Montana/" TargetMode="External"/><Relationship Id="rId9" Type="http://schemas.openxmlformats.org/officeDocument/2006/relationships/hyperlink" Target="https://www.ahd.com/free_profile/270051/Kalispell_Regional_Medical_Center/Kalispell/Montana/" TargetMode="External"/><Relationship Id="rId14" Type="http://schemas.openxmlformats.org/officeDocument/2006/relationships/hyperlink" Target="https://www.ahd.com/free_profile/270017/St_James_Healthcare/Butte/Montana/" TargetMode="External"/></Relationships>
</file>

<file path=xl/worksheets/_rels/sheet29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hd.com/free_profile/I07935/Central_Prison_Hospital/Raleigh/North_Carolina/" TargetMode="External"/><Relationship Id="rId21" Type="http://schemas.openxmlformats.org/officeDocument/2006/relationships/hyperlink" Target="https://www.ahd.com/free_profile/340032/CaroMont_Regional_Medical_Center/Gastonia/North_Carolina/" TargetMode="External"/><Relationship Id="rId42" Type="http://schemas.openxmlformats.org/officeDocument/2006/relationships/hyperlink" Target="https://www.ahd.com/free_profile/340035/FirstHealth_Moore_Regional_Hospital-Richmond_/Rockingham/North_Carolina/" TargetMode="External"/><Relationship Id="rId47" Type="http://schemas.openxmlformats.org/officeDocument/2006/relationships/hyperlink" Target="https://www.ahd.com/free_profile/340097/Hugh_Chatham_Memorial_Hospital/Elkin/North_Carolina/" TargetMode="External"/><Relationship Id="rId63" Type="http://schemas.openxmlformats.org/officeDocument/2006/relationships/hyperlink" Target="https://www.ahd.com/free_profile/340049/North_Carolina_Specialty_Hospital/Durham/North_Carolina/" TargetMode="External"/><Relationship Id="rId68" Type="http://schemas.openxmlformats.org/officeDocument/2006/relationships/hyperlink" Target="https://www.ahd.com/free_profile/340183/Novant_Health_Huntersville_Medical_Center/Huntersville/North_Carolina/" TargetMode="External"/><Relationship Id="rId84" Type="http://schemas.openxmlformats.org/officeDocument/2006/relationships/hyperlink" Target="https://www.ahd.com/free_profile/340050/Southeastern_Regional_Medical_Center/Lumberton/North_Carolina/" TargetMode="External"/><Relationship Id="rId89" Type="http://schemas.openxmlformats.org/officeDocument/2006/relationships/hyperlink" Target="https://www.ahd.com/free_profile/340060/UNC_Rockingham_Health_Care/Eden/North_Carolina/" TargetMode="External"/><Relationship Id="rId16" Type="http://schemas.openxmlformats.org/officeDocument/2006/relationships/hyperlink" Target="https://www.ahd.com/free_profile/340188/Cape_Fear_Valley_Hoke_Hospital_/Raeford_/North_Carolina/" TargetMode="External"/><Relationship Id="rId107" Type="http://schemas.openxmlformats.org/officeDocument/2006/relationships/hyperlink" Target="https://www.ahd.com/free_profile/340126/Wilson_Medical_Center/Wilson/North_Carolina/" TargetMode="External"/><Relationship Id="rId11" Type="http://schemas.openxmlformats.org/officeDocument/2006/relationships/hyperlink" Target="https://www.ahd.com/free_profile/340130/Atrium_Health_Union/Monroe/North_Carolina/" TargetMode="External"/><Relationship Id="rId32" Type="http://schemas.openxmlformats.org/officeDocument/2006/relationships/hyperlink" Target="https://www.ahd.com/free_profile/I08209/Cone_Health_Women%27s_Hospital_/Greensboro/North_Carolina/" TargetMode="External"/><Relationship Id="rId37" Type="http://schemas.openxmlformats.org/officeDocument/2006/relationships/hyperlink" Target="https://www.ahd.com/free_profile/340030/Duke_University_Hospital/Durham/North_Carolina/" TargetMode="External"/><Relationship Id="rId53" Type="http://schemas.openxmlformats.org/officeDocument/2006/relationships/hyperlink" Target="https://www.ahd.com/free_profile/340132/Maria_Parham_Medical_Center/Henderson/North_Carolina/" TargetMode="External"/><Relationship Id="rId58" Type="http://schemas.openxmlformats.org/officeDocument/2006/relationships/hyperlink" Target="https://www.ahd.com/free_profile/I41350/Mission_Saint_Joseph_Campus/Asheville/North_Carolina/" TargetMode="External"/><Relationship Id="rId74" Type="http://schemas.openxmlformats.org/officeDocument/2006/relationships/hyperlink" Target="https://www.ahd.com/free_profile/340015/Novant_Health_Rowan_Medical_Center/Salisbury/North_Carolina/" TargetMode="External"/><Relationship Id="rId79" Type="http://schemas.openxmlformats.org/officeDocument/2006/relationships/hyperlink" Target="https://www.ahd.com/free_profile/340123/Randolph_Hospital/Asheboro/North_Carolina/" TargetMode="External"/><Relationship Id="rId102" Type="http://schemas.openxmlformats.org/officeDocument/2006/relationships/hyperlink" Target="https://www.ahd.com/free_profile/I42101/WakeMed_North_Family_Health_and_Women%27s_Hospital/Raleigh/North_Carolina/" TargetMode="External"/><Relationship Id="rId5" Type="http://schemas.openxmlformats.org/officeDocument/2006/relationships/hyperlink" Target="https://www.ahd.com/free_profile/340021/Atrium_Health_Cleveland/Shelby/North_Carolina/" TargetMode="External"/><Relationship Id="rId90" Type="http://schemas.openxmlformats.org/officeDocument/2006/relationships/hyperlink" Target="https://www.ahd.com/free_profile/340186/Vidant_Beaufort_Hospital/Washington/North_Carolina/" TargetMode="External"/><Relationship Id="rId95" Type="http://schemas.openxmlformats.org/officeDocument/2006/relationships/hyperlink" Target="https://www.ahd.com/free_profile/340099/Vidant_Roanoke-Chowan_Hospital/Ahoskie/North_Carolina/" TargetMode="External"/><Relationship Id="rId22" Type="http://schemas.openxmlformats.org/officeDocument/2006/relationships/hyperlink" Target="https://www.ahd.com/free_profile/340142/Carteret_Healthcare_/Morehead_City/North_Carolina/" TargetMode="External"/><Relationship Id="rId27" Type="http://schemas.openxmlformats.org/officeDocument/2006/relationships/hyperlink" Target="https://www.ahd.com/free_profile/34036F/Charles_George_VA_Medical_Center_-_Asheville_NC/Asheville/North_Carolina/" TargetMode="External"/><Relationship Id="rId43" Type="http://schemas.openxmlformats.org/officeDocument/2006/relationships/hyperlink" Target="https://www.ahd.com/free_profile/340116/Frye_Regional_Medical_Center/Hickory/North_Carolina/" TargetMode="External"/><Relationship Id="rId48" Type="http://schemas.openxmlformats.org/officeDocument/2006/relationships/hyperlink" Target="https://www.ahd.com/free_profile/340039/Iredell_Memorial_Hospital/Statesville/North_Carolina/" TargetMode="External"/><Relationship Id="rId64" Type="http://schemas.openxmlformats.org/officeDocument/2006/relationships/hyperlink" Target="https://www.ahd.com/free_profile/340003/Northern_Hospital_of_Surry_County/Mount_Airy/North_Carolina/" TargetMode="External"/><Relationship Id="rId69" Type="http://schemas.openxmlformats.org/officeDocument/2006/relationships/hyperlink" Target="https://www.ahd.com/free_profile/I42182/Novant_Health_Kernersville_Medical_Center/Kernersville_/North_Carolina/" TargetMode="External"/><Relationship Id="rId80" Type="http://schemas.openxmlformats.org/officeDocument/2006/relationships/hyperlink" Target="https://www.ahd.com/free_profile/340013/Rutherford_Hospital/Rutherfordton/North_Carolina/" TargetMode="External"/><Relationship Id="rId85" Type="http://schemas.openxmlformats.org/officeDocument/2006/relationships/hyperlink" Target="https://www.ahd.com/free_profile/340091/The_Moses_H_Cone_Memorial_Hospital/Greensboro/North_Carolina/" TargetMode="External"/><Relationship Id="rId12" Type="http://schemas.openxmlformats.org/officeDocument/2006/relationships/hyperlink" Target="https://www.ahd.com/free_profile/340166/Atrium_Health_University_City/Charlotte/North_Carolina/" TargetMode="External"/><Relationship Id="rId17" Type="http://schemas.openxmlformats.org/officeDocument/2006/relationships/hyperlink" Target="https://www.ahd.com/free_profile/340028/Cape_Fear_Valley_Medical_Center/Fayetteville/North_Carolina/" TargetMode="External"/><Relationship Id="rId33" Type="http://schemas.openxmlformats.org/officeDocument/2006/relationships/hyperlink" Target="https://www.ahd.com/free_profile/340187/Davie_Medical_Center/Bermuda_Run/North_Carolina/" TargetMode="External"/><Relationship Id="rId38" Type="http://schemas.openxmlformats.org/officeDocument/2006/relationships/hyperlink" Target="https://www.ahd.com/free_profile/34012F/Durham_VA_Medical_Center/Durham/North_Carolina/" TargetMode="External"/><Relationship Id="rId59" Type="http://schemas.openxmlformats.org/officeDocument/2006/relationships/hyperlink" Target="https://www.ahd.com/free_profile/340147/Nash_General_Hospital/Rocky_Mount/North_Carolina/" TargetMode="External"/><Relationship Id="rId103" Type="http://schemas.openxmlformats.org/officeDocument/2006/relationships/hyperlink" Target="https://www.ahd.com/free_profile/340069/WakeMed_Raleigh_Campus/Raleigh/North_Carolina/" TargetMode="External"/><Relationship Id="rId108" Type="http://schemas.openxmlformats.org/officeDocument/2006/relationships/hyperlink" Target="https://www.ahd.com/free_profile/34014F/Womack_Army_Medical_Center/Fort_Bragg/North_Carolina/" TargetMode="External"/><Relationship Id="rId20" Type="http://schemas.openxmlformats.org/officeDocument/2006/relationships/hyperlink" Target="https://www.ahd.com/free_profile/340113/Carolinas_Medical_Center/Charlotte/North_Carolina/" TargetMode="External"/><Relationship Id="rId41" Type="http://schemas.openxmlformats.org/officeDocument/2006/relationships/hyperlink" Target="https://www.ahd.com/free_profile/I41979/FirstHealth_Moore_Regional_Hospital-Hoke_Campus/Raeford/North_Carolina/" TargetMode="External"/><Relationship Id="rId54" Type="http://schemas.openxmlformats.org/officeDocument/2006/relationships/hyperlink" Target="https://www.ahd.com/free_profile/340133/Martin_General_Hospital/Williamston/North_Carolina/" TargetMode="External"/><Relationship Id="rId62" Type="http://schemas.openxmlformats.org/officeDocument/2006/relationships/hyperlink" Target="https://www.ahd.com/free_profile/340094/New_Hanover_Regional_Medical_Center_-_Orthopedic_Hospital_/Wilmington/North_Carolina/" TargetMode="External"/><Relationship Id="rId70" Type="http://schemas.openxmlformats.org/officeDocument/2006/relationships/hyperlink" Target="https://www.ahd.com/free_profile/340171/Novant_Health_Matthews_Medical_Center/Matthews/North_Carolina/" TargetMode="External"/><Relationship Id="rId75" Type="http://schemas.openxmlformats.org/officeDocument/2006/relationships/hyperlink" Target="https://www.ahd.com/free_profile/340085/Novant_Health_Thomasville_Medical_Center/Thomasville/North_Carolina/" TargetMode="External"/><Relationship Id="rId83" Type="http://schemas.openxmlformats.org/officeDocument/2006/relationships/hyperlink" Target="https://www.ahd.com/free_profile/340109/Sentara_Albemarle_Medical_Center/Elizabeth_City/North_Carolina/" TargetMode="External"/><Relationship Id="rId88" Type="http://schemas.openxmlformats.org/officeDocument/2006/relationships/hyperlink" Target="https://www.ahd.com/free_profile/340114/UNC_Rex_Healthcare/Raleigh/North_Carolina/" TargetMode="External"/><Relationship Id="rId91" Type="http://schemas.openxmlformats.org/officeDocument/2006/relationships/hyperlink" Target="https://www.ahd.com/free_profile/340120/Vidant_Duplin_Hospital/Kenansville/North_Carolina/" TargetMode="External"/><Relationship Id="rId96" Type="http://schemas.openxmlformats.org/officeDocument/2006/relationships/hyperlink" Target="https://www.ahd.com/free_profile/34017F/W_G_%28Bill%29_Hefner_VA_Medical_Center_-_Salisbury%2C_NC/Salisbury/North_Carolina/" TargetMode="External"/><Relationship Id="rId1" Type="http://schemas.openxmlformats.org/officeDocument/2006/relationships/hyperlink" Target="https://www.ahd.com/free_profile/340023/AdventHealth_Hendersonville/Hendersonville/North_Carolina/" TargetMode="External"/><Relationship Id="rId6" Type="http://schemas.openxmlformats.org/officeDocument/2006/relationships/hyperlink" Target="https://www.ahd.com/free_profile/340037/Atrium_Health_Kings_Mountain/Kings_Mountain/North_Carolina/" TargetMode="External"/><Relationship Id="rId15" Type="http://schemas.openxmlformats.org/officeDocument/2006/relationships/hyperlink" Target="https://www.ahd.com/free_profile/340041/Caldwell_Memorial_Hospital/Lenoir/North_Carolina/" TargetMode="External"/><Relationship Id="rId23" Type="http://schemas.openxmlformats.org/officeDocument/2006/relationships/hyperlink" Target="https://www.ahd.com/free_profile/340143/Catawba_Valley_Medical_Center/Hickory/North_Carolina/" TargetMode="External"/><Relationship Id="rId28" Type="http://schemas.openxmlformats.org/officeDocument/2006/relationships/hyperlink" Target="https://www.ahd.com/free_profile/340156/Cherokee_Indian_Hospital/Cherokee/North_Carolina/" TargetMode="External"/><Relationship Id="rId36" Type="http://schemas.openxmlformats.org/officeDocument/2006/relationships/hyperlink" Target="https://www.ahd.com/free_profile/340155/Duke_Regional_Hospital/Durham/North_Carolina/" TargetMode="External"/><Relationship Id="rId49" Type="http://schemas.openxmlformats.org/officeDocument/2006/relationships/hyperlink" Target="https://www.ahd.com/free_profile/I42029/Johnston_Health_Clayton/Clayton/North_Carolina/" TargetMode="External"/><Relationship Id="rId57" Type="http://schemas.openxmlformats.org/officeDocument/2006/relationships/hyperlink" Target="https://www.ahd.com/free_profile/340087/Mission_Hospital_McDowell_/Marion/North_Carolina/" TargetMode="External"/><Relationship Id="rId106" Type="http://schemas.openxmlformats.org/officeDocument/2006/relationships/hyperlink" Target="https://www.ahd.com/free_profile/340168/Wilmington_Treatment_Center/Wilmington/North_Carolina/" TargetMode="External"/><Relationship Id="rId10" Type="http://schemas.openxmlformats.org/officeDocument/2006/relationships/hyperlink" Target="https://www.ahd.com/free_profile/340119/Atrium_Health_Stanly/Albemarle/North_Carolina/" TargetMode="External"/><Relationship Id="rId31" Type="http://schemas.openxmlformats.org/officeDocument/2006/relationships/hyperlink" Target="https://www.ahd.com/free_profile/I41136/Cone_Health_Wesley_Long_Hospital_/Greensboro/North_Carolina/" TargetMode="External"/><Relationship Id="rId44" Type="http://schemas.openxmlformats.org/officeDocument/2006/relationships/hyperlink" Target="https://www.ahd.com/free_profile/340127/Granville_Medical_Center/Oxford/North_Carolina/" TargetMode="External"/><Relationship Id="rId52" Type="http://schemas.openxmlformats.org/officeDocument/2006/relationships/hyperlink" Target="https://www.ahd.com/free_profile/340027/Lenoir_UNC_Health_Care/Kinston/North_Carolina/" TargetMode="External"/><Relationship Id="rId60" Type="http://schemas.openxmlformats.org/officeDocument/2006/relationships/hyperlink" Target="https://www.ahd.com/free_profile/34011F/Naval_Hospital_Camp_Lejeune/Camp_Lejeune/North_Carolina/" TargetMode="External"/><Relationship Id="rId65" Type="http://schemas.openxmlformats.org/officeDocument/2006/relationships/hyperlink" Target="https://www.ahd.com/free_profile/340158/Novant_Health_Brunswick_Medical_Center/Bolivia/North_Carolina/" TargetMode="External"/><Relationship Id="rId73" Type="http://schemas.openxmlformats.org/officeDocument/2006/relationships/hyperlink" Target="https://www.ahd.com/free_profile/340053/Novant_Health_Presbyterian_Medical_Center/Charlotte/North_Carolina/" TargetMode="External"/><Relationship Id="rId78" Type="http://schemas.openxmlformats.org/officeDocument/2006/relationships/hyperlink" Target="https://www.ahd.com/free_profile/340159/Person_Memorial_Hospital/Roxboro/North_Carolina/" TargetMode="External"/><Relationship Id="rId81" Type="http://schemas.openxmlformats.org/officeDocument/2006/relationships/hyperlink" Target="https://www.ahd.com/free_profile/340024/Sampson_Regional_Medical_Center/Clinton/North_Carolina/" TargetMode="External"/><Relationship Id="rId86" Type="http://schemas.openxmlformats.org/officeDocument/2006/relationships/hyperlink" Target="https://www.ahd.com/free_profile/I42238/UNC_Hospitals_Hillsborough_Campus/Hillsborough/North_Carolina/" TargetMode="External"/><Relationship Id="rId94" Type="http://schemas.openxmlformats.org/officeDocument/2006/relationships/hyperlink" Target="https://www.ahd.com/free_profile/340151/Vidant_North_Hospital/Roanoke_Rapids/North_Carolina/" TargetMode="External"/><Relationship Id="rId99" Type="http://schemas.openxmlformats.org/officeDocument/2006/relationships/hyperlink" Target="https://www.ahd.com/free_profile/340096/Wake_Forest_Baptist_Health_Lexington_Medical_Center/Lexington/North_Carolina/" TargetMode="External"/><Relationship Id="rId101" Type="http://schemas.openxmlformats.org/officeDocument/2006/relationships/hyperlink" Target="https://www.ahd.com/free_profile/340173/WakeMed_Cary_Hospital/Cary/North_Carolina/" TargetMode="External"/><Relationship Id="rId4" Type="http://schemas.openxmlformats.org/officeDocument/2006/relationships/hyperlink" Target="https://www.ahd.com/free_profile/340001/Atrium_Health_Cabarrus/Concord/North_Carolina/" TargetMode="External"/><Relationship Id="rId9" Type="http://schemas.openxmlformats.org/officeDocument/2006/relationships/hyperlink" Target="https://www.ahd.com/free_profile/340098/Atrium_Health_Pineville/Charlotte/North_Carolina/" TargetMode="External"/><Relationship Id="rId13" Type="http://schemas.openxmlformats.org/officeDocument/2006/relationships/hyperlink" Target="https://www.ahd.com/free_profile/340071/Betsy_Johnson_Regional_Hospital/Dunn/North_Carolina/" TargetMode="External"/><Relationship Id="rId18" Type="http://schemas.openxmlformats.org/officeDocument/2006/relationships/hyperlink" Target="https://www.ahd.com/free_profile/340131/CarolinaEast_Medical_Center/New_Bern/North_Carolina/" TargetMode="External"/><Relationship Id="rId39" Type="http://schemas.openxmlformats.org/officeDocument/2006/relationships/hyperlink" Target="https://www.ahd.com/free_profile/34013F/Fayetteville_VA_Medical_Center/Fayetteville/North_Carolina/" TargetMode="External"/><Relationship Id="rId34" Type="http://schemas.openxmlformats.org/officeDocument/2006/relationships/hyperlink" Target="https://www.ahd.com/free_profile/340144/Davis_Regional_Medical_Center/Statesville/North_Carolina/" TargetMode="External"/><Relationship Id="rId50" Type="http://schemas.openxmlformats.org/officeDocument/2006/relationships/hyperlink" Target="https://www.ahd.com/free_profile/340090/Johnston_Health_Smithfield/Smithfield/North_Carolina/" TargetMode="External"/><Relationship Id="rId55" Type="http://schemas.openxmlformats.org/officeDocument/2006/relationships/hyperlink" Target="https://www.ahd.com/free_profile/I42330/Maynard_Children%27s_Hospital/Greenville/North_Carolina/" TargetMode="External"/><Relationship Id="rId76" Type="http://schemas.openxmlformats.org/officeDocument/2006/relationships/hyperlink" Target="https://www.ahd.com/free_profile/340042/Onslow_Memorial_Hospital_/Jacksonville/North_Carolina/" TargetMode="External"/><Relationship Id="rId97" Type="http://schemas.openxmlformats.org/officeDocument/2006/relationships/hyperlink" Target="https://www.ahd.com/free_profile/340064/Wake_Forest_Baptist_Health_-_Wilkes__Medical_Center/North_Wilkesboro/North_Carolina/" TargetMode="External"/><Relationship Id="rId104" Type="http://schemas.openxmlformats.org/officeDocument/2006/relationships/hyperlink" Target="https://www.ahd.com/free_profile/340051/Watauga_Medical_Center/Boone/North_Carolina/" TargetMode="External"/><Relationship Id="rId7" Type="http://schemas.openxmlformats.org/officeDocument/2006/relationships/hyperlink" Target="https://www.ahd.com/free_profile/340145/Atrium_Health_Lincoln/Lincolnton/North_Carolina/" TargetMode="External"/><Relationship Id="rId71" Type="http://schemas.openxmlformats.org/officeDocument/2006/relationships/hyperlink" Target="https://www.ahd.com/free_profile/340148/Novant_Health_Medical_Park_Hospital/Winston-Salem/North_Carolina/" TargetMode="External"/><Relationship Id="rId92" Type="http://schemas.openxmlformats.org/officeDocument/2006/relationships/hyperlink" Target="https://www.ahd.com/free_profile/340107/Vidant_Edgecombe_Hospital/Tarboro/North_Carolina/" TargetMode="External"/><Relationship Id="rId2" Type="http://schemas.openxmlformats.org/officeDocument/2006/relationships/hyperlink" Target="https://www.ahd.com/free_profile/340070/Alamance_Regional_Medical_Center/Burlington/North_Carolina/" TargetMode="External"/><Relationship Id="rId29" Type="http://schemas.openxmlformats.org/officeDocument/2006/relationships/hyperlink" Target="https://www.ahd.com/free_profile/340068/Columbus_Regional_Healthcare_System/Whiteville/North_Carolina/" TargetMode="External"/><Relationship Id="rId24" Type="http://schemas.openxmlformats.org/officeDocument/2006/relationships/hyperlink" Target="https://www.ahd.com/free_profile/340020/Central_Carolina_Hospital/Sanford/North_Carolina/" TargetMode="External"/><Relationship Id="rId40" Type="http://schemas.openxmlformats.org/officeDocument/2006/relationships/hyperlink" Target="https://www.ahd.com/free_profile/340115/FirstHealth_Moore_Regional_Hospital/Pinehurst/North_Carolina/" TargetMode="External"/><Relationship Id="rId45" Type="http://schemas.openxmlformats.org/officeDocument/2006/relationships/hyperlink" Target="https://www.ahd.com/free_profile/340016/Harris_Regional_Hospital/Sylva/North_Carolina/" TargetMode="External"/><Relationship Id="rId66" Type="http://schemas.openxmlformats.org/officeDocument/2006/relationships/hyperlink" Target="https://www.ahd.com/free_profile/340153/Novant_Health_Charlotte_Orthopaedic_Hospital/Charlotte/North_Carolina/" TargetMode="External"/><Relationship Id="rId87" Type="http://schemas.openxmlformats.org/officeDocument/2006/relationships/hyperlink" Target="https://www.ahd.com/free_profile/340061/UNC_Medical_Center/Chapel_Hill/North_Carolina/" TargetMode="External"/><Relationship Id="rId61" Type="http://schemas.openxmlformats.org/officeDocument/2006/relationships/hyperlink" Target="https://www.ahd.com/free_profile/340141/New_Hanover_Regional_Medical_Center/Wilmington/North_Carolina/" TargetMode="External"/><Relationship Id="rId82" Type="http://schemas.openxmlformats.org/officeDocument/2006/relationships/hyperlink" Target="https://www.ahd.com/free_profile/340008/Scotland_Memorial_Hospital/Laurinburg/North_Carolina/" TargetMode="External"/><Relationship Id="rId19" Type="http://schemas.openxmlformats.org/officeDocument/2006/relationships/hyperlink" Target="https://www.ahd.com/free_profile/340075/Carolinas_HealthCare_System_-_Blue_Ridge/Morgantown/North_Carolina/" TargetMode="External"/><Relationship Id="rId14" Type="http://schemas.openxmlformats.org/officeDocument/2006/relationships/hyperlink" Target="https://www.ahd.com/free_profile/I41824/Brenner_Children%27s_Hospital/Winston-Salem/North_Carolina/" TargetMode="External"/><Relationship Id="rId30" Type="http://schemas.openxmlformats.org/officeDocument/2006/relationships/hyperlink" Target="https://www.ahd.com/free_profile/340007/Cone_Health_Annie_Penn_Hospital/Reidsville/North_Carolina/" TargetMode="External"/><Relationship Id="rId35" Type="http://schemas.openxmlformats.org/officeDocument/2006/relationships/hyperlink" Target="https://www.ahd.com/free_profile/340073/Duke_Raleigh_Hospital/Raleigh/North_Carolina/" TargetMode="External"/><Relationship Id="rId56" Type="http://schemas.openxmlformats.org/officeDocument/2006/relationships/hyperlink" Target="https://www.ahd.com/free_profile/340002/Mission_Hospital_-_Memorial_Campus/Asheville/North_Carolina/" TargetMode="External"/><Relationship Id="rId77" Type="http://schemas.openxmlformats.org/officeDocument/2006/relationships/hyperlink" Target="https://www.ahd.com/free_profile/340017/Pardee_Hospital/Hendersonville/North_Carolina/" TargetMode="External"/><Relationship Id="rId100" Type="http://schemas.openxmlformats.org/officeDocument/2006/relationships/hyperlink" Target="https://www.ahd.com/free_profile/340047/Wake_Forest_Baptist_Medical_Center/Winston-Salem/North_Carolina/" TargetMode="External"/><Relationship Id="rId105" Type="http://schemas.openxmlformats.org/officeDocument/2006/relationships/hyperlink" Target="https://www.ahd.com/free_profile/340010/Wayne_UNC_Health_Care/Goldsboro/North_Carolina/" TargetMode="External"/><Relationship Id="rId8" Type="http://schemas.openxmlformats.org/officeDocument/2006/relationships/hyperlink" Target="https://www.ahd.com/free_profile/I07873/Atrium_Health_Mercy/Charlotte/North_Carolina/" TargetMode="External"/><Relationship Id="rId51" Type="http://schemas.openxmlformats.org/officeDocument/2006/relationships/hyperlink" Target="https://www.ahd.com/free_profile/340129/Lake_Norman_Regional_Medical_Center/Mooresville/North_Carolina/" TargetMode="External"/><Relationship Id="rId72" Type="http://schemas.openxmlformats.org/officeDocument/2006/relationships/hyperlink" Target="https://www.ahd.com/free_profile/340190/Novant_Health_Mint_Hill_Medical_Center/Mint_Hill/North_Carolina/" TargetMode="External"/><Relationship Id="rId93" Type="http://schemas.openxmlformats.org/officeDocument/2006/relationships/hyperlink" Target="https://www.ahd.com/free_profile/340040/Vidant_Medical_Center/Greenville/North_Carolina/" TargetMode="External"/><Relationship Id="rId98" Type="http://schemas.openxmlformats.org/officeDocument/2006/relationships/hyperlink" Target="https://www.ahd.com/free_profile/340004/Wake_Forest_Baptist_Health_-High_Point_Medical_Center/High_Point/North_Carolina/" TargetMode="External"/><Relationship Id="rId3" Type="http://schemas.openxmlformats.org/officeDocument/2006/relationships/hyperlink" Target="https://www.ahd.com/free_profile/340084/Atrium_Health_Anson/Wadesboro/North_Carolina/" TargetMode="External"/><Relationship Id="rId25" Type="http://schemas.openxmlformats.org/officeDocument/2006/relationships/hyperlink" Target="https://www.ahd.com/free_profile/I41871/Central_Harnett_Hospital/Lillington_/North_Carolina/" TargetMode="External"/><Relationship Id="rId46" Type="http://schemas.openxmlformats.org/officeDocument/2006/relationships/hyperlink" Target="https://www.ahd.com/free_profile/340184/Haywood_Regional_Medical_Center/Clyde/North_Carolina/" TargetMode="External"/><Relationship Id="rId67" Type="http://schemas.openxmlformats.org/officeDocument/2006/relationships/hyperlink" Target="https://www.ahd.com/free_profile/340014/Novant_Health_Forsyth_Medical_Center/Winston-Salem/North_Carolina/" TargetMode="Externa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hd.com/free_profile/350011/Sanford_Medical_Center_Fargo/Fargo/North_Dakota/" TargetMode="External"/><Relationship Id="rId3" Type="http://schemas.openxmlformats.org/officeDocument/2006/relationships/hyperlink" Target="https://www.ahd.com/free_profile/350070/Essentia_Health_Fargo/Fargo/North_Dakota/" TargetMode="External"/><Relationship Id="rId7" Type="http://schemas.openxmlformats.org/officeDocument/2006/relationships/hyperlink" Target="https://www.ahd.com/free_profile/350015/Sanford_Bismarck_Medical_Center/Bismarck/North_Dakota/" TargetMode="External"/><Relationship Id="rId2" Type="http://schemas.openxmlformats.org/officeDocument/2006/relationships/hyperlink" Target="https://www.ahd.com/free_profile/350002/CHI_Saint_Alexius_Health_Bismarck/Bismarck/North_Dakota/" TargetMode="External"/><Relationship Id="rId1" Type="http://schemas.openxmlformats.org/officeDocument/2006/relationships/hyperlink" Target="https://www.ahd.com/free_profile/350019/Altru_Hospital/Grand_Forks/North_Dakota/" TargetMode="External"/><Relationship Id="rId6" Type="http://schemas.openxmlformats.org/officeDocument/2006/relationships/hyperlink" Target="https://www.ahd.com/free_profile/350063/Quentin_N_Burdick_Memorial_Health_Care_Facility/Belcourt/North_Dakota/" TargetMode="External"/><Relationship Id="rId5" Type="http://schemas.openxmlformats.org/officeDocument/2006/relationships/hyperlink" Target="https://www.ahd.com/free_profile/350064/Fort_Yates_Hospital/Fort_Yates/North_Dakota/" TargetMode="External"/><Relationship Id="rId10" Type="http://schemas.openxmlformats.org/officeDocument/2006/relationships/hyperlink" Target="https://www.ahd.com/free_profile/350006/Trinity_Hospital/Minot/North_Dakota/" TargetMode="External"/><Relationship Id="rId4" Type="http://schemas.openxmlformats.org/officeDocument/2006/relationships/hyperlink" Target="https://www.ahd.com/free_profile/35002F/Fargo_VA_Health_Care_System/Fargo/North_Dakota/" TargetMode="External"/><Relationship Id="rId9" Type="http://schemas.openxmlformats.org/officeDocument/2006/relationships/hyperlink" Target="https://www.ahd.com/free_profile/350004/Sanford_South_University_Medical_Center/Fargo/North_Dakota/" TargetMode="Externa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hd.com/free_profile/280128/CHI_Health_Nebraska_Heart/Lincoln/Nebraska/" TargetMode="External"/><Relationship Id="rId13" Type="http://schemas.openxmlformats.org/officeDocument/2006/relationships/hyperlink" Target="https://www.ahd.com/free_profile/280065/Great_Plains_Health/North_Platte/Nebraska/" TargetMode="External"/><Relationship Id="rId18" Type="http://schemas.openxmlformats.org/officeDocument/2006/relationships/hyperlink" Target="https://www.ahd.com/free_profile/280040/Methodist_Hospital/Omaha/Nebraska/" TargetMode="External"/><Relationship Id="rId26" Type="http://schemas.openxmlformats.org/officeDocument/2006/relationships/hyperlink" Target="https://www.ahd.com/free_profile/280013/The_Nebraska_Medical_Center/Omaha/Nebraska/" TargetMode="External"/><Relationship Id="rId3" Type="http://schemas.openxmlformats.org/officeDocument/2006/relationships/hyperlink" Target="https://www.ahd.com/free_profile/280060/CHI_Health_Creighton_University_Medical_Center_-_Bergan_Mercy/Omaha/Nebraska/" TargetMode="External"/><Relationship Id="rId21" Type="http://schemas.openxmlformats.org/officeDocument/2006/relationships/hyperlink" Target="https://www.ahd.com/free_profile/280132/Nebraska_Medicine-_Bellevue/Bellevue/Nebraska/" TargetMode="External"/><Relationship Id="rId7" Type="http://schemas.openxmlformats.org/officeDocument/2006/relationships/hyperlink" Target="https://www.ahd.com/free_profile/280105/CHI_Health_Midlands_/Papillion/Nebraska/" TargetMode="External"/><Relationship Id="rId12" Type="http://schemas.openxmlformats.org/officeDocument/2006/relationships/hyperlink" Target="https://www.ahd.com/free_profile/280125/Faith_Regional_Health_Services/Norfolk/Nebraska/" TargetMode="External"/><Relationship Id="rId17" Type="http://schemas.openxmlformats.org/officeDocument/2006/relationships/hyperlink" Target="https://www.ahd.com/free_profile/280077/Methodist_Fremont_Health/Fremont/Nebraska/" TargetMode="External"/><Relationship Id="rId25" Type="http://schemas.openxmlformats.org/officeDocument/2006/relationships/hyperlink" Target="https://www.ahd.com/free_profile/280061/Regional_West_Medical_Center/Scottsbluff/Nebraska/" TargetMode="External"/><Relationship Id="rId2" Type="http://schemas.openxmlformats.org/officeDocument/2006/relationships/hyperlink" Target="https://www.ahd.com/free_profile/280005/Bryan_Medical_Center_-_West_Campus/Lincoln/Nebraska/" TargetMode="External"/><Relationship Id="rId16" Type="http://schemas.openxmlformats.org/officeDocument/2006/relationships/hyperlink" Target="https://www.ahd.com/free_profile/280032/Mary_Lanning_Memorial_Hospital/Hastings/Nebraska/" TargetMode="External"/><Relationship Id="rId20" Type="http://schemas.openxmlformats.org/officeDocument/2006/relationships/hyperlink" Target="https://www.ahd.com/free_profile/280131/Midwest_Surgical_Hospital/Omaha/Nebraska/" TargetMode="External"/><Relationship Id="rId1" Type="http://schemas.openxmlformats.org/officeDocument/2006/relationships/hyperlink" Target="https://www.ahd.com/free_profile/280003/Bryan_Medical_Center_-_East_Campus/Lincoln/Nebraska/" TargetMode="External"/><Relationship Id="rId6" Type="http://schemas.openxmlformats.org/officeDocument/2006/relationships/hyperlink" Target="https://www.ahd.com/free_profile/280130/CHI_Health_Lakeside_/Omaha/Nebraska/" TargetMode="External"/><Relationship Id="rId11" Type="http://schemas.openxmlformats.org/officeDocument/2006/relationships/hyperlink" Target="https://www.ahd.com/free_profile/280111/Columbus_Community_Hospital/Columbus/Nebraska/" TargetMode="External"/><Relationship Id="rId24" Type="http://schemas.openxmlformats.org/officeDocument/2006/relationships/hyperlink" Target="https://www.ahd.com/free_profile/280129/OrthoNebraska/Omaha/Nebraska/" TargetMode="External"/><Relationship Id="rId5" Type="http://schemas.openxmlformats.org/officeDocument/2006/relationships/hyperlink" Target="https://www.ahd.com/free_profile/280081/CHI_Health_Immanuel_/Omaha/Nebraska/" TargetMode="External"/><Relationship Id="rId15" Type="http://schemas.openxmlformats.org/officeDocument/2006/relationships/hyperlink" Target="https://www.ahd.com/free_profile/280127/Lincoln_Surgical_Hospital/Lincoln/Nebraska/" TargetMode="External"/><Relationship Id="rId23" Type="http://schemas.openxmlformats.org/officeDocument/2006/relationships/hyperlink" Target="https://www.ahd.com/free_profile/28006F/Omaha_VA_Medical_Center/Omaha/Nebraska/" TargetMode="External"/><Relationship Id="rId10" Type="http://schemas.openxmlformats.org/officeDocument/2006/relationships/hyperlink" Target="https://www.ahd.com/free_profile/280023/CHI_Health_Saint_Francis/Grand_Island/Nebraska/" TargetMode="External"/><Relationship Id="rId19" Type="http://schemas.openxmlformats.org/officeDocument/2006/relationships/hyperlink" Target="https://www.ahd.com/free_profile/I41752/Methodist_Women%27s_Hospital/Omaha/Nebraska/" TargetMode="External"/><Relationship Id="rId4" Type="http://schemas.openxmlformats.org/officeDocument/2006/relationships/hyperlink" Target="https://www.ahd.com/free_profile/280009/CHI_Health_Good_Samaritan/Kearney/Nebraska/" TargetMode="External"/><Relationship Id="rId9" Type="http://schemas.openxmlformats.org/officeDocument/2006/relationships/hyperlink" Target="https://www.ahd.com/free_profile/280020/CHI_Health_Saint_Elizabeth/Lincoln/Nebraska/" TargetMode="External"/><Relationship Id="rId14" Type="http://schemas.openxmlformats.org/officeDocument/2006/relationships/hyperlink" Target="https://www.ahd.com/free_profile/280134/Kearney_Regional_Medical_Center/Kearney/Nebraska/" TargetMode="External"/><Relationship Id="rId22" Type="http://schemas.openxmlformats.org/officeDocument/2006/relationships/hyperlink" Target="https://www.ahd.com/free_profile/280133/Nebraska_Spine_Hospital/Omaha/Nebraska/" TargetMode="Externa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hd.com/free_profile/300005/Lakes_Region_General_Hospital/Laconia/New_Hampshire/" TargetMode="External"/><Relationship Id="rId13" Type="http://schemas.openxmlformats.org/officeDocument/2006/relationships/hyperlink" Target="https://www.ahd.com/free_profile/300020/Southern_New_Hampshire_Medical_Center/Nashua/New_Hampshire/" TargetMode="External"/><Relationship Id="rId3" Type="http://schemas.openxmlformats.org/officeDocument/2006/relationships/hyperlink" Target="https://www.ahd.com/free_profile/300001/Concord_Hospital/Concord/New_Hampshire/" TargetMode="External"/><Relationship Id="rId7" Type="http://schemas.openxmlformats.org/officeDocument/2006/relationships/hyperlink" Target="https://www.ahd.com/free_profile/300014/Frisbie_Memorial_Hospital/Rochester/New_Hampshire/" TargetMode="External"/><Relationship Id="rId12" Type="http://schemas.openxmlformats.org/officeDocument/2006/relationships/hyperlink" Target="https://www.ahd.com/free_profile/300011/Saint_Joseph_Hospital/Nashua/New_Hampshire/" TargetMode="External"/><Relationship Id="rId2" Type="http://schemas.openxmlformats.org/officeDocument/2006/relationships/hyperlink" Target="https://www.ahd.com/free_profile/300019/Cheshire_Medical_Center/Keene/New_Hampshire/" TargetMode="External"/><Relationship Id="rId1" Type="http://schemas.openxmlformats.org/officeDocument/2006/relationships/hyperlink" Target="https://www.ahd.com/free_profile/300034/Catholic_Medical_Center/Manchester/New_Hampshire/" TargetMode="External"/><Relationship Id="rId6" Type="http://schemas.openxmlformats.org/officeDocument/2006/relationships/hyperlink" Target="https://www.ahd.com/free_profile/300023/Exeter_Hospital/Exeter/New_Hampshire/" TargetMode="External"/><Relationship Id="rId11" Type="http://schemas.openxmlformats.org/officeDocument/2006/relationships/hyperlink" Target="https://www.ahd.com/free_profile/300029/Portsmouth_Regional_Hospital/Portsmouth/New_Hampshire/" TargetMode="External"/><Relationship Id="rId5" Type="http://schemas.openxmlformats.org/officeDocument/2006/relationships/hyperlink" Target="https://www.ahd.com/free_profile/300012/Elliot_Hospital_/Manchester/New_Hampshire/" TargetMode="External"/><Relationship Id="rId10" Type="http://schemas.openxmlformats.org/officeDocument/2006/relationships/hyperlink" Target="https://www.ahd.com/free_profile/300017/Parkland_Medical_Center/Derry/New_Hampshire/" TargetMode="External"/><Relationship Id="rId4" Type="http://schemas.openxmlformats.org/officeDocument/2006/relationships/hyperlink" Target="https://www.ahd.com/free_profile/300003/Dartmouth-Hitchcock_Medical_Center/Lebanon/New_Hampshire/" TargetMode="External"/><Relationship Id="rId9" Type="http://schemas.openxmlformats.org/officeDocument/2006/relationships/hyperlink" Target="https://www.ahd.com/free_profile/30001F/Manchester_VA_Medical_Center/Manchester/New_Hampshire/" TargetMode="External"/><Relationship Id="rId14" Type="http://schemas.openxmlformats.org/officeDocument/2006/relationships/hyperlink" Target="https://www.ahd.com/free_profile/300018/Wentworth-Douglass_Hospital/Dover/New_Hampshire/" TargetMode="External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hd.com/free_profile/310118/Hudson_Regional_Hospital/Secaucus/New_Jersey/" TargetMode="External"/><Relationship Id="rId21" Type="http://schemas.openxmlformats.org/officeDocument/2006/relationships/hyperlink" Target="https://www.ahd.com/free_profile/310130/Hackensack_Meridian_Health_Pascack_Valley_Medical_Center/Westwood/New_Jersey/" TargetMode="External"/><Relationship Id="rId42" Type="http://schemas.openxmlformats.org/officeDocument/2006/relationships/hyperlink" Target="https://www.ahd.com/free_profile/310002/Newark_Beth_Israel_Medical_Center/Newark/New_Jersey/" TargetMode="External"/><Relationship Id="rId47" Type="http://schemas.openxmlformats.org/officeDocument/2006/relationships/hyperlink" Target="https://www.ahd.com/free_profile/310010/Princeton_Medical_Center/Plainsboro/New_Jersey/" TargetMode="External"/><Relationship Id="rId63" Type="http://schemas.openxmlformats.org/officeDocument/2006/relationships/hyperlink" Target="https://www.ahd.com/free_profile/310096/Saint_Michael%27s_Medical_Center/Newark/New_Jersey/" TargetMode="External"/><Relationship Id="rId68" Type="http://schemas.openxmlformats.org/officeDocument/2006/relationships/hyperlink" Target="https://www.ahd.com/free_profile/310119/The_University_Hospital/Newark/New_Jersey/" TargetMode="External"/><Relationship Id="rId16" Type="http://schemas.openxmlformats.org/officeDocument/2006/relationships/hyperlink" Target="https://www.ahd.com/free_profile/310031/Deborah_Heart_and_Lung_Center/Browns_Mills/New_Jersey/" TargetMode="External"/><Relationship Id="rId11" Type="http://schemas.openxmlformats.org/officeDocument/2006/relationships/hyperlink" Target="https://www.ahd.com/free_profile/310017/Chilton_Medical_Center/Pompton_Plains/New_Jersey/" TargetMode="External"/><Relationship Id="rId24" Type="http://schemas.openxmlformats.org/officeDocument/2006/relationships/hyperlink" Target="https://www.ahd.com/free_profile/310040/Hoboken_University_Medical_Center/Hoboken/New_Jersey/" TargetMode="External"/><Relationship Id="rId32" Type="http://schemas.openxmlformats.org/officeDocument/2006/relationships/hyperlink" Target="https://www.ahd.com/free_profile/I08072/Jefferson__Washington_Township_Hospital/Turnersville/New_Jersey/" TargetMode="External"/><Relationship Id="rId37" Type="http://schemas.openxmlformats.org/officeDocument/2006/relationships/hyperlink" Target="https://www.ahd.com/free_profile/I42372/LTACH_-_CareOne_at_Hackensack_University_Medical_Center%2C_Pascack_Valley/Westwood/New_Jersey/" TargetMode="External"/><Relationship Id="rId40" Type="http://schemas.openxmlformats.org/officeDocument/2006/relationships/hyperlink" Target="https://www.ahd.com/free_profile/310084/Monmouth_Medical_Center%2C_Southern_Campus/Lakewood/New_Jersey/" TargetMode="External"/><Relationship Id="rId45" Type="http://schemas.openxmlformats.org/officeDocument/2006/relationships/hyperlink" Target="https://www.ahd.com/free_profile/310051/Overlook_Medical_Center/Summit/New_Jersey/" TargetMode="External"/><Relationship Id="rId53" Type="http://schemas.openxmlformats.org/officeDocument/2006/relationships/hyperlink" Target="https://www.ahd.com/free_profile/310048/Robert_Wood_Johnson_University_Hospital_Somerset/Somerville/New_Jersey/" TargetMode="External"/><Relationship Id="rId58" Type="http://schemas.openxmlformats.org/officeDocument/2006/relationships/hyperlink" Target="https://www.ahd.com/free_profile/310021/Saint_Francis_Medical_Center/Trenton/New_Jersey/" TargetMode="External"/><Relationship Id="rId66" Type="http://schemas.openxmlformats.org/officeDocument/2006/relationships/hyperlink" Target="https://www.ahd.com/free_profile/310047/Shore_Medical_Center/Somers_Point/New_Jersey/" TargetMode="External"/><Relationship Id="rId74" Type="http://schemas.openxmlformats.org/officeDocument/2006/relationships/hyperlink" Target="https://www.ahd.com/free_profile/I07825/Virtua_Marlton_Hospital/Marlton/New_Jersey/" TargetMode="External"/><Relationship Id="rId5" Type="http://schemas.openxmlformats.org/officeDocument/2006/relationships/hyperlink" Target="https://www.ahd.com/free_profile/310112/Bayshore_Medical_Center/Holmdel/New_Jersey/" TargetMode="External"/><Relationship Id="rId61" Type="http://schemas.openxmlformats.org/officeDocument/2006/relationships/hyperlink" Target="https://www.ahd.com/free_profile/310060/Saint_Luke%27s_Warren_Campus/Phillipsburg/New_Jersey/" TargetMode="External"/><Relationship Id="rId19" Type="http://schemas.openxmlformats.org/officeDocument/2006/relationships/hyperlink" Target="https://www.ahd.com/free_profile/310108/Hackensack_Meridian_Health_JFK_Medical_Center/Edison/New_Jersey/" TargetMode="External"/><Relationship Id="rId14" Type="http://schemas.openxmlformats.org/officeDocument/2006/relationships/hyperlink" Target="https://www.ahd.com/free_profile/310041/Community_Medical_Center/Toms_River/New_Jersey/" TargetMode="External"/><Relationship Id="rId22" Type="http://schemas.openxmlformats.org/officeDocument/2006/relationships/hyperlink" Target="https://www.ahd.com/free_profile/310001/Hackensack_University_Medical_Center/Hackensack/New_Jersey/" TargetMode="External"/><Relationship Id="rId27" Type="http://schemas.openxmlformats.org/officeDocument/2006/relationships/hyperlink" Target="https://www.ahd.com/free_profile/310005/Hunterdon_Medical_Center/Flemington/New_Jersey/" TargetMode="External"/><Relationship Id="rId30" Type="http://schemas.openxmlformats.org/officeDocument/2006/relationships/hyperlink" Target="https://www.ahd.com/free_profile/310032/Inspira_Medical_Center_Vineland/Vineland/New_Jersey/" TargetMode="External"/><Relationship Id="rId35" Type="http://schemas.openxmlformats.org/officeDocument/2006/relationships/hyperlink" Target="https://www.ahd.com/free_profile/310074/Jersey_City_Medical_Center/Jersey_City/New_Jersey/" TargetMode="External"/><Relationship Id="rId43" Type="http://schemas.openxmlformats.org/officeDocument/2006/relationships/hyperlink" Target="https://www.ahd.com/free_profile/310028/Newton_Medical_Center/Newton/New_Jersey/" TargetMode="External"/><Relationship Id="rId48" Type="http://schemas.openxmlformats.org/officeDocument/2006/relationships/hyperlink" Target="https://www.ahd.com/free_profile/I41147/Raritan_Bay_Medical_Center_-_Old_Bridge_Division/Old_Bridge/New_Jersey/" TargetMode="External"/><Relationship Id="rId56" Type="http://schemas.openxmlformats.org/officeDocument/2006/relationships/hyperlink" Target="https://www.ahd.com/free_profile/310050/Saint_Clare%27s_Denville_Hospital_/Denville/New_Jersey/" TargetMode="External"/><Relationship Id="rId64" Type="http://schemas.openxmlformats.org/officeDocument/2006/relationships/hyperlink" Target="https://www.ahd.com/free_profile/310070/Saint_Peter%27s_University_Hospital/New_Brunswick/New_Jersey/" TargetMode="External"/><Relationship Id="rId69" Type="http://schemas.openxmlformats.org/officeDocument/2006/relationships/hyperlink" Target="https://www.ahd.com/free_profile/310012/The_Valley_Hospital/Ridgewood/New_Jersey/" TargetMode="External"/><Relationship Id="rId77" Type="http://schemas.openxmlformats.org/officeDocument/2006/relationships/hyperlink" Target="https://www.ahd.com/free_profile/310022/Virtua_Voorhees_Hospital/Voorhees/New_Jersey/" TargetMode="External"/><Relationship Id="rId8" Type="http://schemas.openxmlformats.org/officeDocument/2006/relationships/hyperlink" Target="https://www.ahd.com/free_profile/310044/Capital_Health_Medical_Center_-_Hopewell/Pennington/New_Jersey/" TargetMode="External"/><Relationship Id="rId51" Type="http://schemas.openxmlformats.org/officeDocument/2006/relationships/hyperlink" Target="https://www.ahd.com/free_profile/310038/Robert_Wood_Johnson_University_Hospital/New_Brunswick/New_Jersey/" TargetMode="External"/><Relationship Id="rId72" Type="http://schemas.openxmlformats.org/officeDocument/2006/relationships/hyperlink" Target="https://www.ahd.com/free_profile/31001F/VA_New_Jersey_Healthcare_System_-_East_Orange_Campus/East_Orange/New_Jersey/" TargetMode="External"/><Relationship Id="rId3" Type="http://schemas.openxmlformats.org/officeDocument/2006/relationships/hyperlink" Target="https://www.ahd.com/free_profile/310064/AtlantiCare_Regional_Medical_Center_-Atlantic_City_Campus/Atlantic_City/New_Jersey/" TargetMode="External"/><Relationship Id="rId12" Type="http://schemas.openxmlformats.org/officeDocument/2006/relationships/hyperlink" Target="https://www.ahd.com/free_profile/310016/Christ_Hospital/Jersey_City/New_Jersey/" TargetMode="External"/><Relationship Id="rId17" Type="http://schemas.openxmlformats.org/officeDocument/2006/relationships/hyperlink" Target="https://www.ahd.com/free_profile/310083/East_Orange_General_Hospital/East_Orange/New_Jersey/" TargetMode="External"/><Relationship Id="rId25" Type="http://schemas.openxmlformats.org/officeDocument/2006/relationships/hyperlink" Target="https://www.ahd.com/free_profile/310008/Holy_Name_Medical_Center/Teaneck/New_Jersey/" TargetMode="External"/><Relationship Id="rId33" Type="http://schemas.openxmlformats.org/officeDocument/2006/relationships/hyperlink" Target="https://www.ahd.com/free_profile/310086/Jefferson_Cherry_Hill_Hospital/Cherry_Hill/New_Jersey/" TargetMode="External"/><Relationship Id="rId38" Type="http://schemas.openxmlformats.org/officeDocument/2006/relationships/hyperlink" Target="https://www.ahd.com/free_profile/I42373/LTACH_-_CareOne_at_Trinitas_Regional_Medical_Center/Elizabeth/New_Jersey/" TargetMode="External"/><Relationship Id="rId46" Type="http://schemas.openxmlformats.org/officeDocument/2006/relationships/hyperlink" Target="https://www.ahd.com/free_profile/I42103/Princeton_House_Behavioral_Health/Princeton/New_Jersey/" TargetMode="External"/><Relationship Id="rId59" Type="http://schemas.openxmlformats.org/officeDocument/2006/relationships/hyperlink" Target="https://www.ahd.com/free_profile/310019/Saint_Joseph%27s_University_Medical_Center/Paterson/New_Jersey/" TargetMode="External"/><Relationship Id="rId67" Type="http://schemas.openxmlformats.org/officeDocument/2006/relationships/hyperlink" Target="https://www.ahd.com/free_profile/310113/Southern_Ocean_Medical_Center/Manahawkin/New_Jersey/" TargetMode="External"/><Relationship Id="rId20" Type="http://schemas.openxmlformats.org/officeDocument/2006/relationships/hyperlink" Target="https://www.ahd.com/free_profile/310054/Hackensack_Meridian_Health_Mountainside_Medical_Center_/Montclair/New_Jersey/" TargetMode="External"/><Relationship Id="rId41" Type="http://schemas.openxmlformats.org/officeDocument/2006/relationships/hyperlink" Target="https://www.ahd.com/free_profile/310015/Morristown_Medical_Center/Morristown/New_Jersey/" TargetMode="External"/><Relationship Id="rId54" Type="http://schemas.openxmlformats.org/officeDocument/2006/relationships/hyperlink" Target="https://www.ahd.com/free_profile/310110/RWJ_University_Hospital_Hamilton/Hamilton/New_Jersey/" TargetMode="External"/><Relationship Id="rId62" Type="http://schemas.openxmlformats.org/officeDocument/2006/relationships/hyperlink" Target="https://www.ahd.com/free_profile/310006/Saint_Mary%27s_General_Hospital/Passaic/New_Jersey/" TargetMode="External"/><Relationship Id="rId70" Type="http://schemas.openxmlformats.org/officeDocument/2006/relationships/hyperlink" Target="https://www.ahd.com/free_profile/310027/Trinitas_Regional_Medical_Center_/Elizabeth/New_Jersey/" TargetMode="External"/><Relationship Id="rId75" Type="http://schemas.openxmlformats.org/officeDocument/2006/relationships/hyperlink" Target="https://www.ahd.com/free_profile/310057/Virtua_Memorial_Hospital_/Mount_Holly/New_Jersey/" TargetMode="External"/><Relationship Id="rId1" Type="http://schemas.openxmlformats.org/officeDocument/2006/relationships/hyperlink" Target="https://www.ahd.com/free_profile/310003/_Palisades_Medical_Center_/North_Bergen/New_Jersey/" TargetMode="External"/><Relationship Id="rId6" Type="http://schemas.openxmlformats.org/officeDocument/2006/relationships/hyperlink" Target="https://www.ahd.com/free_profile/310058/Bergen_New_Bridge_Medical_Center/Paramus/New_Jersey/" TargetMode="External"/><Relationship Id="rId15" Type="http://schemas.openxmlformats.org/officeDocument/2006/relationships/hyperlink" Target="https://www.ahd.com/free_profile/310014/Cooper_University_Hospital/Camden/New_Jersey/" TargetMode="External"/><Relationship Id="rId23" Type="http://schemas.openxmlformats.org/officeDocument/2006/relationships/hyperlink" Target="https://www.ahd.com/free_profile/310115/Hackettstown_Medical_Center/Hackettstown/New_Jersey/" TargetMode="External"/><Relationship Id="rId28" Type="http://schemas.openxmlformats.org/officeDocument/2006/relationships/hyperlink" Target="https://www.ahd.com/free_profile/310069/Inspira_Medical_Center_Elmer/Elmer/New_Jersey/" TargetMode="External"/><Relationship Id="rId36" Type="http://schemas.openxmlformats.org/officeDocument/2006/relationships/hyperlink" Target="https://www.ahd.com/free_profile/310073/Jersey_Shore_University_Medical_Center/Neptune/New_Jersey/" TargetMode="External"/><Relationship Id="rId49" Type="http://schemas.openxmlformats.org/officeDocument/2006/relationships/hyperlink" Target="https://www.ahd.com/free_profile/310039/Raritan_Bay_Medical_Center_-_Perth_Amboy_Division/Perth_Amboy/New_Jersey/" TargetMode="External"/><Relationship Id="rId57" Type="http://schemas.openxmlformats.org/officeDocument/2006/relationships/hyperlink" Target="https://www.ahd.com/free_profile/310067/Saint_Clare%27s_Hospital_-_Dover/Dover/New_Jersey/" TargetMode="External"/><Relationship Id="rId10" Type="http://schemas.openxmlformats.org/officeDocument/2006/relationships/hyperlink" Target="https://www.ahd.com/free_profile/310111/CentraState_Medical_Center/Freehold/New_Jersey/" TargetMode="External"/><Relationship Id="rId31" Type="http://schemas.openxmlformats.org/officeDocument/2006/relationships/hyperlink" Target="https://www.ahd.com/free_profile/310081/Inspira_Medical_Center_Woodbury/Woodbury/New_Jersey/" TargetMode="External"/><Relationship Id="rId44" Type="http://schemas.openxmlformats.org/officeDocument/2006/relationships/hyperlink" Target="https://www.ahd.com/free_profile/310052/Ocean_Medical_Center/Brick/New_Jersey/" TargetMode="External"/><Relationship Id="rId52" Type="http://schemas.openxmlformats.org/officeDocument/2006/relationships/hyperlink" Target="https://www.ahd.com/free_profile/310024/Robert_Wood_Johnson_University_Hospital_at_Rahway/Rahway/New_Jersey/" TargetMode="External"/><Relationship Id="rId60" Type="http://schemas.openxmlformats.org/officeDocument/2006/relationships/hyperlink" Target="https://www.ahd.com/free_profile/310116/Saint_Joseph%27s_Wayne_Medical_Center/Wayne/New_Jersey/" TargetMode="External"/><Relationship Id="rId65" Type="http://schemas.openxmlformats.org/officeDocument/2006/relationships/hyperlink" Target="https://www.ahd.com/free_profile/310091/Salem_Medical_Center/Salem/New_Jersey/" TargetMode="External"/><Relationship Id="rId73" Type="http://schemas.openxmlformats.org/officeDocument/2006/relationships/hyperlink" Target="https://www.ahd.com/free_profile/I42314/Valley-Mount_Sinai_Comprehensive_Cancer_Care/Paramus/New_Jersey/" TargetMode="External"/><Relationship Id="rId78" Type="http://schemas.openxmlformats.org/officeDocument/2006/relationships/hyperlink" Target="https://www.ahd.com/free_profile/310061/Virtua_Willingboro_Hospital/Willingboro/New_Jersey/" TargetMode="External"/><Relationship Id="rId4" Type="http://schemas.openxmlformats.org/officeDocument/2006/relationships/hyperlink" Target="https://www.ahd.com/free_profile/310025/Bayonne_Medical_Center/Bayonne/New_Jersey/" TargetMode="External"/><Relationship Id="rId9" Type="http://schemas.openxmlformats.org/officeDocument/2006/relationships/hyperlink" Target="https://www.ahd.com/free_profile/310092/Capital_Health_Regional_Medical_Center/Trenton/New_Jersey/" TargetMode="External"/><Relationship Id="rId13" Type="http://schemas.openxmlformats.org/officeDocument/2006/relationships/hyperlink" Target="https://www.ahd.com/free_profile/310009/Clara_Maass_Medical_Center/Belleville/New_Jersey/" TargetMode="External"/><Relationship Id="rId18" Type="http://schemas.openxmlformats.org/officeDocument/2006/relationships/hyperlink" Target="https://www.ahd.com/free_profile/310045/Englewood_Hospital_and_Medical_Center/Englewood/New_Jersey/" TargetMode="External"/><Relationship Id="rId39" Type="http://schemas.openxmlformats.org/officeDocument/2006/relationships/hyperlink" Target="https://www.ahd.com/free_profile/310075/Monmouth_Medical_Center/Long_Branch/New_Jersey/" TargetMode="External"/><Relationship Id="rId34" Type="http://schemas.openxmlformats.org/officeDocument/2006/relationships/hyperlink" Target="https://www.ahd.com/free_profile/I08071/Jefferson_Stratford_Hospital/Stratford/New_Jersey/" TargetMode="External"/><Relationship Id="rId50" Type="http://schemas.openxmlformats.org/officeDocument/2006/relationships/hyperlink" Target="https://www.ahd.com/free_profile/310034/Riverview_Medical_Center/Red_Bank/New_Jersey/" TargetMode="External"/><Relationship Id="rId55" Type="http://schemas.openxmlformats.org/officeDocument/2006/relationships/hyperlink" Target="https://www.ahd.com/free_profile/310076/Saint_Barnabas_Medical_Center/Livingston/New_Jersey/" TargetMode="External"/><Relationship Id="rId76" Type="http://schemas.openxmlformats.org/officeDocument/2006/relationships/hyperlink" Target="https://www.ahd.com/free_profile/310029/Virtua_Our_Lady_of_Lourdes_Hospital/Camden/New_Jersey/" TargetMode="External"/><Relationship Id="rId7" Type="http://schemas.openxmlformats.org/officeDocument/2006/relationships/hyperlink" Target="https://www.ahd.com/free_profile/310011/Cape_Regional_Medical_Center/Cape_May_Court_House/New_Jersey/" TargetMode="External"/><Relationship Id="rId71" Type="http://schemas.openxmlformats.org/officeDocument/2006/relationships/hyperlink" Target="https://www.ahd.com/free_profile/I42141/VA_New_Jersey_Health_Care_System_-_Lyons_Campus/Lyons_/New_Jersey/" TargetMode="External"/><Relationship Id="rId2" Type="http://schemas.openxmlformats.org/officeDocument/2006/relationships/hyperlink" Target="https://www.ahd.com/free_profile/I41276/AtlantiCare_Regional_Medical_Center_-_Mainland_Campus/Pomona/New_Jersey/" TargetMode="External"/><Relationship Id="rId29" Type="http://schemas.openxmlformats.org/officeDocument/2006/relationships/hyperlink" Target="https://www.ahd.com/free_profile/I42338/Inspira_Medical_Center_Mullica_Hill/Mullica_Hill/New_Jersey/" TargetMode="External"/></Relationships>
</file>

<file path=xl/worksheets/_rels/sheet3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ahd.com/free_profile/320067/Guadalupe_County_Hospital/Santa_Rosa/New_Mexico/" TargetMode="External"/><Relationship Id="rId18" Type="http://schemas.openxmlformats.org/officeDocument/2006/relationships/hyperlink" Target="https://www.ahd.com/free_profile/320074/Lovelace_Westside_Hospital/Albuquerque/New_Mexico/" TargetMode="External"/><Relationship Id="rId26" Type="http://schemas.openxmlformats.org/officeDocument/2006/relationships/hyperlink" Target="https://www.ahd.com/free_profile/320079/Presbyterian_Kaseman_Hospital/Albuquerque/New_Mexico/" TargetMode="External"/><Relationship Id="rId21" Type="http://schemas.openxmlformats.org/officeDocument/2006/relationships/hyperlink" Target="https://www.ahd.com/free_profile/320058/Mescalero_Hospital/Mescalero/New_Mexico/" TargetMode="External"/><Relationship Id="rId34" Type="http://schemas.openxmlformats.org/officeDocument/2006/relationships/hyperlink" Target="https://www.ahd.com/free_profile/320059/The_Northern_Navajo_Medical_Center_/Shiprock/New_Mexico/" TargetMode="External"/><Relationship Id="rId7" Type="http://schemas.openxmlformats.org/officeDocument/2006/relationships/hyperlink" Target="https://www.ahd.com/free_profile/320002/CHRISTUS_Saint_Vincent_Regional_Medical_Center/Santa_Fe/New_Mexico/" TargetMode="External"/><Relationship Id="rId12" Type="http://schemas.openxmlformats.org/officeDocument/2006/relationships/hyperlink" Target="https://www.ahd.com/free_profile/320016/Gila_Regional_Medical_Center/Silver_City/New_Mexico/" TargetMode="External"/><Relationship Id="rId17" Type="http://schemas.openxmlformats.org/officeDocument/2006/relationships/hyperlink" Target="https://www.ahd.com/free_profile/320086/Lovelace_Regional_Hospital_-_Roswell/Roswell/New_Mexico/" TargetMode="External"/><Relationship Id="rId25" Type="http://schemas.openxmlformats.org/officeDocument/2006/relationships/hyperlink" Target="https://www.ahd.com/free_profile/320021/Presbyterian_Hospital/Albuquerque/New_Mexico/" TargetMode="External"/><Relationship Id="rId33" Type="http://schemas.openxmlformats.org/officeDocument/2006/relationships/hyperlink" Target="https://www.ahd.com/free_profile/320083/The_Heart_Hospital_of_New_Mexico_at_Lovelace_Medical_Center/Albuquerque/New_Mexico/" TargetMode="External"/><Relationship Id="rId2" Type="http://schemas.openxmlformats.org/officeDocument/2006/relationships/hyperlink" Target="https://www.ahd.com/free_profile/320070/Acoma-Canoncito-Laguna_Hospital/Acoma/New_Mexico/" TargetMode="External"/><Relationship Id="rId16" Type="http://schemas.openxmlformats.org/officeDocument/2006/relationships/hyperlink" Target="https://www.ahd.com/free_profile/320009/Lovelace_Medical_Center/Albuquerque/New_Mexico/" TargetMode="External"/><Relationship Id="rId20" Type="http://schemas.openxmlformats.org/officeDocument/2006/relationships/hyperlink" Target="https://www.ahd.com/free_profile/320018/Memorial_Medical_Center/Las_Cruces/New_Mexico/" TargetMode="External"/><Relationship Id="rId29" Type="http://schemas.openxmlformats.org/officeDocument/2006/relationships/hyperlink" Target="https://www.ahd.com/free_profile/I07856/Raymond_G_Murphy_VA_Medical_Center/Albuquerque/New_Mexico/" TargetMode="External"/><Relationship Id="rId1" Type="http://schemas.openxmlformats.org/officeDocument/2006/relationships/hyperlink" Target="https://www.ahd.com/free_profile/320057/_Santa_Fe_Indian_Hospital/Santa_Fe/New_Mexico/" TargetMode="External"/><Relationship Id="rId6" Type="http://schemas.openxmlformats.org/officeDocument/2006/relationships/hyperlink" Target="https://www.ahd.com/free_profile/320087/CHRISTUS_Saint_Vincent_Physicians_Medical_Center_/Santa_Fe/New_Mexico/" TargetMode="External"/><Relationship Id="rId11" Type="http://schemas.openxmlformats.org/officeDocument/2006/relationships/hyperlink" Target="https://www.ahd.com/free_profile/320004/Gerald_Champion_Regional_Medical_Center/Alamogordo/New_Mexico/" TargetMode="External"/><Relationship Id="rId24" Type="http://schemas.openxmlformats.org/officeDocument/2006/relationships/hyperlink" Target="https://www.ahd.com/free_profile/320011/Presbyterian_Espanola_Hospital/Espanola/New_Mexico/" TargetMode="External"/><Relationship Id="rId32" Type="http://schemas.openxmlformats.org/officeDocument/2006/relationships/hyperlink" Target="https://www.ahd.com/free_profile/320005/San_Juan_Regional_Medical_Center/Farmington/New_Mexico/" TargetMode="External"/><Relationship Id="rId37" Type="http://schemas.openxmlformats.org/officeDocument/2006/relationships/hyperlink" Target="https://www.ahd.com/free_profile/320060/Zuni_Hospital/Zuni/New_Mexico/" TargetMode="External"/><Relationship Id="rId5" Type="http://schemas.openxmlformats.org/officeDocument/2006/relationships/hyperlink" Target="https://www.ahd.com/free_profile/320063/Carlsbad_Medical_Center/Carlsbad/New_Mexico/" TargetMode="External"/><Relationship Id="rId15" Type="http://schemas.openxmlformats.org/officeDocument/2006/relationships/hyperlink" Target="https://www.ahd.com/free_profile/320033/Los_Alamos_Medical_Center/Los_Alamos/New_Mexico/" TargetMode="External"/><Relationship Id="rId23" Type="http://schemas.openxmlformats.org/officeDocument/2006/relationships/hyperlink" Target="https://www.ahd.com/free_profile/320022/Plains_Regional_Medical_Center/Clovis/New_Mexico/" TargetMode="External"/><Relationship Id="rId28" Type="http://schemas.openxmlformats.org/officeDocument/2006/relationships/hyperlink" Target="https://www.ahd.com/free_profile/320090/Presbyterian_Santa_Fe_Medical_Center/Santa_Fe/New_Mexico/" TargetMode="External"/><Relationship Id="rId36" Type="http://schemas.openxmlformats.org/officeDocument/2006/relationships/hyperlink" Target="https://www.ahd.com/free_profile/320089/UNM_Sandoval_Regional_Medical_Center/Rio_Rancho/New_Mexico/" TargetMode="External"/><Relationship Id="rId10" Type="http://schemas.openxmlformats.org/officeDocument/2006/relationships/hyperlink" Target="https://www.ahd.com/free_profile/320061/Gallup_Indian_Medical_Center/Gallup/New_Mexico/" TargetMode="External"/><Relationship Id="rId19" Type="http://schemas.openxmlformats.org/officeDocument/2006/relationships/hyperlink" Target="https://www.ahd.com/free_profile/320017/Lovelace_Women%27s_Hospital/Albuquerque/New_Mexico/" TargetMode="External"/><Relationship Id="rId31" Type="http://schemas.openxmlformats.org/officeDocument/2006/relationships/hyperlink" Target="https://www.ahd.com/free_profile/320084/Roosevelt_General_Hospital/Portales/New_Mexico/" TargetMode="External"/><Relationship Id="rId4" Type="http://schemas.openxmlformats.org/officeDocument/2006/relationships/hyperlink" Target="https://www.ahd.com/free_profile/320030/Artesia_General_Hospital/Artesia/New_Mexico/" TargetMode="External"/><Relationship Id="rId9" Type="http://schemas.openxmlformats.org/officeDocument/2006/relationships/hyperlink" Target="https://www.ahd.com/free_profile/320006/Eastern_New_Mexico_Medical_Center/Roswell/New_Mexico/" TargetMode="External"/><Relationship Id="rId14" Type="http://schemas.openxmlformats.org/officeDocument/2006/relationships/hyperlink" Target="https://www.ahd.com/free_profile/320065/Lea_Regional_Medical_Center/Hobbs/New_Mexico/" TargetMode="External"/><Relationship Id="rId22" Type="http://schemas.openxmlformats.org/officeDocument/2006/relationships/hyperlink" Target="https://www.ahd.com/free_profile/320085/MountainView_Regional_Medical_Center/Las_Cruces/New_Mexico/" TargetMode="External"/><Relationship Id="rId27" Type="http://schemas.openxmlformats.org/officeDocument/2006/relationships/hyperlink" Target="https://www.ahd.com/free_profile/I41850/Presbyterian_Rust_Medical_Center/Rio_Rancho/New_Mexico/" TargetMode="External"/><Relationship Id="rId30" Type="http://schemas.openxmlformats.org/officeDocument/2006/relationships/hyperlink" Target="https://www.ahd.com/free_profile/320038/Rehoboth_McKinley_Christian_Health_Care_Services_Hospital/Gallup/New_Mexico/" TargetMode="External"/><Relationship Id="rId35" Type="http://schemas.openxmlformats.org/officeDocument/2006/relationships/hyperlink" Target="https://www.ahd.com/free_profile/320001/UNM_Hospital_/Albuquerque/New_Mexico/" TargetMode="External"/><Relationship Id="rId8" Type="http://schemas.openxmlformats.org/officeDocument/2006/relationships/hyperlink" Target="https://www.ahd.com/free_profile/320062/Crownpoint_Health_Care_Facility/Crownpoint/New_Mexico/" TargetMode="External"/><Relationship Id="rId3" Type="http://schemas.openxmlformats.org/officeDocument/2006/relationships/hyperlink" Target="https://www.ahd.com/free_profile/320003/Alta_Vista_Regional_Hospital/Las_Vegas/New_Mexico/" TargetMode="Externa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hd.com/free_profile/290045/Dignity_Health_-_St_Rose_Dominican_Siena_Campus/Henderson/Nevada/" TargetMode="External"/><Relationship Id="rId13" Type="http://schemas.openxmlformats.org/officeDocument/2006/relationships/hyperlink" Target="https://www.ahd.com/free_profile/290057/Henderson_Hospital/Henderson/Nevada/" TargetMode="External"/><Relationship Id="rId18" Type="http://schemas.openxmlformats.org/officeDocument/2006/relationships/hyperlink" Target="https://www.ahd.com/free_profile/290032/Northern_Nevada_Medical_Center/Sparks/Nevada/" TargetMode="External"/><Relationship Id="rId26" Type="http://schemas.openxmlformats.org/officeDocument/2006/relationships/hyperlink" Target="https://www.ahd.com/free_profile/I42358/Sunrise_Children%27s_Hospital/Las_Vegas/Nevada/" TargetMode="External"/><Relationship Id="rId3" Type="http://schemas.openxmlformats.org/officeDocument/2006/relationships/hyperlink" Target="https://www.ahd.com/free_profile/290054/Centennial_Hills_Hospital_Medical_Center/Las_Vegas/Nevada/" TargetMode="External"/><Relationship Id="rId21" Type="http://schemas.openxmlformats.org/officeDocument/2006/relationships/hyperlink" Target="https://www.ahd.com/free_profile/290049/Renown_South_Meadows_Medical_Center/Reno/Nevada/" TargetMode="External"/><Relationship Id="rId7" Type="http://schemas.openxmlformats.org/officeDocument/2006/relationships/hyperlink" Target="https://www.ahd.com/free_profile/290012/Dignity_Health_-_St_Rose_Dominican__Rose_de_Lima_Campus/Henderson/Nevada/" TargetMode="External"/><Relationship Id="rId12" Type="http://schemas.openxmlformats.org/officeDocument/2006/relationships/hyperlink" Target="https://www.ahd.com/free_profile/290053/Dignity_Health-St_Rose_Dominican_San_Martin_Campus/Las_Vegas/Nevada/" TargetMode="External"/><Relationship Id="rId17" Type="http://schemas.openxmlformats.org/officeDocument/2006/relationships/hyperlink" Target="https://www.ahd.com/free_profile/290008/Northeastern_Nevada_Regional_Hospital/Elko/Nevada/" TargetMode="External"/><Relationship Id="rId25" Type="http://schemas.openxmlformats.org/officeDocument/2006/relationships/hyperlink" Target="https://www.ahd.com/free_profile/290041/Summerlin_Hospital_Medical_Center/Las_Vegas/Nevada/" TargetMode="External"/><Relationship Id="rId2" Type="http://schemas.openxmlformats.org/officeDocument/2006/relationships/hyperlink" Target="https://www.ahd.com/free_profile/290051/Carson_Tahoe_Sierra_Surgery_Hospital/Carson_City/Nevada/" TargetMode="External"/><Relationship Id="rId16" Type="http://schemas.openxmlformats.org/officeDocument/2006/relationships/hyperlink" Target="https://www.ahd.com/free_profile/290005/North_Vista_Hospital/North_Las_Vegas/Nevada/" TargetMode="External"/><Relationship Id="rId20" Type="http://schemas.openxmlformats.org/officeDocument/2006/relationships/hyperlink" Target="https://www.ahd.com/free_profile/290001/Renown_Regional_Medical_Center/Reno/Nevada/" TargetMode="External"/><Relationship Id="rId29" Type="http://schemas.openxmlformats.org/officeDocument/2006/relationships/hyperlink" Target="https://www.ahd.com/free_profile/29002F/VA_Sierra_Nevada_Health_Care_System_/Reno/Nevada/" TargetMode="External"/><Relationship Id="rId1" Type="http://schemas.openxmlformats.org/officeDocument/2006/relationships/hyperlink" Target="https://www.ahd.com/free_profile/290019/Carson_Tahoe_Regional_Medical_Center/Carson_City/Nevada/" TargetMode="External"/><Relationship Id="rId6" Type="http://schemas.openxmlformats.org/officeDocument/2006/relationships/hyperlink" Target="https://www.ahd.com/free_profile/I42232/Dignity_Health_-_Saint_Rose_Dominican_Sahara_Campus/Las_Vegas/Nevada/" TargetMode="External"/><Relationship Id="rId11" Type="http://schemas.openxmlformats.org/officeDocument/2006/relationships/hyperlink" Target="https://www.ahd.com/free_profile/I42234/Dignity_Health-Saint_Rose_Dominican%2C_West_Flamingo_Campus/Las_Vegas/Nevada/" TargetMode="External"/><Relationship Id="rId24" Type="http://schemas.openxmlformats.org/officeDocument/2006/relationships/hyperlink" Target="https://www.ahd.com/free_profile/290046/Spring_Valley_Hospital__Medical_Center/Las_Vegas/Nevada/" TargetMode="External"/><Relationship Id="rId5" Type="http://schemas.openxmlformats.org/officeDocument/2006/relationships/hyperlink" Target="https://www.ahd.com/free_profile/290022/Desert_Springs_Hospital_Medical_Center/Las_Vegas/Nevada/" TargetMode="External"/><Relationship Id="rId15" Type="http://schemas.openxmlformats.org/officeDocument/2006/relationships/hyperlink" Target="https://www.ahd.com/free_profile/290039/MountainView_Hospital/Las_Vegas/Nevada/" TargetMode="External"/><Relationship Id="rId23" Type="http://schemas.openxmlformats.org/officeDocument/2006/relationships/hyperlink" Target="https://www.ahd.com/free_profile/290047/Southern_Hills_Hospital_%26_Medical_Center/Las_Vegas/Nevada/" TargetMode="External"/><Relationship Id="rId28" Type="http://schemas.openxmlformats.org/officeDocument/2006/relationships/hyperlink" Target="https://www.ahd.com/free_profile/290007/University_Medical_Center/Las_Vegas/Nevada/" TargetMode="External"/><Relationship Id="rId10" Type="http://schemas.openxmlformats.org/officeDocument/2006/relationships/hyperlink" Target="https://www.ahd.com/free_profile/I42233/Dignity_Health_St_Rose_Dominican%27s_Blue_Diamond_Campus/Las_Vegas/Nevada/" TargetMode="External"/><Relationship Id="rId19" Type="http://schemas.openxmlformats.org/officeDocument/2006/relationships/hyperlink" Target="https://www.ahd.com/free_profile/290056/Orthopedic_Specialty_Hospital_of_Nevada/Las_Vegas/Nevada/" TargetMode="External"/><Relationship Id="rId31" Type="http://schemas.openxmlformats.org/officeDocument/2006/relationships/hyperlink" Target="https://www.ahd.com/free_profile/290021/Valley_Hospital_Medical_Center/Las_Vegas/Nevada/" TargetMode="External"/><Relationship Id="rId4" Type="http://schemas.openxmlformats.org/officeDocument/2006/relationships/hyperlink" Target="https://www.ahd.com/free_profile/I42269/Children%27s_Hospital_of_Nevada/Las_Vegas_/Nevada/" TargetMode="External"/><Relationship Id="rId9" Type="http://schemas.openxmlformats.org/officeDocument/2006/relationships/hyperlink" Target="https://www.ahd.com/free_profile/290058/Dignity_Health_Saint_Rose_Dominican_North_Las_Vegas_Campus/North_Las_Vegas/Nevada/" TargetMode="External"/><Relationship Id="rId14" Type="http://schemas.openxmlformats.org/officeDocument/2006/relationships/hyperlink" Target="https://www.ahd.com/free_profile/29003F/Mike_O%27Callaghan_Military_Medical_Center/Nellis_Air_Force_Base/Nevada/" TargetMode="External"/><Relationship Id="rId22" Type="http://schemas.openxmlformats.org/officeDocument/2006/relationships/hyperlink" Target="https://www.ahd.com/free_profile/290009/Saint_Mary%27s_Regional_Medical_Center/Reno/Nevada/" TargetMode="External"/><Relationship Id="rId27" Type="http://schemas.openxmlformats.org/officeDocument/2006/relationships/hyperlink" Target="https://www.ahd.com/free_profile/290003/Sunrise_Hospital_%26_Medical_Center/Las_Vegas/Nevada/" TargetMode="External"/><Relationship Id="rId30" Type="http://schemas.openxmlformats.org/officeDocument/2006/relationships/hyperlink" Target="https://www.ahd.com/free_profile/29004F/VA_Southern_Nevada_Healthcare_System/Las_Vegas/Nevada/" TargetMode="External"/></Relationships>
</file>

<file path=xl/worksheets/_rels/sheet36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hd.com/free_profile/330214/NYU_Langone_Tisch_Hospital/New_York/New_York/" TargetMode="External"/><Relationship Id="rId21" Type="http://schemas.openxmlformats.org/officeDocument/2006/relationships/hyperlink" Target="https://www.ahd.com/free_profile/33013F/Canandaigua_VA_Medical_Center/Canandaigua/New_York/" TargetMode="External"/><Relationship Id="rId42" Type="http://schemas.openxmlformats.org/officeDocument/2006/relationships/hyperlink" Target="https://www.ahd.com/free_profile/330175/Guthrie_Cortland_Regional_Medical_Center/Cortland/New_York/" TargetMode="External"/><Relationship Id="rId63" Type="http://schemas.openxmlformats.org/officeDocument/2006/relationships/hyperlink" Target="https://www.ahd.com/free_profile/330194/Maimonides_Medical_Center/Brooklyn/New_York/" TargetMode="External"/><Relationship Id="rId84" Type="http://schemas.openxmlformats.org/officeDocument/2006/relationships/hyperlink" Target="https://www.ahd.com/free_profile/I07956/Mount_Sinai_West/New_York/New_York/" TargetMode="External"/><Relationship Id="rId138" Type="http://schemas.openxmlformats.org/officeDocument/2006/relationships/hyperlink" Target="https://www.ahd.com/free_profile/330395/Saint_John%27s_Episcopal_Hospital/Far_Rockaway/New_York/" TargetMode="External"/><Relationship Id="rId159" Type="http://schemas.openxmlformats.org/officeDocument/2006/relationships/hyperlink" Target="https://www.ahd.com/free_profile/330285/Strong_Memorial_Hospital/Rochester/New_York/" TargetMode="External"/><Relationship Id="rId170" Type="http://schemas.openxmlformats.org/officeDocument/2006/relationships/hyperlink" Target="https://www.ahd.com/free_profile/I41010/UHS_Wilson_Medical_Center/Johnson_City/New_York/" TargetMode="External"/><Relationship Id="rId107" Type="http://schemas.openxmlformats.org/officeDocument/2006/relationships/hyperlink" Target="https://www.ahd.com/free_profile/330240/NYC_Health_%2B_Hospitals_Harlem_/New_York/New_York/" TargetMode="External"/><Relationship Id="rId11" Type="http://schemas.openxmlformats.org/officeDocument/2006/relationships/hyperlink" Target="https://www.ahd.com/free_profile/33011F/Bath_VA_Medical_Center/Bath/New_York/" TargetMode="External"/><Relationship Id="rId32" Type="http://schemas.openxmlformats.org/officeDocument/2006/relationships/hyperlink" Target="https://www.ahd.com/free_profile/330219/Erie_County_Medical_Center/Buffalo/New_York/" TargetMode="External"/><Relationship Id="rId53" Type="http://schemas.openxmlformats.org/officeDocument/2006/relationships/hyperlink" Target="https://www.ahd.com/free_profile/33016F/James_J_Peters_VA_Medical_Center/Bronx/New_York/" TargetMode="External"/><Relationship Id="rId74" Type="http://schemas.openxmlformats.org/officeDocument/2006/relationships/hyperlink" Target="https://www.ahd.com/free_profile/330104/Montefiore_Nyack_Hospital/Nyack/New_York/" TargetMode="External"/><Relationship Id="rId128" Type="http://schemas.openxmlformats.org/officeDocument/2006/relationships/hyperlink" Target="https://www.ahd.com/free_profile/330125/Rochester_General_Hospital/Rochester/New_York/" TargetMode="External"/><Relationship Id="rId149" Type="http://schemas.openxmlformats.org/officeDocument/2006/relationships/hyperlink" Target="https://www.ahd.com/free_profile/330222/Saratoga__Hospital/Saratoga_Springs/New_York/" TargetMode="External"/><Relationship Id="rId5" Type="http://schemas.openxmlformats.org/officeDocument/2006/relationships/hyperlink" Target="https://www.ahd.com/free_profile/33009F/Albany_Stratton_VA_Medical_Center/Albany/New_York/" TargetMode="External"/><Relationship Id="rId95" Type="http://schemas.openxmlformats.org/officeDocument/2006/relationships/hyperlink" Target="https://www.ahd.com/free_profile/I42054/NewYork-Presbyterian_Allen_Hospital_/New_York/New_York/" TargetMode="External"/><Relationship Id="rId160" Type="http://schemas.openxmlformats.org/officeDocument/2006/relationships/hyperlink" Target="https://www.ahd.com/free_profile/330406/Sunnyview_Rehabilitation_Hospital/Schenectady/New_York/" TargetMode="External"/><Relationship Id="rId181" Type="http://schemas.openxmlformats.org/officeDocument/2006/relationships/hyperlink" Target="https://www.ahd.com/free_profile/330023/Vassar_Brothers_Medical_Center/Poughkeepsie/New_York/" TargetMode="External"/><Relationship Id="rId22" Type="http://schemas.openxmlformats.org/officeDocument/2006/relationships/hyperlink" Target="https://www.ahd.com/free_profile/330197/Canton-Potsdam_Hospital/Potsdam/New_York/" TargetMode="External"/><Relationship Id="rId43" Type="http://schemas.openxmlformats.org/officeDocument/2006/relationships/hyperlink" Target="https://www.ahd.com/free_profile/330004/HealthAlliance_Hospital_-_Broadway_Campus/Kingston/New_York/" TargetMode="External"/><Relationship Id="rId64" Type="http://schemas.openxmlformats.org/officeDocument/2006/relationships/hyperlink" Target="https://www.ahd.com/free_profile/330223/Massena_Hospital/Massena/New_York/" TargetMode="External"/><Relationship Id="rId118" Type="http://schemas.openxmlformats.org/officeDocument/2006/relationships/hyperlink" Target="https://www.ahd.com/free_profile/330167/NYU_Winthrop_Hospital_/Mineola/New_York/" TargetMode="External"/><Relationship Id="rId139" Type="http://schemas.openxmlformats.org/officeDocument/2006/relationships/hyperlink" Target="https://www.ahd.com/free_profile/330208/Saint_John%27s_Riverside_Hospital_-_Andrus_Pavilion/Yonkers/New_York/" TargetMode="External"/><Relationship Id="rId85" Type="http://schemas.openxmlformats.org/officeDocument/2006/relationships/hyperlink" Target="https://www.ahd.com/free_profile/330044/MVHS_-__St_Luke%27s_Campus/Utica/New_York/" TargetMode="External"/><Relationship Id="rId150" Type="http://schemas.openxmlformats.org/officeDocument/2006/relationships/hyperlink" Target="https://www.ahd.com/free_profile/330078/Sisters_of_Charity_Hospital/Buffalo/New_York/" TargetMode="External"/><Relationship Id="rId171" Type="http://schemas.openxmlformats.org/officeDocument/2006/relationships/hyperlink" Target="https://www.ahd.com/free_profile/330073/United_Memorial_Medical_Center/Batavia/New_York/" TargetMode="External"/><Relationship Id="rId12" Type="http://schemas.openxmlformats.org/officeDocument/2006/relationships/hyperlink" Target="https://www.ahd.com/free_profile/330339/Bellevue_Woman%27s_Center/Niskayuna/New_York/" TargetMode="External"/><Relationship Id="rId33" Type="http://schemas.openxmlformats.org/officeDocument/2006/relationships/hyperlink" Target="https://www.ahd.com/free_profile/330074/FF_Thompson_Hospital/Canandaigua/New_York/" TargetMode="External"/><Relationship Id="rId108" Type="http://schemas.openxmlformats.org/officeDocument/2006/relationships/hyperlink" Target="https://www.ahd.com/free_profile/330127/NYC_Health_%2B_Hospitals_Jacobi_/Bronx/New_York/" TargetMode="External"/><Relationship Id="rId129" Type="http://schemas.openxmlformats.org/officeDocument/2006/relationships/hyperlink" Target="https://www.ahd.com/free_profile/330387/Rockefeller_University_Hospital/New_York/New_York/" TargetMode="External"/><Relationship Id="rId54" Type="http://schemas.openxmlformats.org/officeDocument/2006/relationships/hyperlink" Target="https://www.ahd.com/free_profile/330185/John_T_Mather_Memorial_Hospital/Port_Jefferson/New_York/" TargetMode="External"/><Relationship Id="rId75" Type="http://schemas.openxmlformats.org/officeDocument/2006/relationships/hyperlink" Target="https://www.ahd.com/free_profile/330264/Montefiore_St_Lukes_Cornwall/Newburgh/New_York/" TargetMode="External"/><Relationship Id="rId96" Type="http://schemas.openxmlformats.org/officeDocument/2006/relationships/hyperlink" Target="https://www.ahd.com/free_profile/330236/NewYork-Presbyterian_Brooklyn_Methodist_Hospital/Brooklyn/New_York/" TargetMode="External"/><Relationship Id="rId140" Type="http://schemas.openxmlformats.org/officeDocument/2006/relationships/hyperlink" Target="https://www.ahd.com/free_profile/330036/Saint_John%27s_Riverside_Hospital_-_Dobbs_Ferry_Pavilion/Dobbs_Ferry/New_York/" TargetMode="External"/><Relationship Id="rId161" Type="http://schemas.openxmlformats.org/officeDocument/2006/relationships/hyperlink" Target="https://www.ahd.com/free_profile/330398/Syosset_Hospital/Syosset/New_York/" TargetMode="External"/><Relationship Id="rId182" Type="http://schemas.openxmlformats.org/officeDocument/2006/relationships/hyperlink" Target="https://www.ahd.com/free_profile/330234/Westchester_Medical_Center/Valhalla/New_York/" TargetMode="External"/><Relationship Id="rId6" Type="http://schemas.openxmlformats.org/officeDocument/2006/relationships/hyperlink" Target="https://www.ahd.com/free_profile/330084/Alice_Hyde_Medical_Center/Malone/New_York/" TargetMode="External"/><Relationship Id="rId23" Type="http://schemas.openxmlformats.org/officeDocument/2006/relationships/hyperlink" Target="https://www.ahd.com/free_profile/330386/Catskill_Regional_Medical_Center_-_Harris_Campus/Harris/New_York/" TargetMode="External"/><Relationship Id="rId119" Type="http://schemas.openxmlformats.org/officeDocument/2006/relationships/hyperlink" Target="https://www.ahd.com/free_profile/330103/Olean_General_Hospital/Olean/New_York/" TargetMode="External"/><Relationship Id="rId44" Type="http://schemas.openxmlformats.org/officeDocument/2006/relationships/hyperlink" Target="https://www.ahd.com/free_profile/330224/HealthAlliance_Hospital_Mary%27s_Avenue_Campus/Kingston/New_York/" TargetMode="External"/><Relationship Id="rId65" Type="http://schemas.openxmlformats.org/officeDocument/2006/relationships/hyperlink" Target="https://www.ahd.com/free_profile/330154/Memorial_Sloan-Kettering_Cancer_Center/New_York/New_York/" TargetMode="External"/><Relationship Id="rId86" Type="http://schemas.openxmlformats.org/officeDocument/2006/relationships/hyperlink" Target="https://www.ahd.com/free_profile/I41223/MVHS_-_Faxton_Campus/Utica/New_York/" TargetMode="External"/><Relationship Id="rId130" Type="http://schemas.openxmlformats.org/officeDocument/2006/relationships/hyperlink" Target="https://www.ahd.com/free_profile/330215/Rome_Memorial_Hospital/Rome/New_York/" TargetMode="External"/><Relationship Id="rId151" Type="http://schemas.openxmlformats.org/officeDocument/2006/relationships/hyperlink" Target="https://www.ahd.com/free_profile/330091/Sisters_of_Charity_Hospital_-_Saint_Joseph_Campus/Buffalo/New_York/" TargetMode="External"/><Relationship Id="rId172" Type="http://schemas.openxmlformats.org/officeDocument/2006/relationships/hyperlink" Target="https://www.ahd.com/free_profile/330226/Unity_Hospital/Rochester/New_York/" TargetMode="External"/><Relationship Id="rId13" Type="http://schemas.openxmlformats.org/officeDocument/2006/relationships/hyperlink" Target="https://www.ahd.com/free_profile/330111/Bertrand_Chaffee_Hospital/Springville/New_York/" TargetMode="External"/><Relationship Id="rId18" Type="http://schemas.openxmlformats.org/officeDocument/2006/relationships/hyperlink" Target="https://www.ahd.com/free_profile/330005/Buffalo_General_Medical_Center/Buffalo/New_York/" TargetMode="External"/><Relationship Id="rId39" Type="http://schemas.openxmlformats.org/officeDocument/2006/relationships/hyperlink" Target="https://www.ahd.com/free_profile/330158/Good_Samaritan_Hospital__/Suffern/New_York/" TargetMode="External"/><Relationship Id="rId109" Type="http://schemas.openxmlformats.org/officeDocument/2006/relationships/hyperlink" Target="https://www.ahd.com/free_profile/330202/NYC_Health_%2B_Hospitals_Kings_County_/Brooklyn/New_York/" TargetMode="External"/><Relationship Id="rId34" Type="http://schemas.openxmlformats.org/officeDocument/2006/relationships/hyperlink" Target="https://www.ahd.com/free_profile/330193/Flushing_Hospital_Medical_Center/Flushing/New_York/" TargetMode="External"/><Relationship Id="rId50" Type="http://schemas.openxmlformats.org/officeDocument/2006/relationships/hyperlink" Target="https://www.ahd.com/free_profile/330144/Ira_Davenport_Memorial_Hospital/Bath/New_York/" TargetMode="External"/><Relationship Id="rId55" Type="http://schemas.openxmlformats.org/officeDocument/2006/relationships/hyperlink" Target="https://www.ahd.com/free_profile/330096/Jones_Memorial_Hospital/Wellsville/New_York/" TargetMode="External"/><Relationship Id="rId76" Type="http://schemas.openxmlformats.org/officeDocument/2006/relationships/hyperlink" Target="https://www.ahd.com/free_profile/330072/Montefiore_Wakefield_Campus/Bronx/New_York/" TargetMode="External"/><Relationship Id="rId97" Type="http://schemas.openxmlformats.org/officeDocument/2006/relationships/hyperlink" Target="https://www.ahd.com/free_profile/330267/NewYork-Presbyterian_Hudson_Valley_Hospital/Cortlandt_Manor/New_York/" TargetMode="External"/><Relationship Id="rId104" Type="http://schemas.openxmlformats.org/officeDocument/2006/relationships/hyperlink" Target="https://www.ahd.com/free_profile/330204/NYC_Health_%2B_Hospitals_Bellevue/New_York/New_York/" TargetMode="External"/><Relationship Id="rId120" Type="http://schemas.openxmlformats.org/officeDocument/2006/relationships/hyperlink" Target="https://www.ahd.com/free_profile/330115/Oneida_Healthcare_Center/Oneida/New_York/" TargetMode="External"/><Relationship Id="rId125" Type="http://schemas.openxmlformats.org/officeDocument/2006/relationships/hyperlink" Target="https://www.ahd.com/free_profile/330331/Plainview_Hospital/Plainview/New_York/" TargetMode="External"/><Relationship Id="rId141" Type="http://schemas.openxmlformats.org/officeDocument/2006/relationships/hyperlink" Target="https://www.ahd.com/free_profile/330108/Saint_Joseph%27s_Hospital/Elmira/New_York/" TargetMode="External"/><Relationship Id="rId146" Type="http://schemas.openxmlformats.org/officeDocument/2006/relationships/hyperlink" Target="https://www.ahd.com/free_profile/330180/Samaritan_Hospital_-_Main_Campus/Troy/New_York/" TargetMode="External"/><Relationship Id="rId167" Type="http://schemas.openxmlformats.org/officeDocument/2006/relationships/hyperlink" Target="https://www.ahd.com/free_profile/330250/The_University_of_Vermont_Health_Network_Champlain_Valley_Physicians_Hospital_/Plattsburgh/New_York/" TargetMode="External"/><Relationship Id="rId7" Type="http://schemas.openxmlformats.org/officeDocument/2006/relationships/hyperlink" Target="https://www.ahd.com/free_profile/330090/Arnot_Ogden_Medical_Center/Elmira/New_York/" TargetMode="External"/><Relationship Id="rId71" Type="http://schemas.openxmlformats.org/officeDocument/2006/relationships/hyperlink" Target="https://www.ahd.com/free_profile/330059/Montefiore_Hospital-_Moses_Campus/Bronx/New_York/" TargetMode="External"/><Relationship Id="rId92" Type="http://schemas.openxmlformats.org/officeDocument/2006/relationships/hyperlink" Target="https://www.ahd.com/free_profile/330101/New_York_Presbyterian%2FWeill_Cornell_Medical_Center/New_York/New_York/" TargetMode="External"/><Relationship Id="rId162" Type="http://schemas.openxmlformats.org/officeDocument/2006/relationships/hyperlink" Target="https://www.ahd.com/free_profile/33024F/Syracuse_VA_Medical_Center/Syracuse/New_York/" TargetMode="External"/><Relationship Id="rId183" Type="http://schemas.openxmlformats.org/officeDocument/2006/relationships/hyperlink" Target="https://www.ahd.com/free_profile/330166/Westfield_Memorial_Hospital/Westfield/New_York/" TargetMode="External"/><Relationship Id="rId2" Type="http://schemas.openxmlformats.org/officeDocument/2006/relationships/hyperlink" Target="https://www.ahd.com/free_profile/330085/AO_Fox_Hospital/Oneonta/New_York/" TargetMode="External"/><Relationship Id="rId29" Type="http://schemas.openxmlformats.org/officeDocument/2006/relationships/hyperlink" Target="https://www.ahd.com/free_profile/330203/Crouse_Hospital/Syracuse/New_York/" TargetMode="External"/><Relationship Id="rId24" Type="http://schemas.openxmlformats.org/officeDocument/2006/relationships/hyperlink" Target="https://www.ahd.com/free_profile/330307/Cayuga_Medical_Center_at_Ithaca/Ithaca/New_York/" TargetMode="External"/><Relationship Id="rId40" Type="http://schemas.openxmlformats.org/officeDocument/2006/relationships/hyperlink" Target="https://www.ahd.com/free_profile/330286/Good_Samaritan_Hospital_Medical_Center/West_Islip/New_York/" TargetMode="External"/><Relationship Id="rId45" Type="http://schemas.openxmlformats.org/officeDocument/2006/relationships/hyperlink" Target="https://www.ahd.com/free_profile/330405/Helen_Hayes_Hospital/West_Haverstraw/New_York/" TargetMode="External"/><Relationship Id="rId66" Type="http://schemas.openxmlformats.org/officeDocument/2006/relationships/hyperlink" Target="https://www.ahd.com/free_profile/330279/Mercy_Hospital_of_Buffalo/Buffalo/New_York/" TargetMode="External"/><Relationship Id="rId87" Type="http://schemas.openxmlformats.org/officeDocument/2006/relationships/hyperlink" Target="https://www.ahd.com/free_profile/330245/MVHS_-_St_Elizabeth_Campus/Utica/New_York/" TargetMode="External"/><Relationship Id="rId110" Type="http://schemas.openxmlformats.org/officeDocument/2006/relationships/hyperlink" Target="https://www.ahd.com/free_profile/330080/NYC_Health_%2B_Hospitals_Lincoln/Bronx/New_York/" TargetMode="External"/><Relationship Id="rId115" Type="http://schemas.openxmlformats.org/officeDocument/2006/relationships/hyperlink" Target="https://www.ahd.com/free_profile/330306/NYU_Langone_Hospital_-_Brooklyn/Brooklyn/New_York/" TargetMode="External"/><Relationship Id="rId131" Type="http://schemas.openxmlformats.org/officeDocument/2006/relationships/hyperlink" Target="https://www.ahd.com/free_profile/330354/Roswell_Park_Cancer_Institute/Buffalo/New_York/" TargetMode="External"/><Relationship Id="rId136" Type="http://schemas.openxmlformats.org/officeDocument/2006/relationships/hyperlink" Target="https://www.ahd.com/free_profile/330182/Saint_Francis_Hospital_The_Heart_Center/Roslyn/New_York/" TargetMode="External"/><Relationship Id="rId157" Type="http://schemas.openxmlformats.org/officeDocument/2006/relationships/hyperlink" Target="https://www.ahd.com/free_profile/330340/Stony_Brook_Southampton_Hospital/Southampton/New_York/" TargetMode="External"/><Relationship Id="rId178" Type="http://schemas.openxmlformats.org/officeDocument/2006/relationships/hyperlink" Target="https://www.ahd.com/free_profile/33015F/VA_Hudson_Valley_Health_Care_System_-_Montrose_Campus/Montrose/New_York/" TargetMode="External"/><Relationship Id="rId61" Type="http://schemas.openxmlformats.org/officeDocument/2006/relationships/hyperlink" Target="https://www.ahd.com/free_profile/330195/Long_Island_Jewish_Medical_Center/New_Hyde_Park/New_York/" TargetMode="External"/><Relationship Id="rId82" Type="http://schemas.openxmlformats.org/officeDocument/2006/relationships/hyperlink" Target="https://www.ahd.com/free_profile/330046/Mount_Sinai_Morningside/New_York/New_York/" TargetMode="External"/><Relationship Id="rId152" Type="http://schemas.openxmlformats.org/officeDocument/2006/relationships/hyperlink" Target="https://www.ahd.com/free_profile/330043/Southside_Hospital/Bay_Shore/New_York/" TargetMode="External"/><Relationship Id="rId173" Type="http://schemas.openxmlformats.org/officeDocument/2006/relationships/hyperlink" Target="https://www.ahd.com/free_profile/330350/University_Hospital_of_Brooklyn/Brooklyn/New_York/" TargetMode="External"/><Relationship Id="rId19" Type="http://schemas.openxmlformats.org/officeDocument/2006/relationships/hyperlink" Target="https://www.ahd.com/free_profile/33012F/Buffalo_VA_Medical_Center/Buffalo/New_York/" TargetMode="External"/><Relationship Id="rId14" Type="http://schemas.openxmlformats.org/officeDocument/2006/relationships/hyperlink" Target="https://www.ahd.com/free_profile/330135/Bon_Secours_Community_Hospital/Port_Jervis/New_York/" TargetMode="External"/><Relationship Id="rId30" Type="http://schemas.openxmlformats.org/officeDocument/2006/relationships/hyperlink" Target="https://www.ahd.com/free_profile/330163/Eastern_Niagara_Hospital-Lockport/Lockport/New_York/" TargetMode="External"/><Relationship Id="rId35" Type="http://schemas.openxmlformats.org/officeDocument/2006/relationships/hyperlink" Target="https://www.ahd.com/free_profile/330126/Garnet_Health_Medical_Center/Middletown/New_York/" TargetMode="External"/><Relationship Id="rId56" Type="http://schemas.openxmlformats.org/officeDocument/2006/relationships/hyperlink" Target="https://www.ahd.com/free_profile/33025F/Keller_Army_Community_Hospital/West_Point/New_York/" TargetMode="External"/><Relationship Id="rId77" Type="http://schemas.openxmlformats.org/officeDocument/2006/relationships/hyperlink" Target="https://www.ahd.com/free_profile/330316/Montefiore_Westchester_Square_Campus/Bronx/New_York/" TargetMode="External"/><Relationship Id="rId100" Type="http://schemas.openxmlformats.org/officeDocument/2006/relationships/hyperlink" Target="https://www.ahd.com/free_profile/330065/Niagara_Falls_Memorial_Medical_Center/Niagara_Falls/New_York/" TargetMode="External"/><Relationship Id="rId105" Type="http://schemas.openxmlformats.org/officeDocument/2006/relationships/hyperlink" Target="https://www.ahd.com/free_profile/330196/NYC_Health_%2B_Hospitals_Coney_Island_/Brooklyn/New_York/" TargetMode="External"/><Relationship Id="rId126" Type="http://schemas.openxmlformats.org/officeDocument/2006/relationships/hyperlink" Target="https://www.ahd.com/free_profile/330273/Putnam_Hospital_Center/Carmel/New_York/" TargetMode="External"/><Relationship Id="rId147" Type="http://schemas.openxmlformats.org/officeDocument/2006/relationships/hyperlink" Target="https://www.ahd.com/free_profile/330003/Samaritan_Hospital-Albany_Memorial_Campus/Albany/New_York/" TargetMode="External"/><Relationship Id="rId168" Type="http://schemas.openxmlformats.org/officeDocument/2006/relationships/hyperlink" Target="https://www.ahd.com/free_profile/330394/UHS_Binghamton_General_Hospital/Binghamton/New_York/" TargetMode="External"/><Relationship Id="rId8" Type="http://schemas.openxmlformats.org/officeDocument/2006/relationships/hyperlink" Target="https://www.ahd.com/free_profile/330235/Auburn_Community_Hospital/Auburn/New_York/" TargetMode="External"/><Relationship Id="rId51" Type="http://schemas.openxmlformats.org/officeDocument/2006/relationships/hyperlink" Target="https://www.ahd.com/free_profile/I07233/Jack_D_Weiler_Hospital_/Bronx/New_York/" TargetMode="External"/><Relationship Id="rId72" Type="http://schemas.openxmlformats.org/officeDocument/2006/relationships/hyperlink" Target="https://www.ahd.com/free_profile/330086/Montefiore_Mount_Vernon_Hospital/Mount_Vernon/New_York/" TargetMode="External"/><Relationship Id="rId93" Type="http://schemas.openxmlformats.org/officeDocument/2006/relationships/hyperlink" Target="https://www.ahd.com/free_profile/330030/Newark-Wayne_Community_Hospital/Newark/New_York/" TargetMode="External"/><Relationship Id="rId98" Type="http://schemas.openxmlformats.org/officeDocument/2006/relationships/hyperlink" Target="https://www.ahd.com/free_profile/330061/NewYork-Presbyterian_Lawrence_Hospital_/Bronxville/New_York/" TargetMode="External"/><Relationship Id="rId121" Type="http://schemas.openxmlformats.org/officeDocument/2006/relationships/hyperlink" Target="https://www.ahd.com/free_profile/330218/Oswego_Hospital/Oswego/New_York/" TargetMode="External"/><Relationship Id="rId142" Type="http://schemas.openxmlformats.org/officeDocument/2006/relationships/hyperlink" Target="https://www.ahd.com/free_profile/330140/Saint_Joseph%27s_Hospital_Health_Center/Syracuse/New_York/" TargetMode="External"/><Relationship Id="rId163" Type="http://schemas.openxmlformats.org/officeDocument/2006/relationships/hyperlink" Target="https://www.ahd.com/free_profile/330233/The_Brookdale_University_Hospital_and_Medical_Center/Brooklyn/New_York/" TargetMode="External"/><Relationship Id="rId184" Type="http://schemas.openxmlformats.org/officeDocument/2006/relationships/hyperlink" Target="https://www.ahd.com/free_profile/330304/White_Plains_Hospital/White_Plains/New_York/" TargetMode="External"/><Relationship Id="rId3" Type="http://schemas.openxmlformats.org/officeDocument/2006/relationships/hyperlink" Target="https://www.ahd.com/free_profile/330079/Adirondack_Medical_Center_at_Saranac_Lake/Saranac_Lake/New_York/" TargetMode="External"/><Relationship Id="rId25" Type="http://schemas.openxmlformats.org/officeDocument/2006/relationships/hyperlink" Target="https://www.ahd.com/free_profile/330211/Claxton-Hepburn_Medical_Center/Ogdensburg/New_York/" TargetMode="External"/><Relationship Id="rId46" Type="http://schemas.openxmlformats.org/officeDocument/2006/relationships/hyperlink" Target="https://www.ahd.com/free_profile/330164/Highland_Hospital/Rochester/New_York/" TargetMode="External"/><Relationship Id="rId67" Type="http://schemas.openxmlformats.org/officeDocument/2006/relationships/hyperlink" Target="https://www.ahd.com/free_profile/330259/Mercy_Medical_Center/Rockville_Centre/New_York/" TargetMode="External"/><Relationship Id="rId116" Type="http://schemas.openxmlformats.org/officeDocument/2006/relationships/hyperlink" Target="https://www.ahd.com/free_profile/330389/NYU_Langone_Orthopedic_Hospital/New_York/New_York/" TargetMode="External"/><Relationship Id="rId137" Type="http://schemas.openxmlformats.org/officeDocument/2006/relationships/hyperlink" Target="https://www.ahd.com/free_profile/330151/Saint_James_Hospital/Hornell/New_York/" TargetMode="External"/><Relationship Id="rId158" Type="http://schemas.openxmlformats.org/officeDocument/2006/relationships/hyperlink" Target="https://www.ahd.com/free_profile/330393/Stony_Brook_University_Hospital/Stony_Brook/New_York/" TargetMode="External"/><Relationship Id="rId20" Type="http://schemas.openxmlformats.org/officeDocument/2006/relationships/hyperlink" Target="https://www.ahd.com/free_profile/330409/Burdett_Birth_Center/Troy/New_York/" TargetMode="External"/><Relationship Id="rId41" Type="http://schemas.openxmlformats.org/officeDocument/2006/relationships/hyperlink" Target="https://www.ahd.com/free_profile/330277/Guthrie_Corning_Hospital/Corning/New_York/" TargetMode="External"/><Relationship Id="rId62" Type="http://schemas.openxmlformats.org/officeDocument/2006/relationships/hyperlink" Target="https://www.ahd.com/free_profile/330372/Long_Island_Jewish_Valley_Stream/Valley_Stream/New_York/" TargetMode="External"/><Relationship Id="rId83" Type="http://schemas.openxmlformats.org/officeDocument/2006/relationships/hyperlink" Target="https://www.ahd.com/free_profile/330198/Mount_Sinai_South_Nassau/Oceanside/New_York/" TargetMode="External"/><Relationship Id="rId88" Type="http://schemas.openxmlformats.org/officeDocument/2006/relationships/hyperlink" Target="https://www.ahd.com/free_profile/330027/Nassau_University_Medical_Center/East_Meadow/New_York/" TargetMode="External"/><Relationship Id="rId111" Type="http://schemas.openxmlformats.org/officeDocument/2006/relationships/hyperlink" Target="https://www.ahd.com/free_profile/330199/NYC_Health_%2B_Hospitals_Metropolitan/New_York/New_York/" TargetMode="External"/><Relationship Id="rId132" Type="http://schemas.openxmlformats.org/officeDocument/2006/relationships/hyperlink" Target="https://www.ahd.com/free_profile/330205/Saint_Anthony_Community_Hospital/Warwick/New_York/" TargetMode="External"/><Relationship Id="rId153" Type="http://schemas.openxmlformats.org/officeDocument/2006/relationships/hyperlink" Target="https://www.ahd.com/free_profile/330122/St_John%27s_Riverside_Hospital_ParkCare_Pavilion/Yonkers/New_York/" TargetMode="External"/><Relationship Id="rId174" Type="http://schemas.openxmlformats.org/officeDocument/2006/relationships/hyperlink" Target="https://www.ahd.com/free_profile/330239/UPMC_Chautauqua_/Jamestown/New_York/" TargetMode="External"/><Relationship Id="rId179" Type="http://schemas.openxmlformats.org/officeDocument/2006/relationships/hyperlink" Target="https://www.ahd.com/free_profile/33020F/VA_New_York_Harbor_Healthcare_System_-_Brooklyn_Campus/Brooklyn/New_York/" TargetMode="External"/><Relationship Id="rId15" Type="http://schemas.openxmlformats.org/officeDocument/2006/relationships/hyperlink" Target="https://www.ahd.com/free_profile/330009/BronxCare_Dr_Martin_Luther_King%2C_Jr_Health_Center/Bronx/New_York/" TargetMode="External"/><Relationship Id="rId36" Type="http://schemas.openxmlformats.org/officeDocument/2006/relationships/hyperlink" Target="https://www.ahd.com/free_profile/330058/Geneva_General_Hospital/Geneva/New_York/" TargetMode="External"/><Relationship Id="rId57" Type="http://schemas.openxmlformats.org/officeDocument/2006/relationships/hyperlink" Target="https://www.ahd.com/free_profile/330102/Kenmore_Mercy_Hospital/Kenmore/New_York/" TargetMode="External"/><Relationship Id="rId106" Type="http://schemas.openxmlformats.org/officeDocument/2006/relationships/hyperlink" Target="https://www.ahd.com/free_profile/330128/NYC_Health_%2B_Hospitals_Elmhurst_/Elmhurst/New_York/" TargetMode="External"/><Relationship Id="rId127" Type="http://schemas.openxmlformats.org/officeDocument/2006/relationships/hyperlink" Target="https://www.ahd.com/free_profile/330028/Richmond_University_Medical_Center/Staten_Island/New_York/" TargetMode="External"/><Relationship Id="rId10" Type="http://schemas.openxmlformats.org/officeDocument/2006/relationships/hyperlink" Target="https://www.ahd.com/free_profile/33010F/Batavia_VA_Medical_Center/Batavia/New_York/" TargetMode="External"/><Relationship Id="rId31" Type="http://schemas.openxmlformats.org/officeDocument/2006/relationships/hyperlink" Target="https://www.ahd.com/free_profile/330153/Ellis_Hospital/Schenectady/New_York/" TargetMode="External"/><Relationship Id="rId52" Type="http://schemas.openxmlformats.org/officeDocument/2006/relationships/hyperlink" Target="https://www.ahd.com/free_profile/330014/Jamaica_Hospital_Medical_Center/Jamaica/New_York/" TargetMode="External"/><Relationship Id="rId73" Type="http://schemas.openxmlformats.org/officeDocument/2006/relationships/hyperlink" Target="https://www.ahd.com/free_profile/330184/Montefiore_New_Rochelle_Hospital/New_Rochelle/New_York/" TargetMode="External"/><Relationship Id="rId78" Type="http://schemas.openxmlformats.org/officeDocument/2006/relationships/hyperlink" Target="https://www.ahd.com/free_profile/330188/Mount_Saint_Mary%27s_Hospital/Lewiston/New_York/" TargetMode="External"/><Relationship Id="rId94" Type="http://schemas.openxmlformats.org/officeDocument/2006/relationships/hyperlink" Target="https://www.ahd.com/free_profile/330055/NewYork-Presbyterian__Queens_Hospital/Flushing/New_York/" TargetMode="External"/><Relationship Id="rId99" Type="http://schemas.openxmlformats.org/officeDocument/2006/relationships/hyperlink" Target="https://www.ahd.com/free_profile/330064/NewYork-Presbyterian%2C_Lower_Manhattan_Hospital/New_York/New_York/" TargetMode="External"/><Relationship Id="rId101" Type="http://schemas.openxmlformats.org/officeDocument/2006/relationships/hyperlink" Target="https://www.ahd.com/free_profile/330106/North_Shore_University_Hospital/Manhasset/New_York/" TargetMode="External"/><Relationship Id="rId122" Type="http://schemas.openxmlformats.org/officeDocument/2006/relationships/hyperlink" Target="https://www.ahd.com/free_profile/330011/Our_Lady_of_Lourdes_Memorial_Hospital/Binghamton/New_York/" TargetMode="External"/><Relationship Id="rId143" Type="http://schemas.openxmlformats.org/officeDocument/2006/relationships/hyperlink" Target="https://www.ahd.com/free_profile/330006/Saint_Joseph%27s_Medical_Center/Yonkers/New_York/" TargetMode="External"/><Relationship Id="rId148" Type="http://schemas.openxmlformats.org/officeDocument/2006/relationships/hyperlink" Target="https://www.ahd.com/free_profile/330157/Samaritan_Medical_Center/Watertown/New_York/" TargetMode="External"/><Relationship Id="rId164" Type="http://schemas.openxmlformats.org/officeDocument/2006/relationships/hyperlink" Target="https://www.ahd.com/free_profile/330056/The_Brooklyn_Hospital_Center/Brooklyn/New_York/" TargetMode="External"/><Relationship Id="rId169" Type="http://schemas.openxmlformats.org/officeDocument/2006/relationships/hyperlink" Target="https://www.ahd.com/free_profile/330033/UHS_Chenango_Memorial_Hospital/Norwich/New_York/" TargetMode="External"/><Relationship Id="rId185" Type="http://schemas.openxmlformats.org/officeDocument/2006/relationships/hyperlink" Target="https://www.ahd.com/free_profile/330221/Wyckoff_Heights_Medical_Center/Brooklyn/New_York/" TargetMode="External"/><Relationship Id="rId4" Type="http://schemas.openxmlformats.org/officeDocument/2006/relationships/hyperlink" Target="https://www.ahd.com/free_profile/330013/Albany_Medical_Center_Hospital/Albany/New_York/" TargetMode="External"/><Relationship Id="rId9" Type="http://schemas.openxmlformats.org/officeDocument/2006/relationships/hyperlink" Target="https://www.ahd.com/free_profile/330136/Bassett_Medical_Center/Cooperstown/New_York/" TargetMode="External"/><Relationship Id="rId180" Type="http://schemas.openxmlformats.org/officeDocument/2006/relationships/hyperlink" Target="https://www.ahd.com/free_profile/33017F/VA_New_York_Harbor_Healthcare_System_-_Manhattan_Campus/New_York/New_York/" TargetMode="External"/><Relationship Id="rId26" Type="http://schemas.openxmlformats.org/officeDocument/2006/relationships/hyperlink" Target="https://www.ahd.com/free_profile/330265/Clifton_Springs_Hospital_and_Clinic/Clifton_Springs/New_York/" TargetMode="External"/><Relationship Id="rId47" Type="http://schemas.openxmlformats.org/officeDocument/2006/relationships/hyperlink" Target="https://www.ahd.com/free_profile/330270/Hospital_for_Special_Surgery/New_York/New_York/" TargetMode="External"/><Relationship Id="rId68" Type="http://schemas.openxmlformats.org/officeDocument/2006/relationships/hyperlink" Target="https://www.ahd.com/free_profile/330067/Midhudson_Regional_Hospital_of_Westchester_Medical_Center/Poughkeepsie/New_York/" TargetMode="External"/><Relationship Id="rId89" Type="http://schemas.openxmlformats.org/officeDocument/2006/relationships/hyperlink" Target="https://www.ahd.com/free_profile/330276/Nathan_Littauer_Hospital_/Gloversville/New_York/" TargetMode="External"/><Relationship Id="rId112" Type="http://schemas.openxmlformats.org/officeDocument/2006/relationships/hyperlink" Target="https://www.ahd.com/free_profile/330385/NYC_Health_%2B_Hospitals_North_Central_Bronx_/Bronx/New_York/" TargetMode="External"/><Relationship Id="rId133" Type="http://schemas.openxmlformats.org/officeDocument/2006/relationships/hyperlink" Target="https://www.ahd.com/free_profile/330399/Saint_Barnabas_Hospital/Bronx/New_York/" TargetMode="External"/><Relationship Id="rId154" Type="http://schemas.openxmlformats.org/officeDocument/2006/relationships/hyperlink" Target="https://www.ahd.com/free_profile/330332/St_Joseph_Hospital/Bethpage/New_York/" TargetMode="External"/><Relationship Id="rId175" Type="http://schemas.openxmlformats.org/officeDocument/2006/relationships/hyperlink" Target="https://www.ahd.com/free_profile/330241/Upstate_University_Hospital/Syracuse/New_York/" TargetMode="External"/><Relationship Id="rId16" Type="http://schemas.openxmlformats.org/officeDocument/2006/relationships/hyperlink" Target="https://www.ahd.com/free_profile/I08014/BronxCare_Special_Care_Center/Bronx/New_York/" TargetMode="External"/><Relationship Id="rId37" Type="http://schemas.openxmlformats.org/officeDocument/2006/relationships/hyperlink" Target="https://www.ahd.com/free_profile/330181/Glen_Cove_Hospital/Glen_Cove/New_York/" TargetMode="External"/><Relationship Id="rId58" Type="http://schemas.openxmlformats.org/officeDocument/2006/relationships/hyperlink" Target="https://www.ahd.com/free_profile/330201/Kingsbrook_Jewish_Medical_Center/Brooklyn/New_York/" TargetMode="External"/><Relationship Id="rId79" Type="http://schemas.openxmlformats.org/officeDocument/2006/relationships/hyperlink" Target="https://www.ahd.com/free_profile/I41266/Mount_Sinai__Brooklyn/Brooklyn/New_York/" TargetMode="External"/><Relationship Id="rId102" Type="http://schemas.openxmlformats.org/officeDocument/2006/relationships/hyperlink" Target="https://www.ahd.com/free_profile/330049/Northern_Dutchess_Hospital/Rhinebeck/New_York/" TargetMode="External"/><Relationship Id="rId123" Type="http://schemas.openxmlformats.org/officeDocument/2006/relationships/hyperlink" Target="https://www.ahd.com/free_profile/330107/Peconic_Bay_Medical_Center/Riverhead/New_York/" TargetMode="External"/><Relationship Id="rId144" Type="http://schemas.openxmlformats.org/officeDocument/2006/relationships/hyperlink" Target="https://www.ahd.com/free_profile/330047/Saint_Mary%27s_Hospital_at_Amsterdam/Amsterdam/New_York/" TargetMode="External"/><Relationship Id="rId90" Type="http://schemas.openxmlformats.org/officeDocument/2006/relationships/hyperlink" Target="https://www.ahd.com/free_profile/330019/New_York_Community_Hospital_/Brooklyn/New_York/" TargetMode="External"/><Relationship Id="rId165" Type="http://schemas.openxmlformats.org/officeDocument/2006/relationships/hyperlink" Target="https://www.ahd.com/free_profile/330024/The_Mount_Sinai_Hospital/New_York/New_York/" TargetMode="External"/><Relationship Id="rId186" Type="http://schemas.openxmlformats.org/officeDocument/2006/relationships/hyperlink" Target="https://www.ahd.com/free_profile/330008/Wyoming_County_Community_Health_System/Warsaw/New_York/" TargetMode="External"/><Relationship Id="rId27" Type="http://schemas.openxmlformats.org/officeDocument/2006/relationships/hyperlink" Target="https://www.ahd.com/free_profile/330094/Columbia_Memorial_Hospital/Hudson/New_York/" TargetMode="External"/><Relationship Id="rId48" Type="http://schemas.openxmlformats.org/officeDocument/2006/relationships/hyperlink" Target="https://www.ahd.com/free_profile/330045/Huntington_Hospital/Huntington/New_York/" TargetMode="External"/><Relationship Id="rId69" Type="http://schemas.openxmlformats.org/officeDocument/2006/relationships/hyperlink" Target="https://www.ahd.com/free_profile/I08198/Millard_Fillmore_Suburban_Hospital/Williamsville/New_York/" TargetMode="External"/><Relationship Id="rId113" Type="http://schemas.openxmlformats.org/officeDocument/2006/relationships/hyperlink" Target="https://www.ahd.com/free_profile/330231/NYC_Health_%2B_Hospitals_Queens/Jamaica/New_York/" TargetMode="External"/><Relationship Id="rId134" Type="http://schemas.openxmlformats.org/officeDocument/2006/relationships/hyperlink" Target="https://www.ahd.com/free_profile/330401/Saint_Catherine_of_Siena_Medical_Center/Smithtown/New_York/" TargetMode="External"/><Relationship Id="rId80" Type="http://schemas.openxmlformats.org/officeDocument/2006/relationships/hyperlink" Target="https://www.ahd.com/free_profile/330258/Mount_Sinai__Queens/Astoria/New_York/" TargetMode="External"/><Relationship Id="rId155" Type="http://schemas.openxmlformats.org/officeDocument/2006/relationships/hyperlink" Target="https://www.ahd.com/free_profile/330160/Staten_Island_University_Hospital_/Staten_Island/New_York/" TargetMode="External"/><Relationship Id="rId176" Type="http://schemas.openxmlformats.org/officeDocument/2006/relationships/hyperlink" Target="https://www.ahd.com/free_profile/330159/Upstate_University_Hospital_-_Community_Campus/Syracuse/New_York/" TargetMode="External"/><Relationship Id="rId17" Type="http://schemas.openxmlformats.org/officeDocument/2006/relationships/hyperlink" Target="https://www.ahd.com/free_profile/330229/Brooks_Memorial_Hospital/Dunkirk/New_York/" TargetMode="External"/><Relationship Id="rId38" Type="http://schemas.openxmlformats.org/officeDocument/2006/relationships/hyperlink" Target="https://www.ahd.com/free_profile/330191/Glens_Falls_Hospital/Glens_Falls/New_York/" TargetMode="External"/><Relationship Id="rId59" Type="http://schemas.openxmlformats.org/officeDocument/2006/relationships/hyperlink" Target="https://www.ahd.com/free_profile/330119/Lenox_Hill_Hospital/New_York/New_York/" TargetMode="External"/><Relationship Id="rId103" Type="http://schemas.openxmlformats.org/officeDocument/2006/relationships/hyperlink" Target="https://www.ahd.com/free_profile/330162/Northern_Westchester_Hospital/Mount_Kisco/New_York/" TargetMode="External"/><Relationship Id="rId124" Type="http://schemas.openxmlformats.org/officeDocument/2006/relationships/hyperlink" Target="https://www.ahd.com/free_profile/330261/Phelps_Hospital/Sleepy_Hollow/New_York/" TargetMode="External"/><Relationship Id="rId70" Type="http://schemas.openxmlformats.org/officeDocument/2006/relationships/hyperlink" Target="https://www.ahd.com/free_profile/330403/Monroe_Community_Hospital/Rochester/New_York/" TargetMode="External"/><Relationship Id="rId91" Type="http://schemas.openxmlformats.org/officeDocument/2006/relationships/hyperlink" Target="https://www.ahd.com/free_profile/I41137/New_York_Presbyterian%2FColumbia_University_Irving_Medical_Center/New_York/New_York/" TargetMode="External"/><Relationship Id="rId145" Type="http://schemas.openxmlformats.org/officeDocument/2006/relationships/hyperlink" Target="https://www.ahd.com/free_profile/330057/Saint_Peter%27s_Hospital/Albany/New_York/" TargetMode="External"/><Relationship Id="rId166" Type="http://schemas.openxmlformats.org/officeDocument/2006/relationships/hyperlink" Target="https://www.ahd.com/free_profile/330100/The_New_York_Eye_and_Ear_Infirmary/New_York/New_York/" TargetMode="External"/><Relationship Id="rId1" Type="http://schemas.openxmlformats.org/officeDocument/2006/relationships/hyperlink" Target="https://www.ahd.com/free_profile/330141/_Long_Island_Community_Hospital/Patchogue/New_York/" TargetMode="External"/><Relationship Id="rId28" Type="http://schemas.openxmlformats.org/officeDocument/2006/relationships/hyperlink" Target="https://www.ahd.com/free_profile/330281/Cornerstone_of_Fresh_Meadows/Fresh_Meadows/New_York/" TargetMode="External"/><Relationship Id="rId49" Type="http://schemas.openxmlformats.org/officeDocument/2006/relationships/hyperlink" Target="https://www.ahd.com/free_profile/330397/Interfaith_Medical_Center/Brooklyn/New_York/" TargetMode="External"/><Relationship Id="rId114" Type="http://schemas.openxmlformats.org/officeDocument/2006/relationships/hyperlink" Target="https://www.ahd.com/free_profile/330396/NYC_Health_%2B_Hospitals_Woodhull_/Brooklyn/New_York/" TargetMode="External"/><Relationship Id="rId60" Type="http://schemas.openxmlformats.org/officeDocument/2006/relationships/hyperlink" Target="https://www.ahd.com/free_profile/330353/Long_Island_Jewish_Forest_Hills_Hospital/Forest_Hills/New_York/" TargetMode="External"/><Relationship Id="rId81" Type="http://schemas.openxmlformats.org/officeDocument/2006/relationships/hyperlink" Target="https://www.ahd.com/free_profile/330169/Mount_Sinai_Beth_Israel_Medical_Center_/New_York/New_York/" TargetMode="External"/><Relationship Id="rId135" Type="http://schemas.openxmlformats.org/officeDocument/2006/relationships/hyperlink" Target="https://www.ahd.com/free_profile/330246/Saint_Charles_Hospital/Port_Jefferson/New_York/" TargetMode="External"/><Relationship Id="rId156" Type="http://schemas.openxmlformats.org/officeDocument/2006/relationships/hyperlink" Target="https://www.ahd.com/free_profile/330088/Stony_Brook_Eastern_Long_Island_Hospital/Greenport/New_York/" TargetMode="External"/><Relationship Id="rId177" Type="http://schemas.openxmlformats.org/officeDocument/2006/relationships/hyperlink" Target="https://www.ahd.com/free_profile/330238/UR_Medicine_Noyes_Health_/Dansville/New_York/" TargetMode="External"/></Relationships>
</file>

<file path=xl/worksheets/_rels/sheet37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hd.com/free_profile/360352/The_Surgical_Hospital_at_Southwoods/Boardman/Ohio/" TargetMode="External"/><Relationship Id="rId21" Type="http://schemas.openxmlformats.org/officeDocument/2006/relationships/hyperlink" Target="https://www.ahd.com/free_profile/360241/Cleveland_Clinic_Rehabilitation_Hospital_Edwin_Shaw/Copley/Ohio/" TargetMode="External"/><Relationship Id="rId42" Type="http://schemas.openxmlformats.org/officeDocument/2006/relationships/hyperlink" Target="https://www.ahd.com/free_profile/360230/Hillcrest_Hospital/Mayfield_Heights/Ohio/" TargetMode="External"/><Relationship Id="rId63" Type="http://schemas.openxmlformats.org/officeDocument/2006/relationships/hyperlink" Target="https://www.ahd.com/free_profile/360161/Mercy_Health_-_Saint_Joseph_Warren_Hospital_/Warren/Ohio/" TargetMode="External"/><Relationship Id="rId84" Type="http://schemas.openxmlformats.org/officeDocument/2006/relationships/hyperlink" Target="https://www.ahd.com/free_profile/360062/Ohio_State_University_Hospital_East/Columbus/Ohio/" TargetMode="External"/><Relationship Id="rId138" Type="http://schemas.openxmlformats.org/officeDocument/2006/relationships/hyperlink" Target="https://www.ahd.com/free_profile/360174/Upper_Valley_Medical_Center/Troy/Ohio/" TargetMode="External"/><Relationship Id="rId107" Type="http://schemas.openxmlformats.org/officeDocument/2006/relationships/hyperlink" Target="https://www.ahd.com/free_profile/I41457/Southview_Medical_Center/Centerville/Ohio/" TargetMode="External"/><Relationship Id="rId11" Type="http://schemas.openxmlformats.org/officeDocument/2006/relationships/hyperlink" Target="https://www.ahd.com/free_profile/360269/Bethesda_Butler_Hospital/Hamilton/Ohio/" TargetMode="External"/><Relationship Id="rId32" Type="http://schemas.openxmlformats.org/officeDocument/2006/relationships/hyperlink" Target="https://www.ahd.com/free_profile/360077/Fairview_Hospital/Cleveland/Ohio/" TargetMode="External"/><Relationship Id="rId53" Type="http://schemas.openxmlformats.org/officeDocument/2006/relationships/hyperlink" Target="https://www.ahd.com/free_profile/360197/Mary_Rutan_Hospital/Bellefontaine/Ohio/" TargetMode="External"/><Relationship Id="rId74" Type="http://schemas.openxmlformats.org/officeDocument/2006/relationships/hyperlink" Target="https://www.ahd.com/free_profile/360070/Mercy_Medical_Center/Canton/Ohio/" TargetMode="External"/><Relationship Id="rId128" Type="http://schemas.openxmlformats.org/officeDocument/2006/relationships/hyperlink" Target="https://www.ahd.com/free_profile/360115/UH_Bedford_Medical_Center/Bedford/Ohio/" TargetMode="External"/><Relationship Id="rId5" Type="http://schemas.openxmlformats.org/officeDocument/2006/relationships/hyperlink" Target="https://www.ahd.com/free_profile/360125/Ashtabula_County_Medical_Center/Ashtabula/Ohio/" TargetMode="External"/><Relationship Id="rId90" Type="http://schemas.openxmlformats.org/officeDocument/2006/relationships/hyperlink" Target="https://www.ahd.com/free_profile/360017/OhioHealth_Grant_Medical_Center/Columbus/Ohio/" TargetMode="External"/><Relationship Id="rId95" Type="http://schemas.openxmlformats.org/officeDocument/2006/relationships/hyperlink" Target="https://www.ahd.com/free_profile/360148/Pomerene_Hospital/Millersburg/Ohio/" TargetMode="External"/><Relationship Id="rId22" Type="http://schemas.openxmlformats.org/officeDocument/2006/relationships/hyperlink" Target="https://www.ahd.com/free_profile/360010/Cleveland_Clinic_Union_Hospital/Dover/Ohio/" TargetMode="External"/><Relationship Id="rId27" Type="http://schemas.openxmlformats.org/officeDocument/2006/relationships/hyperlink" Target="https://www.ahd.com/free_profile/36007F/Dayton_VA_Medical_Center/Dayton/Ohio/" TargetMode="External"/><Relationship Id="rId43" Type="http://schemas.openxmlformats.org/officeDocument/2006/relationships/hyperlink" Target="https://www.ahd.com/free_profile/360054/Holzer_Gallipolis_Medical_Center/Gallipolis/Ohio/" TargetMode="External"/><Relationship Id="rId48" Type="http://schemas.openxmlformats.org/officeDocument/2006/relationships/hyperlink" Target="https://www.ahd.com/free_profile/360040/Knox_Community_Hospital/Mount_Vernon/Ohio/" TargetMode="External"/><Relationship Id="rId64" Type="http://schemas.openxmlformats.org/officeDocument/2006/relationships/hyperlink" Target="https://www.ahd.com/free_profile/360066/Mercy_Health_-_Saint_Rita%27s_Medical_Center/Lima/Ohio/" TargetMode="External"/><Relationship Id="rId69" Type="http://schemas.openxmlformats.org/officeDocument/2006/relationships/hyperlink" Target="https://www.ahd.com/free_profile/360112/Mercy_Health-_Saint_Vincent_Medical_Center/Toledo/Ohio/" TargetMode="External"/><Relationship Id="rId113" Type="http://schemas.openxmlformats.org/officeDocument/2006/relationships/hyperlink" Target="https://www.ahd.com/free_profile/360107/The_Bellevue_Hospital/Bellevue/Ohio/" TargetMode="External"/><Relationship Id="rId118" Type="http://schemas.openxmlformats.org/officeDocument/2006/relationships/hyperlink" Target="https://www.ahd.com/free_profile/360048/The_University_of_Toledo_Medical_Center/Toledo/Ohio/" TargetMode="External"/><Relationship Id="rId134" Type="http://schemas.openxmlformats.org/officeDocument/2006/relationships/hyperlink" Target="https://www.ahd.com/free_profile/360075/UH_Richmond_Medical_Center/Richmond_Heights/Ohio/" TargetMode="External"/><Relationship Id="rId139" Type="http://schemas.openxmlformats.org/officeDocument/2006/relationships/hyperlink" Target="https://www.ahd.com/free_profile/360071/Van_Wert_County_Hospital/Van_Wert/Ohio/" TargetMode="External"/><Relationship Id="rId80" Type="http://schemas.openxmlformats.org/officeDocument/2006/relationships/hyperlink" Target="https://www.ahd.com/free_profile/I42306/Mount_Carmel_Grove_City/Grove_City/Ohio/" TargetMode="External"/><Relationship Id="rId85" Type="http://schemas.openxmlformats.org/officeDocument/2006/relationships/hyperlink" Target="https://www.ahd.com/free_profile/360085/Ohio_State_University_Wexner_Medical_Center/Columbus/Ohio/" TargetMode="External"/><Relationship Id="rId12" Type="http://schemas.openxmlformats.org/officeDocument/2006/relationships/hyperlink" Target="https://www.ahd.com/free_profile/360179/Bethesda_North_Hospital/Cincinnati/Ohio/" TargetMode="External"/><Relationship Id="rId17" Type="http://schemas.openxmlformats.org/officeDocument/2006/relationships/hyperlink" Target="https://www.ahd.com/free_profile/360027/Cleveland_Clinic_Akron_General/Akron/Ohio/" TargetMode="External"/><Relationship Id="rId33" Type="http://schemas.openxmlformats.org/officeDocument/2006/relationships/hyperlink" Target="https://www.ahd.com/free_profile/I41193/Firelands_Regional_Medical_Center_-_South_Campus/Sandusky/Ohio/" TargetMode="External"/><Relationship Id="rId38" Type="http://schemas.openxmlformats.org/officeDocument/2006/relationships/hyperlink" Target="https://www.ahd.com/free_profile/360134/Good_Samaritan_Hospital/Cincinnati/Ohio/" TargetMode="External"/><Relationship Id="rId59" Type="http://schemas.openxmlformats.org/officeDocument/2006/relationships/hyperlink" Target="https://www.ahd.com/free_profile/360270/Mercy_Health_-_Defiance_Hospital/Defiance/Ohio/" TargetMode="External"/><Relationship Id="rId103" Type="http://schemas.openxmlformats.org/officeDocument/2006/relationships/hyperlink" Target="https://www.ahd.com/free_profile/360360/Soin_Medical_Center/Beavercreek/Ohio/" TargetMode="External"/><Relationship Id="rId108" Type="http://schemas.openxmlformats.org/officeDocument/2006/relationships/hyperlink" Target="https://www.ahd.com/free_profile/360155/Southwest_General_Health_Center/Middleburg_Heights/Ohio/" TargetMode="External"/><Relationship Id="rId124" Type="http://schemas.openxmlformats.org/officeDocument/2006/relationships/hyperlink" Target="https://www.ahd.com/free_profile/360098/TriPoint_Medical_Center/Concord/Ohio/" TargetMode="External"/><Relationship Id="rId129" Type="http://schemas.openxmlformats.org/officeDocument/2006/relationships/hyperlink" Target="https://www.ahd.com/free_profile/360137/UH_Cleveland_Medical_Center/Cleveland/Ohio/" TargetMode="External"/><Relationship Id="rId54" Type="http://schemas.openxmlformats.org/officeDocument/2006/relationships/hyperlink" Target="https://www.ahd.com/free_profile/360143/Marymount_Hospital/Garfield_Heights/Ohio/" TargetMode="External"/><Relationship Id="rId70" Type="http://schemas.openxmlformats.org/officeDocument/2006/relationships/hyperlink" Target="https://www.ahd.com/free_profile/360172/Mercy_Health-Lorain_Hospital/Lorain/Ohio/" TargetMode="External"/><Relationship Id="rId75" Type="http://schemas.openxmlformats.org/officeDocument/2006/relationships/hyperlink" Target="https://www.ahd.com/free_profile/360059/MetroHealth_Medical_Center/Cleveland/Ohio/" TargetMode="External"/><Relationship Id="rId91" Type="http://schemas.openxmlformats.org/officeDocument/2006/relationships/hyperlink" Target="https://www.ahd.com/free_profile/360118/OhioHealth_Mansfield_Hospital/Mansfield/Ohio/" TargetMode="External"/><Relationship Id="rId96" Type="http://schemas.openxmlformats.org/officeDocument/2006/relationships/hyperlink" Target="https://www.ahd.com/free_profile/360259/ProMedica_Bay_Park_Hospital/Oregon/Ohio/" TargetMode="External"/><Relationship Id="rId140" Type="http://schemas.openxmlformats.org/officeDocument/2006/relationships/hyperlink" Target="https://www.ahd.com/free_profile/360044/Wayne_Hospital/Greenville/Ohio/" TargetMode="External"/><Relationship Id="rId145" Type="http://schemas.openxmlformats.org/officeDocument/2006/relationships/hyperlink" Target="https://www.ahd.com/free_profile/360029/Wood_County_Hospital/Bowling_Green/Ohio/" TargetMode="External"/><Relationship Id="rId1" Type="http://schemas.openxmlformats.org/officeDocument/2006/relationships/hyperlink" Target="https://www.ahd.com/free_profile/360001/_Mercy_Health_-_Anderson_Hospital/Cincinnati/Ohio/" TargetMode="External"/><Relationship Id="rId6" Type="http://schemas.openxmlformats.org/officeDocument/2006/relationships/hyperlink" Target="https://www.ahd.com/free_profile/360076/Atrium_Medical_Center/Middletown/Ohio/" TargetMode="External"/><Relationship Id="rId23" Type="http://schemas.openxmlformats.org/officeDocument/2006/relationships/hyperlink" Target="https://www.ahd.com/free_profile/36004F/Cleveland_VA_Medical_Center/Cleveland/Ohio/" TargetMode="External"/><Relationship Id="rId28" Type="http://schemas.openxmlformats.org/officeDocument/2006/relationships/hyperlink" Target="https://www.ahd.com/free_profile/360358/Diley_Ridge_Medical_Center/Canal_Winchester/Ohio/" TargetMode="External"/><Relationship Id="rId49" Type="http://schemas.openxmlformats.org/officeDocument/2006/relationships/hyperlink" Target="https://www.ahd.com/free_profile/360218/Licking_Memorial_Hospital/Newark/Ohio/" TargetMode="External"/><Relationship Id="rId114" Type="http://schemas.openxmlformats.org/officeDocument/2006/relationships/hyperlink" Target="https://www.ahd.com/free_profile/360163/The_Christ_Hospital_/Cincinnati/Ohio/" TargetMode="External"/><Relationship Id="rId119" Type="http://schemas.openxmlformats.org/officeDocument/2006/relationships/hyperlink" Target="https://www.ahd.com/free_profile/360247/The_Woods_at_Parkside/Gahanna/Ohio/" TargetMode="External"/><Relationship Id="rId44" Type="http://schemas.openxmlformats.org/officeDocument/2006/relationships/hyperlink" Target="https://www.ahd.com/free_profile/360263/Institute_for_Orthopaedic_Surgery/Lima/Ohio/" TargetMode="External"/><Relationship Id="rId60" Type="http://schemas.openxmlformats.org/officeDocument/2006/relationships/hyperlink" Target="https://www.ahd.com/free_profile/360262/Mercy_Health_-_Saint__Anne_Hospital/Toledo/Ohio/" TargetMode="External"/><Relationship Id="rId65" Type="http://schemas.openxmlformats.org/officeDocument/2006/relationships/hyperlink" Target="https://www.ahd.com/free_profile/360086/Mercy_Health_-_Springfield_Regional_Medical_Center/Springfield/Ohio/" TargetMode="External"/><Relationship Id="rId81" Type="http://schemas.openxmlformats.org/officeDocument/2006/relationships/hyperlink" Target="https://www.ahd.com/free_profile/360266/Mount_Carmel_New_Albany/New_Albany/Ohio/" TargetMode="External"/><Relationship Id="rId86" Type="http://schemas.openxmlformats.org/officeDocument/2006/relationships/hyperlink" Target="https://www.ahd.com/free_profile/360355/Ohio_Valley_Surgical_Hospital/Springfield/Ohio/" TargetMode="External"/><Relationship Id="rId130" Type="http://schemas.openxmlformats.org/officeDocument/2006/relationships/hyperlink" Target="https://www.ahd.com/free_profile/360145/UH_Elyria_Medical_Center/Elyria/Ohio/" TargetMode="External"/><Relationship Id="rId135" Type="http://schemas.openxmlformats.org/officeDocument/2006/relationships/hyperlink" Target="https://www.ahd.com/free_profile/360123/UH_Saint_John_Medical_Center/Westlake/Ohio/" TargetMode="External"/><Relationship Id="rId13" Type="http://schemas.openxmlformats.org/officeDocument/2006/relationships/hyperlink" Target="https://www.ahd.com/free_profile/360095/Blanchard_Valley_Hospital/Findlay/Ohio/" TargetMode="External"/><Relationship Id="rId18" Type="http://schemas.openxmlformats.org/officeDocument/2006/relationships/hyperlink" Target="https://www.ahd.com/free_profile/360364/Cleveland_Clinic_Avon_Hospital/Avon/Ohio/" TargetMode="External"/><Relationship Id="rId39" Type="http://schemas.openxmlformats.org/officeDocument/2006/relationships/hyperlink" Target="https://www.ahd.com/free_profile/360133/Grandview_Medical_Center/Dayton/Ohio/" TargetMode="External"/><Relationship Id="rId109" Type="http://schemas.openxmlformats.org/officeDocument/2006/relationships/hyperlink" Target="https://www.ahd.com/free_profile/360020/Summa_Health_System_-_Akron_Campus/Akron/Ohio/" TargetMode="External"/><Relationship Id="rId34" Type="http://schemas.openxmlformats.org/officeDocument/2006/relationships/hyperlink" Target="https://www.ahd.com/free_profile/360025/Firelands_Regional_Medical_Center_Main_Campus/Sandusky/Ohio/" TargetMode="External"/><Relationship Id="rId50" Type="http://schemas.openxmlformats.org/officeDocument/2006/relationships/hyperlink" Target="https://www.ahd.com/free_profile/360009/Lima_Memorial_Hospital/Lima/Ohio/" TargetMode="External"/><Relationship Id="rId55" Type="http://schemas.openxmlformats.org/officeDocument/2006/relationships/hyperlink" Target="https://www.ahd.com/free_profile/360046/McCullough-Hyde_Memorial_Hospital_%28Oxford_Campus%29/Oxford/Ohio/" TargetMode="External"/><Relationship Id="rId76" Type="http://schemas.openxmlformats.org/officeDocument/2006/relationships/hyperlink" Target="https://www.ahd.com/free_profile/360051/Miami_Valley_Hospital/Dayton/Ohio/" TargetMode="External"/><Relationship Id="rId97" Type="http://schemas.openxmlformats.org/officeDocument/2006/relationships/hyperlink" Target="https://www.ahd.com/free_profile/360074/ProMedica_Flower_Hospital/Sylvania/Ohio/" TargetMode="External"/><Relationship Id="rId104" Type="http://schemas.openxmlformats.org/officeDocument/2006/relationships/hyperlink" Target="https://www.ahd.com/free_profile/360144/South_Pointe_Hospital/Warrensville_Heights/Ohio/" TargetMode="External"/><Relationship Id="rId120" Type="http://schemas.openxmlformats.org/officeDocument/2006/relationships/hyperlink" Target="https://www.ahd.com/free_profile/360261/Three_Gables_Surgery_Center/Proctorville/Ohio/" TargetMode="External"/><Relationship Id="rId125" Type="http://schemas.openxmlformats.org/officeDocument/2006/relationships/hyperlink" Target="https://www.ahd.com/free_profile/360368/Troy_Hospital/Troy/Ohio/" TargetMode="External"/><Relationship Id="rId141" Type="http://schemas.openxmlformats.org/officeDocument/2006/relationships/hyperlink" Target="https://www.ahd.com/free_profile/360354/West_Chester_Medical_Center_/West_Chester/Ohio/" TargetMode="External"/><Relationship Id="rId146" Type="http://schemas.openxmlformats.org/officeDocument/2006/relationships/hyperlink" Target="https://www.ahd.com/free_profile/360036/Wooster_Community_Hospital/Wooster/Ohio/" TargetMode="External"/><Relationship Id="rId7" Type="http://schemas.openxmlformats.org/officeDocument/2006/relationships/hyperlink" Target="https://www.ahd.com/free_profile/360084/Aultman_Hospital/Canton/Ohio/" TargetMode="External"/><Relationship Id="rId71" Type="http://schemas.openxmlformats.org/officeDocument/2006/relationships/hyperlink" Target="https://www.ahd.com/free_profile/I42305/Mercy_Health-Perrysburg_Hospital/Perrysburg/Ohio/" TargetMode="External"/><Relationship Id="rId92" Type="http://schemas.openxmlformats.org/officeDocument/2006/relationships/hyperlink" Target="https://www.ahd.com/free_profile/360011/OhioHealth_Marion_General_Hospital/Marion/Ohio/" TargetMode="External"/><Relationship Id="rId2" Type="http://schemas.openxmlformats.org/officeDocument/2006/relationships/hyperlink" Target="https://www.ahd.com/free_profile/36042F/88th_Medical_Group_-_Wright-Patterson_Air_Force_Base_Medical_Center/Wright-Patterson_AirForce_Base/Ohio/" TargetMode="External"/><Relationship Id="rId29" Type="http://schemas.openxmlformats.org/officeDocument/2006/relationships/hyperlink" Target="https://www.ahd.com/free_profile/360096/East_Liverpool_City_Hospital/East_Liverpool/Ohio/" TargetMode="External"/><Relationship Id="rId24" Type="http://schemas.openxmlformats.org/officeDocument/2006/relationships/hyperlink" Target="https://www.ahd.com/free_profile/360175/Clinton_Memorial_Hospital/Wilmington/Ohio/" TargetMode="External"/><Relationship Id="rId40" Type="http://schemas.openxmlformats.org/officeDocument/2006/relationships/hyperlink" Target="https://www.ahd.com/free_profile/360026/Greene_Memorial_Hospital/Xenia/Ohio/" TargetMode="External"/><Relationship Id="rId45" Type="http://schemas.openxmlformats.org/officeDocument/2006/relationships/hyperlink" Target="https://www.ahd.com/free_profile/360032/Joint_Township_District_Memorial_Hospital/Saint_Marys/Ohio/" TargetMode="External"/><Relationship Id="rId66" Type="http://schemas.openxmlformats.org/officeDocument/2006/relationships/hyperlink" Target="https://www.ahd.com/free_profile/360234/Mercy_Health_-_West_Hospital/Cincinnati/Ohio/" TargetMode="External"/><Relationship Id="rId87" Type="http://schemas.openxmlformats.org/officeDocument/2006/relationships/hyperlink" Target="https://www.ahd.com/free_profile/360152/OhioHealth_Doctors_Hospital_/Columbus/Ohio/" TargetMode="External"/><Relationship Id="rId110" Type="http://schemas.openxmlformats.org/officeDocument/2006/relationships/hyperlink" Target="https://www.ahd.com/free_profile/360019/Summa_Health_System-Barberton_Campus/Barberton/Ohio/" TargetMode="External"/><Relationship Id="rId115" Type="http://schemas.openxmlformats.org/officeDocument/2006/relationships/hyperlink" Target="https://www.ahd.com/free_profile/360180/The_Cleveland_Clinic/Cleveland/Ohio/" TargetMode="External"/><Relationship Id="rId131" Type="http://schemas.openxmlformats.org/officeDocument/2006/relationships/hyperlink" Target="https://www.ahd.com/free_profile/360192/UH_Geauga_Medical_Center/Chardon/Ohio/" TargetMode="External"/><Relationship Id="rId136" Type="http://schemas.openxmlformats.org/officeDocument/2006/relationships/hyperlink" Target="https://www.ahd.com/free_profile/360002/UH_Samaritan_Medical_Center/Ashland/Ohio/" TargetMode="External"/><Relationship Id="rId61" Type="http://schemas.openxmlformats.org/officeDocument/2006/relationships/hyperlink" Target="https://www.ahd.com/free_profile/360081/Mercy_Health_-_Saint_Charles_Hospital_/Oregon/Ohio/" TargetMode="External"/><Relationship Id="rId82" Type="http://schemas.openxmlformats.org/officeDocument/2006/relationships/hyperlink" Target="https://www.ahd.com/free_profile/360012/Mount_Carmel_Saint_Ann%27s/Westerville/Ohio/" TargetMode="External"/><Relationship Id="rId19" Type="http://schemas.openxmlformats.org/officeDocument/2006/relationships/hyperlink" Target="https://www.ahd.com/free_profile/360087/Cleveland_Clinic_Lutheran_Hospital/Cleveland/Ohio/" TargetMode="External"/><Relationship Id="rId14" Type="http://schemas.openxmlformats.org/officeDocument/2006/relationships/hyperlink" Target="https://www.ahd.com/free_profile/360121/Bryan_Hospital/Bryan/Ohio/" TargetMode="External"/><Relationship Id="rId30" Type="http://schemas.openxmlformats.org/officeDocument/2006/relationships/hyperlink" Target="https://www.ahd.com/free_profile/360082/Euclid_Hospital/Euclid/Ohio/" TargetMode="External"/><Relationship Id="rId35" Type="http://schemas.openxmlformats.org/officeDocument/2006/relationships/hyperlink" Target="https://www.ahd.com/free_profile/360065/Fisher-Titus_Medical_Center/Norwalk/Ohio/" TargetMode="External"/><Relationship Id="rId56" Type="http://schemas.openxmlformats.org/officeDocument/2006/relationships/hyperlink" Target="https://www.ahd.com/free_profile/360092/Memorial_Hospital/Marysville/Ohio/" TargetMode="External"/><Relationship Id="rId77" Type="http://schemas.openxmlformats.org/officeDocument/2006/relationships/hyperlink" Target="https://www.ahd.com/free_profile/I42357/Miami_Valley_Hospital_North/Englewood/Ohio/" TargetMode="External"/><Relationship Id="rId100" Type="http://schemas.openxmlformats.org/officeDocument/2006/relationships/hyperlink" Target="https://www.ahd.com/free_profile/360090/Saint_Luke%27s_Hospital/Maumee/Ohio/" TargetMode="External"/><Relationship Id="rId105" Type="http://schemas.openxmlformats.org/officeDocument/2006/relationships/hyperlink" Target="https://www.ahd.com/free_profile/360203/Southeastern_Ohio_Regional_Medical_Center/Cambridge/Ohio/" TargetMode="External"/><Relationship Id="rId126" Type="http://schemas.openxmlformats.org/officeDocument/2006/relationships/hyperlink" Target="https://www.ahd.com/free_profile/360055/Trumbull_Regional_Medical_Center/Warren/Ohio/" TargetMode="External"/><Relationship Id="rId8" Type="http://schemas.openxmlformats.org/officeDocument/2006/relationships/hyperlink" Target="https://www.ahd.com/free_profile/360365/Avita_Ontario_Hospital/Ontario/Ohio/" TargetMode="External"/><Relationship Id="rId51" Type="http://schemas.openxmlformats.org/officeDocument/2006/relationships/hyperlink" Target="https://www.ahd.com/free_profile/360189/Madison_Health_/London/Ohio/" TargetMode="External"/><Relationship Id="rId72" Type="http://schemas.openxmlformats.org/officeDocument/2006/relationships/hyperlink" Target="https://www.ahd.com/free_profile/360276/Mercy_Health-Saint_Elizabeth_Boardman_Hospital/Boardman/Ohio/" TargetMode="External"/><Relationship Id="rId93" Type="http://schemas.openxmlformats.org/officeDocument/2006/relationships/hyperlink" Target="https://www.ahd.com/free_profile/360014/OhioHealth_O%27Bleness_Hospital/Athens/Ohio/" TargetMode="External"/><Relationship Id="rId98" Type="http://schemas.openxmlformats.org/officeDocument/2006/relationships/hyperlink" Target="https://www.ahd.com/free_profile/360156/ProMedica_Memorial_Hospital/Fremont/Ohio/" TargetMode="External"/><Relationship Id="rId121" Type="http://schemas.openxmlformats.org/officeDocument/2006/relationships/hyperlink" Target="https://www.ahd.com/free_profile/360362/TriHealth_Evendale_Hospital/Evandale/Ohio/" TargetMode="External"/><Relationship Id="rId142" Type="http://schemas.openxmlformats.org/officeDocument/2006/relationships/hyperlink" Target="https://www.ahd.com/free_profile/I08439/West_Medical_Center/Willoughby/Ohio/" TargetMode="External"/><Relationship Id="rId3" Type="http://schemas.openxmlformats.org/officeDocument/2006/relationships/hyperlink" Target="https://www.ahd.com/free_profile/360159/Adena_Regional_Medical_Center_/Chillicothe/Ohio/" TargetMode="External"/><Relationship Id="rId25" Type="http://schemas.openxmlformats.org/officeDocument/2006/relationships/hyperlink" Target="https://www.ahd.com/free_profile/360109/Coshocton_Regional_Medical_Center/Coshocton/Ohio/" TargetMode="External"/><Relationship Id="rId46" Type="http://schemas.openxmlformats.org/officeDocument/2006/relationships/hyperlink" Target="https://www.ahd.com/free_profile/360079/Kettering_Medical_Center/Kettering/Ohio/" TargetMode="External"/><Relationship Id="rId67" Type="http://schemas.openxmlformats.org/officeDocument/2006/relationships/hyperlink" Target="https://www.ahd.com/free_profile/I42098/Mercy_Health-_Children%27s_Hospital/Toledo/Ohio/" TargetMode="External"/><Relationship Id="rId116" Type="http://schemas.openxmlformats.org/officeDocument/2006/relationships/hyperlink" Target="https://www.ahd.com/free_profile/360016/The_Jewish_Hospital_-_Mercy_Health/Cincinnati/Ohio/" TargetMode="External"/><Relationship Id="rId137" Type="http://schemas.openxmlformats.org/officeDocument/2006/relationships/hyperlink" Target="https://www.ahd.com/free_profile/360003/University_of_Cincinnati_Medical_Center/Cincinnati/Ohio/" TargetMode="External"/><Relationship Id="rId20" Type="http://schemas.openxmlformats.org/officeDocument/2006/relationships/hyperlink" Target="https://www.ahd.com/free_profile/360091/Cleveland_Clinic_Medina_Hospital/Medina/Ohio/" TargetMode="External"/><Relationship Id="rId41" Type="http://schemas.openxmlformats.org/officeDocument/2006/relationships/hyperlink" Target="https://www.ahd.com/free_profile/I42287/Grove_City_Methodist_Hospital/Grove_City/Ohio/" TargetMode="External"/><Relationship Id="rId62" Type="http://schemas.openxmlformats.org/officeDocument/2006/relationships/hyperlink" Target="https://www.ahd.com/free_profile/360064/Mercy_Health_-_Saint_Elizabeth_Youngstown_Hospital_/Youngstown/Ohio/" TargetMode="External"/><Relationship Id="rId83" Type="http://schemas.openxmlformats.org/officeDocument/2006/relationships/hyperlink" Target="https://www.ahd.com/free_profile/360242/Ohio_State_University_Comprehensive_Cancer_Center_-_Arthur_G_James_Cancer_Hospital/Columbus/Ohio/" TargetMode="External"/><Relationship Id="rId88" Type="http://schemas.openxmlformats.org/officeDocument/2006/relationships/hyperlink" Target="https://www.ahd.com/free_profile/360348/OhioHealth_Dublin_Methodist_Hospital/Dublin/Ohio/" TargetMode="External"/><Relationship Id="rId111" Type="http://schemas.openxmlformats.org/officeDocument/2006/relationships/hyperlink" Target="https://www.ahd.com/free_profile/I41154/Summa_Health_System-St_Thomas_Campus/Akron/Ohio/" TargetMode="External"/><Relationship Id="rId132" Type="http://schemas.openxmlformats.org/officeDocument/2006/relationships/hyperlink" Target="https://www.ahd.com/free_profile/360041/UH_Parma_Medical_Center/Parma/Ohio/" TargetMode="External"/><Relationship Id="rId15" Type="http://schemas.openxmlformats.org/officeDocument/2006/relationships/hyperlink" Target="https://www.ahd.com/free_profile/36008F/Chillicothe_VA_Medical_Center/Chillicothe/Ohio/" TargetMode="External"/><Relationship Id="rId36" Type="http://schemas.openxmlformats.org/officeDocument/2006/relationships/hyperlink" Target="https://www.ahd.com/free_profile/360132/Fort_Hamilton_Hospital/Hamilton/Ohio/" TargetMode="External"/><Relationship Id="rId57" Type="http://schemas.openxmlformats.org/officeDocument/2006/relationships/hyperlink" Target="https://www.ahd.com/free_profile/360058/Mercer_County_Community_Hospital/Coldwater/Ohio/" TargetMode="External"/><Relationship Id="rId106" Type="http://schemas.openxmlformats.org/officeDocument/2006/relationships/hyperlink" Target="https://www.ahd.com/free_profile/360008/Southern_Ohio_Medical_Center/Portsmouth/Ohio/" TargetMode="External"/><Relationship Id="rId127" Type="http://schemas.openxmlformats.org/officeDocument/2006/relationships/hyperlink" Target="https://www.ahd.com/free_profile/360359/UH_Ahuja_Medical_Center/Beachwood/Ohio/" TargetMode="External"/><Relationship Id="rId10" Type="http://schemas.openxmlformats.org/officeDocument/2006/relationships/hyperlink" Target="https://www.ahd.com/free_profile/360170/Berger_Hospital/Circleville/Ohio/" TargetMode="External"/><Relationship Id="rId31" Type="http://schemas.openxmlformats.org/officeDocument/2006/relationships/hyperlink" Target="https://www.ahd.com/free_profile/360072/Fairfield_Medical_Center/Lancaster/Ohio/" TargetMode="External"/><Relationship Id="rId52" Type="http://schemas.openxmlformats.org/officeDocument/2006/relationships/hyperlink" Target="https://www.ahd.com/free_profile/360147/Marietta_Memorial_Hospital/Marietta/Ohio/" TargetMode="External"/><Relationship Id="rId73" Type="http://schemas.openxmlformats.org/officeDocument/2006/relationships/hyperlink" Target="https://www.ahd.com/free_profile/360089/Mercy_Health-Tiffin_Hospital/Tiffin/Ohio/" TargetMode="External"/><Relationship Id="rId78" Type="http://schemas.openxmlformats.org/officeDocument/2006/relationships/hyperlink" Target="https://www.ahd.com/free_profile/I42172/Miami_Valley_Hospital_South/_Centerville/Ohio/" TargetMode="External"/><Relationship Id="rId94" Type="http://schemas.openxmlformats.org/officeDocument/2006/relationships/hyperlink" Target="https://www.ahd.com/free_profile/360006/OhioHealth_Riverside_Methodist_Hospital/Columbus/Ohio/" TargetMode="External"/><Relationship Id="rId99" Type="http://schemas.openxmlformats.org/officeDocument/2006/relationships/hyperlink" Target="https://www.ahd.com/free_profile/360068/ProMedica_Toledo_Hospital/Toledo/Ohio/" TargetMode="External"/><Relationship Id="rId101" Type="http://schemas.openxmlformats.org/officeDocument/2006/relationships/hyperlink" Target="https://www.ahd.com/free_profile/360037/Saint_Vincent_Charity_Medical_Center/Cleveland/Ohio/" TargetMode="External"/><Relationship Id="rId122" Type="http://schemas.openxmlformats.org/officeDocument/2006/relationships/hyperlink" Target="https://www.ahd.com/free_profile/360211/Trinity_East/Steubenville/Ohio/" TargetMode="External"/><Relationship Id="rId143" Type="http://schemas.openxmlformats.org/officeDocument/2006/relationships/hyperlink" Target="https://www.ahd.com/free_profile/360150/Western_Reserve_Hospital/Cuyahoga_Falls/Ohio/" TargetMode="External"/><Relationship Id="rId4" Type="http://schemas.openxmlformats.org/officeDocument/2006/relationships/hyperlink" Target="https://www.ahd.com/free_profile/360131/Alliance_Community_Hospital/Alliance/Ohio/" TargetMode="External"/><Relationship Id="rId9" Type="http://schemas.openxmlformats.org/officeDocument/2006/relationships/hyperlink" Target="https://www.ahd.com/free_profile/I42308/Beachwood_Medical_Center/Beachwood/Ohio/" TargetMode="External"/><Relationship Id="rId26" Type="http://schemas.openxmlformats.org/officeDocument/2006/relationships/hyperlink" Target="https://www.ahd.com/free_profile/360351/Crystal_Clinic_Orthopaedic_Center/Akron/Ohio/" TargetMode="External"/><Relationship Id="rId47" Type="http://schemas.openxmlformats.org/officeDocument/2006/relationships/hyperlink" Target="https://www.ahd.com/free_profile/360361/King%27s_Daughters_Medical_Center_Ohio/Portsmouth/Ohio/" TargetMode="External"/><Relationship Id="rId68" Type="http://schemas.openxmlformats.org/officeDocument/2006/relationships/hyperlink" Target="https://www.ahd.com/free_profile/360056/Mercy_Health-_Fairfield_Hospital/Fairfield/Ohio/" TargetMode="External"/><Relationship Id="rId89" Type="http://schemas.openxmlformats.org/officeDocument/2006/relationships/hyperlink" Target="https://www.ahd.com/free_profile/360210/OhioHealth_Grady_Memorial_Hospital/Delaware/Ohio/" TargetMode="External"/><Relationship Id="rId112" Type="http://schemas.openxmlformats.org/officeDocument/2006/relationships/hyperlink" Target="https://www.ahd.com/free_profile/360239/Sycamore_Medical_Center/Miamisburg/Ohio/" TargetMode="External"/><Relationship Id="rId133" Type="http://schemas.openxmlformats.org/officeDocument/2006/relationships/hyperlink" Target="https://www.ahd.com/free_profile/360078/UH_Portage_Medical_Center/Ravenna/Ohio/" TargetMode="External"/><Relationship Id="rId16" Type="http://schemas.openxmlformats.org/officeDocument/2006/relationships/hyperlink" Target="https://www.ahd.com/free_profile/36003F/Cincinnati_VA_Medical_Center/Cincinnati/Ohio/" TargetMode="External"/><Relationship Id="rId37" Type="http://schemas.openxmlformats.org/officeDocument/2006/relationships/hyperlink" Target="https://www.ahd.com/free_profile/360039/Genesis_Hospital/Zanesville/Ohio/" TargetMode="External"/><Relationship Id="rId58" Type="http://schemas.openxmlformats.org/officeDocument/2006/relationships/hyperlink" Target="https://www.ahd.com/free_profile/360236/Mercy_Health_-_Clermont_Hospital/Batavia/Ohio/" TargetMode="External"/><Relationship Id="rId79" Type="http://schemas.openxmlformats.org/officeDocument/2006/relationships/hyperlink" Target="https://www.ahd.com/free_profile/I41258/Mount_Carmel_East/Columbus/Ohio/" TargetMode="External"/><Relationship Id="rId102" Type="http://schemas.openxmlformats.org/officeDocument/2006/relationships/hyperlink" Target="https://www.ahd.com/free_profile/360185/Salem_Regional_Medical_Center/Salem/Ohio/" TargetMode="External"/><Relationship Id="rId123" Type="http://schemas.openxmlformats.org/officeDocument/2006/relationships/hyperlink" Target="https://www.ahd.com/free_profile/I41066/Trinity_West/Steubenville/Ohio/" TargetMode="External"/><Relationship Id="rId144" Type="http://schemas.openxmlformats.org/officeDocument/2006/relationships/hyperlink" Target="https://www.ahd.com/free_profile/360013/Wilson_Health_/Sidney/Ohio/" TargetMode="External"/></Relationships>
</file>

<file path=xl/worksheets/_rels/sheet38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hd.com/free_profile/370099/Hillcrest_Hospital_Cushing/Cushing/Oklahoma/" TargetMode="External"/><Relationship Id="rId21" Type="http://schemas.openxmlformats.org/officeDocument/2006/relationships/hyperlink" Target="https://www.ahd.com/free_profile/370153/Elkview_General_Hospital/Hobart/Oklahoma/" TargetMode="External"/><Relationship Id="rId42" Type="http://schemas.openxmlformats.org/officeDocument/2006/relationships/hyperlink" Target="https://www.ahd.com/free_profile/37012F/Jack_C_Montgomery_VA_Medical_Center/Muskogee/Oklahoma/" TargetMode="External"/><Relationship Id="rId47" Type="http://schemas.openxmlformats.org/officeDocument/2006/relationships/hyperlink" Target="https://www.ahd.com/free_profile/370034/McAlester_Regional_Health_Center/McAlester/Oklahoma/" TargetMode="External"/><Relationship Id="rId63" Type="http://schemas.openxmlformats.org/officeDocument/2006/relationships/hyperlink" Target="https://www.ahd.com/free_profile/370078/Oklahoma_State_University_Medical_Center/Tulsa/Oklahoma/" TargetMode="External"/><Relationship Id="rId68" Type="http://schemas.openxmlformats.org/officeDocument/2006/relationships/hyperlink" Target="https://www.ahd.com/free_profile/370139/Perry_Memorial_Hospital/Perry/Oklahoma/" TargetMode="External"/><Relationship Id="rId84" Type="http://schemas.openxmlformats.org/officeDocument/2006/relationships/hyperlink" Target="https://www.ahd.com/free_profile/370149/SSM_Health_St_Anthony_Hospital-Shawnee/Shawnee/Oklahoma/" TargetMode="External"/><Relationship Id="rId89" Type="http://schemas.openxmlformats.org/officeDocument/2006/relationships/hyperlink" Target="https://www.ahd.com/free_profile/370171/W_W_Hastings_Indian_Hospital/Tahlequah/Oklahoma/" TargetMode="External"/><Relationship Id="rId16" Type="http://schemas.openxmlformats.org/officeDocument/2006/relationships/hyperlink" Target="https://www.ahd.com/free_profile/370172/Choctaw_Nation_Health_Care_Center/Talihina/Oklahoma/" TargetMode="External"/><Relationship Id="rId11" Type="http://schemas.openxmlformats.org/officeDocument/2006/relationships/hyperlink" Target="https://www.ahd.com/free_profile/370030/Blackwell_Regional_Hospital/Blackwell/Oklahoma/" TargetMode="External"/><Relationship Id="rId32" Type="http://schemas.openxmlformats.org/officeDocument/2006/relationships/hyperlink" Target="https://www.ahd.com/free_profile/370032/INTEGRIS_Baptist_Medical_Center_Portland_Avenue/Oklahoma_City/Oklahoma/" TargetMode="External"/><Relationship Id="rId37" Type="http://schemas.openxmlformats.org/officeDocument/2006/relationships/hyperlink" Target="https://www.ahd.com/free_profile/I42319/INTEGRIS_Community_Hospital_in_Del_City/Del_City/Oklahoma/" TargetMode="External"/><Relationship Id="rId53" Type="http://schemas.openxmlformats.org/officeDocument/2006/relationships/hyperlink" Target="https://www.ahd.com/free_profile/370057/Muscogee_Creek_Nation_Medical_Center/Okmulgee/Oklahoma/" TargetMode="External"/><Relationship Id="rId58" Type="http://schemas.openxmlformats.org/officeDocument/2006/relationships/hyperlink" Target="https://www.ahd.com/free_profile/37014F/Oklahoma_City_VA_Medical_Center/Oklahoma_City/Oklahoma/" TargetMode="External"/><Relationship Id="rId74" Type="http://schemas.openxmlformats.org/officeDocument/2006/relationships/hyperlink" Target="https://www.ahd.com/free_profile/I41499/Saint_Francis_Hospital_South/Tulsa/Oklahoma/" TargetMode="External"/><Relationship Id="rId79" Type="http://schemas.openxmlformats.org/officeDocument/2006/relationships/hyperlink" Target="https://www.ahd.com/free_profile/370112/Sequoyah_Memorial_Hospital/Sallisaw/Oklahoma/" TargetMode="External"/><Relationship Id="rId5" Type="http://schemas.openxmlformats.org/officeDocument/2006/relationships/hyperlink" Target="https://www.ahd.com/free_profile/370006/AllianceHealth_Ponca_City/Ponca_City/Oklahoma/" TargetMode="External"/><Relationship Id="rId90" Type="http://schemas.openxmlformats.org/officeDocument/2006/relationships/hyperlink" Target="https://www.ahd.com/free_profile/370166/Wagoner_Community_Hospital/Wagoner/Oklahoma/" TargetMode="External"/><Relationship Id="rId14" Type="http://schemas.openxmlformats.org/officeDocument/2006/relationships/hyperlink" Target="https://www.ahd.com/free_profile/370180/Chickasaw_Nation_Medical_Center/Ada/Oklahoma/" TargetMode="External"/><Relationship Id="rId22" Type="http://schemas.openxmlformats.org/officeDocument/2006/relationships/hyperlink" Target="https://www.ahd.com/free_profile/370054/Grady_Memorial_Hospital/Chickasha/Oklahoma/" TargetMode="External"/><Relationship Id="rId27" Type="http://schemas.openxmlformats.org/officeDocument/2006/relationships/hyperlink" Target="https://www.ahd.com/free_profile/370183/Hillcrest_Hospital_Henryetta/Henryetta/Oklahoma/" TargetMode="External"/><Relationship Id="rId30" Type="http://schemas.openxmlformats.org/officeDocument/2006/relationships/hyperlink" Target="https://www.ahd.com/free_profile/370001/Hillcrest_Medical_Center/Tulsa/Oklahoma/" TargetMode="External"/><Relationship Id="rId35" Type="http://schemas.openxmlformats.org/officeDocument/2006/relationships/hyperlink" Target="https://www.ahd.com/free_profile/370240/INTEGRIS_Community_Hospital_at_Council_Crossing/Oklahoma_City/Oklahoma/" TargetMode="External"/><Relationship Id="rId43" Type="http://schemas.openxmlformats.org/officeDocument/2006/relationships/hyperlink" Target="https://www.ahd.com/free_profile/370022/Jackson_County_Memorial_Hospital/Altus/Oklahoma/" TargetMode="External"/><Relationship Id="rId48" Type="http://schemas.openxmlformats.org/officeDocument/2006/relationships/hyperlink" Target="https://www.ahd.com/free_profile/370222/McBride_Clinic_Orthopedic_Hospital/Oklahoma_City/Oklahoma/" TargetMode="External"/><Relationship Id="rId56" Type="http://schemas.openxmlformats.org/officeDocument/2006/relationships/hyperlink" Target="https://www.ahd.com/free_profile/370089/Northeastern_Health_System/Tahlequah/Oklahoma/" TargetMode="External"/><Relationship Id="rId64" Type="http://schemas.openxmlformats.org/officeDocument/2006/relationships/hyperlink" Target="https://www.ahd.com/free_profile/370210/Oklahoma_Surgical_Hospital/Tulsa/Oklahoma/" TargetMode="External"/><Relationship Id="rId69" Type="http://schemas.openxmlformats.org/officeDocument/2006/relationships/hyperlink" Target="https://www.ahd.com/free_profile/370158/Purcell_Municipal_Hospital/Purcell/Oklahoma/" TargetMode="External"/><Relationship Id="rId77" Type="http://schemas.openxmlformats.org/officeDocument/2006/relationships/hyperlink" Target="https://www.ahd.com/free_profile/370114/Saint_John_Medical_Center/Tulsa/Oklahoma/" TargetMode="External"/><Relationship Id="rId8" Type="http://schemas.openxmlformats.org/officeDocument/2006/relationships/hyperlink" Target="https://www.ahd.com/free_profile/370018/Ascension_Jane_Phillips_Medical_Center/Bartlesville/Oklahoma/" TargetMode="External"/><Relationship Id="rId51" Type="http://schemas.openxmlformats.org/officeDocument/2006/relationships/hyperlink" Target="https://www.ahd.com/free_profile/370047/Mercy_Hospital_Ardmore/Ardmore/Oklahoma/" TargetMode="External"/><Relationship Id="rId72" Type="http://schemas.openxmlformats.org/officeDocument/2006/relationships/hyperlink" Target="https://www.ahd.com/free_profile/370025/Saint_Francis_Hospital_Muskogee/Muskogee/Oklahoma/" TargetMode="External"/><Relationship Id="rId80" Type="http://schemas.openxmlformats.org/officeDocument/2006/relationships/hyperlink" Target="https://www.ahd.com/free_profile/370212/Southwest_Orthopaedic_and_Reconstructive_Specialists/Oklahoma_City/Oklahoma/" TargetMode="External"/><Relationship Id="rId85" Type="http://schemas.openxmlformats.org/officeDocument/2006/relationships/hyperlink" Target="https://www.ahd.com/free_profile/370049/Stillwater_Medical_Center/Stillwater/Oklahoma/" TargetMode="External"/><Relationship Id="rId3" Type="http://schemas.openxmlformats.org/officeDocument/2006/relationships/hyperlink" Target="https://www.ahd.com/free_profile/370014/AllianceHealth_Durant/Durant/Oklahoma/" TargetMode="External"/><Relationship Id="rId12" Type="http://schemas.openxmlformats.org/officeDocument/2006/relationships/hyperlink" Target="https://www.ahd.com/free_profile/370041/Bristow_Medical_Center/Bristow/Oklahoma/" TargetMode="External"/><Relationship Id="rId17" Type="http://schemas.openxmlformats.org/officeDocument/2006/relationships/hyperlink" Target="https://www.ahd.com/free_profile/370173/Claremore_IHS_Hospital/Claremore/Oklahoma/" TargetMode="External"/><Relationship Id="rId25" Type="http://schemas.openxmlformats.org/officeDocument/2006/relationships/hyperlink" Target="https://www.ahd.com/free_profile/370039/Hillcrest_Hospital_Claremore/Claremore/Oklahoma/" TargetMode="External"/><Relationship Id="rId33" Type="http://schemas.openxmlformats.org/officeDocument/2006/relationships/hyperlink" Target="https://www.ahd.com/free_profile/370016/INTEGRIS_Bass_Baptist_Health_Center/Enid/Oklahoma/" TargetMode="External"/><Relationship Id="rId38" Type="http://schemas.openxmlformats.org/officeDocument/2006/relationships/hyperlink" Target="https://www.ahd.com/free_profile/I42317/INTEGRIS_Community_Hospital_in_Moore/Moore/Oklahoma/" TargetMode="External"/><Relationship Id="rId46" Type="http://schemas.openxmlformats.org/officeDocument/2006/relationships/hyperlink" Target="https://www.ahd.com/free_profile/370214/Lindsay_Municipal_Hospital/Lindsay/Oklahoma/" TargetMode="External"/><Relationship Id="rId59" Type="http://schemas.openxmlformats.org/officeDocument/2006/relationships/hyperlink" Target="https://www.ahd.com/free_profile/370215/Oklahoma_Heart_Hospital_North/Oklahoma_City/Oklahoma/" TargetMode="External"/><Relationship Id="rId67" Type="http://schemas.openxmlformats.org/officeDocument/2006/relationships/hyperlink" Target="https://www.ahd.com/free_profile/370220/One_Core_Health_Orthopedic_Hospital/Oklahoma_City/Oklahoma/" TargetMode="External"/><Relationship Id="rId20" Type="http://schemas.openxmlformats.org/officeDocument/2006/relationships/hyperlink" Target="https://www.ahd.com/free_profile/370023/Duncan_Regional_Hospital/Duncan/Oklahoma/" TargetMode="External"/><Relationship Id="rId41" Type="http://schemas.openxmlformats.org/officeDocument/2006/relationships/hyperlink" Target="https://www.ahd.com/free_profile/370106/INTEGRIS_Southwest_Medical_Center/Oklahoma_City/Oklahoma/" TargetMode="External"/><Relationship Id="rId54" Type="http://schemas.openxmlformats.org/officeDocument/2006/relationships/hyperlink" Target="https://www.ahd.com/free_profile/I41754/Norman_Regional__HealthPlex_Hospital/Norman/Oklahoma/" TargetMode="External"/><Relationship Id="rId62" Type="http://schemas.openxmlformats.org/officeDocument/2006/relationships/hyperlink" Target="https://www.ahd.com/free_profile/370206/Oklahoma_Spine_Hospital/Oklahoma_City/Oklahoma/" TargetMode="External"/><Relationship Id="rId70" Type="http://schemas.openxmlformats.org/officeDocument/2006/relationships/hyperlink" Target="https://www.ahd.com/free_profile/370083/Pushmataha_Hospital/Antlers/Oklahoma/" TargetMode="External"/><Relationship Id="rId75" Type="http://schemas.openxmlformats.org/officeDocument/2006/relationships/hyperlink" Target="https://www.ahd.com/free_profile/370237/Saint_Francis_Hospital_Vinita/Vinita/Oklahoma/" TargetMode="External"/><Relationship Id="rId83" Type="http://schemas.openxmlformats.org/officeDocument/2006/relationships/hyperlink" Target="https://www.ahd.com/free_profile/370037/SSM_Health_Saint_Anthony_Hospital_-_Oklahoma_City/Oklahoma_City/Oklahoma/" TargetMode="External"/><Relationship Id="rId88" Type="http://schemas.openxmlformats.org/officeDocument/2006/relationships/hyperlink" Target="https://www.ahd.com/free_profile/370216/Tulsa_Spine_And_Specialty_Hospital/Tulsa/Oklahoma/" TargetMode="External"/><Relationship Id="rId1" Type="http://schemas.openxmlformats.org/officeDocument/2006/relationships/hyperlink" Target="https://www.ahd.com/free_profile/370004/_INTEGRIS_Miami_Hospital_/Miami/Oklahoma/" TargetMode="External"/><Relationship Id="rId6" Type="http://schemas.openxmlformats.org/officeDocument/2006/relationships/hyperlink" Target="https://www.ahd.com/free_profile/370229/AllianceHealth_Seminole/Seminole/Oklahoma/" TargetMode="External"/><Relationship Id="rId15" Type="http://schemas.openxmlformats.org/officeDocument/2006/relationships/hyperlink" Target="https://www.ahd.com/free_profile/370100/Choctaw_Memorial_Hospital/Hugo/Oklahoma/" TargetMode="External"/><Relationship Id="rId23" Type="http://schemas.openxmlformats.org/officeDocument/2006/relationships/hyperlink" Target="https://www.ahd.com/free_profile/370019/Great_Plains_Regional_Medical_Center/Elk_City/Oklahoma/" TargetMode="External"/><Relationship Id="rId28" Type="http://schemas.openxmlformats.org/officeDocument/2006/relationships/hyperlink" Target="https://www.ahd.com/free_profile/370015/Hillcrest_Hospital_Pryor/Pryor/Oklahoma/" TargetMode="External"/><Relationship Id="rId36" Type="http://schemas.openxmlformats.org/officeDocument/2006/relationships/hyperlink" Target="https://www.ahd.com/free_profile/I42320/INTEGRIS_Community_Hospital_at_OKC_West/Oklahoma_City/Oklahoma/" TargetMode="External"/><Relationship Id="rId49" Type="http://schemas.openxmlformats.org/officeDocument/2006/relationships/hyperlink" Target="https://www.ahd.com/free_profile/370178/Memorial_Hospital/Stilwell/Oklahoma/" TargetMode="External"/><Relationship Id="rId57" Type="http://schemas.openxmlformats.org/officeDocument/2006/relationships/hyperlink" Target="https://www.ahd.com/free_profile/370192/Northwest_Surgery_Hospital/Oklahoma_City/Oklahoma/" TargetMode="External"/><Relationship Id="rId10" Type="http://schemas.openxmlformats.org/officeDocument/2006/relationships/hyperlink" Target="https://www.ahd.com/free_profile/370228/Bailey_Medical_Center/Owasso/Oklahoma/" TargetMode="External"/><Relationship Id="rId31" Type="http://schemas.openxmlformats.org/officeDocument/2006/relationships/hyperlink" Target="https://www.ahd.com/free_profile/370028/INTEGRIS_Baptist_Medical_Center/Oklahoma_City/Oklahoma/" TargetMode="External"/><Relationship Id="rId44" Type="http://schemas.openxmlformats.org/officeDocument/2006/relationships/hyperlink" Target="https://www.ahd.com/free_profile/370199/Lakeside_Women%27s_Hospital/Oklahoma_City/Oklahoma/" TargetMode="External"/><Relationship Id="rId52" Type="http://schemas.openxmlformats.org/officeDocument/2006/relationships/hyperlink" Target="https://www.ahd.com/free_profile/370013/Mercy_Hospital_Oklahoma_City/Oklahoma_City/Oklahoma/" TargetMode="External"/><Relationship Id="rId60" Type="http://schemas.openxmlformats.org/officeDocument/2006/relationships/hyperlink" Target="https://www.ahd.com/free_profile/370234/Oklahoma_Heart_Hospital_South/Oklahoma_City/Oklahoma/" TargetMode="External"/><Relationship Id="rId65" Type="http://schemas.openxmlformats.org/officeDocument/2006/relationships/hyperlink" Target="https://www.ahd.com/free_profile/370093/Oklahoma_University_Medical_Center/Oklahoma_City/Oklahoma/" TargetMode="External"/><Relationship Id="rId73" Type="http://schemas.openxmlformats.org/officeDocument/2006/relationships/hyperlink" Target="https://www.ahd.com/free_profile/370232/Saint_Francis_Hospital_Muskogee_East/Muskogee/Oklahoma/" TargetMode="External"/><Relationship Id="rId78" Type="http://schemas.openxmlformats.org/officeDocument/2006/relationships/hyperlink" Target="https://www.ahd.com/free_profile/370026/Saint_Mary%27s_Regional_Medical_Center/Enid/Oklahoma/" TargetMode="External"/><Relationship Id="rId81" Type="http://schemas.openxmlformats.org/officeDocument/2006/relationships/hyperlink" Target="https://www.ahd.com/free_profile/370097/Southwestern_Medical_Center/Lawton/Oklahoma/" TargetMode="External"/><Relationship Id="rId86" Type="http://schemas.openxmlformats.org/officeDocument/2006/relationships/hyperlink" Target="https://www.ahd.com/free_profile/370225/Summit_Medical_Center/Edmond/Oklahoma/" TargetMode="External"/><Relationship Id="rId4" Type="http://schemas.openxmlformats.org/officeDocument/2006/relationships/hyperlink" Target="https://www.ahd.com/free_profile/370094/AllianceHealth_Midwest_/Midwest_City/Oklahoma/" TargetMode="External"/><Relationship Id="rId9" Type="http://schemas.openxmlformats.org/officeDocument/2006/relationships/hyperlink" Target="https://www.ahd.com/free_profile/370227/Ascension_Saint_John_Owasso/Owasso/Oklahoma/" TargetMode="External"/><Relationship Id="rId13" Type="http://schemas.openxmlformats.org/officeDocument/2006/relationships/hyperlink" Target="https://www.ahd.com/free_profile/370190/Cancer_Treatment_Centers_of_America_Tulsa/Tulsa/Oklahoma/" TargetMode="External"/><Relationship Id="rId18" Type="http://schemas.openxmlformats.org/officeDocument/2006/relationships/hyperlink" Target="https://www.ahd.com/free_profile/370056/Comanche_County_Memorial_Hospital/Lawton/Oklahoma/" TargetMode="External"/><Relationship Id="rId39" Type="http://schemas.openxmlformats.org/officeDocument/2006/relationships/hyperlink" Target="https://www.ahd.com/free_profile/370113/INTEGRIS_Grove_Hospital/Grove/Oklahoma/" TargetMode="External"/><Relationship Id="rId34" Type="http://schemas.openxmlformats.org/officeDocument/2006/relationships/hyperlink" Target="https://www.ahd.com/free_profile/370211/INTEGRIS_Canadian_Valley_Regional_Hospital/Yukon/Oklahoma/" TargetMode="External"/><Relationship Id="rId50" Type="http://schemas.openxmlformats.org/officeDocument/2006/relationships/hyperlink" Target="https://www.ahd.com/free_profile/370020/Mercy_Hospital_Ada/Ada/Oklahoma/" TargetMode="External"/><Relationship Id="rId55" Type="http://schemas.openxmlformats.org/officeDocument/2006/relationships/hyperlink" Target="https://www.ahd.com/free_profile/370008/Norman_Regional_Hospital/Norman/Oklahoma/" TargetMode="External"/><Relationship Id="rId76" Type="http://schemas.openxmlformats.org/officeDocument/2006/relationships/hyperlink" Target="https://www.ahd.com/free_profile/370235/Saint_John_Broken_Arrow/Broken_Arrow/Oklahoma/" TargetMode="External"/><Relationship Id="rId7" Type="http://schemas.openxmlformats.org/officeDocument/2006/relationships/hyperlink" Target="https://www.ahd.com/free_profile/370002/AllianceHealth_Woodward/Woodward/Oklahoma/" TargetMode="External"/><Relationship Id="rId71" Type="http://schemas.openxmlformats.org/officeDocument/2006/relationships/hyperlink" Target="https://www.ahd.com/free_profile/370091/Saint_Francis_Hospital/Tulsa/Oklahoma/" TargetMode="External"/><Relationship Id="rId2" Type="http://schemas.openxmlformats.org/officeDocument/2006/relationships/hyperlink" Target="https://www.ahd.com/free_profile/370029/AllianceHealth_Clinton/Clinton/Oklahoma/" TargetMode="External"/><Relationship Id="rId29" Type="http://schemas.openxmlformats.org/officeDocument/2006/relationships/hyperlink" Target="https://www.ahd.com/free_profile/370202/Hillcrest_Hospital_South/Tulsa/Oklahoma/" TargetMode="External"/><Relationship Id="rId24" Type="http://schemas.openxmlformats.org/officeDocument/2006/relationships/hyperlink" Target="https://www.ahd.com/free_profile/370218/Heart_Hospital_at_Saint_Francis/Tulsa/Oklahoma/" TargetMode="External"/><Relationship Id="rId40" Type="http://schemas.openxmlformats.org/officeDocument/2006/relationships/hyperlink" Target="https://www.ahd.com/free_profile/370236/INTEGRIS_Health_Edmond/Edmond/Oklahoma/" TargetMode="External"/><Relationship Id="rId45" Type="http://schemas.openxmlformats.org/officeDocument/2006/relationships/hyperlink" Target="https://www.ahd.com/free_profile/370170/Lawton_Indian_Hospital/Lawton/Oklahoma/" TargetMode="External"/><Relationship Id="rId66" Type="http://schemas.openxmlformats.org/officeDocument/2006/relationships/hyperlink" Target="https://www.ahd.com/free_profile/370148/Oklahoma_University_Medical_Center_Edmond/Edmond/Oklahoma/" TargetMode="External"/><Relationship Id="rId87" Type="http://schemas.openxmlformats.org/officeDocument/2006/relationships/hyperlink" Target="https://www.ahd.com/free_profile/370201/Surgical_Hospital_Of_Oklahoma/Oklahoma_City/Oklahoma/" TargetMode="External"/><Relationship Id="rId61" Type="http://schemas.openxmlformats.org/officeDocument/2006/relationships/hyperlink" Target="https://www.ahd.com/free_profile/I41869/Oklahoma_Heart_Institute_at_Hillcrest_Medical_Center/Tulsa/Oklahoma/" TargetMode="External"/><Relationship Id="rId82" Type="http://schemas.openxmlformats.org/officeDocument/2006/relationships/hyperlink" Target="https://www.ahd.com/free_profile/370105/SSM_Health_Bone_%26_Joint_Hospital_at_St_Anthony/Oklahoma_City/Oklahoma/" TargetMode="External"/><Relationship Id="rId19" Type="http://schemas.openxmlformats.org/officeDocument/2006/relationships/hyperlink" Target="https://www.ahd.com/free_profile/370203/Community_Hospital_/Oklahoma_City/Oklahoma/" TargetMode="External"/></Relationships>
</file>

<file path=xl/worksheets/_rels/sheet3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ahd.com/free_profile/380029/Legacy_Silverton_Medical_Center/Silverton/Oregon/" TargetMode="External"/><Relationship Id="rId18" Type="http://schemas.openxmlformats.org/officeDocument/2006/relationships/hyperlink" Target="https://www.ahd.com/free_profile/380102/PeaceHealth_Sacred_Heart_Medical_Center_at_RiverBend/Springfield/Oregon/" TargetMode="External"/><Relationship Id="rId26" Type="http://schemas.openxmlformats.org/officeDocument/2006/relationships/hyperlink" Target="https://www.ahd.com/free_profile/380038/Providence_Willamette_Falls_Medical_Center/Oregon_City/Oregon/" TargetMode="External"/><Relationship Id="rId21" Type="http://schemas.openxmlformats.org/officeDocument/2006/relationships/hyperlink" Target="https://www.ahd.com/free_profile/380075/Providence_Medford_Medical_Center/Medford/Oregon/" TargetMode="External"/><Relationship Id="rId34" Type="http://schemas.openxmlformats.org/officeDocument/2006/relationships/hyperlink" Target="https://www.ahd.com/free_profile/I42070/St_Charles_Prineville/Prineville/Oregon/" TargetMode="External"/><Relationship Id="rId7" Type="http://schemas.openxmlformats.org/officeDocument/2006/relationships/hyperlink" Target="https://www.ahd.com/free_profile/380103/Kaiser_Permanente_Westside_Medical_Center/Hillsboro/Oregon/" TargetMode="External"/><Relationship Id="rId12" Type="http://schemas.openxmlformats.org/officeDocument/2006/relationships/hyperlink" Target="https://www.ahd.com/free_profile/380025/Legacy_Mount_Hood_Medical_Center/Gresham/Oregon/" TargetMode="External"/><Relationship Id="rId17" Type="http://schemas.openxmlformats.org/officeDocument/2006/relationships/hyperlink" Target="https://www.ahd.com/free_profile/380009/Oregon_Health_%26_Science_University_Hospital/Portland/Oregon/" TargetMode="External"/><Relationship Id="rId25" Type="http://schemas.openxmlformats.org/officeDocument/2006/relationships/hyperlink" Target="https://www.ahd.com/free_profile/380004/Providence_Saint_Vincent_Medical_Center/Portland/Oregon/" TargetMode="External"/><Relationship Id="rId33" Type="http://schemas.openxmlformats.org/officeDocument/2006/relationships/hyperlink" Target="https://www.ahd.com/free_profile/380050/Sky_Lakes_Medical_Center/Klamath_Falls/Oregon/" TargetMode="External"/><Relationship Id="rId2" Type="http://schemas.openxmlformats.org/officeDocument/2006/relationships/hyperlink" Target="https://www.ahd.com/free_profile/380005/Asante_Ashland_Community_Hospital/Ashland/Oregon/" TargetMode="External"/><Relationship Id="rId16" Type="http://schemas.openxmlformats.org/officeDocument/2006/relationships/hyperlink" Target="https://www.ahd.com/free_profile/380001/Mid-Columbia_Medical_Center/The_Dalles/Oregon/" TargetMode="External"/><Relationship Id="rId20" Type="http://schemas.openxmlformats.org/officeDocument/2006/relationships/hyperlink" Target="https://www.ahd.com/free_profile/38003F/Portland_VA_Medical_Center/Portland/Oregon/" TargetMode="External"/><Relationship Id="rId29" Type="http://schemas.openxmlformats.org/officeDocument/2006/relationships/hyperlink" Target="https://www.ahd.com/free_profile/380047/Saint_Charles_Bend_Medical_Center/Bend/Oregon/" TargetMode="External"/><Relationship Id="rId1" Type="http://schemas.openxmlformats.org/officeDocument/2006/relationships/hyperlink" Target="https://www.ahd.com/free_profile/380060/Adventist_Medical_Center/Portland/Oregon/" TargetMode="External"/><Relationship Id="rId6" Type="http://schemas.openxmlformats.org/officeDocument/2006/relationships/hyperlink" Target="https://www.ahd.com/free_profile/380014/Good_Samaritan_Regional_Medical_Center/Corvallis/Oregon/" TargetMode="External"/><Relationship Id="rId11" Type="http://schemas.openxmlformats.org/officeDocument/2006/relationships/hyperlink" Target="https://www.ahd.com/free_profile/380089/Legacy_Meridian_Park_Hospital/Tualatin/Oregon/" TargetMode="External"/><Relationship Id="rId24" Type="http://schemas.openxmlformats.org/officeDocument/2006/relationships/hyperlink" Target="https://www.ahd.com/free_profile/380061/Providence_Portland_Medical_Center/Portland/Oregon/" TargetMode="External"/><Relationship Id="rId32" Type="http://schemas.openxmlformats.org/officeDocument/2006/relationships/hyperlink" Target="https://www.ahd.com/free_profile/380056/Santiam_Hospital/Stayton/Oregon/" TargetMode="External"/><Relationship Id="rId37" Type="http://schemas.openxmlformats.org/officeDocument/2006/relationships/hyperlink" Target="https://www.ahd.com/free_profile/380071/Willamette_Valley_Medical_Center/McMinnville/Oregon/" TargetMode="External"/><Relationship Id="rId5" Type="http://schemas.openxmlformats.org/officeDocument/2006/relationships/hyperlink" Target="https://www.ahd.com/free_profile/380090/Bay_Area_Hospital/Coos_Bay/Oregon/" TargetMode="External"/><Relationship Id="rId15" Type="http://schemas.openxmlformats.org/officeDocument/2006/relationships/hyperlink" Target="https://www.ahd.com/free_profile/380027/Mercy_Medical_Center/Roseburg/Oregon/" TargetMode="External"/><Relationship Id="rId23" Type="http://schemas.openxmlformats.org/officeDocument/2006/relationships/hyperlink" Target="https://www.ahd.com/free_profile/380037/Providence_Newberg_Medical_Center/Newberg/Oregon/" TargetMode="External"/><Relationship Id="rId28" Type="http://schemas.openxmlformats.org/officeDocument/2006/relationships/hyperlink" Target="https://www.ahd.com/free_profile/380052/Saint_Alphonsus_Medical_Center_-_Ontario/Ontario/Oregon/" TargetMode="External"/><Relationship Id="rId36" Type="http://schemas.openxmlformats.org/officeDocument/2006/relationships/hyperlink" Target="https://www.ahd.com/free_profile/380021/Tuality_Community_Hospital/Hillsboro/Oregon/" TargetMode="External"/><Relationship Id="rId10" Type="http://schemas.openxmlformats.org/officeDocument/2006/relationships/hyperlink" Target="https://www.ahd.com/free_profile/380017/Legacy_Good_Samaritan_Hospital/Portland/Oregon/" TargetMode="External"/><Relationship Id="rId19" Type="http://schemas.openxmlformats.org/officeDocument/2006/relationships/hyperlink" Target="https://www.ahd.com/free_profile/380033/PeaceHealth_Sacred_Heart_Medical_Center_University_District/Eugene/Oregon/" TargetMode="External"/><Relationship Id="rId31" Type="http://schemas.openxmlformats.org/officeDocument/2006/relationships/hyperlink" Target="https://www.ahd.com/free_profile/380022/Samaritan_Albany_General_Hospital/Albany/Oregon/" TargetMode="External"/><Relationship Id="rId4" Type="http://schemas.openxmlformats.org/officeDocument/2006/relationships/hyperlink" Target="https://www.ahd.com/free_profile/380002/Asante_Three_Rivers_Medical_Center/Grants_Pass/Oregon/" TargetMode="External"/><Relationship Id="rId9" Type="http://schemas.openxmlformats.org/officeDocument/2006/relationships/hyperlink" Target="https://www.ahd.com/free_profile/380007/Legacy_Emanuel__Medical_Center/Portland/Oregon/" TargetMode="External"/><Relationship Id="rId14" Type="http://schemas.openxmlformats.org/officeDocument/2006/relationships/hyperlink" Target="https://www.ahd.com/free_profile/380020/McKenzie-Willamette_Medical_Center/Springfield/Oregon/" TargetMode="External"/><Relationship Id="rId22" Type="http://schemas.openxmlformats.org/officeDocument/2006/relationships/hyperlink" Target="https://www.ahd.com/free_profile/380082/Providence_Milwaukie_Hospital/Milwaukie/Oregon/" TargetMode="External"/><Relationship Id="rId27" Type="http://schemas.openxmlformats.org/officeDocument/2006/relationships/hyperlink" Target="https://www.ahd.com/free_profile/38004F/Roseburg_VA_Health_Care_System/Roseburg/Oregon/" TargetMode="External"/><Relationship Id="rId30" Type="http://schemas.openxmlformats.org/officeDocument/2006/relationships/hyperlink" Target="https://www.ahd.com/free_profile/380051/Salem_Hospital/Salem/Oregon/" TargetMode="External"/><Relationship Id="rId35" Type="http://schemas.openxmlformats.org/officeDocument/2006/relationships/hyperlink" Target="https://www.ahd.com/free_profile/380040/St_Charles_Redmond/Redmond/Oregon/" TargetMode="External"/><Relationship Id="rId8" Type="http://schemas.openxmlformats.org/officeDocument/2006/relationships/hyperlink" Target="https://www.ahd.com/free_profile/380091/Kaiser_Sunnyside_Medical_Center/Clackamas/Oregon/" TargetMode="External"/><Relationship Id="rId3" Type="http://schemas.openxmlformats.org/officeDocument/2006/relationships/hyperlink" Target="https://www.ahd.com/free_profile/380018/Asante_Rogue_Regional_Medical_Center/Medford/Oregon/" TargetMode="External"/></Relationships>
</file>

<file path=xl/worksheets/_rels/sheet40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hd.com/free_profile/390035/Saint_Luke%27s_Quakertown_Campus/Quakertown/Pennsylvania/" TargetMode="External"/><Relationship Id="rId21" Type="http://schemas.openxmlformats.org/officeDocument/2006/relationships/hyperlink" Target="https://www.ahd.com/free_profile/390112/Chan_Soon-Shiong_Medical_Center_at_Windber/Windber/Pennsylvania/" TargetMode="External"/><Relationship Id="rId42" Type="http://schemas.openxmlformats.org/officeDocument/2006/relationships/hyperlink" Target="https://www.ahd.com/free_profile/390219/Excela_Latrobe_Hospital/Latrobe/Pennsylvania/" TargetMode="External"/><Relationship Id="rId63" Type="http://schemas.openxmlformats.org/officeDocument/2006/relationships/hyperlink" Target="https://www.ahd.com/free_profile/390111/Hospital_of_the_University_of_Pennsylvania/Philadelphia/Pennsylvania/" TargetMode="External"/><Relationship Id="rId84" Type="http://schemas.openxmlformats.org/officeDocument/2006/relationships/hyperlink" Target="https://www.ahd.com/free_profile/390113/Meadville_Medical_Center/Meadville/Pennsylvania/" TargetMode="External"/><Relationship Id="rId138" Type="http://schemas.openxmlformats.org/officeDocument/2006/relationships/hyperlink" Target="https://www.ahd.com/free_profile/390233/UPMC_Hanover/Hanover/Pennsylvania/" TargetMode="External"/><Relationship Id="rId159" Type="http://schemas.openxmlformats.org/officeDocument/2006/relationships/hyperlink" Target="https://www.ahd.com/free_profile/39002F/VA_Butler_Healthcare/Butler/Pennsylvania/" TargetMode="External"/><Relationship Id="rId170" Type="http://schemas.openxmlformats.org/officeDocument/2006/relationships/hyperlink" Target="https://www.ahd.com/free_profile/390327/Wellspan_Surgery_and_Rehabilitation_Hospital/York/Pennsylvania/" TargetMode="External"/><Relationship Id="rId107" Type="http://schemas.openxmlformats.org/officeDocument/2006/relationships/hyperlink" Target="https://www.ahd.com/free_profile/390237/Regional_Hospital_of_Scranton/Scranton/Pennsylvania/" TargetMode="External"/><Relationship Id="rId11" Type="http://schemas.openxmlformats.org/officeDocument/2006/relationships/hyperlink" Target="https://www.ahd.com/free_profile/390050/Allegheny_General_Hospital/Pittsburgh/Pennsylvania/" TargetMode="External"/><Relationship Id="rId32" Type="http://schemas.openxmlformats.org/officeDocument/2006/relationships/hyperlink" Target="https://www.ahd.com/free_profile/390081/Delaware_County_Memorial_Hospital/Drexel_Hill/Pennsylvania/" TargetMode="External"/><Relationship Id="rId53" Type="http://schemas.openxmlformats.org/officeDocument/2006/relationships/hyperlink" Target="https://www.ahd.com/free_profile/390332/Geisinger_St_Luke%27s_Hospital/Orwigsburg/Pennsylvania/" TargetMode="External"/><Relationship Id="rId74" Type="http://schemas.openxmlformats.org/officeDocument/2006/relationships/hyperlink" Target="https://www.ahd.com/free_profile/390100/Lancaster_General_Hospital/Lancaster/Pennsylvania/" TargetMode="External"/><Relationship Id="rId128" Type="http://schemas.openxmlformats.org/officeDocument/2006/relationships/hyperlink" Target="https://www.ahd.com/free_profile/390167/Taylor_Hospital/Ridley_Park/Pennsylvania/" TargetMode="External"/><Relationship Id="rId149" Type="http://schemas.openxmlformats.org/officeDocument/2006/relationships/hyperlink" Target="https://www.ahd.com/free_profile/390107/UPMC_Passavant_-_McCandless/Pittsburgh/Pennsylvania/" TargetMode="External"/><Relationship Id="rId5" Type="http://schemas.openxmlformats.org/officeDocument/2006/relationships/hyperlink" Target="https://www.ahd.com/free_profile/390114/_UPMC_Magee-Womens_Hospital_/Pittsburgh/Pennsylvania/" TargetMode="External"/><Relationship Id="rId95" Type="http://schemas.openxmlformats.org/officeDocument/2006/relationships/hyperlink" Target="https://www.ahd.com/free_profile/390153/Paoli_Hospital/Paoli/Pennsylvania/" TargetMode="External"/><Relationship Id="rId160" Type="http://schemas.openxmlformats.org/officeDocument/2006/relationships/hyperlink" Target="https://www.ahd.com/free_profile/39012F/VA_Pittsburgh_Healthcare_System_-_University_Drive_Campus/Pittsburgh/Pennsylvania/" TargetMode="External"/><Relationship Id="rId22" Type="http://schemas.openxmlformats.org/officeDocument/2006/relationships/hyperlink" Target="https://www.ahd.com/free_profile/390026/Chestnut_Hill_Hospital/Philadelphia/Pennsylvania/" TargetMode="External"/><Relationship Id="rId43" Type="http://schemas.openxmlformats.org/officeDocument/2006/relationships/hyperlink" Target="https://www.ahd.com/free_profile/390145/Excela_Westmoreland_Hospital/Greensburg/Pennsylvania/" TargetMode="External"/><Relationship Id="rId64" Type="http://schemas.openxmlformats.org/officeDocument/2006/relationships/hyperlink" Target="https://www.ahd.com/free_profile/390173/Indiana_Regional_Medical_Center/Indiana/Pennsylvania/" TargetMode="External"/><Relationship Id="rId118" Type="http://schemas.openxmlformats.org/officeDocument/2006/relationships/hyperlink" Target="https://www.ahd.com/free_profile/390197/Saint_Luke%27s_Sacred_Heart_Campus/Allentown/Pennsylvania/" TargetMode="External"/><Relationship Id="rId139" Type="http://schemas.openxmlformats.org/officeDocument/2006/relationships/hyperlink" Target="https://www.ahd.com/free_profile/390178/UPMC_Horizon_-_Greenville/Greenville/Pennsylvania/" TargetMode="External"/><Relationship Id="rId85" Type="http://schemas.openxmlformats.org/officeDocument/2006/relationships/hyperlink" Target="https://www.ahd.com/free_profile/390156/Mercy_Catholic_Medical_Center_-_Mercy_Fitzgerald_Campus/Darby/Pennsylvania/" TargetMode="External"/><Relationship Id="rId150" Type="http://schemas.openxmlformats.org/officeDocument/2006/relationships/hyperlink" Target="https://www.ahd.com/free_profile/390206/UPMC_Pinnacle_Community_Osteopathic_Campus/Harrisburg/Pennsylvania/" TargetMode="External"/><Relationship Id="rId171" Type="http://schemas.openxmlformats.org/officeDocument/2006/relationships/hyperlink" Target="https://www.ahd.com/free_profile/390138/Wellspan_Waynesboro_Hospital/Waynesboro/Pennsylvania/" TargetMode="External"/><Relationship Id="rId12" Type="http://schemas.openxmlformats.org/officeDocument/2006/relationships/hyperlink" Target="https://www.ahd.com/free_profile/390032/Allegheny_Valley_Hospital/Natrona_Heights/Pennsylvania/" TargetMode="External"/><Relationship Id="rId33" Type="http://schemas.openxmlformats.org/officeDocument/2006/relationships/hyperlink" Target="https://www.ahd.com/free_profile/390203/Doylestown_Hospital/Doylestown/Pennsylvania/" TargetMode="External"/><Relationship Id="rId108" Type="http://schemas.openxmlformats.org/officeDocument/2006/relationships/hyperlink" Target="https://www.ahd.com/free_profile/390222/Riddle_Memorial_Hospital/Media/Pennsylvania/" TargetMode="External"/><Relationship Id="rId129" Type="http://schemas.openxmlformats.org/officeDocument/2006/relationships/hyperlink" Target="https://www.ahd.com/free_profile/390027/Temple_University_Hospital/Philadelphia/Pennsylvania/" TargetMode="External"/><Relationship Id="rId54" Type="http://schemas.openxmlformats.org/officeDocument/2006/relationships/hyperlink" Target="https://www.ahd.com/free_profile/390270/Geisinger_Wyoming_Valley_Medical_Center/Wilkes-Barre/Pennsylvania/" TargetMode="External"/><Relationship Id="rId75" Type="http://schemas.openxmlformats.org/officeDocument/2006/relationships/hyperlink" Target="https://www.ahd.com/free_profile/390195/Lankenau_Hospital/Wynnewood/Pennsylvania/" TargetMode="External"/><Relationship Id="rId96" Type="http://schemas.openxmlformats.org/officeDocument/2006/relationships/hyperlink" Target="https://www.ahd.com/free_profile/390052/Penn_Highlands_Clearfield/Clearfield/Pennsylvania/" TargetMode="External"/><Relationship Id="rId140" Type="http://schemas.openxmlformats.org/officeDocument/2006/relationships/hyperlink" Target="https://www.ahd.com/free_profile/I41162/UPMC_Horizon_-_Shenango_Valley/Farrell/Pennsylvania/" TargetMode="External"/><Relationship Id="rId161" Type="http://schemas.openxmlformats.org/officeDocument/2006/relationships/hyperlink" Target="https://www.ahd.com/free_profile/390272/Valley_Forge_Medical_Center/Norristown/Pennsylvania/" TargetMode="External"/><Relationship Id="rId1" Type="http://schemas.openxmlformats.org/officeDocument/2006/relationships/hyperlink" Target="https://www.ahd.com/free_profile/390179/_Chester_County_Hospital/West_Chester/Pennsylvania/" TargetMode="External"/><Relationship Id="rId6" Type="http://schemas.openxmlformats.org/officeDocument/2006/relationships/hyperlink" Target="https://www.ahd.com/free_profile/I42143/_VA_Pittsburgh_Healthcare_System_-_HJ_Heinz_Campus/Pittsburgh/Pennsylvania/" TargetMode="External"/><Relationship Id="rId23" Type="http://schemas.openxmlformats.org/officeDocument/2006/relationships/hyperlink" Target="https://www.ahd.com/free_profile/390093/Clarion_Hospital/Clarion/Pennsylvania/" TargetMode="External"/><Relationship Id="rId28" Type="http://schemas.openxmlformats.org/officeDocument/2006/relationships/hyperlink" Target="https://www.ahd.com/free_profile/390314/Coordinated_Health_Bethlehem_Hospital_/Bethlehem/Pennsylvania/" TargetMode="External"/><Relationship Id="rId49" Type="http://schemas.openxmlformats.org/officeDocument/2006/relationships/hyperlink" Target="https://www.ahd.com/free_profile/390048/Geisinger_Lewistown_Hospital/Lewistown/Pennsylvania/" TargetMode="External"/><Relationship Id="rId114" Type="http://schemas.openxmlformats.org/officeDocument/2006/relationships/hyperlink" Target="https://www.ahd.com/free_profile/390330/Saint_Luke%27s_Hospital_-_Monroe_Campus/Stroudsburg/Pennsylvania/" TargetMode="External"/><Relationship Id="rId119" Type="http://schemas.openxmlformats.org/officeDocument/2006/relationships/hyperlink" Target="https://www.ahd.com/free_profile/390049/Saint_Luke%27s_University_Hospital_-_Bethlehem/Bethlehem/Pennsylvania/" TargetMode="External"/><Relationship Id="rId44" Type="http://schemas.openxmlformats.org/officeDocument/2006/relationships/hyperlink" Target="https://www.ahd.com/free_profile/390267/Forbes_Hospital_/Monroeville/Pennsylvania/" TargetMode="External"/><Relationship Id="rId60" Type="http://schemas.openxmlformats.org/officeDocument/2006/relationships/hyperlink" Target="https://www.ahd.com/free_profile/390037/Heritage_Valley_Sewickley/Sewickley/Pennsylvania/" TargetMode="External"/><Relationship Id="rId65" Type="http://schemas.openxmlformats.org/officeDocument/2006/relationships/hyperlink" Target="https://www.ahd.com/free_profile/39001F/James_E_Van_Zandt_VA_Medical_Center_-_Altoona%2C_PA/Altoona/Pennsylvania/" TargetMode="External"/><Relationship Id="rId81" Type="http://schemas.openxmlformats.org/officeDocument/2006/relationships/hyperlink" Target="https://www.ahd.com/free_profile/390185/Lehigh_Valley_Hospital-Hazleton/Hazleton/Pennsylvania/" TargetMode="External"/><Relationship Id="rId86" Type="http://schemas.openxmlformats.org/officeDocument/2006/relationships/hyperlink" Target="https://www.ahd.com/free_profile/I41026/Mercy_Catholic_Medical_Center_-_Mercy_Philadelphia_Campus/Philadelphia/Pennsylvania/" TargetMode="External"/><Relationship Id="rId130" Type="http://schemas.openxmlformats.org/officeDocument/2006/relationships/hyperlink" Target="https://www.ahd.com/free_profile/I41175/Temple_University_Hospital_-_Episcopal_Campus/Philadelphia/Pennsylvania/" TargetMode="External"/><Relationship Id="rId135" Type="http://schemas.openxmlformats.org/officeDocument/2006/relationships/hyperlink" Target="https://www.ahd.com/free_profile/390117/UPMC_Bedford_/Everett/Pennsylvania/" TargetMode="External"/><Relationship Id="rId151" Type="http://schemas.openxmlformats.org/officeDocument/2006/relationships/hyperlink" Target="https://www.ahd.com/free_profile/390067/UPMC_Pinnacle_Harrisburg/Harrisburg/Pennsylvania/" TargetMode="External"/><Relationship Id="rId156" Type="http://schemas.openxmlformats.org/officeDocument/2006/relationships/hyperlink" Target="https://www.ahd.com/free_profile/390039/UPMC_Somerset/Somerset/Pennsylvania/" TargetMode="External"/><Relationship Id="rId172" Type="http://schemas.openxmlformats.org/officeDocument/2006/relationships/hyperlink" Target="https://www.ahd.com/free_profile/390046/WellSpan_York_Hospital/York/Pennsylvania/" TargetMode="External"/><Relationship Id="rId13" Type="http://schemas.openxmlformats.org/officeDocument/2006/relationships/hyperlink" Target="https://www.ahd.com/free_profile/390163/Armstrong_County_Memorial_Hospital/Kittanning/Pennsylvania/" TargetMode="External"/><Relationship Id="rId18" Type="http://schemas.openxmlformats.org/officeDocument/2006/relationships/hyperlink" Target="https://www.ahd.com/free_profile/390168/Butler_Memorial_Hospital/Butler/Pennsylvania/" TargetMode="External"/><Relationship Id="rId39" Type="http://schemas.openxmlformats.org/officeDocument/2006/relationships/hyperlink" Target="https://www.ahd.com/free_profile/39005F/Erie_VA_Medical_Center/Erie/Pennsylvania/" TargetMode="External"/><Relationship Id="rId109" Type="http://schemas.openxmlformats.org/officeDocument/2006/relationships/hyperlink" Target="https://www.ahd.com/free_profile/390322/Rothman_Orthopaedic_Specialty_Hospital/Bensalem/Pennsylvania/" TargetMode="External"/><Relationship Id="rId34" Type="http://schemas.openxmlformats.org/officeDocument/2006/relationships/hyperlink" Target="https://www.ahd.com/free_profile/390278/Eagleville_Hospital/Eagleville/Pennsylvania/" TargetMode="External"/><Relationship Id="rId50" Type="http://schemas.openxmlformats.org/officeDocument/2006/relationships/hyperlink" Target="https://www.ahd.com/free_profile/390006/Geisinger_Medical_Center/Danville/Pennsylvania/" TargetMode="External"/><Relationship Id="rId55" Type="http://schemas.openxmlformats.org/officeDocument/2006/relationships/hyperlink" Target="https://www.ahd.com/free_profile/390001/Geisinger-Community_Medical_Center/Scranton/Pennsylvania/" TargetMode="External"/><Relationship Id="rId76" Type="http://schemas.openxmlformats.org/officeDocument/2006/relationships/hyperlink" Target="https://www.ahd.com/free_profile/39006F/Lebanon_VA_Medical_Center/Lebanon/Pennsylvania/" TargetMode="External"/><Relationship Id="rId97" Type="http://schemas.openxmlformats.org/officeDocument/2006/relationships/hyperlink" Target="https://www.ahd.com/free_profile/390086/Penn_Highlands_DuBois/DuBois/Pennsylvania/" TargetMode="External"/><Relationship Id="rId104" Type="http://schemas.openxmlformats.org/officeDocument/2006/relationships/hyperlink" Target="https://www.ahd.com/free_profile/390324/Physician%27s_Care_Surgical_Hospital/Royersford/Pennsylvania/" TargetMode="External"/><Relationship Id="rId120" Type="http://schemas.openxmlformats.org/officeDocument/2006/relationships/hyperlink" Target="https://www.ahd.com/free_profile/390258/Saint_Mary_Medical_Center/Langhorne/Pennsylvania/" TargetMode="External"/><Relationship Id="rId125" Type="http://schemas.openxmlformats.org/officeDocument/2006/relationships/hyperlink" Target="https://www.ahd.com/free_profile/I42366/St_Luke%27s_Upper_Bucks_Campus/Quakertown/Pennsylvania/" TargetMode="External"/><Relationship Id="rId141" Type="http://schemas.openxmlformats.org/officeDocument/2006/relationships/hyperlink" Target="https://www.ahd.com/free_profile/390016/UPMC_Jameson/New_Castle/Pennsylvania/" TargetMode="External"/><Relationship Id="rId146" Type="http://schemas.openxmlformats.org/officeDocument/2006/relationships/hyperlink" Target="https://www.ahd.com/free_profile/I41625/UPMC_Montefiore/Pittsburgh/Pennsylvania/" TargetMode="External"/><Relationship Id="rId167" Type="http://schemas.openxmlformats.org/officeDocument/2006/relationships/hyperlink" Target="https://www.ahd.com/free_profile/390225/WellSpan_Ephrata_Community_Hospital/Ephrata/Pennsylvania/" TargetMode="External"/><Relationship Id="rId7" Type="http://schemas.openxmlformats.org/officeDocument/2006/relationships/hyperlink" Target="https://www.ahd.com/free_profile/390012/Abington_-_Lansdale_Hospital/Lansdale/Pennsylvania/" TargetMode="External"/><Relationship Id="rId71" Type="http://schemas.openxmlformats.org/officeDocument/2006/relationships/hyperlink" Target="https://www.ahd.com/free_profile/390115/Jefferson_Torresdale_Hospital_/Philadelphia/Pennsylvania/" TargetMode="External"/><Relationship Id="rId92" Type="http://schemas.openxmlformats.org/officeDocument/2006/relationships/hyperlink" Target="https://www.ahd.com/free_profile/390204/Nazareth_Hospital/Philadelphia/Pennsylvania/" TargetMode="External"/><Relationship Id="rId162" Type="http://schemas.openxmlformats.org/officeDocument/2006/relationships/hyperlink" Target="https://www.ahd.com/free_profile/390146/Warren_General_Hospital/Warren/Pennsylvania/" TargetMode="External"/><Relationship Id="rId2" Type="http://schemas.openxmlformats.org/officeDocument/2006/relationships/hyperlink" Target="https://www.ahd.com/free_profile/390044/_Reading_Hospital_/West_Reading/Pennsylvania/" TargetMode="External"/><Relationship Id="rId29" Type="http://schemas.openxmlformats.org/officeDocument/2006/relationships/hyperlink" Target="https://www.ahd.com/free_profile/390321/Coordinated_Health_Hospital_of_Allentown/Allentown/Pennsylvania/" TargetMode="External"/><Relationship Id="rId24" Type="http://schemas.openxmlformats.org/officeDocument/2006/relationships/hyperlink" Target="https://www.ahd.com/free_profile/390011/Conemaugh_Memorial_Medical_Center_-_Lee_Campus/Johnstown/Pennsylvania/" TargetMode="External"/><Relationship Id="rId40" Type="http://schemas.openxmlformats.org/officeDocument/2006/relationships/hyperlink" Target="https://www.ahd.com/free_profile/390013/Evangelical_Community_Hospital/Lewisburg/Pennsylvania/" TargetMode="External"/><Relationship Id="rId45" Type="http://schemas.openxmlformats.org/officeDocument/2006/relationships/hyperlink" Target="https://www.ahd.com/free_profile/390196/Fox_Chase_Cancer_Center/Philadelphia/Pennsylvania/" TargetMode="External"/><Relationship Id="rId66" Type="http://schemas.openxmlformats.org/officeDocument/2006/relationships/hyperlink" Target="https://www.ahd.com/free_profile/390080/Jeanes_Hospital/Philadelphia/Pennsylvania/" TargetMode="External"/><Relationship Id="rId87" Type="http://schemas.openxmlformats.org/officeDocument/2006/relationships/hyperlink" Target="https://www.ahd.com/free_profile/390198/Millcreek_Community_Hospital/Erie/Pennsylvania/" TargetMode="External"/><Relationship Id="rId110" Type="http://schemas.openxmlformats.org/officeDocument/2006/relationships/hyperlink" Target="https://www.ahd.com/free_profile/390304/Roxborough_Memorial_Hospital/Philadelphia/Pennsylvania/" TargetMode="External"/><Relationship Id="rId115" Type="http://schemas.openxmlformats.org/officeDocument/2006/relationships/hyperlink" Target="https://www.ahd.com/free_profile/390194/Saint_Luke%27s_Hospital_Lehighton_Campus/Lehighton/Pennsylvania/" TargetMode="External"/><Relationship Id="rId131" Type="http://schemas.openxmlformats.org/officeDocument/2006/relationships/hyperlink" Target="https://www.ahd.com/free_profile/390174/Thomas_Jefferson_University_Hospital_-_Center_City_Campus/Philadelphia/Pennsylvania/" TargetMode="External"/><Relationship Id="rId136" Type="http://schemas.openxmlformats.org/officeDocument/2006/relationships/hyperlink" Target="https://www.ahd.com/free_profile/390058/UPMC_Carlisle_/Carlisle/Pennsylvania/" TargetMode="External"/><Relationship Id="rId157" Type="http://schemas.openxmlformats.org/officeDocument/2006/relationships/hyperlink" Target="https://www.ahd.com/free_profile/390071/UPMC_Susquehanna_Lock_Haven/Lock_Haven/Pennsylvania/" TargetMode="External"/><Relationship Id="rId61" Type="http://schemas.openxmlformats.org/officeDocument/2006/relationships/hyperlink" Target="https://www.ahd.com/free_profile/390184/Highlands_Hospital/Connellsville/Pennsylvania/" TargetMode="External"/><Relationship Id="rId82" Type="http://schemas.openxmlformats.org/officeDocument/2006/relationships/hyperlink" Target="https://www.ahd.com/free_profile/390030/Lehigh_Valley_Hospital-Schuylkill_S_Jackson_Street/Pottsville/Pennsylvania/" TargetMode="External"/><Relationship Id="rId152" Type="http://schemas.openxmlformats.org/officeDocument/2006/relationships/hyperlink" Target="https://www.ahd.com/free_profile/I42178/UPMC_Pinnacle_West_Shore/Mechanicsburg/Pennsylvania/" TargetMode="External"/><Relationship Id="rId173" Type="http://schemas.openxmlformats.org/officeDocument/2006/relationships/hyperlink" Target="https://www.ahd.com/free_profile/390090/West_Penn_Hospital/Pittsburgh/Pennsylvania/" TargetMode="External"/><Relationship Id="rId19" Type="http://schemas.openxmlformats.org/officeDocument/2006/relationships/hyperlink" Target="https://www.ahd.com/free_profile/390312/Cancer_Treatment_Centers_of_America_Philadelphia/Philadelphia/Pennsylvania/" TargetMode="External"/><Relationship Id="rId14" Type="http://schemas.openxmlformats.org/officeDocument/2006/relationships/hyperlink" Target="https://www.ahd.com/free_profile/390072/Berwick_Hospital_Center/Berwick/Pennsylvania/" TargetMode="External"/><Relationship Id="rId30" Type="http://schemas.openxmlformats.org/officeDocument/2006/relationships/hyperlink" Target="https://www.ahd.com/free_profile/39009F/Corporal_Michael_JCrescenz_VAMC/Philadelphia/Pennsylvania/" TargetMode="External"/><Relationship Id="rId35" Type="http://schemas.openxmlformats.org/officeDocument/2006/relationships/hyperlink" Target="https://www.ahd.com/free_profile/390307/Edgewood_Surgical_Hospital/Transfer/Pennsylvania/" TargetMode="External"/><Relationship Id="rId56" Type="http://schemas.openxmlformats.org/officeDocument/2006/relationships/hyperlink" Target="https://www.ahd.com/free_profile/390057/Grand_View_Hospital/Sellersville/Pennsylvania/" TargetMode="External"/><Relationship Id="rId77" Type="http://schemas.openxmlformats.org/officeDocument/2006/relationships/hyperlink" Target="https://www.ahd.com/free_profile/390133/Lehigh_Valley_Hospital_-_Cedar_Crest/Allentown/Pennsylvania/" TargetMode="External"/><Relationship Id="rId100" Type="http://schemas.openxmlformats.org/officeDocument/2006/relationships/hyperlink" Target="https://www.ahd.com/free_profile/I41243/Penn_State_Health_Saint_Joseph_-_Downtown_Reading_Campus/Reading/Pennsylvania/" TargetMode="External"/><Relationship Id="rId105" Type="http://schemas.openxmlformats.org/officeDocument/2006/relationships/hyperlink" Target="https://www.ahd.com/free_profile/390123/Pottstown_Hospital/Pottstown/Pennsylvania/" TargetMode="External"/><Relationship Id="rId126" Type="http://schemas.openxmlformats.org/officeDocument/2006/relationships/hyperlink" Target="https://www.ahd.com/free_profile/390116/Suburban_Community_Hospital/East_Norriton/Pennsylvania/" TargetMode="External"/><Relationship Id="rId147" Type="http://schemas.openxmlformats.org/officeDocument/2006/relationships/hyperlink" Target="https://www.ahd.com/free_profile/390091/UPMC_Northwest/Seneca/Pennsylvania/" TargetMode="External"/><Relationship Id="rId168" Type="http://schemas.openxmlformats.org/officeDocument/2006/relationships/hyperlink" Target="https://www.ahd.com/free_profile/390065/Wellspan_Gettysburg_Hospital/Gettysburg/Pennsylvania/" TargetMode="External"/><Relationship Id="rId8" Type="http://schemas.openxmlformats.org/officeDocument/2006/relationships/hyperlink" Target="https://www.ahd.com/free_profile/390231/Abington_Hospital__-_Jefferson_Health/Abington/Pennsylvania/" TargetMode="External"/><Relationship Id="rId51" Type="http://schemas.openxmlformats.org/officeDocument/2006/relationships/hyperlink" Target="https://www.ahd.com/free_profile/390189/Geisinger_Shamokin_Area_Community_Hospital/Coal_Township/Pennsylvania/" TargetMode="External"/><Relationship Id="rId72" Type="http://schemas.openxmlformats.org/officeDocument/2006/relationships/hyperlink" Target="https://www.ahd.com/free_profile/390220/Jennersville_Hospital/West_Grove/Pennsylvania/" TargetMode="External"/><Relationship Id="rId93" Type="http://schemas.openxmlformats.org/officeDocument/2006/relationships/hyperlink" Target="https://www.ahd.com/free_profile/390157/Ohio_Valley_Hospital/Kennedy_Township/Pennsylvania/" TargetMode="External"/><Relationship Id="rId98" Type="http://schemas.openxmlformats.org/officeDocument/2006/relationships/hyperlink" Target="https://www.ahd.com/free_profile/390056/Penn_Highlands_Huntingdon/Huntingdon/Pennsylvania/" TargetMode="External"/><Relationship Id="rId121" Type="http://schemas.openxmlformats.org/officeDocument/2006/relationships/hyperlink" Target="https://www.ahd.com/free_profile/390009/Saint_Vincent_Hospital/Erie/Pennsylvania/" TargetMode="External"/><Relationship Id="rId142" Type="http://schemas.openxmlformats.org/officeDocument/2006/relationships/hyperlink" Target="https://www.ahd.com/free_profile/390104/UPMC_Kane/Kane/Pennsylvania/" TargetMode="External"/><Relationship Id="rId163" Type="http://schemas.openxmlformats.org/officeDocument/2006/relationships/hyperlink" Target="https://www.ahd.com/free_profile/390150/Washington_Health_System_Greene/Waynesburg/Pennsylvania/" TargetMode="External"/><Relationship Id="rId3" Type="http://schemas.openxmlformats.org/officeDocument/2006/relationships/hyperlink" Target="https://www.ahd.com/free_profile/390063/_UPMC_Hamot/Erie/Pennsylvania/" TargetMode="External"/><Relationship Id="rId25" Type="http://schemas.openxmlformats.org/officeDocument/2006/relationships/hyperlink" Target="https://www.ahd.com/free_profile/390110/Conemaugh_Memorial_Medical_Center_-_Main_Campus/Johnstown/Pennsylvania/" TargetMode="External"/><Relationship Id="rId46" Type="http://schemas.openxmlformats.org/officeDocument/2006/relationships/hyperlink" Target="https://www.ahd.com/free_profile/390003/Geisinger_Bloomsburg_Hospital/Bloomsburg/Pennsylvania/" TargetMode="External"/><Relationship Id="rId67" Type="http://schemas.openxmlformats.org/officeDocument/2006/relationships/hyperlink" Target="https://www.ahd.com/free_profile/I08195/Jefferson_Bucks_Hospital_/Langhorne/Pennsylvania/" TargetMode="External"/><Relationship Id="rId116" Type="http://schemas.openxmlformats.org/officeDocument/2006/relationships/hyperlink" Target="https://www.ahd.com/free_profile/390183/Saint_Luke%27s_Miners_Campus/Coaldale/Pennsylvania/" TargetMode="External"/><Relationship Id="rId137" Type="http://schemas.openxmlformats.org/officeDocument/2006/relationships/hyperlink" Target="https://www.ahd.com/free_profile/390328/UPMC_East_/Monroeville/Pennsylvania/" TargetMode="External"/><Relationship Id="rId158" Type="http://schemas.openxmlformats.org/officeDocument/2006/relationships/hyperlink" Target="https://www.ahd.com/free_profile/390045/UPMC_Susquehanna_Williamsport_Regional_Medical_Center/Williamsport/Pennsylvania/" TargetMode="External"/><Relationship Id="rId20" Type="http://schemas.openxmlformats.org/officeDocument/2006/relationships/hyperlink" Target="https://www.ahd.com/free_profile/390160/Canonsburg__Hospital/Canonsburg/Pennsylvania/" TargetMode="External"/><Relationship Id="rId41" Type="http://schemas.openxmlformats.org/officeDocument/2006/relationships/hyperlink" Target="https://www.ahd.com/free_profile/390217/Excela_Frick_Hospital/Mount_Pleasant/Pennsylvania/" TargetMode="External"/><Relationship Id="rId62" Type="http://schemas.openxmlformats.org/officeDocument/2006/relationships/hyperlink" Target="https://www.ahd.com/free_profile/390097/Holy_Redeemer_Hospital_and_Medical_Center/Meadowbrook/Pennsylvania/" TargetMode="External"/><Relationship Id="rId83" Type="http://schemas.openxmlformats.org/officeDocument/2006/relationships/hyperlink" Target="https://www.ahd.com/free_profile/390070/Lower_Bucks_Hospital/Bristol/Pennsylvania/" TargetMode="External"/><Relationship Id="rId88" Type="http://schemas.openxmlformats.org/officeDocument/2006/relationships/hyperlink" Target="https://www.ahd.com/free_profile/390256/Milton_S_Hershey_Medical_Center/Hershey/Pennsylvania/" TargetMode="External"/><Relationship Id="rId111" Type="http://schemas.openxmlformats.org/officeDocument/2006/relationships/hyperlink" Target="https://www.ahd.com/free_profile/390228/Saint_Clair_Hospital/Pittsburgh/Pennsylvania/" TargetMode="External"/><Relationship Id="rId132" Type="http://schemas.openxmlformats.org/officeDocument/2006/relationships/hyperlink" Target="https://www.ahd.com/free_profile/390192/Tyler_Memorial_Hospital/Tunkhannock/Pennsylvania/" TargetMode="External"/><Relationship Id="rId153" Type="http://schemas.openxmlformats.org/officeDocument/2006/relationships/hyperlink" Target="https://www.ahd.com/free_profile/390164/UPMC_Presbyterian/Pittsburgh/Pennsylvania/" TargetMode="External"/><Relationship Id="rId174" Type="http://schemas.openxmlformats.org/officeDocument/2006/relationships/hyperlink" Target="https://www.ahd.com/free_profile/390137/Wilkes-Barre_General_Hospital/Wilkes-Barre/Pennsylvania/" TargetMode="External"/><Relationship Id="rId15" Type="http://schemas.openxmlformats.org/officeDocument/2006/relationships/hyperlink" Target="https://www.ahd.com/free_profile/390118/Bradford_Regional_Medical_Center/Bradford/Pennsylvania/" TargetMode="External"/><Relationship Id="rId36" Type="http://schemas.openxmlformats.org/officeDocument/2006/relationships/hyperlink" Target="https://www.ahd.com/free_profile/390289/Einstein_Medical_Center_Elkins_Park/Elkins_Park/Pennsylvania/" TargetMode="External"/><Relationship Id="rId57" Type="http://schemas.openxmlformats.org/officeDocument/2006/relationships/hyperlink" Target="https://www.ahd.com/free_profile/390079/Guthrie_Robert_Packer_Hospital/Sayre/Pennsylvania/" TargetMode="External"/><Relationship Id="rId106" Type="http://schemas.openxmlformats.org/officeDocument/2006/relationships/hyperlink" Target="https://www.ahd.com/free_profile/390199/Punxsutawney_Area_Hospital/Punxsutawney/Pennsylvania/" TargetMode="External"/><Relationship Id="rId127" Type="http://schemas.openxmlformats.org/officeDocument/2006/relationships/hyperlink" Target="https://www.ahd.com/free_profile/390316/Surgical_Institute_of_Reading/Wyomissing/Pennsylvania/" TargetMode="External"/><Relationship Id="rId10" Type="http://schemas.openxmlformats.org/officeDocument/2006/relationships/hyperlink" Target="https://www.ahd.com/free_profile/390266/AHN_Grove_City/Grove_City/Pennsylvania/" TargetMode="External"/><Relationship Id="rId31" Type="http://schemas.openxmlformats.org/officeDocument/2006/relationships/hyperlink" Target="https://www.ahd.com/free_profile/390180/Crozer-Chester_Medical_Center/Upland/Pennsylvania/" TargetMode="External"/><Relationship Id="rId52" Type="http://schemas.openxmlformats.org/officeDocument/2006/relationships/hyperlink" Target="https://www.ahd.com/free_profile/I42245/Geisinger_South_Wilkes-Barre/Wilkes-Barre/Pennsylvania/" TargetMode="External"/><Relationship Id="rId73" Type="http://schemas.openxmlformats.org/officeDocument/2006/relationships/hyperlink" Target="https://www.ahd.com/free_profile/390025/Kensington_Hospital/Philadelphia/Pennsylvania/" TargetMode="External"/><Relationship Id="rId78" Type="http://schemas.openxmlformats.org/officeDocument/2006/relationships/hyperlink" Target="https://www.ahd.com/free_profile/390263/Lehigh_Valley_Hospital_-_Muhlenberg/Bethlehem/Pennsylvania/" TargetMode="External"/><Relationship Id="rId94" Type="http://schemas.openxmlformats.org/officeDocument/2006/relationships/hyperlink" Target="https://www.ahd.com/free_profile/390325/OSS_Orthopaedic_Hospital/York/Pennsylvania/" TargetMode="External"/><Relationship Id="rId99" Type="http://schemas.openxmlformats.org/officeDocument/2006/relationships/hyperlink" Target="https://www.ahd.com/free_profile/390223/Penn_Presbyterian_Medical_Center/Philadelphia/Pennsylvania/" TargetMode="External"/><Relationship Id="rId101" Type="http://schemas.openxmlformats.org/officeDocument/2006/relationships/hyperlink" Target="https://www.ahd.com/free_profile/390096/Penn_State_Health_Saint_Joseph_-_Main_Campus/Reading/Pennsylvania/" TargetMode="External"/><Relationship Id="rId122" Type="http://schemas.openxmlformats.org/officeDocument/2006/relationships/hyperlink" Target="https://www.ahd.com/free_profile/390211/Sharon_Regional_Medical_Center/Sharon/Pennsylvania/" TargetMode="External"/><Relationship Id="rId143" Type="http://schemas.openxmlformats.org/officeDocument/2006/relationships/hyperlink" Target="https://www.ahd.com/free_profile/390002/UPMC_McKeesport/McKeesport/Pennsylvania/" TargetMode="External"/><Relationship Id="rId148" Type="http://schemas.openxmlformats.org/officeDocument/2006/relationships/hyperlink" Target="https://www.ahd.com/free_profile/I41203/UPMC_Passavant_-_Cranberry/Cranberry_Township/Pennsylvania/" TargetMode="External"/><Relationship Id="rId164" Type="http://schemas.openxmlformats.org/officeDocument/2006/relationships/hyperlink" Target="https://www.ahd.com/free_profile/390042/Washington_Hospital/Washington/Pennsylvania/" TargetMode="External"/><Relationship Id="rId169" Type="http://schemas.openxmlformats.org/officeDocument/2006/relationships/hyperlink" Target="https://www.ahd.com/free_profile/390066/WellSpan_Good_Samaritan_Hospital/Lebanon/Pennsylvania/" TargetMode="External"/><Relationship Id="rId4" Type="http://schemas.openxmlformats.org/officeDocument/2006/relationships/hyperlink" Target="https://www.ahd.com/free_profile/390068/_UPMC_Lititz/Lititz/Pennsylvania/" TargetMode="External"/><Relationship Id="rId9" Type="http://schemas.openxmlformats.org/officeDocument/2006/relationships/hyperlink" Target="https://www.ahd.com/free_profile/390323/Advanced_Surgical_Hospital/Washington/Pennsylvania/" TargetMode="External"/><Relationship Id="rId26" Type="http://schemas.openxmlformats.org/officeDocument/2006/relationships/hyperlink" Target="https://www.ahd.com/free_profile/390130/Conemaugh_Miners_Medical_Center/Hastings/Pennsylvania/" TargetMode="External"/><Relationship Id="rId47" Type="http://schemas.openxmlformats.org/officeDocument/2006/relationships/hyperlink" Target="https://www.ahd.com/free_profile/390004/Geisinger_Holy_Spirit/Camp_Hill/Pennsylvania/" TargetMode="External"/><Relationship Id="rId68" Type="http://schemas.openxmlformats.org/officeDocument/2006/relationships/hyperlink" Target="https://www.ahd.com/free_profile/I08196/Jefferson_Frankford_Hospital/Philadelphia/Pennsylvania/" TargetMode="External"/><Relationship Id="rId89" Type="http://schemas.openxmlformats.org/officeDocument/2006/relationships/hyperlink" Target="https://www.ahd.com/free_profile/390147/Monongahela_Valley_Hospital_/Monongahela/Pennsylvania/" TargetMode="External"/><Relationship Id="rId112" Type="http://schemas.openxmlformats.org/officeDocument/2006/relationships/hyperlink" Target="https://www.ahd.com/free_profile/390326/Saint_Luke%27s__Anderson_Campus/Easton/Pennsylvania/" TargetMode="External"/><Relationship Id="rId133" Type="http://schemas.openxmlformats.org/officeDocument/2006/relationships/hyperlink" Target="https://www.ahd.com/free_profile/390041/Uniontown_Hospital/Uniontown/Pennsylvania/" TargetMode="External"/><Relationship Id="rId154" Type="http://schemas.openxmlformats.org/officeDocument/2006/relationships/hyperlink" Target="https://www.ahd.com/free_profile/390102/UPMC_Saint_Margaret/Pittsburgh/Pennsylvania/" TargetMode="External"/><Relationship Id="rId175" Type="http://schemas.openxmlformats.org/officeDocument/2006/relationships/hyperlink" Target="https://www.ahd.com/free_profile/39013F/Wilkes-Barre_VA_Medical_Center/Wilkes-Barre/Pennsylvania/" TargetMode="External"/><Relationship Id="rId16" Type="http://schemas.openxmlformats.org/officeDocument/2006/relationships/hyperlink" Target="https://www.ahd.com/free_profile/390076/Brandywine_Hospital/Coatesville/Pennsylvania/" TargetMode="External"/><Relationship Id="rId37" Type="http://schemas.openxmlformats.org/officeDocument/2006/relationships/hyperlink" Target="https://www.ahd.com/free_profile/390329/Einstein_Medical_Center_Montgomery/East_Norriton/Pennsylvania/" TargetMode="External"/><Relationship Id="rId58" Type="http://schemas.openxmlformats.org/officeDocument/2006/relationships/hyperlink" Target="https://www.ahd.com/free_profile/390236/Guthrie_Towanda_Memorial_Hospital_/Towanda/Pennsylvania/" TargetMode="External"/><Relationship Id="rId79" Type="http://schemas.openxmlformats.org/officeDocument/2006/relationships/hyperlink" Target="https://www.ahd.com/free_profile/390201/Lehigh_Valley_Hospital_-_Pocono/East_Stroudsburg/Pennsylvania/" TargetMode="External"/><Relationship Id="rId102" Type="http://schemas.openxmlformats.org/officeDocument/2006/relationships/hyperlink" Target="https://www.ahd.com/free_profile/390226/Pennsylvania_Hospital/Philadelphia/Pennsylvania/" TargetMode="External"/><Relationship Id="rId123" Type="http://schemas.openxmlformats.org/officeDocument/2006/relationships/hyperlink" Target="https://www.ahd.com/free_profile/390155/Springfield_Hospital/Springfield/Pennsylvania/" TargetMode="External"/><Relationship Id="rId144" Type="http://schemas.openxmlformats.org/officeDocument/2006/relationships/hyperlink" Target="https://www.ahd.com/free_profile/390101/UPMC_Memorial/York/Pennsylvania/" TargetMode="External"/><Relationship Id="rId90" Type="http://schemas.openxmlformats.org/officeDocument/2006/relationships/hyperlink" Target="https://www.ahd.com/free_profile/390119/Moses_Taylor_Hospital/Scranton/Pennsylvania/" TargetMode="External"/><Relationship Id="rId165" Type="http://schemas.openxmlformats.org/officeDocument/2006/relationships/hyperlink" Target="https://www.ahd.com/free_profile/390125/Wayne_Memorial_Hospital/Honesdale/Pennsylvania/" TargetMode="External"/><Relationship Id="rId27" Type="http://schemas.openxmlformats.org/officeDocument/2006/relationships/hyperlink" Target="https://www.ahd.com/free_profile/390062/Conemaugh_Nason_Medical_Center/Roaring_Spring/Pennsylvania/" TargetMode="External"/><Relationship Id="rId48" Type="http://schemas.openxmlformats.org/officeDocument/2006/relationships/hyperlink" Target="https://www.ahd.com/free_profile/I42244/Geisinger_Janet_Weis_Children%27s_Hospital_/Danville/Pennsylvania/" TargetMode="External"/><Relationship Id="rId69" Type="http://schemas.openxmlformats.org/officeDocument/2006/relationships/hyperlink" Target="https://www.ahd.com/free_profile/390265/Jefferson_Hospital_/Jefferson_Hills/Pennsylvania/" TargetMode="External"/><Relationship Id="rId113" Type="http://schemas.openxmlformats.org/officeDocument/2006/relationships/hyperlink" Target="https://www.ahd.com/free_profile/390242/Saint_Luke%27s_Allentown_Campus/Allentown/Pennsylvania/" TargetMode="External"/><Relationship Id="rId134" Type="http://schemas.openxmlformats.org/officeDocument/2006/relationships/hyperlink" Target="https://www.ahd.com/free_profile/390073/UPMC_Altoona/Altoona/Pennsylvania/" TargetMode="External"/><Relationship Id="rId80" Type="http://schemas.openxmlformats.org/officeDocument/2006/relationships/hyperlink" Target="https://www.ahd.com/free_profile/390031/Lehigh_Valley_Hospital_Schuylkill_E_Norwegian_Street/Pottsville/Pennsylvania/" TargetMode="External"/><Relationship Id="rId155" Type="http://schemas.openxmlformats.org/officeDocument/2006/relationships/hyperlink" Target="https://www.ahd.com/free_profile/390055/UPMC_Shadyside/Pittsburgh/Pennsylvania/" TargetMode="External"/><Relationship Id="rId176" Type="http://schemas.openxmlformats.org/officeDocument/2006/relationships/hyperlink" Target="https://www.ahd.com/free_profile/390331/Wills_Eye_Hospital_/Philadelphia/Pennsylvania/" TargetMode="External"/><Relationship Id="rId17" Type="http://schemas.openxmlformats.org/officeDocument/2006/relationships/hyperlink" Target="https://www.ahd.com/free_profile/390139/Bryn_Mawr_Hospital/Bryn_Mawr/Pennsylvania/" TargetMode="External"/><Relationship Id="rId38" Type="http://schemas.openxmlformats.org/officeDocument/2006/relationships/hyperlink" Target="https://www.ahd.com/free_profile/390142/Einstein_Medical_Center_Philadelphia/Philadelphia/Pennsylvania/" TargetMode="External"/><Relationship Id="rId59" Type="http://schemas.openxmlformats.org/officeDocument/2006/relationships/hyperlink" Target="https://www.ahd.com/free_profile/390036/Heritage_Valley_Beaver/Beaver/Pennsylvania/" TargetMode="External"/><Relationship Id="rId103" Type="http://schemas.openxmlformats.org/officeDocument/2006/relationships/hyperlink" Target="https://www.ahd.com/free_profile/390127/Phoenixville_Hospital/Phoenixville/Pennsylvania/" TargetMode="External"/><Relationship Id="rId124" Type="http://schemas.openxmlformats.org/officeDocument/2006/relationships/hyperlink" Target="https://www.ahd.com/free_profile/390162/St_Luke%27s_Easton_Campus/Easton/Pennsylvania/" TargetMode="External"/><Relationship Id="rId70" Type="http://schemas.openxmlformats.org/officeDocument/2006/relationships/hyperlink" Target="https://www.ahd.com/free_profile/390205/Jefferson_Methodist_Hospital/Philadelphia/Pennsylvania/" TargetMode="External"/><Relationship Id="rId91" Type="http://schemas.openxmlformats.org/officeDocument/2006/relationships/hyperlink" Target="https://www.ahd.com/free_profile/390268/Mount_Nittany_Medical_Center/State_College/Pennsylvania/" TargetMode="External"/><Relationship Id="rId145" Type="http://schemas.openxmlformats.org/officeDocument/2006/relationships/hyperlink" Target="https://www.ahd.com/free_profile/390028/UPMC_Mercy/Pittsburgh/Pennsylvania/" TargetMode="External"/><Relationship Id="rId166" Type="http://schemas.openxmlformats.org/officeDocument/2006/relationships/hyperlink" Target="https://www.ahd.com/free_profile/390151/WellSpan_Chambersburg_Hospital/Chambersburg/Pennsylvania/" TargetMode="Externa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hd.com/free_profile/410008/South_County_Health/Wakefield/Rhode_Island/" TargetMode="External"/><Relationship Id="rId3" Type="http://schemas.openxmlformats.org/officeDocument/2006/relationships/hyperlink" Target="https://www.ahd.com/free_profile/410006/Newport_Hospital/Newport/Rhode_Island/" TargetMode="External"/><Relationship Id="rId7" Type="http://schemas.openxmlformats.org/officeDocument/2006/relationships/hyperlink" Target="https://www.ahd.com/free_profile/410004/Roger_Williams_Medical_Center/Providence/Rhode_Island/" TargetMode="External"/><Relationship Id="rId2" Type="http://schemas.openxmlformats.org/officeDocument/2006/relationships/hyperlink" Target="https://www.ahd.com/free_profile/410011/Landmark_Medical_Center_/Woonsocket/Rhode_Island/" TargetMode="External"/><Relationship Id="rId1" Type="http://schemas.openxmlformats.org/officeDocument/2006/relationships/hyperlink" Target="https://www.ahd.com/free_profile/410009/Kent_Hospital/Warwick/Rhode_Island/" TargetMode="External"/><Relationship Id="rId6" Type="http://schemas.openxmlformats.org/officeDocument/2006/relationships/hyperlink" Target="https://www.ahd.com/free_profile/410007/Rhode_Island_Hospital/Providence/Rhode_Island/" TargetMode="External"/><Relationship Id="rId11" Type="http://schemas.openxmlformats.org/officeDocument/2006/relationships/hyperlink" Target="https://www.ahd.com/free_profile/410010/Women_%26_Infants_Hospital/Providence/Rhode_Island/" TargetMode="External"/><Relationship Id="rId5" Type="http://schemas.openxmlformats.org/officeDocument/2006/relationships/hyperlink" Target="https://www.ahd.com/free_profile/41002F/Providence_VA_Medical_Center/Providence/Rhode_Island/" TargetMode="External"/><Relationship Id="rId10" Type="http://schemas.openxmlformats.org/officeDocument/2006/relationships/hyperlink" Target="https://www.ahd.com/free_profile/410013/The_Westerly_Hospital/Westerly/Rhode_Island/" TargetMode="External"/><Relationship Id="rId4" Type="http://schemas.openxmlformats.org/officeDocument/2006/relationships/hyperlink" Target="https://www.ahd.com/free_profile/410005/Our_Lady_of_Fatima_Hospital/North_Providence/Rhode_Island/" TargetMode="External"/><Relationship Id="rId9" Type="http://schemas.openxmlformats.org/officeDocument/2006/relationships/hyperlink" Target="https://www.ahd.com/free_profile/410012/The_Miriam_Hospital/Providence/Rhode_Island/" TargetMode="External"/></Relationships>
</file>

<file path=xl/worksheets/_rels/sheet42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hd.com/free_profile/420109/McLeod_Health_Clarendon/Manning/South_Carolina/" TargetMode="External"/><Relationship Id="rId21" Type="http://schemas.openxmlformats.org/officeDocument/2006/relationships/hyperlink" Target="https://www.ahd.com/free_profile/420066/Lake_City_Community_Hospital/Lake_City/South_Carolina/" TargetMode="External"/><Relationship Id="rId34" Type="http://schemas.openxmlformats.org/officeDocument/2006/relationships/hyperlink" Target="https://www.ahd.com/free_profile/420036/MUSC_Health_Lancaster_Medical_Center/Lancaster/South_Carolina/" TargetMode="External"/><Relationship Id="rId42" Type="http://schemas.openxmlformats.org/officeDocument/2006/relationships/hyperlink" Target="https://www.ahd.com/free_profile/420103/Pelham_Medical_Center/Greer/South_Carolina/" TargetMode="External"/><Relationship Id="rId47" Type="http://schemas.openxmlformats.org/officeDocument/2006/relationships/hyperlink" Target="https://www.ahd.com/free_profile/420018/Prisma_Health_Richland_Hospital/Columbia/South_Carolina/" TargetMode="External"/><Relationship Id="rId50" Type="http://schemas.openxmlformats.org/officeDocument/2006/relationships/hyperlink" Target="https://www.ahd.com/free_profile/I40993/Providence_Health_Northeast/Columbia/South_Carolina/" TargetMode="External"/><Relationship Id="rId55" Type="http://schemas.openxmlformats.org/officeDocument/2006/relationships/hyperlink" Target="https://www.ahd.com/free_profile/420110/Roper_St_Francis_Berkeley_Hospital/Summerville/South_Carolina/" TargetMode="External"/><Relationship Id="rId63" Type="http://schemas.openxmlformats.org/officeDocument/2006/relationships/hyperlink" Target="https://www.ahd.com/free_profile/420020/Tidelands_Georgetown_Memorial_Hospital/Georgetown/South_Carolina/" TargetMode="External"/><Relationship Id="rId7" Type="http://schemas.openxmlformats.org/officeDocument/2006/relationships/hyperlink" Target="https://www.ahd.com/free_profile/420010/Carolina_Pines_Regional_Medical_Center/Hartsville/South_Carolina/" TargetMode="External"/><Relationship Id="rId2" Type="http://schemas.openxmlformats.org/officeDocument/2006/relationships/hyperlink" Target="https://www.ahd.com/free_profile/420011/AnMed_Health_Cannon_/Pickens/South_Carolina/" TargetMode="External"/><Relationship Id="rId16" Type="http://schemas.openxmlformats.org/officeDocument/2006/relationships/hyperlink" Target="https://www.ahd.com/free_profile/420033/Greer_Memorial_Hospital/Greer/South_Carolina/" TargetMode="External"/><Relationship Id="rId29" Type="http://schemas.openxmlformats.org/officeDocument/2006/relationships/hyperlink" Target="https://www.ahd.com/free_profile/420105/McLeod_Loris/Loris/South_Carolina/" TargetMode="External"/><Relationship Id="rId11" Type="http://schemas.openxmlformats.org/officeDocument/2006/relationships/hyperlink" Target="https://www.ahd.com/free_profile/42011F/Columbia_VA_Health_Care_System/Columbia/South_Carolina/" TargetMode="External"/><Relationship Id="rId24" Type="http://schemas.openxmlformats.org/officeDocument/2006/relationships/hyperlink" Target="https://www.ahd.com/free_profile/420057/McLeod_Darlington/Darlington/South_Carolina/" TargetMode="External"/><Relationship Id="rId32" Type="http://schemas.openxmlformats.org/officeDocument/2006/relationships/hyperlink" Target="https://www.ahd.com/free_profile/420019/MUSC_Health_Chester_Medical_Center/Chester/South_Carolina/" TargetMode="External"/><Relationship Id="rId37" Type="http://schemas.openxmlformats.org/officeDocument/2006/relationships/hyperlink" Target="https://www.ahd.com/free_profile/I42374/MUSC_Shawn_Jenkins_Children%27s_Hospital_and_Pearl_Tourville_Women%27s_Pavilion/Charleston/South_Carolina/" TargetMode="External"/><Relationship Id="rId40" Type="http://schemas.openxmlformats.org/officeDocument/2006/relationships/hyperlink" Target="https://www.ahd.com/free_profile/420009/Oconee_Memorial_Hospital/Seneca/South_Carolina/" TargetMode="External"/><Relationship Id="rId45" Type="http://schemas.openxmlformats.org/officeDocument/2006/relationships/hyperlink" Target="https://www.ahd.com/free_profile/420106/Prisma_Health_Baptist_Parkridge_Hospital_/Columbia/South_Carolina/" TargetMode="External"/><Relationship Id="rId53" Type="http://schemas.openxmlformats.org/officeDocument/2006/relationships/hyperlink" Target="https://www.ahd.com/free_profile/420087/Roper_Hospital/Charleston/South_Carolina/" TargetMode="External"/><Relationship Id="rId58" Type="http://schemas.openxmlformats.org/officeDocument/2006/relationships/hyperlink" Target="https://www.ahd.com/free_profile/I41418/Saint_Francis_Eastside/Greenville/South_Carolina/" TargetMode="External"/><Relationship Id="rId66" Type="http://schemas.openxmlformats.org/officeDocument/2006/relationships/hyperlink" Target="https://www.ahd.com/free_profile/420108/Union_Medical_Center/Union/South_Carolina/" TargetMode="External"/><Relationship Id="rId5" Type="http://schemas.openxmlformats.org/officeDocument/2006/relationships/hyperlink" Target="https://www.ahd.com/free_profile/420067/Beaufort_Memorial_Hospital/Beaufort/South_Carolina/" TargetMode="External"/><Relationship Id="rId61" Type="http://schemas.openxmlformats.org/officeDocument/2006/relationships/hyperlink" Target="https://www.ahd.com/free_profile/420083/Spartanburg_Medical_Center_-_Mary_Black_Campus/Spartanburg/South_Carolina/" TargetMode="External"/><Relationship Id="rId19" Type="http://schemas.openxmlformats.org/officeDocument/2006/relationships/hyperlink" Target="https://www.ahd.com/free_profile/420080/Hilton_Head_Hospital/Hilton_Head/South_Carolina/" TargetMode="External"/><Relationship Id="rId14" Type="http://schemas.openxmlformats.org/officeDocument/2006/relationships/hyperlink" Target="https://www.ahd.com/free_profile/420085/Grand_Strand_Regional_Medical_Center/Myrtle_Beach/South_Carolina/" TargetMode="External"/><Relationship Id="rId22" Type="http://schemas.openxmlformats.org/officeDocument/2006/relationships/hyperlink" Target="https://www.ahd.com/free_profile/420038/Laurens_County_Hospital/Clinton/South_Carolina/" TargetMode="External"/><Relationship Id="rId27" Type="http://schemas.openxmlformats.org/officeDocument/2006/relationships/hyperlink" Target="https://www.ahd.com/free_profile/420005/McLeod_Health_Dillon/Dillon/South_Carolina/" TargetMode="External"/><Relationship Id="rId30" Type="http://schemas.openxmlformats.org/officeDocument/2006/relationships/hyperlink" Target="https://www.ahd.com/free_profile/420051/McLeod_Regional_Medical_Center/Florence/South_Carolina/" TargetMode="External"/><Relationship Id="rId35" Type="http://schemas.openxmlformats.org/officeDocument/2006/relationships/hyperlink" Target="https://www.ahd.com/free_profile/420055/MUSC_Health_Marion_Medical_Center/Mullins/South_Carolina/" TargetMode="External"/><Relationship Id="rId43" Type="http://schemas.openxmlformats.org/officeDocument/2006/relationships/hyperlink" Target="https://www.ahd.com/free_profile/420002/Piedmont_Medical_Center/Rock_Hill/South_Carolina/" TargetMode="External"/><Relationship Id="rId48" Type="http://schemas.openxmlformats.org/officeDocument/2006/relationships/hyperlink" Target="https://www.ahd.com/free_profile/420070/Prisma_Health_Tuomey/Sumter/South_Carolina/" TargetMode="External"/><Relationship Id="rId56" Type="http://schemas.openxmlformats.org/officeDocument/2006/relationships/hyperlink" Target="https://www.ahd.com/free_profile/420104/Roper_St_Francis_Mount_Pleasant_Hospital/Mount_Pleasant/South_Carolina/" TargetMode="External"/><Relationship Id="rId64" Type="http://schemas.openxmlformats.org/officeDocument/2006/relationships/hyperlink" Target="https://www.ahd.com/free_profile/420098/Tidelands_Waccamaw_Community_Hospital/Murrells_Inlet/South_Carolina/" TargetMode="External"/><Relationship Id="rId8" Type="http://schemas.openxmlformats.org/officeDocument/2006/relationships/hyperlink" Target="https://www.ahd.com/free_profile/420043/Cherokee_Medical_Center/Gaffney/South_Carolina/" TargetMode="External"/><Relationship Id="rId51" Type="http://schemas.openxmlformats.org/officeDocument/2006/relationships/hyperlink" Target="https://www.ahd.com/free_profile/42029F/Ralph_H_Johnson_VA_Medical_Center/Charleston/South_Carolina/" TargetMode="External"/><Relationship Id="rId3" Type="http://schemas.openxmlformats.org/officeDocument/2006/relationships/hyperlink" Target="https://www.ahd.com/free_profile/420027/AnMed_Health_Medical_Center/Anderson/South_Carolina/" TargetMode="External"/><Relationship Id="rId12" Type="http://schemas.openxmlformats.org/officeDocument/2006/relationships/hyperlink" Target="https://www.ahd.com/free_profile/420049/Conway_Medical_Center/Conway/South_Carolina/" TargetMode="External"/><Relationship Id="rId17" Type="http://schemas.openxmlformats.org/officeDocument/2006/relationships/hyperlink" Target="https://www.ahd.com/free_profile/420072/Hampton_Regional_Medical_Center/Varnville/South_Carolina/" TargetMode="External"/><Relationship Id="rId25" Type="http://schemas.openxmlformats.org/officeDocument/2006/relationships/hyperlink" Target="https://www.ahd.com/free_profile/420107/McLeod_Health_Cheraw/Cheraw/South_Carolina/" TargetMode="External"/><Relationship Id="rId33" Type="http://schemas.openxmlformats.org/officeDocument/2006/relationships/hyperlink" Target="https://www.ahd.com/free_profile/420091/MUSC_Health_Florence_Medical_Center/Florence/South_Carolina/" TargetMode="External"/><Relationship Id="rId38" Type="http://schemas.openxmlformats.org/officeDocument/2006/relationships/hyperlink" Target="https://www.ahd.com/free_profile/42009F/Naval_Hospital_Beaufort/Beaufort/South_Carolina/" TargetMode="External"/><Relationship Id="rId46" Type="http://schemas.openxmlformats.org/officeDocument/2006/relationships/hyperlink" Target="https://www.ahd.com/free_profile/I41998/Prisma_Health_Heart_Hospital/Columbia/South_Carolina/" TargetMode="External"/><Relationship Id="rId59" Type="http://schemas.openxmlformats.org/officeDocument/2006/relationships/hyperlink" Target="https://www.ahd.com/free_profile/420071/Self_Regional_Healthcare/Greenwood/South_Carolina/" TargetMode="External"/><Relationship Id="rId20" Type="http://schemas.openxmlformats.org/officeDocument/2006/relationships/hyperlink" Target="https://www.ahd.com/free_profile/420048/Kershaw_Health_Medical_Center/Camden/South_Carolina/" TargetMode="External"/><Relationship Id="rId41" Type="http://schemas.openxmlformats.org/officeDocument/2006/relationships/hyperlink" Target="https://www.ahd.com/free_profile/420102/Patewood_Hospital/Greenville/South_Carolina/" TargetMode="External"/><Relationship Id="rId54" Type="http://schemas.openxmlformats.org/officeDocument/2006/relationships/hyperlink" Target="https://www.ahd.com/free_profile/I42355/Roper_Rehabilitation_Hospital/Charleston/South_Carolina/" TargetMode="External"/><Relationship Id="rId62" Type="http://schemas.openxmlformats.org/officeDocument/2006/relationships/hyperlink" Target="https://www.ahd.com/free_profile/I07833/Summerville_Medical_Center/Summerville/South_Carolina/" TargetMode="External"/><Relationship Id="rId1" Type="http://schemas.openxmlformats.org/officeDocument/2006/relationships/hyperlink" Target="https://www.ahd.com/free_profile/420082/Aiken_Regional_Medical_Centers/Aiken/South_Carolina/" TargetMode="External"/><Relationship Id="rId6" Type="http://schemas.openxmlformats.org/officeDocument/2006/relationships/hyperlink" Target="https://www.ahd.com/free_profile/420065/Bon_Secours_Saint_Francis_Hospital/Charleston/South_Carolina/" TargetMode="External"/><Relationship Id="rId15" Type="http://schemas.openxmlformats.org/officeDocument/2006/relationships/hyperlink" Target="https://www.ahd.com/free_profile/420078/Greenville_Memorial_Hospital/Greenville/South_Carolina/" TargetMode="External"/><Relationship Id="rId23" Type="http://schemas.openxmlformats.org/officeDocument/2006/relationships/hyperlink" Target="https://www.ahd.com/free_profile/420073/Lexington_Medical_Center/West_Columbia/South_Carolina/" TargetMode="External"/><Relationship Id="rId28" Type="http://schemas.openxmlformats.org/officeDocument/2006/relationships/hyperlink" Target="https://www.ahd.com/free_profile/I41827/McLeod_Health_Seacoast/Little_River/South_Carolina/" TargetMode="External"/><Relationship Id="rId36" Type="http://schemas.openxmlformats.org/officeDocument/2006/relationships/hyperlink" Target="https://www.ahd.com/free_profile/420004/MUSC_Health_University_Hospital/Charleston/South_Carolina/" TargetMode="External"/><Relationship Id="rId49" Type="http://schemas.openxmlformats.org/officeDocument/2006/relationships/hyperlink" Target="https://www.ahd.com/free_profile/420026/Providence_Health/Columbia/South_Carolina/" TargetMode="External"/><Relationship Id="rId57" Type="http://schemas.openxmlformats.org/officeDocument/2006/relationships/hyperlink" Target="https://www.ahd.com/free_profile/420023/Saint_Francis_Downtown/Greenville/South_Carolina/" TargetMode="External"/><Relationship Id="rId10" Type="http://schemas.openxmlformats.org/officeDocument/2006/relationships/hyperlink" Target="https://www.ahd.com/free_profile/420030/Colleton_Medical_Center/Walterboro/South_Carolina/" TargetMode="External"/><Relationship Id="rId31" Type="http://schemas.openxmlformats.org/officeDocument/2006/relationships/hyperlink" Target="https://www.ahd.com/free_profile/I41685/MUSC_Health_Ashley_River_Tower/Charleston/South_Carolina/" TargetMode="External"/><Relationship Id="rId44" Type="http://schemas.openxmlformats.org/officeDocument/2006/relationships/hyperlink" Target="https://www.ahd.com/free_profile/420086/Prisma_Health_Baptist_Hospital/Columbia/South_Carolina/" TargetMode="External"/><Relationship Id="rId52" Type="http://schemas.openxmlformats.org/officeDocument/2006/relationships/hyperlink" Target="https://www.ahd.com/free_profile/420068/Regional_Medical_Center_/Orangeburg/South_Carolina/" TargetMode="External"/><Relationship Id="rId60" Type="http://schemas.openxmlformats.org/officeDocument/2006/relationships/hyperlink" Target="https://www.ahd.com/free_profile/420007/Spartanburg_Medical_Center/Spartanburg/South_Carolina/" TargetMode="External"/><Relationship Id="rId65" Type="http://schemas.openxmlformats.org/officeDocument/2006/relationships/hyperlink" Target="https://www.ahd.com/free_profile/420079/Trident_Medical_Center/Charleston/South_Carolina/" TargetMode="External"/><Relationship Id="rId4" Type="http://schemas.openxmlformats.org/officeDocument/2006/relationships/hyperlink" Target="https://www.ahd.com/free_profile/420015/Baptist_Easley_Hospital/Easley/South_Carolina/" TargetMode="External"/><Relationship Id="rId9" Type="http://schemas.openxmlformats.org/officeDocument/2006/relationships/hyperlink" Target="https://www.ahd.com/free_profile/420101/Coastal_Carolina_Hospital/Hardeeville/South_Carolina/" TargetMode="External"/><Relationship Id="rId13" Type="http://schemas.openxmlformats.org/officeDocument/2006/relationships/hyperlink" Target="https://www.ahd.com/free_profile/420089/East_Cooper_Medical_Center/Mount_Pleasant/South_Carolina/" TargetMode="External"/><Relationship Id="rId18" Type="http://schemas.openxmlformats.org/officeDocument/2006/relationships/hyperlink" Target="https://www.ahd.com/free_profile/420037/Hillcrest_Memorial_Hospital/Simpsonville/South_Carolina/" TargetMode="External"/><Relationship Id="rId39" Type="http://schemas.openxmlformats.org/officeDocument/2006/relationships/hyperlink" Target="https://www.ahd.com/free_profile/420053/Newberry_County_Memorial_Hospital/Newberry/South_Carolina/" TargetMode="Externa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hd.com/free_profile/430015/Avera_Saint_Mary%27s_Hospital_/Pierre/South_Dakota/" TargetMode="External"/><Relationship Id="rId13" Type="http://schemas.openxmlformats.org/officeDocument/2006/relationships/hyperlink" Target="https://www.ahd.com/free_profile/430077/Monument_Health_Rapid_City_Hospital/Rapid_City/South_Dakota/" TargetMode="External"/><Relationship Id="rId18" Type="http://schemas.openxmlformats.org/officeDocument/2006/relationships/hyperlink" Target="https://www.ahd.com/free_profile/430093/Same_Day_Surgery_Center/Rapid_City/South_Dakota/" TargetMode="External"/><Relationship Id="rId3" Type="http://schemas.openxmlformats.org/officeDocument/2006/relationships/hyperlink" Target="https://www.ahd.com/free_profile/430095/Avera_Heart_Hospital/Sioux_Falls/South_Dakota/" TargetMode="External"/><Relationship Id="rId21" Type="http://schemas.openxmlformats.org/officeDocument/2006/relationships/hyperlink" Target="https://www.ahd.com/free_profile/430090/Sioux_Falls_Specialty_Hospital/Sioux_Falls/South_Dakota/" TargetMode="External"/><Relationship Id="rId7" Type="http://schemas.openxmlformats.org/officeDocument/2006/relationships/hyperlink" Target="https://www.ahd.com/free_profile/430014/Avera_Saint_Luke%27s_Hospital/Aberdeen/South_Dakota/" TargetMode="External"/><Relationship Id="rId12" Type="http://schemas.openxmlformats.org/officeDocument/2006/relationships/hyperlink" Target="https://www.ahd.com/free_profile/430089/Dunes_Surgery_Hospital/Dakota_Dunes/South_Dakota/" TargetMode="External"/><Relationship Id="rId17" Type="http://schemas.openxmlformats.org/officeDocument/2006/relationships/hyperlink" Target="https://www.ahd.com/free_profile/430084/Rosebud_Hospital/Rosebud/South_Dakota/" TargetMode="External"/><Relationship Id="rId2" Type="http://schemas.openxmlformats.org/officeDocument/2006/relationships/hyperlink" Target="https://www.ahd.com/free_profile/430096/Avera_Fox_Run_Health_Campus/Yankton/South_Dakota/" TargetMode="External"/><Relationship Id="rId16" Type="http://schemas.openxmlformats.org/officeDocument/2006/relationships/hyperlink" Target="https://www.ahd.com/free_profile/430005/Prairie_Lakes_Hospital/Watertown/South_Dakota/" TargetMode="External"/><Relationship Id="rId20" Type="http://schemas.openxmlformats.org/officeDocument/2006/relationships/hyperlink" Target="https://www.ahd.com/free_profile/430027/Sanford_USD_Medical_Center/Sioux_Falls/South_Dakota/" TargetMode="External"/><Relationship Id="rId1" Type="http://schemas.openxmlformats.org/officeDocument/2006/relationships/hyperlink" Target="https://www.ahd.com/free_profile/430092/_Avera_Dakota_Plains_Surgery_Center/Aberdeen/South_Dakota/" TargetMode="External"/><Relationship Id="rId6" Type="http://schemas.openxmlformats.org/officeDocument/2006/relationships/hyperlink" Target="https://www.ahd.com/free_profile/430012/Avera_Sacred_Heart_Hospital/Yankton/South_Dakota/" TargetMode="External"/><Relationship Id="rId11" Type="http://schemas.openxmlformats.org/officeDocument/2006/relationships/hyperlink" Target="https://www.ahd.com/free_profile/430083/Cheyenne_River_Health_Service/Eagle_Butte/South_Dakota/" TargetMode="External"/><Relationship Id="rId24" Type="http://schemas.openxmlformats.org/officeDocument/2006/relationships/hyperlink" Target="https://www.ahd.com/free_profile/I41041/VA_Black_Hills_Health_Care_System_-_Hot_Springs_Campus/Hot_Springs/South_Dakota/" TargetMode="External"/><Relationship Id="rId5" Type="http://schemas.openxmlformats.org/officeDocument/2006/relationships/hyperlink" Target="https://www.ahd.com/free_profile/430013/Avera_Queen_of_Peace_Hospital/Mitchell/South_Dakota/" TargetMode="External"/><Relationship Id="rId15" Type="http://schemas.openxmlformats.org/officeDocument/2006/relationships/hyperlink" Target="https://www.ahd.com/free_profile/430081/Pine_Ridge_Hospital_/Pine_Ridge/South_Dakota/" TargetMode="External"/><Relationship Id="rId23" Type="http://schemas.openxmlformats.org/officeDocument/2006/relationships/hyperlink" Target="https://www.ahd.com/free_profile/43002F/VA_Black_Hills_Health_Care_System_-_Fort_Meade_Campus/Fort_Meade/South_Dakota/" TargetMode="External"/><Relationship Id="rId10" Type="http://schemas.openxmlformats.org/officeDocument/2006/relationships/hyperlink" Target="https://www.ahd.com/free_profile/430008/Brookings_Hospital_/Brookings/South_Dakota/" TargetMode="External"/><Relationship Id="rId19" Type="http://schemas.openxmlformats.org/officeDocument/2006/relationships/hyperlink" Target="https://www.ahd.com/free_profile/430097/Sanford_Aberdeen_Medical_Center/Aberdeen/South_Dakota/" TargetMode="External"/><Relationship Id="rId4" Type="http://schemas.openxmlformats.org/officeDocument/2006/relationships/hyperlink" Target="https://www.ahd.com/free_profile/430016/Avera_McKennan_Hospital_%26_University_Health_Center/Sioux_Falls/South_Dakota/" TargetMode="External"/><Relationship Id="rId9" Type="http://schemas.openxmlformats.org/officeDocument/2006/relationships/hyperlink" Target="https://www.ahd.com/free_profile/430091/Black_Hills_Surgical_Hospital/Rapid_City/South_Dakota/" TargetMode="External"/><Relationship Id="rId14" Type="http://schemas.openxmlformats.org/officeDocument/2006/relationships/hyperlink" Target="https://www.ahd.com/free_profile/430048/Monument_Health_Spearfish_Hospital/Spearfish/South_Dakota/" TargetMode="External"/><Relationship Id="rId22" Type="http://schemas.openxmlformats.org/officeDocument/2006/relationships/hyperlink" Target="https://www.ahd.com/free_profile/43005F/Sioux_Falls_VA_Medical_Center/Sioux_Falls/South_Dakota/" TargetMode="External"/></Relationships>
</file>

<file path=xl/worksheets/_rels/sheet44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hd.com/free_profile/440025/Greeneville_Community_Hospital_East/Greeneville/Tennessee/" TargetMode="External"/><Relationship Id="rId21" Type="http://schemas.openxmlformats.org/officeDocument/2006/relationships/hyperlink" Target="https://www.ahd.com/free_profile/I42078/Erlanger_East_Hospital/Chattanooga/Tennessee/" TargetMode="External"/><Relationship Id="rId42" Type="http://schemas.openxmlformats.org/officeDocument/2006/relationships/hyperlink" Target="https://www.ahd.com/free_profile/440073/Maury_Regional_Medical_Center/Columbia/Tennessee/" TargetMode="External"/><Relationship Id="rId47" Type="http://schemas.openxmlformats.org/officeDocument/2006/relationships/hyperlink" Target="https://www.ahd.com/free_profile/I08213/Methodist_South_Hospital/Memphis/Tennessee/" TargetMode="External"/><Relationship Id="rId63" Type="http://schemas.openxmlformats.org/officeDocument/2006/relationships/hyperlink" Target="https://www.ahd.com/free_profile/440183/Saint_Francis_Hospital-Memphis/Memphis/Tennessee/" TargetMode="External"/><Relationship Id="rId68" Type="http://schemas.openxmlformats.org/officeDocument/2006/relationships/hyperlink" Target="https://www.ahd.com/free_profile/440053/Saint_Thomas_Rutherford_Hospital_/Murfreesboro/Tennessee/" TargetMode="External"/><Relationship Id="rId84" Type="http://schemas.openxmlformats.org/officeDocument/2006/relationships/hyperlink" Target="https://www.ahd.com/free_profile/440135/TriStar_Skyline_Madison_Campus/Madison/Tennessee/" TargetMode="External"/><Relationship Id="rId89" Type="http://schemas.openxmlformats.org/officeDocument/2006/relationships/hyperlink" Target="https://www.ahd.com/free_profile/440231/TrustPoint_Hospital_/Murfreesboro/Tennessee/" TargetMode="External"/><Relationship Id="rId16" Type="http://schemas.openxmlformats.org/officeDocument/2006/relationships/hyperlink" Target="https://www.ahd.com/free_profile/440059/Cookeville_Regional_Medical_Center/Cookeville/Tennessee/" TargetMode="External"/><Relationship Id="rId11" Type="http://schemas.openxmlformats.org/officeDocument/2006/relationships/hyperlink" Target="https://www.ahd.com/free_profile/440235/Big_South_Fork_Medical_Center/Oneida/Tennessee/" TargetMode="External"/><Relationship Id="rId32" Type="http://schemas.openxmlformats.org/officeDocument/2006/relationships/hyperlink" Target="https://www.ahd.com/free_profile/440176/Indian_Path_Community_Hospital/Kingsport/Tennessee/" TargetMode="External"/><Relationship Id="rId37" Type="http://schemas.openxmlformats.org/officeDocument/2006/relationships/hyperlink" Target="https://www.ahd.com/free_profile/440063/Johnson_City_Medical_Center/Johnson_City/Tennessee/" TargetMode="External"/><Relationship Id="rId53" Type="http://schemas.openxmlformats.org/officeDocument/2006/relationships/hyperlink" Target="https://www.ahd.com/free_profile/I41403/North_Knoxville_Medical_Center/Powell/Tennessee/" TargetMode="External"/><Relationship Id="rId58" Type="http://schemas.openxmlformats.org/officeDocument/2006/relationships/hyperlink" Target="https://www.ahd.com/free_profile/440040/Perry_Community_Hospital/Linden/Tennessee/" TargetMode="External"/><Relationship Id="rId74" Type="http://schemas.openxmlformats.org/officeDocument/2006/relationships/hyperlink" Target="https://www.ahd.com/free_profile/440003/Sumner_Regional_Medical_Center/Gallatin/Tennessee/" TargetMode="External"/><Relationship Id="rId79" Type="http://schemas.openxmlformats.org/officeDocument/2006/relationships/hyperlink" Target="https://www.ahd.com/free_profile/440137/Tennova_Healthcare_-_Shelbyville/Shelbyville/Tennessee/" TargetMode="External"/><Relationship Id="rId5" Type="http://schemas.openxmlformats.org/officeDocument/2006/relationships/hyperlink" Target="https://www.ahd.com/free_profile/440016/Baptist_Memorial_Hospital_-_Caroll_County/Huntingdon/Tennessee/" TargetMode="External"/><Relationship Id="rId90" Type="http://schemas.openxmlformats.org/officeDocument/2006/relationships/hyperlink" Target="https://www.ahd.com/free_profile/440226/Turkey_Creek_Medical_Center/Knoxville/Tennessee/" TargetMode="External"/><Relationship Id="rId95" Type="http://schemas.openxmlformats.org/officeDocument/2006/relationships/hyperlink" Target="https://www.ahd.com/free_profile/440039/Vanderbilt_University_Hospital/Nashville/Tennessee/" TargetMode="External"/><Relationship Id="rId22" Type="http://schemas.openxmlformats.org/officeDocument/2006/relationships/hyperlink" Target="https://www.ahd.com/free_profile/I41054/Erlanger_North_Hospital/Chattanooga/Tennessee/" TargetMode="External"/><Relationship Id="rId27" Type="http://schemas.openxmlformats.org/officeDocument/2006/relationships/hyperlink" Target="https://www.ahd.com/free_profile/440109/Hardin_Medical_Center/Savannah/Tennessee/" TargetMode="External"/><Relationship Id="rId43" Type="http://schemas.openxmlformats.org/officeDocument/2006/relationships/hyperlink" Target="https://www.ahd.com/free_profile/44013F/Memphis_VA_Medical_Center/Memphis/Tennessee/" TargetMode="External"/><Relationship Id="rId48" Type="http://schemas.openxmlformats.org/officeDocument/2006/relationships/hyperlink" Target="https://www.ahd.com/free_profile/440049/Methodist_University_Hospital/Memphis/Tennessee/" TargetMode="External"/><Relationship Id="rId64" Type="http://schemas.openxmlformats.org/officeDocument/2006/relationships/hyperlink" Target="https://www.ahd.com/free_profile/440148/Saint_Thomas_DeKalb_Hospital/Smithville/Tennessee/" TargetMode="External"/><Relationship Id="rId69" Type="http://schemas.openxmlformats.org/officeDocument/2006/relationships/hyperlink" Target="https://www.ahd.com/free_profile/440175/Southern_Tennessee_-_Lawrenceburg/Lawrenceburg/Tennessee/" TargetMode="External"/><Relationship Id="rId80" Type="http://schemas.openxmlformats.org/officeDocument/2006/relationships/hyperlink" Target="https://www.ahd.com/free_profile/440035/Tennova_Healthcare_Clarksville/Clarksville/Tennessee/" TargetMode="External"/><Relationship Id="rId85" Type="http://schemas.openxmlformats.org/officeDocument/2006/relationships/hyperlink" Target="https://www.ahd.com/free_profile/440006/TriStar_Skyline_Medical_Center/Nashville/Tennessee/" TargetMode="External"/><Relationship Id="rId3" Type="http://schemas.openxmlformats.org/officeDocument/2006/relationships/hyperlink" Target="https://www.ahd.com/free_profile/440200/Ascension_Saint_Thomas_Stones_River_Hospital/Woodbury/Tennessee/" TargetMode="External"/><Relationship Id="rId12" Type="http://schemas.openxmlformats.org/officeDocument/2006/relationships/hyperlink" Target="https://www.ahd.com/free_profile/440011/Blount_Memorial_Hospital/Maryville/Tennessee/" TargetMode="External"/><Relationship Id="rId17" Type="http://schemas.openxmlformats.org/officeDocument/2006/relationships/hyperlink" Target="https://www.ahd.com/free_profile/440009/Cumberland_Medical_Center/Crossville/Tennessee/" TargetMode="External"/><Relationship Id="rId25" Type="http://schemas.openxmlformats.org/officeDocument/2006/relationships/hyperlink" Target="https://www.ahd.com/free_profile/440184/Franklin_Woods_Community_Hospital/Johnson_City/Tennessee/" TargetMode="External"/><Relationship Id="rId33" Type="http://schemas.openxmlformats.org/officeDocument/2006/relationships/hyperlink" Target="https://www.ahd.com/free_profile/440002/Jackson-Madison_County_General_Hospital/Jackson/Tennessee/" TargetMode="External"/><Relationship Id="rId38" Type="http://schemas.openxmlformats.org/officeDocument/2006/relationships/hyperlink" Target="https://www.ahd.com/free_profile/440033/LaFollette_Medical_Center/LaFollette/Tennessee/" TargetMode="External"/><Relationship Id="rId46" Type="http://schemas.openxmlformats.org/officeDocument/2006/relationships/hyperlink" Target="https://www.ahd.com/free_profile/I08212/Methodist_North_Hospital/Memphis/Tennessee/" TargetMode="External"/><Relationship Id="rId59" Type="http://schemas.openxmlformats.org/officeDocument/2006/relationships/hyperlink" Target="https://www.ahd.com/free_profile/444029/Pinewood_Springs/Columbia/Tennessee/" TargetMode="External"/><Relationship Id="rId67" Type="http://schemas.openxmlformats.org/officeDocument/2006/relationships/hyperlink" Target="https://www.ahd.com/free_profile/440151/Saint_Thomas_River_Park_Hospital/McMinnville/Tennessee/" TargetMode="External"/><Relationship Id="rId20" Type="http://schemas.openxmlformats.org/officeDocument/2006/relationships/hyperlink" Target="https://www.ahd.com/free_profile/440104/Erlanger_Baroness_Hospital/Chattanooga/Tennessee/" TargetMode="External"/><Relationship Id="rId41" Type="http://schemas.openxmlformats.org/officeDocument/2006/relationships/hyperlink" Target="https://www.ahd.com/free_profile/440187/Livingston_Regional_Hospital/Livingston/Tennessee/" TargetMode="External"/><Relationship Id="rId54" Type="http://schemas.openxmlformats.org/officeDocument/2006/relationships/hyperlink" Target="https://www.ahd.com/free_profile/440065/NorthCrest_Medical_Center/Springfield/Tennessee/" TargetMode="External"/><Relationship Id="rId62" Type="http://schemas.openxmlformats.org/officeDocument/2006/relationships/hyperlink" Target="https://www.ahd.com/free_profile/440228/Saint_Francis_Hospital_-_Bartlett/Bartlett/Tennessee/" TargetMode="External"/><Relationship Id="rId70" Type="http://schemas.openxmlformats.org/officeDocument/2006/relationships/hyperlink" Target="https://www.ahd.com/free_profile/440058/Southern_Tennessee_-_Winchester/Winchester/Tennessee/" TargetMode="External"/><Relationship Id="rId75" Type="http://schemas.openxmlformats.org/officeDocument/2006/relationships/hyperlink" Target="https://www.ahd.com/free_profile/440084/Sweetwater_Hospital_Association/Sweetwater/Tennessee/" TargetMode="External"/><Relationship Id="rId83" Type="http://schemas.openxmlformats.org/officeDocument/2006/relationships/hyperlink" Target="https://www.ahd.com/free_profile/440046/TriStar_Horizon_Medical_Center/Dickson/Tennessee/" TargetMode="External"/><Relationship Id="rId88" Type="http://schemas.openxmlformats.org/officeDocument/2006/relationships/hyperlink" Target="https://www.ahd.com/free_profile/440150/TriStar_Summit_Medical_Center/Hermitage/Tennessee/" TargetMode="External"/><Relationship Id="rId91" Type="http://schemas.openxmlformats.org/officeDocument/2006/relationships/hyperlink" Target="https://www.ahd.com/free_profile/440001/Unicoi_County_Hospital/Erwin/Tennessee/" TargetMode="External"/><Relationship Id="rId96" Type="http://schemas.openxmlformats.org/officeDocument/2006/relationships/hyperlink" Target="https://www.ahd.com/free_profile/440193/Vanderbilt_Wilson_County_Hospital/Lebanon/Tennessee/" TargetMode="External"/><Relationship Id="rId1" Type="http://schemas.openxmlformats.org/officeDocument/2006/relationships/hyperlink" Target="https://www.ahd.com/free_profile/440091/_CHI_Memorial_Hospital_Chattanooga/Chattanooga/Tennessee/" TargetMode="External"/><Relationship Id="rId6" Type="http://schemas.openxmlformats.org/officeDocument/2006/relationships/hyperlink" Target="https://www.ahd.com/free_profile/440217/Baptist_Memorial_Hospital_-_Collierville/Collierville/Tennessee/" TargetMode="External"/><Relationship Id="rId15" Type="http://schemas.openxmlformats.org/officeDocument/2006/relationships/hyperlink" Target="https://www.ahd.com/free_profile/440057/Claiborne_Medical_Center/Tazewell/Tennessee/" TargetMode="External"/><Relationship Id="rId23" Type="http://schemas.openxmlformats.org/officeDocument/2006/relationships/hyperlink" Target="https://www.ahd.com/free_profile/440110/Fort_Loudoun_Medical_Center/Lenoir_City/Tennessee/" TargetMode="External"/><Relationship Id="rId28" Type="http://schemas.openxmlformats.org/officeDocument/2006/relationships/hyperlink" Target="https://www.ahd.com/free_profile/440032/Hawkins_County_Memorial_Hospital/Rogersville/Tennessee/" TargetMode="External"/><Relationship Id="rId36" Type="http://schemas.openxmlformats.org/officeDocument/2006/relationships/hyperlink" Target="https://www.ahd.com/free_profile/440180/Jellico_Community_Hospital/Jellico/Tennessee/" TargetMode="External"/><Relationship Id="rId49" Type="http://schemas.openxmlformats.org/officeDocument/2006/relationships/hyperlink" Target="https://www.ahd.com/free_profile/440060/Milan_Hospital/Milan/Tennessee/" TargetMode="External"/><Relationship Id="rId57" Type="http://schemas.openxmlformats.org/officeDocument/2006/relationships/hyperlink" Target="https://www.ahd.com/free_profile/440173/Parkwest_Medical_Center/Knoxville/Tennessee/" TargetMode="External"/><Relationship Id="rId10" Type="http://schemas.openxmlformats.org/officeDocument/2006/relationships/hyperlink" Target="https://www.ahd.com/free_profile/440222/Baptist_Memorial_Hospital_for_Women/Memphis/Tennessee/" TargetMode="External"/><Relationship Id="rId31" Type="http://schemas.openxmlformats.org/officeDocument/2006/relationships/hyperlink" Target="https://www.ahd.com/free_profile/440017/Holston_Valley_Medical_Center/Kingsport/Tennessee/" TargetMode="External"/><Relationship Id="rId44" Type="http://schemas.openxmlformats.org/officeDocument/2006/relationships/hyperlink" Target="https://www.ahd.com/free_profile/I08211/Methodist_Le_Bonheur_Germantown_Hospital/Germantown/Tennessee/" TargetMode="External"/><Relationship Id="rId52" Type="http://schemas.openxmlformats.org/officeDocument/2006/relationships/hyperlink" Target="https://www.ahd.com/free_profile/440153/Newport_Medical_Center/Newport/Tennessee/" TargetMode="External"/><Relationship Id="rId60" Type="http://schemas.openxmlformats.org/officeDocument/2006/relationships/hyperlink" Target="https://www.ahd.com/free_profile/440152/Regional__One_Medical_Center_/Memphis/Tennessee/" TargetMode="External"/><Relationship Id="rId65" Type="http://schemas.openxmlformats.org/officeDocument/2006/relationships/hyperlink" Target="https://www.ahd.com/free_profile/440218/Saint_Thomas_Hospital_for_Specialty_Surgery/Nashville/Tennessee/" TargetMode="External"/><Relationship Id="rId73" Type="http://schemas.openxmlformats.org/officeDocument/2006/relationships/hyperlink" Target="https://www.ahd.com/free_profile/440068/Starr_Regional_Medical_Center_-_Athens/Athens/Tennessee/" TargetMode="External"/><Relationship Id="rId78" Type="http://schemas.openxmlformats.org/officeDocument/2006/relationships/hyperlink" Target="https://www.ahd.com/free_profile/440144/Tennova_Healthcare_-_Harton/Tullahoma/Tennessee/" TargetMode="External"/><Relationship Id="rId81" Type="http://schemas.openxmlformats.org/officeDocument/2006/relationships/hyperlink" Target="https://www.ahd.com/free_profile/440161/TriStar_Centennial_Medical_Center/Nashville/Tennessee/" TargetMode="External"/><Relationship Id="rId86" Type="http://schemas.openxmlformats.org/officeDocument/2006/relationships/hyperlink" Target="https://www.ahd.com/free_profile/440197/TriStar_Southern_Hills_Medical_Center/Nashville/Tennessee/" TargetMode="External"/><Relationship Id="rId94" Type="http://schemas.openxmlformats.org/officeDocument/2006/relationships/hyperlink" Target="https://www.ahd.com/free_profile/44018F/VA_Tennessee_Valley_Healthcare_System_-_Nashville_Campus/Nashville/Tennessee/" TargetMode="External"/><Relationship Id="rId99" Type="http://schemas.openxmlformats.org/officeDocument/2006/relationships/hyperlink" Target="https://www.ahd.com/free_profile/440189/West_Tennessee_Healthcare_North_Hospital_/Jackson/Tennessee/" TargetMode="External"/><Relationship Id="rId4" Type="http://schemas.openxmlformats.org/officeDocument/2006/relationships/hyperlink" Target="https://www.ahd.com/free_profile/440082/Ascension_Saint_Thomas_West/Nashville/Tennessee/" TargetMode="External"/><Relationship Id="rId9" Type="http://schemas.openxmlformats.org/officeDocument/2006/relationships/hyperlink" Target="https://www.ahd.com/free_profile/440130/Baptist_Memorial_Hospital_-_Union_City/Union_City/Tennessee/" TargetMode="External"/><Relationship Id="rId13" Type="http://schemas.openxmlformats.org/officeDocument/2006/relationships/hyperlink" Target="https://www.ahd.com/free_profile/440012/Bristol_Regional_Medical_Center/Bristol/Tennessee/" TargetMode="External"/><Relationship Id="rId18" Type="http://schemas.openxmlformats.org/officeDocument/2006/relationships/hyperlink" Target="https://www.ahd.com/free_profile/440159/Delta_Medical_Center/Memphis/Tennessee/" TargetMode="External"/><Relationship Id="rId39" Type="http://schemas.openxmlformats.org/officeDocument/2006/relationships/hyperlink" Target="https://www.ahd.com/free_profile/440081/LeConte_Medical_Center/Sevierville/Tennessee/" TargetMode="External"/><Relationship Id="rId34" Type="http://schemas.openxmlformats.org/officeDocument/2006/relationships/hyperlink" Target="https://www.ahd.com/free_profile/44016F/James_H_Quillen_VA_Medical_Center/Mountain_Home/Tennessee/" TargetMode="External"/><Relationship Id="rId50" Type="http://schemas.openxmlformats.org/officeDocument/2006/relationships/hyperlink" Target="https://www.ahd.com/free_profile/440030/Morristown-Hamblen_Hospital/Morristown/Tennessee/" TargetMode="External"/><Relationship Id="rId55" Type="http://schemas.openxmlformats.org/officeDocument/2006/relationships/hyperlink" Target="https://www.ahd.com/free_profile/I41077/Parkridge_East_Hospital/Chattanooga/Tennessee/" TargetMode="External"/><Relationship Id="rId76" Type="http://schemas.openxmlformats.org/officeDocument/2006/relationships/hyperlink" Target="https://www.ahd.com/free_profile/440018/Sycamore_Shoals_Hospital/Elizabethton/Tennessee/" TargetMode="External"/><Relationship Id="rId97" Type="http://schemas.openxmlformats.org/officeDocument/2006/relationships/hyperlink" Target="https://www.ahd.com/free_profile/440061/Volunteer_Hospital/Martin/Tennessee/" TargetMode="External"/><Relationship Id="rId7" Type="http://schemas.openxmlformats.org/officeDocument/2006/relationships/hyperlink" Target="https://www.ahd.com/free_profile/440048/Baptist_Memorial_Hospital_-_Memphis/Memphis/Tennessee/" TargetMode="External"/><Relationship Id="rId71" Type="http://schemas.openxmlformats.org/officeDocument/2006/relationships/hyperlink" Target="https://www.ahd.com/free_profile/440020/Southern_Tennessee_Regional_Health_System/Pulaski/Tennessee/" TargetMode="External"/><Relationship Id="rId92" Type="http://schemas.openxmlformats.org/officeDocument/2006/relationships/hyperlink" Target="https://www.ahd.com/free_profile/440007/Unity_Medical_Center/Manchester/Tennessee/" TargetMode="External"/><Relationship Id="rId2" Type="http://schemas.openxmlformats.org/officeDocument/2006/relationships/hyperlink" Target="https://www.ahd.com/free_profile/440192/Ascension_Saint_Thomas_Highlands_Hospital/Sparta/Tennessee/" TargetMode="External"/><Relationship Id="rId29" Type="http://schemas.openxmlformats.org/officeDocument/2006/relationships/hyperlink" Target="https://www.ahd.com/free_profile/440008/Henderson_County_Community_Hospital/Lexington/Tennessee/" TargetMode="External"/><Relationship Id="rId24" Type="http://schemas.openxmlformats.org/officeDocument/2006/relationships/hyperlink" Target="https://www.ahd.com/free_profile/440125/Fort_Sanders_Regional_Medical_Center/Knoxville/Tennessee/" TargetMode="External"/><Relationship Id="rId40" Type="http://schemas.openxmlformats.org/officeDocument/2006/relationships/hyperlink" Target="https://www.ahd.com/free_profile/440102/Lincoln_Medical_Center/Fayetteville/Tennessee/" TargetMode="External"/><Relationship Id="rId45" Type="http://schemas.openxmlformats.org/officeDocument/2006/relationships/hyperlink" Target="https://www.ahd.com/free_profile/440034/Methodist_Medical_Center_of_Oak_Ridge/Oak_Ridge/Tennessee/" TargetMode="External"/><Relationship Id="rId66" Type="http://schemas.openxmlformats.org/officeDocument/2006/relationships/hyperlink" Target="https://www.ahd.com/free_profile/440133/Saint_Thomas_Midtown_Hospital/Nashville/Tennessee/" TargetMode="External"/><Relationship Id="rId87" Type="http://schemas.openxmlformats.org/officeDocument/2006/relationships/hyperlink" Target="https://www.ahd.com/free_profile/440227/TriStar_StoneCrest_Medical_Center/Smyrna/Tennessee/" TargetMode="External"/><Relationship Id="rId61" Type="http://schemas.openxmlformats.org/officeDocument/2006/relationships/hyperlink" Target="https://www.ahd.com/free_profile/440031/Roane_Medical_Center/Harriman/Tennessee/" TargetMode="External"/><Relationship Id="rId82" Type="http://schemas.openxmlformats.org/officeDocument/2006/relationships/hyperlink" Target="https://www.ahd.com/free_profile/440194/TriStar_Hendersonville_Medical_Center/Hendersonville/Tennessee/" TargetMode="External"/><Relationship Id="rId19" Type="http://schemas.openxmlformats.org/officeDocument/2006/relationships/hyperlink" Target="https://www.ahd.com/free_profile/440072/Dyersburg_Hospital/Dyersburg/Tennessee/" TargetMode="External"/><Relationship Id="rId14" Type="http://schemas.openxmlformats.org/officeDocument/2006/relationships/hyperlink" Target="https://www.ahd.com/free_profile/440103/CHI_Memorial_Hospital_Hixson/Hixson/Tennessee/" TargetMode="External"/><Relationship Id="rId30" Type="http://schemas.openxmlformats.org/officeDocument/2006/relationships/hyperlink" Target="https://www.ahd.com/free_profile/440132/Henry_County_Medical_Center/Paris/Tennessee/" TargetMode="External"/><Relationship Id="rId35" Type="http://schemas.openxmlformats.org/officeDocument/2006/relationships/hyperlink" Target="https://www.ahd.com/free_profile/440056/Jefferson_Memorial_Hospital/Jefferson_City/Tennessee/" TargetMode="External"/><Relationship Id="rId56" Type="http://schemas.openxmlformats.org/officeDocument/2006/relationships/hyperlink" Target="https://www.ahd.com/free_profile/440156/Parkridge_Medical_Center/Chattanooga/Tennessee/" TargetMode="External"/><Relationship Id="rId77" Type="http://schemas.openxmlformats.org/officeDocument/2006/relationships/hyperlink" Target="https://www.ahd.com/free_profile/440185/Tennova_Healthcare_-_Cleveland_Main_Campus/Cleveland/Tennessee/" TargetMode="External"/><Relationship Id="rId100" Type="http://schemas.openxmlformats.org/officeDocument/2006/relationships/hyperlink" Target="https://www.ahd.com/free_profile/440029/Williamson_Medical_Center/Franklin/Tennessee/" TargetMode="External"/><Relationship Id="rId8" Type="http://schemas.openxmlformats.org/officeDocument/2006/relationships/hyperlink" Target="https://www.ahd.com/free_profile/440131/Baptist_Memorial_Hospital_-_Tipton/Covington/Tennessee/" TargetMode="External"/><Relationship Id="rId51" Type="http://schemas.openxmlformats.org/officeDocument/2006/relationships/hyperlink" Target="https://www.ahd.com/free_profile/440111/Nashville_General_Hospital_at_Meharry/Nashville/Tennessee/" TargetMode="External"/><Relationship Id="rId72" Type="http://schemas.openxmlformats.org/officeDocument/2006/relationships/hyperlink" Target="https://www.ahd.com/free_profile/I41300/Southern_Tennessee_Regional_Health_System_Sewanee/Sewanee/Tennessee/" TargetMode="External"/><Relationship Id="rId93" Type="http://schemas.openxmlformats.org/officeDocument/2006/relationships/hyperlink" Target="https://www.ahd.com/free_profile/440015/University_of_Tennessee_Medical_Center/Knoxville/Tennessee/" TargetMode="External"/><Relationship Id="rId98" Type="http://schemas.openxmlformats.org/officeDocument/2006/relationships/hyperlink" Target="https://www.ahd.com/free_profile/440010/Wayne_Medical_Center/Waynesboro/Tennessee/" TargetMode="External"/></Relationships>
</file>

<file path=xl/worksheets/_rels/sheet45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hd.com/free_profile/673075/Cobalt_Rehabilitation_El_Paso_/El_Paso_/Texas/" TargetMode="External"/><Relationship Id="rId299" Type="http://schemas.openxmlformats.org/officeDocument/2006/relationships/hyperlink" Target="https://www.ahd.com/free_profile/450419/Texas_Health_Azle/Azle/Texas/" TargetMode="External"/><Relationship Id="rId21" Type="http://schemas.openxmlformats.org/officeDocument/2006/relationships/hyperlink" Target="https://www.ahd.com/free_profile/670056/Ascension_Seton_Hays/Kyle/Texas/" TargetMode="External"/><Relationship Id="rId63" Type="http://schemas.openxmlformats.org/officeDocument/2006/relationships/hyperlink" Target="https://www.ahd.com/free_profile/450883/Baylor_Scott_%26_White_Medical_Center_Trophy_Club/Trophy_Club/Texas/" TargetMode="External"/><Relationship Id="rId159" Type="http://schemas.openxmlformats.org/officeDocument/2006/relationships/hyperlink" Target="https://www.ahd.com/free_profile/450530/HCA_Houston_Healthcare_Mainland/Texas_City/Texas/" TargetMode="External"/><Relationship Id="rId324" Type="http://schemas.openxmlformats.org/officeDocument/2006/relationships/hyperlink" Target="https://www.ahd.com/free_profile/450834/The_Physicians_Centre_Hospital/Bryan/Texas/" TargetMode="External"/><Relationship Id="rId170" Type="http://schemas.openxmlformats.org/officeDocument/2006/relationships/hyperlink" Target="https://www.ahd.com/free_profile/450604/Hill_Country_Memorial_Hospital/Fredericksburg/Texas/" TargetMode="External"/><Relationship Id="rId226" Type="http://schemas.openxmlformats.org/officeDocument/2006/relationships/hyperlink" Target="https://www.ahd.com/free_profile/450723/Methodist_Charlton_Medical_Center/Dallas/Texas/" TargetMode="External"/><Relationship Id="rId268" Type="http://schemas.openxmlformats.org/officeDocument/2006/relationships/hyperlink" Target="https://www.ahd.com/free_profile/450875/Quail_Creek_Surgical_Hospital/Amarillo/Texas/" TargetMode="External"/><Relationship Id="rId32" Type="http://schemas.openxmlformats.org/officeDocument/2006/relationships/hyperlink" Target="https://www.ahd.com/free_profile/I41897/Baptist_Emergency_Hospital_Schertz/Schertz/Texas/" TargetMode="External"/><Relationship Id="rId74" Type="http://schemas.openxmlformats.org/officeDocument/2006/relationships/hyperlink" Target="https://www.ahd.com/free_profile/450021/Baylor_University_Medical_Center_/Dallas/Texas/" TargetMode="External"/><Relationship Id="rId128" Type="http://schemas.openxmlformats.org/officeDocument/2006/relationships/hyperlink" Target="https://www.ahd.com/free_profile/670090/Crescent_Medical_Center_Lancaster/Lancaster/Texas/" TargetMode="External"/><Relationship Id="rId335" Type="http://schemas.openxmlformats.org/officeDocument/2006/relationships/hyperlink" Target="https://www.ahd.com/free_profile/450213/University_Hospital/San_Antonio/Texas/" TargetMode="External"/><Relationship Id="rId5" Type="http://schemas.openxmlformats.org/officeDocument/2006/relationships/hyperlink" Target="https://www.ahd.com/free_profile/450032/_CHRISTUS_Good_Shepherd_Medical_Center_-_Marshall/Marshall/Texas/" TargetMode="External"/><Relationship Id="rId181" Type="http://schemas.openxmlformats.org/officeDocument/2006/relationships/hyperlink" Target="https://www.ahd.com/free_profile/450039/John_Peter_Smith_Hospital/Fort_Worth/Texas/" TargetMode="External"/><Relationship Id="rId237" Type="http://schemas.openxmlformats.org/officeDocument/2006/relationships/hyperlink" Target="https://www.ahd.com/free_profile/670055/Methodist_Stone_Oak_Hospital/San_Antonio/Texas/" TargetMode="External"/><Relationship Id="rId279" Type="http://schemas.openxmlformats.org/officeDocument/2006/relationships/hyperlink" Target="https://www.ahd.com/free_profile/I42008/Saint_Joseph_Medical_Center_in_The_Heights/Houston/Texas/" TargetMode="External"/><Relationship Id="rId43" Type="http://schemas.openxmlformats.org/officeDocument/2006/relationships/hyperlink" Target="https://www.ahd.com/free_profile/670097/Baylor_Scott_%26_White_Emergency_Hospital_-_Rockwall/Rockwall/Texas/" TargetMode="External"/><Relationship Id="rId139" Type="http://schemas.openxmlformats.org/officeDocument/2006/relationships/hyperlink" Target="https://www.ahd.com/free_profile/450119/Edinburg_Regional_Medical_Center/Edinburg/Texas/" TargetMode="External"/><Relationship Id="rId290" Type="http://schemas.openxmlformats.org/officeDocument/2006/relationships/hyperlink" Target="https://www.ahd.com/free_profile/450431/St_David%27s_Medical_Center/Austin/Texas/" TargetMode="External"/><Relationship Id="rId304" Type="http://schemas.openxmlformats.org/officeDocument/2006/relationships/hyperlink" Target="https://www.ahd.com/free_profile/450135/Texas_Health_Fort_Worth/Fort_Worth/Texas/" TargetMode="External"/><Relationship Id="rId346" Type="http://schemas.openxmlformats.org/officeDocument/2006/relationships/hyperlink" Target="https://www.ahd.com/free_profile/450033/Valley_Baptist_Medical_Center_-_Harlingen/Harlingen/Texas/" TargetMode="External"/><Relationship Id="rId85" Type="http://schemas.openxmlformats.org/officeDocument/2006/relationships/hyperlink" Target="https://www.ahd.com/free_profile/670059/CHI_Saint_Luke%27s_Health_Lakeside_Hospital/The_Woodlands/Texas/" TargetMode="External"/><Relationship Id="rId150" Type="http://schemas.openxmlformats.org/officeDocument/2006/relationships/hyperlink" Target="https://www.ahd.com/free_profile/450658/Freestone_Medical_Center/Fairfield/Texas/" TargetMode="External"/><Relationship Id="rId192" Type="http://schemas.openxmlformats.org/officeDocument/2006/relationships/hyperlink" Target="https://www.ahd.com/free_profile/I08187/Lyndon_B_Johnson_Hospital/Houston/Texas/" TargetMode="External"/><Relationship Id="rId206" Type="http://schemas.openxmlformats.org/officeDocument/2006/relationships/hyperlink" Target="https://www.ahd.com/free_profile/450403/Medical_City_McKinney_/McKinney/Texas/" TargetMode="External"/><Relationship Id="rId248" Type="http://schemas.openxmlformats.org/officeDocument/2006/relationships/hyperlink" Target="https://www.ahd.com/free_profile/I08067/North_Central_Baptist_Hospital/San_Antonio/Texas/" TargetMode="External"/><Relationship Id="rId12" Type="http://schemas.openxmlformats.org/officeDocument/2006/relationships/hyperlink" Target="https://www.ahd.com/free_profile/450591/_The_University_of_Texas_Medical_Branch_Health_Angleton_Danbury_Campus/Angleton/Texas/" TargetMode="External"/><Relationship Id="rId108" Type="http://schemas.openxmlformats.org/officeDocument/2006/relationships/hyperlink" Target="https://www.ahd.com/free_profile/450082/CHRISTUS_Spohn_Hospital_Beeville/Beeville/Texas/" TargetMode="External"/><Relationship Id="rId315" Type="http://schemas.openxmlformats.org/officeDocument/2006/relationships/hyperlink" Target="https://www.ahd.com/free_profile/450804/Texas_Orthopedic_Hospital/Houston/Texas/" TargetMode="External"/><Relationship Id="rId357" Type="http://schemas.openxmlformats.org/officeDocument/2006/relationships/hyperlink" Target="https://www.ahd.com/free_profile/670116/Wise_Health_Surgical_Hospital_at_Parkway/Fort_Worth/Texas/" TargetMode="External"/><Relationship Id="rId54" Type="http://schemas.openxmlformats.org/officeDocument/2006/relationships/hyperlink" Target="https://www.ahd.com/free_profile/670088/Baylor_Scott_%26_White_Medical_Center_College_Station/College_Station/Texas/" TargetMode="External"/><Relationship Id="rId96" Type="http://schemas.openxmlformats.org/officeDocument/2006/relationships/hyperlink" Target="https://www.ahd.com/free_profile/I42356/CHRISTUS_Mother_Frances_Hospital_-_South_Tyler/Tyler/Texas/" TargetMode="External"/><Relationship Id="rId161" Type="http://schemas.openxmlformats.org/officeDocument/2006/relationships/hyperlink" Target="https://www.ahd.com/free_profile/450638/HCA_Houston_Healthcare_Northwest/Houston/Texas/" TargetMode="External"/><Relationship Id="rId217" Type="http://schemas.openxmlformats.org/officeDocument/2006/relationships/hyperlink" Target="https://www.ahd.com/free_profile/I41159/Memorial_Hermann_Southeast_Hospital/Houston/Texas/" TargetMode="External"/><Relationship Id="rId259" Type="http://schemas.openxmlformats.org/officeDocument/2006/relationships/hyperlink" Target="https://www.ahd.com/free_profile/450565/Palo_Pinto_General_Hospital/Mineral_Wells/Texas/" TargetMode="External"/><Relationship Id="rId23" Type="http://schemas.openxmlformats.org/officeDocument/2006/relationships/hyperlink" Target="https://www.ahd.com/free_profile/450867/Ascension_Seton_Northwest/Austin/Texas/" TargetMode="External"/><Relationship Id="rId119" Type="http://schemas.openxmlformats.org/officeDocument/2006/relationships/hyperlink" Target="https://www.ahd.com/free_profile/450108/Connally_Memorial_Medical_Center/Floresville/Texas/" TargetMode="External"/><Relationship Id="rId270" Type="http://schemas.openxmlformats.org/officeDocument/2006/relationships/hyperlink" Target="https://www.ahd.com/free_profile/450711/Rio_Grande_Regional_Hospital/McAllen/Texas/" TargetMode="External"/><Relationship Id="rId326" Type="http://schemas.openxmlformats.org/officeDocument/2006/relationships/hyperlink" Target="https://www.ahd.com/free_profile/450018/The_University_of_Texas_Medical_Branch_Galveston_Campus/Galveston/Texas/" TargetMode="External"/><Relationship Id="rId65" Type="http://schemas.openxmlformats.org/officeDocument/2006/relationships/hyperlink" Target="https://www.ahd.com/free_profile/450372/Baylor_Scott_%26_White_Medical_Center_Waxahachie_/Waxahachie/Texas/" TargetMode="External"/><Relationship Id="rId130" Type="http://schemas.openxmlformats.org/officeDocument/2006/relationships/hyperlink" Target="https://www.ahd.com/free_profile/450688/Dallas_Regional_Medical_Center/Mesquite/Texas/" TargetMode="External"/><Relationship Id="rId172" Type="http://schemas.openxmlformats.org/officeDocument/2006/relationships/hyperlink" Target="https://www.ahd.com/free_profile/450709/Houston_Methodist_Clear_Lake_Hospital/Nassau_Bay/Texas/" TargetMode="External"/><Relationship Id="rId228" Type="http://schemas.openxmlformats.org/officeDocument/2006/relationships/hyperlink" Target="https://www.ahd.com/free_profile/450051/Methodist_Dallas_Medical_Center/Dallas/Texas/" TargetMode="External"/><Relationship Id="rId281" Type="http://schemas.openxmlformats.org/officeDocument/2006/relationships/hyperlink" Target="https://www.ahd.com/free_profile/670004/Saint_Mark%27s_Medical_Center/La_Grange/Texas/" TargetMode="External"/><Relationship Id="rId337" Type="http://schemas.openxmlformats.org/officeDocument/2006/relationships/hyperlink" Target="https://www.ahd.com/free_profile/450024/University_Medical_Center_of_El_Paso/El_Paso/Texas/" TargetMode="External"/><Relationship Id="rId34" Type="http://schemas.openxmlformats.org/officeDocument/2006/relationships/hyperlink" Target="https://www.ahd.com/free_profile/670078/Baptist_Emergency_Hospital-_Thousand_Oaks/San_Antonio/Texas/" TargetMode="External"/><Relationship Id="rId76" Type="http://schemas.openxmlformats.org/officeDocument/2006/relationships/hyperlink" Target="https://www.ahd.com/free_profile/45069F/Brooke_Army_Medical_Center/Fort_Sam_Houston/Texas/" TargetMode="External"/><Relationship Id="rId141" Type="http://schemas.openxmlformats.org/officeDocument/2006/relationships/hyperlink" Target="https://www.ahd.com/free_profile/670127/El_Paso_Ltac_Hospital/El_Paso/Texas/" TargetMode="External"/><Relationship Id="rId7" Type="http://schemas.openxmlformats.org/officeDocument/2006/relationships/hyperlink" Target="https://www.ahd.com/free_profile/450597/_Cuero_Regional_Hospital/Cuero/Texas/" TargetMode="External"/><Relationship Id="rId183" Type="http://schemas.openxmlformats.org/officeDocument/2006/relationships/hyperlink" Target="https://www.ahd.com/free_profile/45075F/Kerrville_VA_Hospital/Kerrville/Texas/" TargetMode="External"/><Relationship Id="rId239" Type="http://schemas.openxmlformats.org/officeDocument/2006/relationships/hyperlink" Target="https://www.ahd.com/free_profile/450633/Metropolitan_Methodist_Hospital/San_Antonio/Texas/" TargetMode="External"/><Relationship Id="rId250" Type="http://schemas.openxmlformats.org/officeDocument/2006/relationships/hyperlink" Target="https://www.ahd.com/free_profile/450090/North_Texas_Medical_Center/Gainesville/Texas/" TargetMode="External"/><Relationship Id="rId292" Type="http://schemas.openxmlformats.org/officeDocument/2006/relationships/hyperlink" Target="https://www.ahd.com/free_profile/450498/Stephens_Memorial_Hospital/Breckenridge/Texas/" TargetMode="External"/><Relationship Id="rId306" Type="http://schemas.openxmlformats.org/officeDocument/2006/relationships/hyperlink" Target="https://www.ahd.com/free_profile/670071/Texas_Health_Heart_%26_Vascular_Hospital_Arlington_/Arlington/Texas/" TargetMode="External"/><Relationship Id="rId45" Type="http://schemas.openxmlformats.org/officeDocument/2006/relationships/hyperlink" Target="https://www.ahd.com/free_profile/670107/Baylor_Scott_%26_White_Emergency_Hospital-Burleson/Burleson/Texas/" TargetMode="External"/><Relationship Id="rId87" Type="http://schemas.openxmlformats.org/officeDocument/2006/relationships/hyperlink" Target="https://www.ahd.com/free_profile/450299/CHI_St_Joseph_Health_College_Station_Hospital/College_Station/Texas/" TargetMode="External"/><Relationship Id="rId110" Type="http://schemas.openxmlformats.org/officeDocument/2006/relationships/hyperlink" Target="https://www.ahd.com/free_profile/450046/CHRISTUS_Spohn_Hospital_Corpus_Christi_-Shoreline/Corpus_Christi/Texas/" TargetMode="External"/><Relationship Id="rId348" Type="http://schemas.openxmlformats.org/officeDocument/2006/relationships/hyperlink" Target="https://www.ahd.com/free_profile/450662/Valley_Regional_Medical_Center/Brownsville/Texas/" TargetMode="External"/><Relationship Id="rId152" Type="http://schemas.openxmlformats.org/officeDocument/2006/relationships/hyperlink" Target="https://www.ahd.com/free_profile/450235/Gonzales_Memorial_Hospital/Gonzales/Texas/" TargetMode="External"/><Relationship Id="rId194" Type="http://schemas.openxmlformats.org/officeDocument/2006/relationships/hyperlink" Target="https://www.ahd.com/free_profile/670010/Mayhill_Hospital/Denton/Texas/" TargetMode="External"/><Relationship Id="rId208" Type="http://schemas.openxmlformats.org/officeDocument/2006/relationships/hyperlink" Target="https://www.ahd.com/free_profile/450203/Medical_City_Weatherford/Weatherford/Texas/" TargetMode="External"/><Relationship Id="rId261" Type="http://schemas.openxmlformats.org/officeDocument/2006/relationships/hyperlink" Target="https://www.ahd.com/free_profile/I41211/Panhandle_Surgical_Hospital/Amarillo/Texas/" TargetMode="External"/><Relationship Id="rId14" Type="http://schemas.openxmlformats.org/officeDocument/2006/relationships/hyperlink" Target="https://www.ahd.com/free_profile/670102/Advanced_Diagnostics_Hospitals_and_Clinics/Houston/Texas/" TargetMode="External"/><Relationship Id="rId56" Type="http://schemas.openxmlformats.org/officeDocument/2006/relationships/hyperlink" Target="https://www.ahd.com/free_profile/450079/Baylor_Scott_%26_White_Medical_Center_Irving_/Irving/Texas/" TargetMode="External"/><Relationship Id="rId317" Type="http://schemas.openxmlformats.org/officeDocument/2006/relationships/hyperlink" Target="https://www.ahd.com/free_profile/670006/The_Hospital_at_Westlake_Medical_Center/West_Lake_Hills/Texas/" TargetMode="External"/><Relationship Id="rId359" Type="http://schemas.openxmlformats.org/officeDocument/2006/relationships/hyperlink" Target="https://www.ahd.com/free_profile/I42187/Women%27s_Memorial_Hermann_Memorial_City_Hospital/Houston/Texas/" TargetMode="External"/><Relationship Id="rId98" Type="http://schemas.openxmlformats.org/officeDocument/2006/relationships/hyperlink" Target="https://www.ahd.com/free_profile/450236/CHRISTUS_Mother_Frances_Hospital-Sulphur_Springs/Sulphur_Springs/Texas/" TargetMode="External"/><Relationship Id="rId121" Type="http://schemas.openxmlformats.org/officeDocument/2006/relationships/hyperlink" Target="https://www.ahd.com/free_profile/I41081/Corpus_Christi_Medical_Center_-_Bay_Area/Corpus_Christi/Texas/" TargetMode="External"/><Relationship Id="rId163" Type="http://schemas.openxmlformats.org/officeDocument/2006/relationships/hyperlink" Target="https://www.ahd.com/free_profile/450097/HCA_Houston_Healthcare_Southeast/Pasadena/Texas/" TargetMode="External"/><Relationship Id="rId219" Type="http://schemas.openxmlformats.org/officeDocument/2006/relationships/hyperlink" Target="https://www.ahd.com/free_profile/450848/Memorial_Hermann_Sugar_Land_Hospital/Sugar_Land/Texas/" TargetMode="External"/><Relationship Id="rId230" Type="http://schemas.openxmlformats.org/officeDocument/2006/relationships/hyperlink" Target="https://www.ahd.com/free_profile/670073/Methodist_Hospital_for_Surgery/Addison/Texas/" TargetMode="External"/><Relationship Id="rId25" Type="http://schemas.openxmlformats.org/officeDocument/2006/relationships/hyperlink" Target="https://www.ahd.com/free_profile/450865/Ascension_Seton_Southwest/Austin/Texas/" TargetMode="External"/><Relationship Id="rId67" Type="http://schemas.openxmlformats.org/officeDocument/2006/relationships/hyperlink" Target="https://www.ahd.com/free_profile/670076/Baylor_Scott_%26_White_Surgical_Hospital_at_Sherman/Sherman/Texas/" TargetMode="External"/><Relationship Id="rId272" Type="http://schemas.openxmlformats.org/officeDocument/2006/relationships/hyperlink" Target="https://www.ahd.com/free_profile/670110/SageCrest_Hospital_of_Carrollton/Carrollton/Texas/" TargetMode="External"/><Relationship Id="rId328" Type="http://schemas.openxmlformats.org/officeDocument/2006/relationships/hyperlink" Target="https://www.ahd.com/free_profile/45060F/Thomas_E_Creek_VA_Medical_Center/Amarillo/Texas/" TargetMode="External"/><Relationship Id="rId88" Type="http://schemas.openxmlformats.org/officeDocument/2006/relationships/hyperlink" Target="https://www.ahd.com/free_profile/450011/CHI_St_Joseph_Health_Regional_Hospital/Bryan/Texas/" TargetMode="External"/><Relationship Id="rId111" Type="http://schemas.openxmlformats.org/officeDocument/2006/relationships/hyperlink" Target="https://www.ahd.com/free_profile/450163/CHRISTUS_Spohn_Hospital_Kleberg/Kingsville/Texas/" TargetMode="External"/><Relationship Id="rId132" Type="http://schemas.openxmlformats.org/officeDocument/2006/relationships/hyperlink" Target="https://www.ahd.com/free_profile/450646/Del_Sol_Medical_Center/El_Paso/Texas/" TargetMode="External"/><Relationship Id="rId153" Type="http://schemas.openxmlformats.org/officeDocument/2006/relationships/hyperlink" Target="https://www.ahd.com/free_profile/450162/Grace_Medical_Center/Lubbock/Texas/" TargetMode="External"/><Relationship Id="rId174" Type="http://schemas.openxmlformats.org/officeDocument/2006/relationships/hyperlink" Target="https://www.ahd.com/free_profile/450820/Houston_Methodist_Sugar_Land_Hospital/Sugar_Land/Texas/" TargetMode="External"/><Relationship Id="rId195" Type="http://schemas.openxmlformats.org/officeDocument/2006/relationships/hyperlink" Target="https://www.ahd.com/free_profile/450811/McAllen_Medical_Center/McAllen/Texas/" TargetMode="External"/><Relationship Id="rId209" Type="http://schemas.openxmlformats.org/officeDocument/2006/relationships/hyperlink" Target="https://www.ahd.com/free_profile/450068/Memorial_Hermann_-_Texas_Medical_Center/Houston/Texas/" TargetMode="External"/><Relationship Id="rId360" Type="http://schemas.openxmlformats.org/officeDocument/2006/relationships/hyperlink" Target="https://www.ahd.com/free_profile/450484/Woodland_Heights_Medical_Center/Lufkin/Texas/" TargetMode="External"/><Relationship Id="rId220" Type="http://schemas.openxmlformats.org/officeDocument/2006/relationships/hyperlink" Target="https://www.ahd.com/free_profile/670058/Memorial_Hermann_Surgical_Hospital_First_Colony/Sugar_Land/Texas/" TargetMode="External"/><Relationship Id="rId241" Type="http://schemas.openxmlformats.org/officeDocument/2006/relationships/hyperlink" Target="https://www.ahd.com/free_profile/450133/Midland_Memorial_Hospital/Midland/Texas/" TargetMode="External"/><Relationship Id="rId15" Type="http://schemas.openxmlformats.org/officeDocument/2006/relationships/hyperlink" Target="https://www.ahd.com/free_profile/450152/AdventHealth_Central_Texas/Killeen/Texas/" TargetMode="External"/><Relationship Id="rId36" Type="http://schemas.openxmlformats.org/officeDocument/2006/relationships/hyperlink" Target="https://www.ahd.com/free_profile/450058/Baptist_Medical_Center/San_Antonio/Texas/" TargetMode="External"/><Relationship Id="rId57" Type="http://schemas.openxmlformats.org/officeDocument/2006/relationships/hyperlink" Target="https://www.ahd.com/free_profile/450742/Baylor_Scott_%26_White_Medical_Center_Lake_Pointe/Rowlett/Texas/" TargetMode="External"/><Relationship Id="rId262" Type="http://schemas.openxmlformats.org/officeDocument/2006/relationships/hyperlink" Target="https://www.ahd.com/free_profile/450196/Paris_Regional_Medical_Center/Paris/Texas/" TargetMode="External"/><Relationship Id="rId283" Type="http://schemas.openxmlformats.org/officeDocument/2006/relationships/hyperlink" Target="https://www.ahd.com/free_profile/450653/Scenic_Mountain_Medical_Center/Big_Spring/Texas/" TargetMode="External"/><Relationship Id="rId318" Type="http://schemas.openxmlformats.org/officeDocument/2006/relationships/hyperlink" Target="https://www.ahd.com/free_profile/670047/The_Hospitals_of_Providence_East_Campus/El_Paso/Texas/" TargetMode="External"/><Relationship Id="rId339" Type="http://schemas.openxmlformats.org/officeDocument/2006/relationships/hyperlink" Target="https://www.ahd.com/free_profile/450389/UT_Health_Athens/Athens/Texas/" TargetMode="External"/><Relationship Id="rId78" Type="http://schemas.openxmlformats.org/officeDocument/2006/relationships/hyperlink" Target="https://www.ahd.com/free_profile/450587/Brownwood_Regional_Medical_Center/Brownwood/Texas/" TargetMode="External"/><Relationship Id="rId99" Type="http://schemas.openxmlformats.org/officeDocument/2006/relationships/hyperlink" Target="https://www.ahd.com/free_profile/450801/CHRISTUS_Saint_Michael_Hospital/Texarkana/Texas/" TargetMode="External"/><Relationship Id="rId101" Type="http://schemas.openxmlformats.org/officeDocument/2006/relationships/hyperlink" Target="https://www.ahd.com/free_profile/I42085/CHRISTUS_Santa_Rosa_Hospital__Alamo_Heights/San_Antonio/Texas/" TargetMode="External"/><Relationship Id="rId122" Type="http://schemas.openxmlformats.org/officeDocument/2006/relationships/hyperlink" Target="https://www.ahd.com/free_profile/450788/Corpus_Christi_Medical_Center_-_Doctors_Regional/Corpus_Christi/Texas/" TargetMode="External"/><Relationship Id="rId143" Type="http://schemas.openxmlformats.org/officeDocument/2006/relationships/hyperlink" Target="https://www.ahd.com/free_profile/450241/Faith_Community_Hospital/Jacksboro/Texas/" TargetMode="External"/><Relationship Id="rId164" Type="http://schemas.openxmlformats.org/officeDocument/2006/relationships/hyperlink" Target="https://www.ahd.com/free_profile/450670/HCA_Houston_Healthcare_Tomball_/Tomball/Texas/" TargetMode="External"/><Relationship Id="rId185" Type="http://schemas.openxmlformats.org/officeDocument/2006/relationships/hyperlink" Target="https://www.ahd.com/free_profile/450596/Lake_Granbury_Medical_Center/Granbury/Texas/" TargetMode="External"/><Relationship Id="rId350" Type="http://schemas.openxmlformats.org/officeDocument/2006/relationships/hyperlink" Target="https://www.ahd.com/free_profile/450200/Wadley_Regional_Medical_Center/Texarkana/Texas/" TargetMode="External"/><Relationship Id="rId9" Type="http://schemas.openxmlformats.org/officeDocument/2006/relationships/hyperlink" Target="https://www.ahd.com/free_profile/450659/_HCA_Houston_Healthcare_Medical_Center/Houston/Texas/" TargetMode="External"/><Relationship Id="rId210" Type="http://schemas.openxmlformats.org/officeDocument/2006/relationships/hyperlink" Target="https://www.ahd.com/free_profile/I42122/Memorial_Hermann_Cypress_Hospital/Cypress/Texas/" TargetMode="External"/><Relationship Id="rId26" Type="http://schemas.openxmlformats.org/officeDocument/2006/relationships/hyperlink" Target="https://www.ahd.com/free_profile/670041/Ascension_Seton_Williamson/Round_Rock/Texas/" TargetMode="External"/><Relationship Id="rId231" Type="http://schemas.openxmlformats.org/officeDocument/2006/relationships/hyperlink" Target="https://www.ahd.com/free_profile/450165/Methodist_Hospital_South/Jourdanton/Texas/" TargetMode="External"/><Relationship Id="rId252" Type="http://schemas.openxmlformats.org/officeDocument/2006/relationships/hyperlink" Target="https://www.ahd.com/free_profile/450733/Northeast_Methodist_Hospital/San_Antonio/Texas/" TargetMode="External"/><Relationship Id="rId273" Type="http://schemas.openxmlformats.org/officeDocument/2006/relationships/hyperlink" Target="https://www.ahd.com/free_profile/670121/Saint_Camillus_Medical_Center/Hurst/Texas/" TargetMode="External"/><Relationship Id="rId294" Type="http://schemas.openxmlformats.org/officeDocument/2006/relationships/hyperlink" Target="https://www.ahd.com/free_profile/670125/Texas_Center_for_Infectious_Disease/San_Antonio/Texas/" TargetMode="External"/><Relationship Id="rId308" Type="http://schemas.openxmlformats.org/officeDocument/2006/relationships/hyperlink" Target="https://www.ahd.com/free_profile/450677/Texas_Health_Huguley_Hospital_Fort_Worth_South/Burleson/Texas/" TargetMode="External"/><Relationship Id="rId329" Type="http://schemas.openxmlformats.org/officeDocument/2006/relationships/hyperlink" Target="https://www.ahd.com/free_profile/450080/Titus_Regional_Medical_Center/Mount_Pleasant/Texas/" TargetMode="External"/><Relationship Id="rId47" Type="http://schemas.openxmlformats.org/officeDocument/2006/relationships/hyperlink" Target="https://www.ahd.com/free_profile/450008/Baylor_Scott_%26_White_McLane_Children%27s/Temple/Texas/" TargetMode="External"/><Relationship Id="rId68" Type="http://schemas.openxmlformats.org/officeDocument/2006/relationships/hyperlink" Target="https://www.ahd.com/free_profile/450880/Baylor_Scott_%26_White_Surgical_Hospital_Fort_Worth/Fort_Worth/Texas/" TargetMode="External"/><Relationship Id="rId89" Type="http://schemas.openxmlformats.org/officeDocument/2006/relationships/hyperlink" Target="https://www.ahd.com/free_profile/670031/CHI_St_Luke%27s_Health_-_Patients_Medical_Center/South_Pasadena/Texas/" TargetMode="External"/><Relationship Id="rId112" Type="http://schemas.openxmlformats.org/officeDocument/2006/relationships/hyperlink" Target="https://www.ahd.com/free_profile/I42092/CHRISTUS_Trinity_Mother_Frances_Louis_and_Peaches_Owen_Heart_Hospital/Tyler_/Texas/" TargetMode="External"/><Relationship Id="rId133" Type="http://schemas.openxmlformats.org/officeDocument/2006/relationships/hyperlink" Target="https://www.ahd.com/free_profile/I42177/Dell_Seton_Medical_Center_at_The_University_of_Texas/Austin/Texas/" TargetMode="External"/><Relationship Id="rId154" Type="http://schemas.openxmlformats.org/officeDocument/2006/relationships/hyperlink" Target="https://www.ahd.com/free_profile/450085/Graham_Regional_Medical_Center/Graham/Texas/" TargetMode="External"/><Relationship Id="rId175" Type="http://schemas.openxmlformats.org/officeDocument/2006/relationships/hyperlink" Target="https://www.ahd.com/free_profile/670122/Houston_Methodist_The_Woodlands_Hospital/The_Woodlands/Texas/" TargetMode="External"/><Relationship Id="rId340" Type="http://schemas.openxmlformats.org/officeDocument/2006/relationships/hyperlink" Target="https://www.ahd.com/free_profile/450210/UT_Health_Carthage/Carthage/Texas/" TargetMode="External"/><Relationship Id="rId361" Type="http://schemas.openxmlformats.org/officeDocument/2006/relationships/hyperlink" Target="https://www.ahd.com/free_profile/450766/Zale_Lipshy_Pavilion-William_P_Clements_Jr_University_Hospital/Dallas/Texas/" TargetMode="External"/><Relationship Id="rId196" Type="http://schemas.openxmlformats.org/officeDocument/2006/relationships/hyperlink" Target="https://www.ahd.com/free_profile/450489/Medical_Arts_Hospital/Lamesa/Texas/" TargetMode="External"/><Relationship Id="rId200" Type="http://schemas.openxmlformats.org/officeDocument/2006/relationships/hyperlink" Target="https://www.ahd.com/free_profile/450647/Medical_City_Dallas/Dallas/Texas/" TargetMode="External"/><Relationship Id="rId16" Type="http://schemas.openxmlformats.org/officeDocument/2006/relationships/hyperlink" Target="https://www.ahd.com/free_profile/670109/Altus_Baytown_Hospital/Baytown/Texas/" TargetMode="External"/><Relationship Id="rId221" Type="http://schemas.openxmlformats.org/officeDocument/2006/relationships/hyperlink" Target="https://www.ahd.com/free_profile/670005/Memorial_Hermann_Surgical_Hospital_Kingwood/Kingwood/Texas/" TargetMode="External"/><Relationship Id="rId242" Type="http://schemas.openxmlformats.org/officeDocument/2006/relationships/hyperlink" Target="https://www.ahd.com/free_profile/450176/Mission_Regional_Medical_Center/Mission/Texas/" TargetMode="External"/><Relationship Id="rId263" Type="http://schemas.openxmlformats.org/officeDocument/2006/relationships/hyperlink" Target="https://www.ahd.com/free_profile/450015/Parkland_Hospital/Dallas/Texas/" TargetMode="External"/><Relationship Id="rId284" Type="http://schemas.openxmlformats.org/officeDocument/2006/relationships/hyperlink" Target="https://www.ahd.com/free_profile/670080/Seton_Medical_Center_Harker_Heights/Harker_Heights/Texas/" TargetMode="External"/><Relationship Id="rId319" Type="http://schemas.openxmlformats.org/officeDocument/2006/relationships/hyperlink" Target="https://www.ahd.com/free_profile/670124/The_Hospitals_of_Providence_Horizon_City_Campus/Horizon_City/Texas/" TargetMode="External"/><Relationship Id="rId37" Type="http://schemas.openxmlformats.org/officeDocument/2006/relationships/hyperlink" Target="https://www.ahd.com/free_profile/450137/Baylor_Scott_%26_White__All_Saints_Medical_Center/Fort_Worth/Texas/" TargetMode="External"/><Relationship Id="rId58" Type="http://schemas.openxmlformats.org/officeDocument/2006/relationships/hyperlink" Target="https://www.ahd.com/free_profile/670079/Baylor_Scott_%26_White_Medical_Center_Lakeway/Lakeway/Texas/" TargetMode="External"/><Relationship Id="rId79" Type="http://schemas.openxmlformats.org/officeDocument/2006/relationships/hyperlink" Target="https://www.ahd.com/free_profile/450231/BSA_Hospital_/Amarillo/Texas/" TargetMode="External"/><Relationship Id="rId102" Type="http://schemas.openxmlformats.org/officeDocument/2006/relationships/hyperlink" Target="https://www.ahd.com/free_profile/450237/CHRISTUS_Santa_Rosa_Hospital_-_Medical_Center/San_Antonio/Texas/" TargetMode="External"/><Relationship Id="rId123" Type="http://schemas.openxmlformats.org/officeDocument/2006/relationships/hyperlink" Target="https://www.ahd.com/free_profile/450131/Corpus_Christi_Medical_Center_-_Northwest/Corpus_Christi/Texas/" TargetMode="External"/><Relationship Id="rId144" Type="http://schemas.openxmlformats.org/officeDocument/2006/relationships/hyperlink" Target="https://www.ahd.com/free_profile/450348/Falls_Community_Hospital/Marlin/Texas/" TargetMode="External"/><Relationship Id="rId330" Type="http://schemas.openxmlformats.org/officeDocument/2006/relationships/hyperlink" Target="https://www.ahd.com/free_profile/450774/TOPS_Surgical_Specialty_Hospital/Houston/Texas/" TargetMode="External"/><Relationship Id="rId90" Type="http://schemas.openxmlformats.org/officeDocument/2006/relationships/hyperlink" Target="https://www.ahd.com/free_profile/670075/CHI_St_Luke%27s_Health_-_The_Vintage_Hospital/Houston/Texas/" TargetMode="External"/><Relationship Id="rId165" Type="http://schemas.openxmlformats.org/officeDocument/2006/relationships/hyperlink" Target="https://www.ahd.com/free_profile/450644/HCA_Houston_Healthcare_West_/Houston/Texas/" TargetMode="External"/><Relationship Id="rId186" Type="http://schemas.openxmlformats.org/officeDocument/2006/relationships/hyperlink" Target="https://www.ahd.com/free_profile/450698/Lamb_Healthcare_Center/Littlefield/Texas/" TargetMode="External"/><Relationship Id="rId351" Type="http://schemas.openxmlformats.org/officeDocument/2006/relationships/hyperlink" Target="https://www.ahd.com/free_profile/45063F/West_Texas_VA_Health_Care_System/Big_Spring/Texas/" TargetMode="External"/><Relationship Id="rId211" Type="http://schemas.openxmlformats.org/officeDocument/2006/relationships/hyperlink" Target="https://www.ahd.com/free_profile/I41290/Memorial_Hermann_Greater_Heights_Hospital/Houston/Texas/" TargetMode="External"/><Relationship Id="rId232" Type="http://schemas.openxmlformats.org/officeDocument/2006/relationships/hyperlink" Target="https://www.ahd.com/free_profile/670023/Methodist_Mansfield_Medical_Center/Mansfield/Texas/" TargetMode="External"/><Relationship Id="rId253" Type="http://schemas.openxmlformats.org/officeDocument/2006/relationships/hyperlink" Target="https://www.ahd.com/free_profile/450808/Northwest_Hills_Surgical_Hospital/Austin/Texas/" TargetMode="External"/><Relationship Id="rId274" Type="http://schemas.openxmlformats.org/officeDocument/2006/relationships/hyperlink" Target="https://www.ahd.com/free_profile/450191/Saint_David%27s_Georgetown_Hospital/Georgetown/Texas/" TargetMode="External"/><Relationship Id="rId295" Type="http://schemas.openxmlformats.org/officeDocument/2006/relationships/hyperlink" Target="https://www.ahd.com/free_profile/450296/Texas_Emergency_Hospital/Cleveland/Texas/" TargetMode="External"/><Relationship Id="rId309" Type="http://schemas.openxmlformats.org/officeDocument/2006/relationships/hyperlink" Target="https://www.ahd.com/free_profile/450292/Texas_Health_Kaufman/Kaufman/Texas/" TargetMode="External"/><Relationship Id="rId27" Type="http://schemas.openxmlformats.org/officeDocument/2006/relationships/hyperlink" Target="https://www.ahd.com/free_profile/670093/Aspire_Hospital_/Conroe/Texas/" TargetMode="External"/><Relationship Id="rId48" Type="http://schemas.openxmlformats.org/officeDocument/2006/relationships/hyperlink" Target="https://www.ahd.com/free_profile/670128/Baylor_Scott_%26_White_Medical_Center_-_Pflugerville/Pflugerville/Texas/" TargetMode="External"/><Relationship Id="rId69" Type="http://schemas.openxmlformats.org/officeDocument/2006/relationships/hyperlink" Target="https://www.ahd.com/free_profile/450864/Baylor_Scott_%26_White_Texas_Spine_%26_Joint_Hospital/Tyler/Texas/" TargetMode="External"/><Relationship Id="rId113" Type="http://schemas.openxmlformats.org/officeDocument/2006/relationships/hyperlink" Target="https://www.ahd.com/free_profile/450023/Citizens_Medical_Center/Victoria/Texas/" TargetMode="External"/><Relationship Id="rId134" Type="http://schemas.openxmlformats.org/officeDocument/2006/relationships/hyperlink" Target="https://www.ahd.com/free_profile/450147/DeTar_Hospital_Navarro/Victoria/Texas/" TargetMode="External"/><Relationship Id="rId320" Type="http://schemas.openxmlformats.org/officeDocument/2006/relationships/hyperlink" Target="https://www.ahd.com/free_profile/450002/The_Hospitals_of_Providence_Memorial_Campus/El_Paso/Texas/" TargetMode="External"/><Relationship Id="rId80" Type="http://schemas.openxmlformats.org/officeDocument/2006/relationships/hyperlink" Target="https://www.ahd.com/free_profile/45070F/Carl_R_Darnall_Army_Medical_Center/Fort_Hood/Texas/" TargetMode="External"/><Relationship Id="rId155" Type="http://schemas.openxmlformats.org/officeDocument/2006/relationships/hyperlink" Target="https://www.ahd.com/free_profile/450104/Guadalupe_Regional_Medical_Center/Seguin/Texas/" TargetMode="External"/><Relationship Id="rId176" Type="http://schemas.openxmlformats.org/officeDocument/2006/relationships/hyperlink" Target="https://www.ahd.com/free_profile/670077/Houston_Methodist_West_Hospital_/Houston/Texas/" TargetMode="External"/><Relationship Id="rId197" Type="http://schemas.openxmlformats.org/officeDocument/2006/relationships/hyperlink" Target="https://www.ahd.com/free_profile/450132/Medical_Center_Hospital/Odessa/Texas/" TargetMode="External"/><Relationship Id="rId341" Type="http://schemas.openxmlformats.org/officeDocument/2006/relationships/hyperlink" Target="https://www.ahd.com/free_profile/450475/UT_Health_Henderson/Henderson/Texas/" TargetMode="External"/><Relationship Id="rId201" Type="http://schemas.openxmlformats.org/officeDocument/2006/relationships/hyperlink" Target="https://www.ahd.com/free_profile/450634/Medical_City_Denton/Denton/Texas/" TargetMode="External"/><Relationship Id="rId222" Type="http://schemas.openxmlformats.org/officeDocument/2006/relationships/hyperlink" Target="https://www.ahd.com/free_profile/450860/Memorial_Hermann_Surgical_Hospital-First_Colony/Sugar_Land/Texas/" TargetMode="External"/><Relationship Id="rId243" Type="http://schemas.openxmlformats.org/officeDocument/2006/relationships/hyperlink" Target="https://www.ahd.com/free_profile/I41828/Mission_Trail_Baptist_Hospital/San_Antonio/Texas/" TargetMode="External"/><Relationship Id="rId264" Type="http://schemas.openxmlformats.org/officeDocument/2006/relationships/hyperlink" Target="https://www.ahd.com/free_profile/450400/Parkview_Regional_Hospital/Mexia/Texas/" TargetMode="External"/><Relationship Id="rId285" Type="http://schemas.openxmlformats.org/officeDocument/2006/relationships/hyperlink" Target="https://www.ahd.com/free_profile/450586/Seymour_Hospital/Seymour/Texas/" TargetMode="External"/><Relationship Id="rId17" Type="http://schemas.openxmlformats.org/officeDocument/2006/relationships/hyperlink" Target="https://www.ahd.com/free_profile/670135/Altus_Hospital_Houston/Houston/Texas/" TargetMode="External"/><Relationship Id="rId38" Type="http://schemas.openxmlformats.org/officeDocument/2006/relationships/hyperlink" Target="https://www.ahd.com/free_profile/I42300/Baylor_Scott_%26_White_Emergency_Hospital_-_Colleyville/Colleyville/Texas/" TargetMode="External"/><Relationship Id="rId59" Type="http://schemas.openxmlformats.org/officeDocument/2006/relationships/hyperlink" Target="https://www.ahd.com/free_profile/450219/Baylor_Scott_%26_White_Medical_Center_Llano/Llano/Texas/" TargetMode="External"/><Relationship Id="rId103" Type="http://schemas.openxmlformats.org/officeDocument/2006/relationships/hyperlink" Target="https://www.ahd.com/free_profile/I41727/CHRISTUS_Santa_Rosa_Hospital_-_New_Braunfels/New_Braunfels/Texas/" TargetMode="External"/><Relationship Id="rId124" Type="http://schemas.openxmlformats.org/officeDocument/2006/relationships/hyperlink" Target="https://www.ahd.com/free_profile/I41082/Corpus_Christi_Medical_Center_-_The_Heart_Hospital/Corpus_Christi/Texas/" TargetMode="External"/><Relationship Id="rId310" Type="http://schemas.openxmlformats.org/officeDocument/2006/relationships/hyperlink" Target="https://www.ahd.com/free_profile/450771/Texas_Health_Plano/Plano/Texas/" TargetMode="External"/><Relationship Id="rId70" Type="http://schemas.openxmlformats.org/officeDocument/2006/relationships/hyperlink" Target="https://www.ahd.com/free_profile/450853/Baylor_Scott_and_White_Medical_Center_Frisco/Frisco/Texas/" TargetMode="External"/><Relationship Id="rId91" Type="http://schemas.openxmlformats.org/officeDocument/2006/relationships/hyperlink" Target="https://www.ahd.com/free_profile/450395/CHI_St_Luke%27s_Health-Memorial_Livingston/Livingston/Texas/" TargetMode="External"/><Relationship Id="rId145" Type="http://schemas.openxmlformats.org/officeDocument/2006/relationships/hyperlink" Target="https://www.ahd.com/free_profile/670029/First_Surgical_Hospital/Bellaire/Texas/" TargetMode="External"/><Relationship Id="rId166" Type="http://schemas.openxmlformats.org/officeDocument/2006/relationships/hyperlink" Target="https://www.ahd.com/free_profile/450824/Heart_Hospital_of_Austin/Austin/Texas/" TargetMode="External"/><Relationship Id="rId187" Type="http://schemas.openxmlformats.org/officeDocument/2006/relationships/hyperlink" Target="https://www.ahd.com/free_profile/450029/Laredo_Medical_Center/Laredo/Texas/" TargetMode="External"/><Relationship Id="rId331" Type="http://schemas.openxmlformats.org/officeDocument/2006/relationships/hyperlink" Target="https://www.ahd.com/free_profile/I42227/Townsen_Memorial_Hospital/Humble_/Texas/" TargetMode="External"/><Relationship Id="rId352" Type="http://schemas.openxmlformats.org/officeDocument/2006/relationships/hyperlink" Target="https://www.ahd.com/free_profile/450584/Wilbarger_General_Hospital/Vernon/Texas/" TargetMode="External"/><Relationship Id="rId1" Type="http://schemas.openxmlformats.org/officeDocument/2006/relationships/hyperlink" Target="https://www.ahd.com/free_profile/450890/_Baylor_Scott_%26_White_Medical_Center__Plano/Plano/Texas/" TargetMode="External"/><Relationship Id="rId212" Type="http://schemas.openxmlformats.org/officeDocument/2006/relationships/hyperlink" Target="https://www.ahd.com/free_profile/450847/Memorial_Hermann_Katy_Hospital/Katy/Texas/" TargetMode="External"/><Relationship Id="rId233" Type="http://schemas.openxmlformats.org/officeDocument/2006/relationships/hyperlink" Target="https://www.ahd.com/free_profile/670069/Methodist_McKinney_Hospital/McKinney/Texas/" TargetMode="External"/><Relationship Id="rId254" Type="http://schemas.openxmlformats.org/officeDocument/2006/relationships/hyperlink" Target="https://www.ahd.com/free_profile/450209/Northwest_Texas_Healthcare_System/Amarillo/Texas/" TargetMode="External"/><Relationship Id="rId28" Type="http://schemas.openxmlformats.org/officeDocument/2006/relationships/hyperlink" Target="https://www.ahd.com/free_profile/45090F/Audie_L_Murphy_Memorial_VA_Hospital/San_Antonio/Texas/" TargetMode="External"/><Relationship Id="rId49" Type="http://schemas.openxmlformats.org/officeDocument/2006/relationships/hyperlink" Target="https://www.ahd.com/free_profile/670060/Baylor_Scott_%26_White_Medical_Center_-_Sunnyvale_/Sunnyvale/Texas/" TargetMode="External"/><Relationship Id="rId114" Type="http://schemas.openxmlformats.org/officeDocument/2006/relationships/hyperlink" Target="https://www.ahd.com/free_profile/450678/City_Hospital_at_White_Rock/Dallas/Texas/" TargetMode="External"/><Relationship Id="rId275" Type="http://schemas.openxmlformats.org/officeDocument/2006/relationships/hyperlink" Target="https://www.ahd.com/free_profile/450809/Saint_David%27s_North_Austin_Medical_Center/Austin/Texas/" TargetMode="External"/><Relationship Id="rId296" Type="http://schemas.openxmlformats.org/officeDocument/2006/relationships/hyperlink" Target="https://www.ahd.com/free_profile/450840/Texas_Health_Allen/Allen/Texas/" TargetMode="External"/><Relationship Id="rId300" Type="http://schemas.openxmlformats.org/officeDocument/2006/relationships/hyperlink" Target="https://www.ahd.com/free_profile/450891/Texas_Health_Center_for_Diagnostics_%26_Surgery/Plano/Texas/" TargetMode="External"/><Relationship Id="rId60" Type="http://schemas.openxmlformats.org/officeDocument/2006/relationships/hyperlink" Target="https://www.ahd.com/free_profile/670108/Baylor_Scott_%26_White_Medical_Center_Marble_Falls/Marble_Falls/Texas/" TargetMode="External"/><Relationship Id="rId81" Type="http://schemas.openxmlformats.org/officeDocument/2006/relationships/hyperlink" Target="https://www.ahd.com/free_profile/670043/Cedar_Park_Regional_Medical_Center/Cedar_Park/Texas/" TargetMode="External"/><Relationship Id="rId135" Type="http://schemas.openxmlformats.org/officeDocument/2006/relationships/hyperlink" Target="https://www.ahd.com/free_profile/450724/DeTar_Hospital_North/Victoria/Texas/" TargetMode="External"/><Relationship Id="rId156" Type="http://schemas.openxmlformats.org/officeDocument/2006/relationships/hyperlink" Target="https://www.ahd.com/free_profile/450855/Harlingen_Medical_Center/Harlingen/Texas/" TargetMode="External"/><Relationship Id="rId177" Type="http://schemas.openxmlformats.org/officeDocument/2006/relationships/hyperlink" Target="https://www.ahd.com/free_profile/450844/Houston_Methodist_Willowbrook_Hospital/Houston/Texas/" TargetMode="External"/><Relationship Id="rId198" Type="http://schemas.openxmlformats.org/officeDocument/2006/relationships/hyperlink" Target="https://www.ahd.com/free_profile/670103/Medical_City_Alliance/Fort_Worth/Texas/" TargetMode="External"/><Relationship Id="rId321" Type="http://schemas.openxmlformats.org/officeDocument/2006/relationships/hyperlink" Target="https://www.ahd.com/free_profile/450668/The_Hospitals_of_Providence_Sierra_Campus/El_Paso/Texas/" TargetMode="External"/><Relationship Id="rId342" Type="http://schemas.openxmlformats.org/officeDocument/2006/relationships/hyperlink" Target="https://www.ahd.com/free_profile/450194/UT_Health_Jacksonville/Jacksonville/Texas/" TargetMode="External"/><Relationship Id="rId202" Type="http://schemas.openxmlformats.org/officeDocument/2006/relationships/hyperlink" Target="https://www.ahd.com/free_profile/450672/Medical_City_Fort_Worth/Fort_Worth/Texas/" TargetMode="External"/><Relationship Id="rId223" Type="http://schemas.openxmlformats.org/officeDocument/2006/relationships/hyperlink" Target="https://www.ahd.com/free_profile/450732/Memorial_Hermann_The_Woodlands_Medical_Center/The_Woodlands/Texas/" TargetMode="External"/><Relationship Id="rId244" Type="http://schemas.openxmlformats.org/officeDocument/2006/relationships/hyperlink" Target="https://www.ahd.com/free_profile/450656/Nacogdoches_Medical_Center/Nacogdoches/Texas/" TargetMode="External"/><Relationship Id="rId18" Type="http://schemas.openxmlformats.org/officeDocument/2006/relationships/hyperlink" Target="https://www.ahd.com/free_profile/450078/Anson_General_Hospital/Anson/Texas/" TargetMode="External"/><Relationship Id="rId39" Type="http://schemas.openxmlformats.org/officeDocument/2006/relationships/hyperlink" Target="https://www.ahd.com/free_profile/I42303/Baylor_Scott_%26_White_Emergency_Hospital_-_Grand_Prairie/Grand_Prairie/Texas/" TargetMode="External"/><Relationship Id="rId265" Type="http://schemas.openxmlformats.org/officeDocument/2006/relationships/hyperlink" Target="https://www.ahd.com/free_profile/450144/Permian_Regional_Medical_Center/Andrews/Texas/" TargetMode="External"/><Relationship Id="rId286" Type="http://schemas.openxmlformats.org/officeDocument/2006/relationships/hyperlink" Target="https://www.ahd.com/free_profile/450571/Shannon_Medical_Center/San_Angelo/Texas/" TargetMode="External"/><Relationship Id="rId50" Type="http://schemas.openxmlformats.org/officeDocument/2006/relationships/hyperlink" Target="https://www.ahd.com/free_profile/670136/Baylor_Scott_%26_White_Medical_Center_Austin/Austin/Texas/" TargetMode="External"/><Relationship Id="rId104" Type="http://schemas.openxmlformats.org/officeDocument/2006/relationships/hyperlink" Target="https://www.ahd.com/free_profile/450272/Christus_Santa_Rosa_Hospital-San_Marcos/San_Marcos/Texas/" TargetMode="External"/><Relationship Id="rId125" Type="http://schemas.openxmlformats.org/officeDocument/2006/relationships/hyperlink" Target="https://www.ahd.com/free_profile/450755/Covenant_Health_Levelland/Levelland/Texas/" TargetMode="External"/><Relationship Id="rId146" Type="http://schemas.openxmlformats.org/officeDocument/2006/relationships/hyperlink" Target="https://www.ahd.com/free_profile/670118/First_Texas_Hospital/Houston/Texas/" TargetMode="External"/><Relationship Id="rId167" Type="http://schemas.openxmlformats.org/officeDocument/2006/relationships/hyperlink" Target="https://www.ahd.com/free_profile/450578/Hemphill_County_Hospital/Canadian/Texas/" TargetMode="External"/><Relationship Id="rId188" Type="http://schemas.openxmlformats.org/officeDocument/2006/relationships/hyperlink" Target="https://www.ahd.com/free_profile/450107/Las_Palmas_Medical_Center/El_Paso/Texas/" TargetMode="External"/><Relationship Id="rId311" Type="http://schemas.openxmlformats.org/officeDocument/2006/relationships/hyperlink" Target="https://www.ahd.com/free_profile/670068/Texas_Health_Presbyterian_Hospital_Flower_Mound/Flower_Mound/Texas/" TargetMode="External"/><Relationship Id="rId332" Type="http://schemas.openxmlformats.org/officeDocument/2006/relationships/hyperlink" Target="https://www.ahd.com/free_profile/450460/Tyler_County_Hospital/Woodville/Texas/" TargetMode="External"/><Relationship Id="rId353" Type="http://schemas.openxmlformats.org/officeDocument/2006/relationships/hyperlink" Target="https://www.ahd.com/free_profile/45068F/William_Beaumont_Army_Medical_Center/El_Paso/Texas/" TargetMode="External"/><Relationship Id="rId71" Type="http://schemas.openxmlformats.org/officeDocument/2006/relationships/hyperlink" Target="https://www.ahd.com/free_profile/670025/Baylor_Scott_and_White_The_Heart_Hospital_-_Plano/Plano/Texas/" TargetMode="External"/><Relationship Id="rId92" Type="http://schemas.openxmlformats.org/officeDocument/2006/relationships/hyperlink" Target="https://www.ahd.com/free_profile/670053/CHI_St_Luke%27s_Sugar_Land_Hospital/Sugar_Land/Texas/" TargetMode="External"/><Relationship Id="rId213" Type="http://schemas.openxmlformats.org/officeDocument/2006/relationships/hyperlink" Target="https://www.ahd.com/free_profile/450610/Memorial_Hermann_Memorial_City_Medical_Center/Houston/Texas/" TargetMode="External"/><Relationship Id="rId234" Type="http://schemas.openxmlformats.org/officeDocument/2006/relationships/hyperlink" Target="https://www.ahd.com/free_profile/450537/Methodist_Richardson_Medical_Center/Richardson/Texas/" TargetMode="External"/><Relationship Id="rId2" Type="http://schemas.openxmlformats.org/officeDocument/2006/relationships/hyperlink" Target="https://www.ahd.com/free_profile/450563/_Baylor_Scott_%26_White_Medical_Center_Grapevine/Grapevine/Texas/" TargetMode="External"/><Relationship Id="rId29" Type="http://schemas.openxmlformats.org/officeDocument/2006/relationships/hyperlink" Target="https://www.ahd.com/free_profile/I41895/Baptist__Emergency_Hospital_Hausman/San_Antonio/Texas/" TargetMode="External"/><Relationship Id="rId255" Type="http://schemas.openxmlformats.org/officeDocument/2006/relationships/hyperlink" Target="https://www.ahd.com/free_profile/450796/Northwest_Texas_Surgical_Hospital/Amarillo/Texas/" TargetMode="External"/><Relationship Id="rId276" Type="http://schemas.openxmlformats.org/officeDocument/2006/relationships/hyperlink" Target="https://www.ahd.com/free_profile/450718/Saint_David%27s_Round_Rock_Medical_Center/Round_Rock/Texas/" TargetMode="External"/><Relationship Id="rId297" Type="http://schemas.openxmlformats.org/officeDocument/2006/relationships/hyperlink" Target="https://www.ahd.com/free_profile/670085/Texas_Health_Alliance/Fort_Worth/Texas/" TargetMode="External"/><Relationship Id="rId40" Type="http://schemas.openxmlformats.org/officeDocument/2006/relationships/hyperlink" Target="https://www.ahd.com/free_profile/I42302/Baylor_Scott_%26_White_Emergency_Hospital_-_Keller/Keller/Texas/" TargetMode="External"/><Relationship Id="rId115" Type="http://schemas.openxmlformats.org/officeDocument/2006/relationships/hyperlink" Target="https://www.ahd.com/free_profile/670096/Clear_Lake_Campus_Hospital_/Webster/Texas/" TargetMode="External"/><Relationship Id="rId136" Type="http://schemas.openxmlformats.org/officeDocument/2006/relationships/hyperlink" Target="https://www.ahd.com/free_profile/450869/DHR_Health/Edinburg/Texas/" TargetMode="External"/><Relationship Id="rId157" Type="http://schemas.openxmlformats.org/officeDocument/2006/relationships/hyperlink" Target="https://www.ahd.com/free_profile/450617/HCA_Houston_Healthcare_Clear_Lake/Webster/Texas/" TargetMode="External"/><Relationship Id="rId178" Type="http://schemas.openxmlformats.org/officeDocument/2006/relationships/hyperlink" Target="https://www.ahd.com/free_profile/670008/Houston_Physicians%27_Hospital/Webster/Texas/" TargetMode="External"/><Relationship Id="rId301" Type="http://schemas.openxmlformats.org/officeDocument/2006/relationships/hyperlink" Target="https://www.ahd.com/free_profile/450148/Texas_Health_Cleburne/Cleburne/Texas/" TargetMode="External"/><Relationship Id="rId322" Type="http://schemas.openxmlformats.org/officeDocument/2006/relationships/hyperlink" Target="https://www.ahd.com/free_profile/670120/The_Hospitals_of_Providence_Transmountain_Campus/El_Paso/Texas/" TargetMode="External"/><Relationship Id="rId343" Type="http://schemas.openxmlformats.org/officeDocument/2006/relationships/hyperlink" Target="https://www.ahd.com/free_profile/450690/UT_Health_North_Campus_Tyler/Tyler/Texas/" TargetMode="External"/><Relationship Id="rId61" Type="http://schemas.openxmlformats.org/officeDocument/2006/relationships/hyperlink" Target="https://www.ahd.com/free_profile/670082/Baylor_Scott_%26_White_Medical_Center_McKinney_/McKinney/Texas/" TargetMode="External"/><Relationship Id="rId82" Type="http://schemas.openxmlformats.org/officeDocument/2006/relationships/hyperlink" Target="https://www.ahd.com/free_profile/45086F/Central_Texas_Veterans_Health_Care_System_-_Olin_E_Teague_Veterans%27_Center/Temple/Texas/" TargetMode="External"/><Relationship Id="rId199" Type="http://schemas.openxmlformats.org/officeDocument/2006/relationships/hyperlink" Target="https://www.ahd.com/free_profile/450675/Medical_City_Arlington/Arlington/Texas/" TargetMode="External"/><Relationship Id="rId203" Type="http://schemas.openxmlformats.org/officeDocument/2006/relationships/hyperlink" Target="https://www.ahd.com/free_profile/I41936/Medical_City_Frisco_/Frisco_/Texas/" TargetMode="External"/><Relationship Id="rId19" Type="http://schemas.openxmlformats.org/officeDocument/2006/relationships/hyperlink" Target="https://www.ahd.com/free_profile/450871/Arise_Austin_Medical_Center/Austin/Texas/" TargetMode="External"/><Relationship Id="rId224" Type="http://schemas.openxmlformats.org/officeDocument/2006/relationships/hyperlink" Target="https://www.ahd.com/free_profile/670095/Memorial_Hermann_Tomball/Tomball/Texas/" TargetMode="External"/><Relationship Id="rId245" Type="http://schemas.openxmlformats.org/officeDocument/2006/relationships/hyperlink" Target="https://www.ahd.com/free_profile/450508/Nacogdoches_Memorial_Hospital/Nacogdoches/Texas/" TargetMode="External"/><Relationship Id="rId266" Type="http://schemas.openxmlformats.org/officeDocument/2006/relationships/hyperlink" Target="https://www.ahd.com/free_profile/450007/Peterson_Regional_Medical_Center/Kerrville/Texas/" TargetMode="External"/><Relationship Id="rId287" Type="http://schemas.openxmlformats.org/officeDocument/2006/relationships/hyperlink" Target="https://www.ahd.com/free_profile/450856/South_Texas_Spine_%26_Surgical_Hospital/San_Antonio/Texas/" TargetMode="External"/><Relationship Id="rId30" Type="http://schemas.openxmlformats.org/officeDocument/2006/relationships/hyperlink" Target="https://www.ahd.com/free_profile/I42368/Baptist_Emergency_Hospital_at_Kelly/San_Antonio/Texas/" TargetMode="External"/><Relationship Id="rId105" Type="http://schemas.openxmlformats.org/officeDocument/2006/relationships/hyperlink" Target="https://www.ahd.com/free_profile/I42091/CHRISTUS_Santa_Rosa_Hospital-Westover_Hills/San_Antonio/Texas/" TargetMode="External"/><Relationship Id="rId126" Type="http://schemas.openxmlformats.org/officeDocument/2006/relationships/hyperlink" Target="https://www.ahd.com/free_profile/450539/Covenant_Health_Plainview/Plainview/Texas/" TargetMode="External"/><Relationship Id="rId147" Type="http://schemas.openxmlformats.org/officeDocument/2006/relationships/hyperlink" Target="https://www.ahd.com/free_profile/450092/Fort_Duncan_Regional_Medical_Center/Eagle_Pass/Texas/" TargetMode="External"/><Relationship Id="rId168" Type="http://schemas.openxmlformats.org/officeDocument/2006/relationships/hyperlink" Target="https://www.ahd.com/free_profile/450229/Hendrick_Medical_Center/Abilene/Texas/" TargetMode="External"/><Relationship Id="rId312" Type="http://schemas.openxmlformats.org/officeDocument/2006/relationships/hyperlink" Target="https://www.ahd.com/free_profile/450779/Texas_Health_Southwest/Fort_Worth/Texas/" TargetMode="External"/><Relationship Id="rId333" Type="http://schemas.openxmlformats.org/officeDocument/2006/relationships/hyperlink" Target="https://www.ahd.com/free_profile/450803/United_Memorial_Medical_Center/Houston/Texas/" TargetMode="External"/><Relationship Id="rId354" Type="http://schemas.openxmlformats.org/officeDocument/2006/relationships/hyperlink" Target="https://www.ahd.com/free_profile/450044/William_P_Clements_Jr_University_Hospital/Dallas/Texas/" TargetMode="External"/><Relationship Id="rId51" Type="http://schemas.openxmlformats.org/officeDocument/2006/relationships/hyperlink" Target="https://www.ahd.com/free_profile/450187/Baylor_Scott_%26_White_Medical_Center_Brenham/Brenham/Texas/" TargetMode="External"/><Relationship Id="rId72" Type="http://schemas.openxmlformats.org/officeDocument/2006/relationships/hyperlink" Target="https://www.ahd.com/free_profile/450893/Baylor_Scott_and_White_The_Heart_Hospital_Denton/Denton/Texas/" TargetMode="External"/><Relationship Id="rId93" Type="http://schemas.openxmlformats.org/officeDocument/2006/relationships/hyperlink" Target="https://www.ahd.com/free_profile/450072/CHI_StLuke%27s_Health_Brazosport_Hospital/Lake_Jackson/Texas/" TargetMode="External"/><Relationship Id="rId189" Type="http://schemas.openxmlformats.org/officeDocument/2006/relationships/hyperlink" Target="https://www.ahd.com/free_profile/670112/Legent_Orthopedic_and_Spine_/San_Antonio/Texas/" TargetMode="External"/><Relationship Id="rId3" Type="http://schemas.openxmlformats.org/officeDocument/2006/relationships/hyperlink" Target="https://www.ahd.com/free_profile/450054/_Baylor_Scott_%26_White_Medical_Center_Temple/Temple/Texas/" TargetMode="External"/><Relationship Id="rId214" Type="http://schemas.openxmlformats.org/officeDocument/2006/relationships/hyperlink" Target="https://www.ahd.com/free_profile/450684/Memorial_Hermann_Northeast_Hospital/Humble/Texas/" TargetMode="External"/><Relationship Id="rId235" Type="http://schemas.openxmlformats.org/officeDocument/2006/relationships/hyperlink" Target="https://www.ahd.com/free_profile/670132/Methodist_Southlake_Hospital/Southlake_/Texas/" TargetMode="External"/><Relationship Id="rId256" Type="http://schemas.openxmlformats.org/officeDocument/2006/relationships/hyperlink" Target="https://www.ahd.com/free_profile/450330/OakBend_Medical_Center/Richmond/Texas/" TargetMode="External"/><Relationship Id="rId277" Type="http://schemas.openxmlformats.org/officeDocument/2006/relationships/hyperlink" Target="https://www.ahd.com/free_profile/450713/Saint_David%27s_South_Austin_Medical_Center/Austin/Texas/" TargetMode="External"/><Relationship Id="rId298" Type="http://schemas.openxmlformats.org/officeDocument/2006/relationships/hyperlink" Target="https://www.ahd.com/free_profile/450064/Texas_Health_Arlington_Medical_Hospital/Arlington/Texas/" TargetMode="External"/><Relationship Id="rId116" Type="http://schemas.openxmlformats.org/officeDocument/2006/relationships/hyperlink" Target="https://www.ahd.com/free_profile/670115/Cleveland_Emergency_Hospital_/Cleveland/Texas/" TargetMode="External"/><Relationship Id="rId137" Type="http://schemas.openxmlformats.org/officeDocument/2006/relationships/hyperlink" Target="https://www.ahd.com/free_profile/450643/Doctors_Hospital_of_Laredo/Laredo/Texas/" TargetMode="External"/><Relationship Id="rId158" Type="http://schemas.openxmlformats.org/officeDocument/2006/relationships/hyperlink" Target="https://www.ahd.com/free_profile/450222/HCA_Houston_Healthcare_Conroe/Conroe/Texas/" TargetMode="External"/><Relationship Id="rId302" Type="http://schemas.openxmlformats.org/officeDocument/2006/relationships/hyperlink" Target="https://www.ahd.com/free_profile/450462/Texas_Health_Dallas_/Dallas/Texas/" TargetMode="External"/><Relationship Id="rId323" Type="http://schemas.openxmlformats.org/officeDocument/2006/relationships/hyperlink" Target="https://www.ahd.com/free_profile/450518/The_Medical_Center_of_Southeast_Texas/Port_Arthur/Texas/" TargetMode="External"/><Relationship Id="rId344" Type="http://schemas.openxmlformats.org/officeDocument/2006/relationships/hyperlink" Target="https://www.ahd.com/free_profile/450083/UT_Health_Tyler/Tyler/Texas/" TargetMode="External"/><Relationship Id="rId20" Type="http://schemas.openxmlformats.org/officeDocument/2006/relationships/hyperlink" Target="https://www.ahd.com/free_profile/450042/Ascension_Providence_/Waco/Texas/" TargetMode="External"/><Relationship Id="rId41" Type="http://schemas.openxmlformats.org/officeDocument/2006/relationships/hyperlink" Target="https://www.ahd.com/free_profile/I42304/Baylor_Scott_%26_White_Emergency_Hospital_-_Mansfield/Mansfield/Texas/" TargetMode="External"/><Relationship Id="rId62" Type="http://schemas.openxmlformats.org/officeDocument/2006/relationships/hyperlink" Target="https://www.ahd.com/free_profile/670034/Baylor_Scott_%26_White_Medical_Center_Round_Rock/Round_Rock/Texas/" TargetMode="External"/><Relationship Id="rId83" Type="http://schemas.openxmlformats.org/officeDocument/2006/relationships/hyperlink" Target="https://www.ahd.com/free_profile/450211/CHI_Saint_Luke%27s_Health_-_Memorial_Lufkin/Lufkin/Texas/" TargetMode="External"/><Relationship Id="rId179" Type="http://schemas.openxmlformats.org/officeDocument/2006/relationships/hyperlink" Target="https://www.ahd.com/free_profile/450352/Hunt_Regional_Medical_Center_at_Greenville/Greenville/Texas/" TargetMode="External"/><Relationship Id="rId190" Type="http://schemas.openxmlformats.org/officeDocument/2006/relationships/hyperlink" Target="https://www.ahd.com/free_profile/450702/Longview_Regional_Medical_Center/Longview/Texas/" TargetMode="External"/><Relationship Id="rId204" Type="http://schemas.openxmlformats.org/officeDocument/2006/relationships/hyperlink" Target="https://www.ahd.com/free_profile/450822/Medical_City_Las_Colinas_/Irving/Texas/" TargetMode="External"/><Relationship Id="rId225" Type="http://schemas.openxmlformats.org/officeDocument/2006/relationships/hyperlink" Target="https://www.ahd.com/free_profile/450780/Methodist_Ambulatory_Surgery_Hospital_/San_Antonio/Texas/" TargetMode="External"/><Relationship Id="rId246" Type="http://schemas.openxmlformats.org/officeDocument/2006/relationships/hyperlink" Target="https://www.ahd.com/free_profile/450447/Navarro_Regional_Hospital/Corsicana/Texas/" TargetMode="External"/><Relationship Id="rId267" Type="http://schemas.openxmlformats.org/officeDocument/2006/relationships/hyperlink" Target="https://www.ahd.com/free_profile/670119/Providence_Hospital_of_North_Houston/Houston/Texas/" TargetMode="External"/><Relationship Id="rId288" Type="http://schemas.openxmlformats.org/officeDocument/2006/relationships/hyperlink" Target="https://www.ahd.com/free_profile/670061/South_Texas_Surgical_Hospital/Corpus_Christi/Texas/" TargetMode="External"/><Relationship Id="rId106" Type="http://schemas.openxmlformats.org/officeDocument/2006/relationships/hyperlink" Target="https://www.ahd.com/free_profile/450034/CHRISTUS_Southeast_Texas_-_Saint_Elizabeth/Beaumont/Texas/" TargetMode="External"/><Relationship Id="rId127" Type="http://schemas.openxmlformats.org/officeDocument/2006/relationships/hyperlink" Target="https://www.ahd.com/free_profile/450040/Covenant_Medical_Center/Lubbock/Texas/" TargetMode="External"/><Relationship Id="rId313" Type="http://schemas.openxmlformats.org/officeDocument/2006/relationships/hyperlink" Target="https://www.ahd.com/free_profile/450351/Texas_Health_Stephenville/Stephenville/Texas/" TargetMode="External"/><Relationship Id="rId10" Type="http://schemas.openxmlformats.org/officeDocument/2006/relationships/hyperlink" Target="https://www.ahd.com/free_profile/450087/_Medical_City_North_Hills/North_Richland_Hills/Texas/" TargetMode="External"/><Relationship Id="rId31" Type="http://schemas.openxmlformats.org/officeDocument/2006/relationships/hyperlink" Target="https://www.ahd.com/free_profile/I41894/Baptist_Emergency_Hospital_Overlook/San_Antonio/Texas/" TargetMode="External"/><Relationship Id="rId52" Type="http://schemas.openxmlformats.org/officeDocument/2006/relationships/hyperlink" Target="https://www.ahd.com/free_profile/450730/Baylor_Scott_%26_White_Medical_Center_Carrollton/Carrollton/Texas/" TargetMode="External"/><Relationship Id="rId73" Type="http://schemas.openxmlformats.org/officeDocument/2006/relationships/hyperlink" Target="https://www.ahd.com/free_profile/450874/Baylor_Surgical_Hospital_at_Las_Colinas/Irving/Texas/" TargetMode="External"/><Relationship Id="rId94" Type="http://schemas.openxmlformats.org/officeDocument/2006/relationships/hyperlink" Target="https://www.ahd.com/free_profile/450369/Childress_Regional_Medical_Center/Childress/Texas/" TargetMode="External"/><Relationship Id="rId148" Type="http://schemas.openxmlformats.org/officeDocument/2006/relationships/hyperlink" Target="https://www.ahd.com/free_profile/450877/Foundation_Surgical_Hospital_of_El_Paso/El_Paso/Texas/" TargetMode="External"/><Relationship Id="rId169" Type="http://schemas.openxmlformats.org/officeDocument/2006/relationships/hyperlink" Target="https://www.ahd.com/free_profile/450155/Hereford_Regional_Medical_Center/Hereford/Texas/" TargetMode="External"/><Relationship Id="rId334" Type="http://schemas.openxmlformats.org/officeDocument/2006/relationships/hyperlink" Target="https://www.ahd.com/free_profile/450010/United_Regional_Eleventh_Street_Campus/Wichita_Falls/Texas/" TargetMode="External"/><Relationship Id="rId355" Type="http://schemas.openxmlformats.org/officeDocument/2006/relationships/hyperlink" Target="https://www.ahd.com/free_profile/450469/Wilson_N_Jones_Regional_Medical_Center/Sherman/Texas/" TargetMode="External"/><Relationship Id="rId4" Type="http://schemas.openxmlformats.org/officeDocument/2006/relationships/hyperlink" Target="https://www.ahd.com/free_profile/450253/_CHI_St_Joseph_Health_Bellville_Hospital/Bellville/Texas/" TargetMode="External"/><Relationship Id="rId180" Type="http://schemas.openxmlformats.org/officeDocument/2006/relationships/hyperlink" Target="https://www.ahd.com/free_profile/450347/Huntsville_Memorial_Hospital/Huntsville/Texas/" TargetMode="External"/><Relationship Id="rId215" Type="http://schemas.openxmlformats.org/officeDocument/2006/relationships/hyperlink" Target="https://www.ahd.com/free_profile/670012/Memorial_Hermann_Orthopedic_%26_Spine_Hospital/Bellaire/Texas/" TargetMode="External"/><Relationship Id="rId236" Type="http://schemas.openxmlformats.org/officeDocument/2006/relationships/hyperlink" Target="https://www.ahd.com/free_profile/450631/Methodist_Specialty_and_Transplant_Hospital/San_Antonio/Texas/" TargetMode="External"/><Relationship Id="rId257" Type="http://schemas.openxmlformats.org/officeDocument/2006/relationships/hyperlink" Target="https://www.ahd.com/free_profile/450661/Odessa_Regional_Medical_Center_/Odessa/Texas/" TargetMode="External"/><Relationship Id="rId278" Type="http://schemas.openxmlformats.org/officeDocument/2006/relationships/hyperlink" Target="https://www.ahd.com/free_profile/450035/Saint_Joseph_Medical_Center/Houston/Texas/" TargetMode="External"/><Relationship Id="rId303" Type="http://schemas.openxmlformats.org/officeDocument/2006/relationships/hyperlink" Target="https://www.ahd.com/free_profile/450743/Texas_Health_Denton/Denton/Texas/" TargetMode="External"/><Relationship Id="rId42" Type="http://schemas.openxmlformats.org/officeDocument/2006/relationships/hyperlink" Target="https://www.ahd.com/free_profile/I42301/Baylor_Scott_%26_White_Emergency_Hospital_-_Murphy/Murphy/Texas/" TargetMode="External"/><Relationship Id="rId84" Type="http://schemas.openxmlformats.org/officeDocument/2006/relationships/hyperlink" Target="https://www.ahd.com/free_profile/450862/CHI_Saint_Luke%27s_Health_-_The_Woodlands/The_Woodlands/Texas/" TargetMode="External"/><Relationship Id="rId138" Type="http://schemas.openxmlformats.org/officeDocument/2006/relationships/hyperlink" Target="https://www.ahd.com/free_profile/450411/Eastland_Memorial_Hospital/Eastland/Texas/" TargetMode="External"/><Relationship Id="rId345" Type="http://schemas.openxmlformats.org/officeDocument/2006/relationships/hyperlink" Target="https://www.ahd.com/free_profile/450154/Val_Verde_Regional_Medical_Center/Del_Rio/Texas/" TargetMode="External"/><Relationship Id="rId191" Type="http://schemas.openxmlformats.org/officeDocument/2006/relationships/hyperlink" Target="https://www.ahd.com/free_profile/450876/Lubbock_Heart_%26_Surgical_Hospital/Lubbock/Texas/" TargetMode="External"/><Relationship Id="rId205" Type="http://schemas.openxmlformats.org/officeDocument/2006/relationships/hyperlink" Target="https://www.ahd.com/free_profile/450669/Medical_City_Lewisville/Lewisville/Texas/" TargetMode="External"/><Relationship Id="rId247" Type="http://schemas.openxmlformats.org/officeDocument/2006/relationships/hyperlink" Target="https://www.ahd.com/free_profile/450641/Nocona_General_Hospital/Nocona/Texas/" TargetMode="External"/><Relationship Id="rId107" Type="http://schemas.openxmlformats.org/officeDocument/2006/relationships/hyperlink" Target="https://www.ahd.com/free_profile/450828/CHRISTUS_Spohn_Hospital_Alice/Alice/Texas/" TargetMode="External"/><Relationship Id="rId289" Type="http://schemas.openxmlformats.org/officeDocument/2006/relationships/hyperlink" Target="https://www.ahd.com/free_profile/450697/Southwest_General_Hospital/San_Antonio/Texas/" TargetMode="External"/><Relationship Id="rId11" Type="http://schemas.openxmlformats.org/officeDocument/2006/relationships/hyperlink" Target="https://www.ahd.com/free_profile/670044/_Texas_Health_Presbyterian_Hospital_of_Rockwall/Rockwall/Texas/" TargetMode="External"/><Relationship Id="rId53" Type="http://schemas.openxmlformats.org/officeDocument/2006/relationships/hyperlink" Target="https://www.ahd.com/free_profile/450885/Baylor_Scott_%26_White_Medical_Center_Centennial_/Frisco/Texas/" TargetMode="External"/><Relationship Id="rId149" Type="http://schemas.openxmlformats.org/officeDocument/2006/relationships/hyperlink" Target="https://www.ahd.com/free_profile/670054/Foundation_Surgical_Hospital_of_San_Antonio/San_Antonio/Texas/" TargetMode="External"/><Relationship Id="rId314" Type="http://schemas.openxmlformats.org/officeDocument/2006/relationships/hyperlink" Target="https://www.ahd.com/free_profile/450889/Texas_Institute_for_Surgery/Dallas/Texas/" TargetMode="External"/><Relationship Id="rId356" Type="http://schemas.openxmlformats.org/officeDocument/2006/relationships/hyperlink" Target="https://www.ahd.com/free_profile/I42288/Wise_Health_Surgical_Hospital_at_Argyle/Argyle/Texas/" TargetMode="External"/><Relationship Id="rId95" Type="http://schemas.openxmlformats.org/officeDocument/2006/relationships/hyperlink" Target="https://www.ahd.com/free_profile/450573/CHRISTUS_Jasper_Memorial_Hospital/Jasper/Texas/" TargetMode="External"/><Relationship Id="rId160" Type="http://schemas.openxmlformats.org/officeDocument/2006/relationships/hyperlink" Target="https://www.ahd.com/free_profile/670024/HCA_Houston_Healthcare_North_Cypress/Cypress/Texas/" TargetMode="External"/><Relationship Id="rId216" Type="http://schemas.openxmlformats.org/officeDocument/2006/relationships/hyperlink" Target="https://www.ahd.com/free_profile/I42186/Memorial_Hermann_Pearland_Hospital/Pearland_/Texas/" TargetMode="External"/><Relationship Id="rId258" Type="http://schemas.openxmlformats.org/officeDocument/2006/relationships/hyperlink" Target="https://www.ahd.com/free_profile/450747/Palestine_Regional_Medical_Center/Palestine/Texas/" TargetMode="External"/><Relationship Id="rId22" Type="http://schemas.openxmlformats.org/officeDocument/2006/relationships/hyperlink" Target="https://www.ahd.com/free_profile/450056/Ascension_Seton_Medical_Center_Austin/Austin/Texas/" TargetMode="External"/><Relationship Id="rId64" Type="http://schemas.openxmlformats.org/officeDocument/2006/relationships/hyperlink" Target="https://www.ahd.com/free_profile/450422/Baylor_Scott_%26_White_Medical_Center_Uptown/Dallas/Texas/" TargetMode="External"/><Relationship Id="rId118" Type="http://schemas.openxmlformats.org/officeDocument/2006/relationships/hyperlink" Target="https://www.ahd.com/free_profile/450370/Columbus_Community_Hospital/Columbus/Texas/" TargetMode="External"/><Relationship Id="rId325" Type="http://schemas.openxmlformats.org/officeDocument/2006/relationships/hyperlink" Target="https://www.ahd.com/free_profile/450076/The_University_of_Texas_M_D_Anderson_Cancer_Center/Houston/Texas/" TargetMode="External"/><Relationship Id="rId171" Type="http://schemas.openxmlformats.org/officeDocument/2006/relationships/hyperlink" Target="https://www.ahd.com/free_profile/450424/Houston_Methodist_Baytown_Hospital/Baytown/Texas/" TargetMode="External"/><Relationship Id="rId227" Type="http://schemas.openxmlformats.org/officeDocument/2006/relationships/hyperlink" Target="https://www.ahd.com/free_profile/450725/Methodist_Children%27s_Hospital/San_Antonio/Texas/" TargetMode="External"/><Relationship Id="rId269" Type="http://schemas.openxmlformats.org/officeDocument/2006/relationships/hyperlink" Target="https://www.ahd.com/free_profile/670098/Resolute_Health_Hospital/New_Braunfels/Texas/" TargetMode="External"/><Relationship Id="rId33" Type="http://schemas.openxmlformats.org/officeDocument/2006/relationships/hyperlink" Target="https://www.ahd.com/free_profile/I41893/Baptist_Emergency_Hospital_Westover_Hills/San_Antonio/Texas/" TargetMode="External"/><Relationship Id="rId129" Type="http://schemas.openxmlformats.org/officeDocument/2006/relationships/hyperlink" Target="https://www.ahd.com/free_profile/450379/Dallas_Medical_Center/Dallas/Texas/" TargetMode="External"/><Relationship Id="rId280" Type="http://schemas.openxmlformats.org/officeDocument/2006/relationships/hyperlink" Target="https://www.ahd.com/free_profile/I08069/Saint_Luke%27s_Baptist_Hospital/San_Antonio/Texas/" TargetMode="External"/><Relationship Id="rId336" Type="http://schemas.openxmlformats.org/officeDocument/2006/relationships/hyperlink" Target="https://www.ahd.com/free_profile/450686/University_Medical_Center/Lubbock/Texas/" TargetMode="External"/><Relationship Id="rId75" Type="http://schemas.openxmlformats.org/officeDocument/2006/relationships/hyperlink" Target="https://www.ahd.com/free_profile/450289/Ben_Taub_General_Hospital/Houston/Texas/" TargetMode="External"/><Relationship Id="rId140" Type="http://schemas.openxmlformats.org/officeDocument/2006/relationships/hyperlink" Target="https://www.ahd.com/free_profile/450694/El_Campo_Memorial_Hospital/El_Campo/Texas/" TargetMode="External"/><Relationship Id="rId182" Type="http://schemas.openxmlformats.org/officeDocument/2006/relationships/hyperlink" Target="https://www.ahd.com/free_profile/450827/Kell_West_Regional_Hospital/Wichita_Falls/Texas/" TargetMode="External"/><Relationship Id="rId6" Type="http://schemas.openxmlformats.org/officeDocument/2006/relationships/hyperlink" Target="https://www.ahd.com/free_profile/450037/_CHRISTUS_Good_Shepherd_Medical_Center_Longview/Longview/Texas/" TargetMode="External"/><Relationship Id="rId238" Type="http://schemas.openxmlformats.org/officeDocument/2006/relationships/hyperlink" Target="https://www.ahd.com/free_profile/450878/Methodist_Texsan_Hospital/San_Antonio/Texas/" TargetMode="External"/><Relationship Id="rId291" Type="http://schemas.openxmlformats.org/officeDocument/2006/relationships/hyperlink" Target="https://www.ahd.com/free_profile/450654/Starr_County_Memorial_Hospital/Rio_Grande_City/Texas/" TargetMode="External"/><Relationship Id="rId305" Type="http://schemas.openxmlformats.org/officeDocument/2006/relationships/hyperlink" Target="https://www.ahd.com/free_profile/450888/Texas_Health_Harris_Methodist_Hospital_Southlake/Southlake/Texas/" TargetMode="External"/><Relationship Id="rId347" Type="http://schemas.openxmlformats.org/officeDocument/2006/relationships/hyperlink" Target="https://www.ahd.com/free_profile/I42364/Valley_Baptist_Micro_Hospital-_Weslaco/Weslaco/Texas/" TargetMode="External"/><Relationship Id="rId44" Type="http://schemas.openxmlformats.org/officeDocument/2006/relationships/hyperlink" Target="https://www.ahd.com/free_profile/670062/Baylor_Scott_%26_White_Emergency_Hospital-Aubrey/Aubrey/Texas/" TargetMode="External"/><Relationship Id="rId86" Type="http://schemas.openxmlformats.org/officeDocument/2006/relationships/hyperlink" Target="https://www.ahd.com/free_profile/450193/CHI_Saint_Luke%27s_Health-Baylor_Saint_Luke%27s_Medical_Center/Houston/Texas/" TargetMode="External"/><Relationship Id="rId151" Type="http://schemas.openxmlformats.org/officeDocument/2006/relationships/hyperlink" Target="https://www.ahd.com/free_profile/450451/Glen_Rose_Medical_Center/Glen_Rose/Texas/" TargetMode="External"/><Relationship Id="rId193" Type="http://schemas.openxmlformats.org/officeDocument/2006/relationships/hyperlink" Target="https://www.ahd.com/free_profile/450465/Matagorda_Regional_Medical_Center/Bay_City/Texas/" TargetMode="External"/><Relationship Id="rId207" Type="http://schemas.openxmlformats.org/officeDocument/2006/relationships/hyperlink" Target="https://www.ahd.com/free_profile/450651/Medical_City_Plano/Plano/Texas/" TargetMode="External"/><Relationship Id="rId249" Type="http://schemas.openxmlformats.org/officeDocument/2006/relationships/hyperlink" Target="https://www.ahd.com/free_profile/670049/North_Central_Surgical_Center/Dallas/Texas/" TargetMode="External"/><Relationship Id="rId13" Type="http://schemas.openxmlformats.org/officeDocument/2006/relationships/hyperlink" Target="https://www.ahd.com/free_profile/450558/Abilene_Regional_Medical_Center/Abilene/Texas/" TargetMode="External"/><Relationship Id="rId109" Type="http://schemas.openxmlformats.org/officeDocument/2006/relationships/hyperlink" Target="https://www.ahd.com/free_profile/I41265/CHRISTUS_Spohn_Hospital_Corpus_Christi_-_South/Corpus_Christi/Texas/" TargetMode="External"/><Relationship Id="rId260" Type="http://schemas.openxmlformats.org/officeDocument/2006/relationships/hyperlink" Target="https://www.ahd.com/free_profile/450099/Pampa_Regional_Medical_Center/Pampa/Texas/" TargetMode="External"/><Relationship Id="rId316" Type="http://schemas.openxmlformats.org/officeDocument/2006/relationships/hyperlink" Target="https://www.ahd.com/free_profile/450324/Texoma_Medical_Center/Denison/Texas/" TargetMode="External"/><Relationship Id="rId55" Type="http://schemas.openxmlformats.org/officeDocument/2006/relationships/hyperlink" Target="https://www.ahd.com/free_profile/450101/Baylor_Scott_%26_White_Medical_Center_Hillcrest/Waco/Texas/" TargetMode="External"/><Relationship Id="rId97" Type="http://schemas.openxmlformats.org/officeDocument/2006/relationships/hyperlink" Target="https://www.ahd.com/free_profile/450102/CHRISTUS_Mother_Frances_Hospital_-_Tyler/Tyler/Texas/" TargetMode="External"/><Relationship Id="rId120" Type="http://schemas.openxmlformats.org/officeDocument/2006/relationships/hyperlink" Target="https://www.ahd.com/free_profile/450825/Cornerstone_Regional_Hospital/Edinburg/Texas/" TargetMode="External"/><Relationship Id="rId358" Type="http://schemas.openxmlformats.org/officeDocument/2006/relationships/hyperlink" Target="https://www.ahd.com/free_profile/450271/Wise_Health_System_-_East_Campus/Decatur/Texas/" TargetMode="External"/><Relationship Id="rId162" Type="http://schemas.openxmlformats.org/officeDocument/2006/relationships/hyperlink" Target="https://www.ahd.com/free_profile/670106/HCA_Houston_Healthcare_Pearland/Pearland/Texas/" TargetMode="External"/><Relationship Id="rId218" Type="http://schemas.openxmlformats.org/officeDocument/2006/relationships/hyperlink" Target="https://www.ahd.com/free_profile/450184/Memorial_Hermann_Southwest_Hospital/Houston/Texas/" TargetMode="External"/><Relationship Id="rId271" Type="http://schemas.openxmlformats.org/officeDocument/2006/relationships/hyperlink" Target="https://www.ahd.com/free_profile/450055/Rolling_Plains_Memorial_Hospital/Sweetwater/Texas/" TargetMode="External"/><Relationship Id="rId24" Type="http://schemas.openxmlformats.org/officeDocument/2006/relationships/hyperlink" Target="https://www.ahd.com/free_profile/450143/Ascension_Seton_Smithville/Smithville/Texas/" TargetMode="External"/><Relationship Id="rId66" Type="http://schemas.openxmlformats.org/officeDocument/2006/relationships/hyperlink" Target="https://www.ahd.com/free_profile/670067/Baylor_Scott_%26_White_Orthopedic_and_Spine_Hospital_Arlington/Arlington/Texas/" TargetMode="External"/><Relationship Id="rId131" Type="http://schemas.openxmlformats.org/officeDocument/2006/relationships/hyperlink" Target="https://www.ahd.com/free_profile/45066F/Dallas_VA_Medical_Center/Dallas/Texas/" TargetMode="External"/><Relationship Id="rId327" Type="http://schemas.openxmlformats.org/officeDocument/2006/relationships/hyperlink" Target="https://www.ahd.com/free_profile/450674/The_Woman%27s_Hospital_of_Texas/Houston/Texas/" TargetMode="External"/><Relationship Id="rId173" Type="http://schemas.openxmlformats.org/officeDocument/2006/relationships/hyperlink" Target="https://www.ahd.com/free_profile/450358/Houston_Methodist_Hospital/Houston/Texas/" TargetMode="External"/><Relationship Id="rId229" Type="http://schemas.openxmlformats.org/officeDocument/2006/relationships/hyperlink" Target="https://www.ahd.com/free_profile/450388/Methodist_Hospital/San_Antonio/Texas/" TargetMode="External"/><Relationship Id="rId240" Type="http://schemas.openxmlformats.org/officeDocument/2006/relationships/hyperlink" Target="https://www.ahd.com/free_profile/45074F/Michael_E_DeBakey_VA_Medical_Center/Houston/Texas/" TargetMode="External"/><Relationship Id="rId35" Type="http://schemas.openxmlformats.org/officeDocument/2006/relationships/hyperlink" Target="https://www.ahd.com/free_profile/450346/Baptist_Hospitals_of_Southeast_Texas/Beaumont/Texas/" TargetMode="External"/><Relationship Id="rId77" Type="http://schemas.openxmlformats.org/officeDocument/2006/relationships/hyperlink" Target="https://www.ahd.com/free_profile/450399/Brownfield_Regional_Medical_Center/Brownfield/Texas/" TargetMode="External"/><Relationship Id="rId100" Type="http://schemas.openxmlformats.org/officeDocument/2006/relationships/hyperlink" Target="https://www.ahd.com/free_profile/450615/CHRISTUS_Saint_Michael_Hospital_-_Atlanta/Atlanta/Texas/" TargetMode="External"/><Relationship Id="rId282" Type="http://schemas.openxmlformats.org/officeDocument/2006/relationships/hyperlink" Target="https://www.ahd.com/free_profile/450340/San_Angelo_Community_Medical_Center/San_Angelo/Texas/" TargetMode="External"/><Relationship Id="rId338" Type="http://schemas.openxmlformats.org/officeDocument/2006/relationships/hyperlink" Target="https://www.ahd.com/free_profile/450872/USMD_Hospital_at_Arlington/Arlington/Texas/" TargetMode="External"/><Relationship Id="rId8" Type="http://schemas.openxmlformats.org/officeDocument/2006/relationships/hyperlink" Target="https://www.ahd.com/free_profile/450775/_HCA_Houston_Healthcare_Kingwood/Kingwood/Texas/" TargetMode="External"/><Relationship Id="rId142" Type="http://schemas.openxmlformats.org/officeDocument/2006/relationships/hyperlink" Target="https://www.ahd.com/free_profile/450833/Ennis_Regional_Medical_Center/Ennis/Texas/" TargetMode="External"/><Relationship Id="rId184" Type="http://schemas.openxmlformats.org/officeDocument/2006/relationships/hyperlink" Target="https://www.ahd.com/free_profile/450128/Knapp_Medical_Center/Weslaco/Texas/" TargetMode="External"/><Relationship Id="rId251" Type="http://schemas.openxmlformats.org/officeDocument/2006/relationships/hyperlink" Target="https://www.ahd.com/free_profile/I08068/Northeast_Baptist_Hospital/San_Antonio/Texas/" TargetMode="External"/><Relationship Id="rId46" Type="http://schemas.openxmlformats.org/officeDocument/2006/relationships/hyperlink" Target="https://www.ahd.com/free_profile/450851/Baylor_Scott_%26_White_Heart_and_Vascular_Hospital/Dallas/Texas/" TargetMode="External"/><Relationship Id="rId293" Type="http://schemas.openxmlformats.org/officeDocument/2006/relationships/hyperlink" Target="https://www.ahd.com/free_profile/450831/Surgery_Specialty_Hospitals_of_America_/Pasadena/Texas/" TargetMode="External"/><Relationship Id="rId307" Type="http://schemas.openxmlformats.org/officeDocument/2006/relationships/hyperlink" Target="https://www.ahd.com/free_profile/450639/Texas_Health_HEB/Bedford/Texas/" TargetMode="External"/><Relationship Id="rId349" Type="http://schemas.openxmlformats.org/officeDocument/2006/relationships/hyperlink" Target="https://www.ahd.com/free_profile/450028/VBMC_-_Brownsville/Brownsville/Texas/" TargetMode="External"/></Relationships>
</file>

<file path=xl/worksheets/_rels/sheet4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ahd.com/free_profile/460010/Intermountain_Medical_Center/Murray/Utah/" TargetMode="External"/><Relationship Id="rId18" Type="http://schemas.openxmlformats.org/officeDocument/2006/relationships/hyperlink" Target="https://www.ahd.com/free_profile/460015/Logan_Regional_Hospital/Logan/Utah/" TargetMode="External"/><Relationship Id="rId26" Type="http://schemas.openxmlformats.org/officeDocument/2006/relationships/hyperlink" Target="https://www.ahd.com/free_profile/460057/Park_City_Hospital/Park_City/Utah/" TargetMode="External"/><Relationship Id="rId3" Type="http://schemas.openxmlformats.org/officeDocument/2006/relationships/hyperlink" Target="https://www.ahd.com/free_profile/460030/Ashley_Regional_Medical_Center/Vernal/Utah/" TargetMode="External"/><Relationship Id="rId21" Type="http://schemas.openxmlformats.org/officeDocument/2006/relationships/hyperlink" Target="https://www.ahd.com/free_profile/I42102/Mountain_Point_Medical_Center/Lehi/Utah/" TargetMode="External"/><Relationship Id="rId34" Type="http://schemas.openxmlformats.org/officeDocument/2006/relationships/hyperlink" Target="https://www.ahd.com/free_profile/460009/University_of_Utah_Hospital/Salt_Lake_City/Utah/" TargetMode="External"/><Relationship Id="rId7" Type="http://schemas.openxmlformats.org/officeDocument/2006/relationships/hyperlink" Target="https://www.ahd.com/free_profile/460011/Castleview_Hospital/Price/Utah/" TargetMode="External"/><Relationship Id="rId12" Type="http://schemas.openxmlformats.org/officeDocument/2006/relationships/hyperlink" Target="https://www.ahd.com/free_profile/460061/Intermountain_Layton_Hospital_/Layton/Utah/" TargetMode="External"/><Relationship Id="rId17" Type="http://schemas.openxmlformats.org/officeDocument/2006/relationships/hyperlink" Target="https://www.ahd.com/free_profile/460006/LDS_Hospital/Salt_Lake_City/Utah/" TargetMode="External"/><Relationship Id="rId25" Type="http://schemas.openxmlformats.org/officeDocument/2006/relationships/hyperlink" Target="https://www.ahd.com/free_profile/460043/Orem_Community_Hospital/Orem/Utah/" TargetMode="External"/><Relationship Id="rId33" Type="http://schemas.openxmlformats.org/officeDocument/2006/relationships/hyperlink" Target="https://www.ahd.com/free_profile/460019/Uintah_Basin_Medical_Center/Roosevelt/Utah/" TargetMode="External"/><Relationship Id="rId2" Type="http://schemas.openxmlformats.org/officeDocument/2006/relationships/hyperlink" Target="https://www.ahd.com/free_profile/460023/American_Fork_Hospital/American_Fork/Utah/" TargetMode="External"/><Relationship Id="rId16" Type="http://schemas.openxmlformats.org/officeDocument/2006/relationships/hyperlink" Target="https://www.ahd.com/free_profile/460042/Lakeview_Hospital/Bountiful/Utah/" TargetMode="External"/><Relationship Id="rId20" Type="http://schemas.openxmlformats.org/officeDocument/2006/relationships/hyperlink" Target="https://www.ahd.com/free_profile/460004/McKay-Dee_Hospital/Ogden/Utah/" TargetMode="External"/><Relationship Id="rId29" Type="http://schemas.openxmlformats.org/officeDocument/2006/relationships/hyperlink" Target="https://www.ahd.com/free_profile/460003/Salt_Lake_Regional_Medical_Center/Salt_Lake_City/Utah/" TargetMode="External"/><Relationship Id="rId1" Type="http://schemas.openxmlformats.org/officeDocument/2006/relationships/hyperlink" Target="https://www.ahd.com/free_profile/460044/Alta_View_Hospital/Sandy/Utah/" TargetMode="External"/><Relationship Id="rId6" Type="http://schemas.openxmlformats.org/officeDocument/2006/relationships/hyperlink" Target="https://www.ahd.com/free_profile/460054/Cache_Valley_Hospital/North_Logan/Utah/" TargetMode="External"/><Relationship Id="rId11" Type="http://schemas.openxmlformats.org/officeDocument/2006/relationships/hyperlink" Target="https://www.ahd.com/free_profile/46002F/George_E_Wahlen_Department_of_Veterans_Affairs_Medical_Center/Salt_Lake_City/Utah/" TargetMode="External"/><Relationship Id="rId24" Type="http://schemas.openxmlformats.org/officeDocument/2006/relationships/hyperlink" Target="https://www.ahd.com/free_profile/460005/Ogden_Regional_Medical_Center/Ogden/Utah/" TargetMode="External"/><Relationship Id="rId32" Type="http://schemas.openxmlformats.org/officeDocument/2006/relationships/hyperlink" Target="https://www.ahd.com/free_profile/460052/Timpanogos_Regional_Hospital/Orem/Utah/" TargetMode="External"/><Relationship Id="rId5" Type="http://schemas.openxmlformats.org/officeDocument/2006/relationships/hyperlink" Target="https://www.ahd.com/free_profile/460017/Brigham_City_Community_Hospital/Brigham_City/Utah/" TargetMode="External"/><Relationship Id="rId15" Type="http://schemas.openxmlformats.org/officeDocument/2006/relationships/hyperlink" Target="https://www.ahd.com/free_profile/460008/Jordan_Valley_Medical_Center_-_West_Valley_Campus/West_Valley_City/Utah/" TargetMode="External"/><Relationship Id="rId23" Type="http://schemas.openxmlformats.org/officeDocument/2006/relationships/hyperlink" Target="https://www.ahd.com/free_profile/460014/Mountain_West_Medical_Center/Tooele/Utah/" TargetMode="External"/><Relationship Id="rId28" Type="http://schemas.openxmlformats.org/officeDocument/2006/relationships/hyperlink" Target="https://www.ahd.com/free_profile/460047/Saint_Mark%27s_Hospital/Salt_Lake_City/Utah/" TargetMode="External"/><Relationship Id="rId10" Type="http://schemas.openxmlformats.org/officeDocument/2006/relationships/hyperlink" Target="https://www.ahd.com/free_profile/460021/Dixie_Regional_Medical_Center_/Saint_George/Utah/" TargetMode="External"/><Relationship Id="rId19" Type="http://schemas.openxmlformats.org/officeDocument/2006/relationships/hyperlink" Target="https://www.ahd.com/free_profile/460060/Lone_Peak_Hospital_/Draper/Utah/" TargetMode="External"/><Relationship Id="rId31" Type="http://schemas.openxmlformats.org/officeDocument/2006/relationships/hyperlink" Target="https://www.ahd.com/free_profile/460049/The_Orthopedic_Specialty_Hospital_%28TOSH%29/Murray/Utah/" TargetMode="External"/><Relationship Id="rId4" Type="http://schemas.openxmlformats.org/officeDocument/2006/relationships/hyperlink" Target="https://www.ahd.com/free_profile/460039/Bear_River_Valley_Hospital/Tremonton/Utah/" TargetMode="External"/><Relationship Id="rId9" Type="http://schemas.openxmlformats.org/officeDocument/2006/relationships/hyperlink" Target="https://www.ahd.com/free_profile/460041/Davis_Hospital_and_Medical_Center/Layton/Utah/" TargetMode="External"/><Relationship Id="rId14" Type="http://schemas.openxmlformats.org/officeDocument/2006/relationships/hyperlink" Target="https://www.ahd.com/free_profile/460051/Jordan_Valley_Medical_Center/West_Jordan/Utah/" TargetMode="External"/><Relationship Id="rId22" Type="http://schemas.openxmlformats.org/officeDocument/2006/relationships/hyperlink" Target="https://www.ahd.com/free_profile/460013/Mountain_View_Hospital/Payson/Utah/" TargetMode="External"/><Relationship Id="rId27" Type="http://schemas.openxmlformats.org/officeDocument/2006/relationships/hyperlink" Target="https://www.ahd.com/free_profile/460058/Riverton_Hospital/Riverton/Utah/" TargetMode="External"/><Relationship Id="rId30" Type="http://schemas.openxmlformats.org/officeDocument/2006/relationships/hyperlink" Target="https://www.ahd.com/free_profile/460026/Sevier_Valley_Hospital/Richfield/Utah/" TargetMode="External"/><Relationship Id="rId35" Type="http://schemas.openxmlformats.org/officeDocument/2006/relationships/hyperlink" Target="https://www.ahd.com/free_profile/460001/Utah_Valley_Hospital_/Provo/Utah/" TargetMode="External"/><Relationship Id="rId8" Type="http://schemas.openxmlformats.org/officeDocument/2006/relationships/hyperlink" Target="https://www.ahd.com/free_profile/460007/Cedar_City_Hospital/Cedar_City/Utah/" TargetMode="External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hd.com/free_profile/490104/Hiram_W_Davis_Medical_Center/Petersburg/Virginia/" TargetMode="External"/><Relationship Id="rId21" Type="http://schemas.openxmlformats.org/officeDocument/2006/relationships/hyperlink" Target="https://www.ahd.com/free_profile/490060/Clinch_Valley_Medical_Center/Richlands/Virginia/" TargetMode="External"/><Relationship Id="rId42" Type="http://schemas.openxmlformats.org/officeDocument/2006/relationships/hyperlink" Target="https://www.ahd.com/free_profile/49002F/McDonald_Army_Health_Center/Fort_Eustis/Virginia/" TargetMode="External"/><Relationship Id="rId47" Type="http://schemas.openxmlformats.org/officeDocument/2006/relationships/hyperlink" Target="https://www.ahd.com/free_profile/490019/Novant_Health_UVA_Health_System_Culpeper_Medical_Center/Culpeper/Virginia/" TargetMode="External"/><Relationship Id="rId63" Type="http://schemas.openxmlformats.org/officeDocument/2006/relationships/hyperlink" Target="https://www.ahd.com/free_profile/490093/Sentara_CarePlex_Hospital/Hampton/Virginia/" TargetMode="External"/><Relationship Id="rId68" Type="http://schemas.openxmlformats.org/officeDocument/2006/relationships/hyperlink" Target="https://www.ahd.com/free_profile/490007/Sentara_Norfolk_General_Hospital/Norfolk/Virginia/" TargetMode="External"/><Relationship Id="rId84" Type="http://schemas.openxmlformats.org/officeDocument/2006/relationships/hyperlink" Target="https://www.ahd.com/free_profile/490115/Twin_County_Regional_Hospital/Galax/Virginia/" TargetMode="External"/><Relationship Id="rId89" Type="http://schemas.openxmlformats.org/officeDocument/2006/relationships/hyperlink" Target="https://www.ahd.com/free_profile/490005/Winchester_Medical_Center/Winchester/Virginia/" TargetMode="External"/><Relationship Id="rId16" Type="http://schemas.openxmlformats.org/officeDocument/2006/relationships/hyperlink" Target="https://www.ahd.com/free_profile/490021/Centra_Lynchburg_General_Hospital/Lynchburg/Virginia/" TargetMode="External"/><Relationship Id="rId11" Type="http://schemas.openxmlformats.org/officeDocument/2006/relationships/hyperlink" Target="https://www.ahd.com/free_profile/I42215/Carilion_Roanoke_Community_Hospital/Roanoke/Virginia/" TargetMode="External"/><Relationship Id="rId32" Type="http://schemas.openxmlformats.org/officeDocument/2006/relationships/hyperlink" Target="https://www.ahd.com/free_profile/490122/Inova_Mount_Vernon_Hospital/Alexandria/Virginia/" TargetMode="External"/><Relationship Id="rId37" Type="http://schemas.openxmlformats.org/officeDocument/2006/relationships/hyperlink" Target="https://www.ahd.com/free_profile/490110/LewisGale_Hospital_-_Montgomery/Blacksburg/Virginia/" TargetMode="External"/><Relationship Id="rId53" Type="http://schemas.openxmlformats.org/officeDocument/2006/relationships/hyperlink" Target="https://www.ahd.com/free_profile/490094/Richmond_Community_Hospital/Richmond/Virginia/" TargetMode="External"/><Relationship Id="rId58" Type="http://schemas.openxmlformats.org/officeDocument/2006/relationships/hyperlink" Target="https://www.ahd.com/free_profile/490130/Riverside_Walter_Reed_Hospital/Gloucester/Virginia/" TargetMode="External"/><Relationship Id="rId74" Type="http://schemas.openxmlformats.org/officeDocument/2006/relationships/hyperlink" Target="https://www.ahd.com/free_profile/490066/Sentara_Williamsburg_Regional_Medical_Center/Williamsburg/Virginia/" TargetMode="External"/><Relationship Id="rId79" Type="http://schemas.openxmlformats.org/officeDocument/2006/relationships/hyperlink" Target="https://www.ahd.com/free_profile/490075/SOVAH_Health_Danville/Danville/Virginia/" TargetMode="External"/><Relationship Id="rId5" Type="http://schemas.openxmlformats.org/officeDocument/2006/relationships/hyperlink" Target="https://www.ahd.com/free_profile/490041/Bon_Secours_Mary_Immaculate_Hospital/Newport_News/Virginia/" TargetMode="External"/><Relationship Id="rId90" Type="http://schemas.openxmlformats.org/officeDocument/2006/relationships/hyperlink" Target="https://www.ahd.com/free_profile/490111/Wythe_County_Community_Hospital/Wytheville/Virginia/" TargetMode="External"/><Relationship Id="rId14" Type="http://schemas.openxmlformats.org/officeDocument/2006/relationships/hyperlink" Target="https://www.ahd.com/free_profile/490135/Catawba_Hospital/Catawba/Virginia/" TargetMode="External"/><Relationship Id="rId22" Type="http://schemas.openxmlformats.org/officeDocument/2006/relationships/hyperlink" Target="https://www.ahd.com/free_profile/490023/Fauquier_Hospital/Warrenton/Virginia/" TargetMode="External"/><Relationship Id="rId27" Type="http://schemas.openxmlformats.org/officeDocument/2006/relationships/hyperlink" Target="https://www.ahd.com/free_profile/49010F/Hunter_Holmes_McGuire_VA_Medical_Center_/Richmond/Virginia/" TargetMode="External"/><Relationship Id="rId30" Type="http://schemas.openxmlformats.org/officeDocument/2006/relationships/hyperlink" Target="https://www.ahd.com/free_profile/490063/Inova_Fairfax_Hospital/Falls_Church/Virginia/" TargetMode="External"/><Relationship Id="rId35" Type="http://schemas.openxmlformats.org/officeDocument/2006/relationships/hyperlink" Target="https://www.ahd.com/free_profile/490028/Johnston-Willis_Hospital/Richmond/Virginia/" TargetMode="External"/><Relationship Id="rId43" Type="http://schemas.openxmlformats.org/officeDocument/2006/relationships/hyperlink" Target="https://www.ahd.com/free_profile/490069/Memorial_Regional_Medical_Center/Mechanicsville/Virginia/" TargetMode="External"/><Relationship Id="rId48" Type="http://schemas.openxmlformats.org/officeDocument/2006/relationships/hyperlink" Target="https://www.ahd.com/free_profile/490144/Novant_Health_UVA_Health_System_Haymarket_Medical_Center/Haymarket/Virginia/" TargetMode="External"/><Relationship Id="rId56" Type="http://schemas.openxmlformats.org/officeDocument/2006/relationships/hyperlink" Target="https://www.ahd.com/free_profile/490037/Riverside_Shore_Memorial_Hospital/Onancock/Virginia/" TargetMode="External"/><Relationship Id="rId64" Type="http://schemas.openxmlformats.org/officeDocument/2006/relationships/hyperlink" Target="https://www.ahd.com/free_profile/490013/Sentara_Halifax_Regional_Hospital/South_Boston/Virginia/" TargetMode="External"/><Relationship Id="rId69" Type="http://schemas.openxmlformats.org/officeDocument/2006/relationships/hyperlink" Target="https://www.ahd.com/free_profile/490113/Sentara_Northern_Virginia_Medical_Center/Woodbridge/Virginia/" TargetMode="External"/><Relationship Id="rId77" Type="http://schemas.openxmlformats.org/officeDocument/2006/relationships/hyperlink" Target="https://www.ahd.com/free_profile/490097/Southern_Virginia_Regional_Medical_Center/Emporia/Virginia/" TargetMode="External"/><Relationship Id="rId8" Type="http://schemas.openxmlformats.org/officeDocument/2006/relationships/hyperlink" Target="https://www.ahd.com/free_profile/490129/Capital_Caring/Arlington_/Virginia/" TargetMode="External"/><Relationship Id="rId51" Type="http://schemas.openxmlformats.org/officeDocument/2006/relationships/hyperlink" Target="https://www.ahd.com/free_profile/490107/Reston_Hospital_Center/Reston/Virginia/" TargetMode="External"/><Relationship Id="rId72" Type="http://schemas.openxmlformats.org/officeDocument/2006/relationships/hyperlink" Target="https://www.ahd.com/free_profile/490004/Sentara_RMH_Medical_Center/Harrisonburg/Virginia/" TargetMode="External"/><Relationship Id="rId80" Type="http://schemas.openxmlformats.org/officeDocument/2006/relationships/hyperlink" Target="https://www.ahd.com/free_profile/490079/SOVAH_Health_Martinsville/Martinsville/Virginia/" TargetMode="External"/><Relationship Id="rId85" Type="http://schemas.openxmlformats.org/officeDocument/2006/relationships/hyperlink" Target="https://www.ahd.com/free_profile/490009/University_Hospital/Charlottesville/Virginia/" TargetMode="External"/><Relationship Id="rId3" Type="http://schemas.openxmlformats.org/officeDocument/2006/relationships/hyperlink" Target="https://www.ahd.com/free_profile/490018/Augusta_Health/Fishersville/Virginia/" TargetMode="External"/><Relationship Id="rId12" Type="http://schemas.openxmlformats.org/officeDocument/2006/relationships/hyperlink" Target="https://www.ahd.com/free_profile/490024/Carilion_Roanoke_Memorial_Hospital/Roanoke/Virginia/" TargetMode="External"/><Relationship Id="rId17" Type="http://schemas.openxmlformats.org/officeDocument/2006/relationships/hyperlink" Target="https://www.ahd.com/free_profile/490090/Centra_Southside_Community_Hospital/Farmville/Virginia/" TargetMode="External"/><Relationship Id="rId25" Type="http://schemas.openxmlformats.org/officeDocument/2006/relationships/hyperlink" Target="https://www.ahd.com/free_profile/490118/Henrico_Doctors%27_Hospital/Richmond/Virginia/" TargetMode="External"/><Relationship Id="rId33" Type="http://schemas.openxmlformats.org/officeDocument/2006/relationships/hyperlink" Target="https://www.ahd.com/free_profile/490020/John_Randolph_Medical_Center/Hopewell/Virginia/" TargetMode="External"/><Relationship Id="rId38" Type="http://schemas.openxmlformats.org/officeDocument/2006/relationships/hyperlink" Target="https://www.ahd.com/free_profile/490116/LewisGale_Hospital_-_Pulaski/Pulaski/Virginia/" TargetMode="External"/><Relationship Id="rId46" Type="http://schemas.openxmlformats.org/officeDocument/2006/relationships/hyperlink" Target="https://www.ahd.com/free_profile/490001/Norton_Community_Hospital/Norton/Virginia/" TargetMode="External"/><Relationship Id="rId59" Type="http://schemas.openxmlformats.org/officeDocument/2006/relationships/hyperlink" Target="https://www.ahd.com/free_profile/490002/Russell_County_Hospital/Lebanon/Virginia/" TargetMode="External"/><Relationship Id="rId67" Type="http://schemas.openxmlformats.org/officeDocument/2006/relationships/hyperlink" Target="https://www.ahd.com/free_profile/490077/Sentara_Martha_Jefferson_Hospital/Charlottesville/Virginia/" TargetMode="External"/><Relationship Id="rId20" Type="http://schemas.openxmlformats.org/officeDocument/2006/relationships/hyperlink" Target="https://www.ahd.com/free_profile/490112/Chippenham_Hospital_/Richmond/Virginia/" TargetMode="External"/><Relationship Id="rId41" Type="http://schemas.openxmlformats.org/officeDocument/2006/relationships/hyperlink" Target="https://www.ahd.com/free_profile/490022/Mary_Washington_Hospital/Fredericksburg/Virginia/" TargetMode="External"/><Relationship Id="rId54" Type="http://schemas.openxmlformats.org/officeDocument/2006/relationships/hyperlink" Target="https://www.ahd.com/free_profile/490143/Riverside_Doctors_Hospital_Williamsburg/Williamsburg/Virginia/" TargetMode="External"/><Relationship Id="rId62" Type="http://schemas.openxmlformats.org/officeDocument/2006/relationships/hyperlink" Target="https://www.ahd.com/free_profile/49011F/Salem_VA_Medical_Center/Salem/Virginia/" TargetMode="External"/><Relationship Id="rId70" Type="http://schemas.openxmlformats.org/officeDocument/2006/relationships/hyperlink" Target="https://www.ahd.com/free_profile/490044/Sentara_Obici_Hospital/Suffolk/Virginia/" TargetMode="External"/><Relationship Id="rId75" Type="http://schemas.openxmlformats.org/officeDocument/2006/relationships/hyperlink" Target="https://www.ahd.com/free_profile/490038/Smyth_County_Community_Hospital/Marion/Virginia/" TargetMode="External"/><Relationship Id="rId83" Type="http://schemas.openxmlformats.org/officeDocument/2006/relationships/hyperlink" Target="https://www.ahd.com/free_profile/490145/StoneSprings_Hospital_Center/Dulles/Virginia/" TargetMode="External"/><Relationship Id="rId88" Type="http://schemas.openxmlformats.org/officeDocument/2006/relationships/hyperlink" Target="https://www.ahd.com/free_profile/490033/Warren_Memorial_Hospital/Front_Royal/Virginia/" TargetMode="External"/><Relationship Id="rId1" Type="http://schemas.openxmlformats.org/officeDocument/2006/relationships/hyperlink" Target="https://www.ahd.com/free_profile/490098/_VCU_Community_Memorial_Hospital/South_Hill/Virginia/" TargetMode="External"/><Relationship Id="rId6" Type="http://schemas.openxmlformats.org/officeDocument/2006/relationships/hyperlink" Target="https://www.ahd.com/free_profile/490017/Bon_Secours_Maryview_Medical_Center/Portsmouth/Virginia/" TargetMode="External"/><Relationship Id="rId15" Type="http://schemas.openxmlformats.org/officeDocument/2006/relationships/hyperlink" Target="https://www.ahd.com/free_profile/490088/Centra_Bedford_Memorial_Hospital/Bedford/Virginia/" TargetMode="External"/><Relationship Id="rId23" Type="http://schemas.openxmlformats.org/officeDocument/2006/relationships/hyperlink" Target="https://www.ahd.com/free_profile/49001F/Fort_Belvoir_Community_Hospital/Fort_Belvoir/Virginia/" TargetMode="External"/><Relationship Id="rId28" Type="http://schemas.openxmlformats.org/officeDocument/2006/relationships/hyperlink" Target="https://www.ahd.com/free_profile/490040/Inova_Alexandria_Hospital/Alexandria/Virginia/" TargetMode="External"/><Relationship Id="rId36" Type="http://schemas.openxmlformats.org/officeDocument/2006/relationships/hyperlink" Target="https://www.ahd.com/free_profile/490126/LewisGale_Hospital_-_Alleghany/Low_Moor/Virginia/" TargetMode="External"/><Relationship Id="rId49" Type="http://schemas.openxmlformats.org/officeDocument/2006/relationships/hyperlink" Target="https://www.ahd.com/free_profile/490045/Novant_Health_UVA_Health_System_Prince_William_Medical_Center/Manassas/Virginia/" TargetMode="External"/><Relationship Id="rId57" Type="http://schemas.openxmlformats.org/officeDocument/2006/relationships/hyperlink" Target="https://www.ahd.com/free_profile/490084/Riverside_Tappahannock_Hospital/Tappahannock/Virginia/" TargetMode="External"/><Relationship Id="rId10" Type="http://schemas.openxmlformats.org/officeDocument/2006/relationships/hyperlink" Target="https://www.ahd.com/free_profile/490042/Carilion_New_River_Valley_Medical_Center/Christiansburg/Virginia/" TargetMode="External"/><Relationship Id="rId31" Type="http://schemas.openxmlformats.org/officeDocument/2006/relationships/hyperlink" Target="https://www.ahd.com/free_profile/490043/Inova_Loudoun_Hospital/Leesburg/Virginia/" TargetMode="External"/><Relationship Id="rId44" Type="http://schemas.openxmlformats.org/officeDocument/2006/relationships/hyperlink" Target="https://www.ahd.com/free_profile/490027/Mountain_View_Regional_Hospital/Norton/Virginia/" TargetMode="External"/><Relationship Id="rId52" Type="http://schemas.openxmlformats.org/officeDocument/2006/relationships/hyperlink" Target="https://www.ahd.com/free_profile/490071/Retreat_Doctors_Hospital_-_A_Campus_of_Henrico_Doctor%27s_Hospital/Richmond/Virginia/" TargetMode="External"/><Relationship Id="rId60" Type="http://schemas.openxmlformats.org/officeDocument/2006/relationships/hyperlink" Target="https://www.ahd.com/free_profile/490136/Saint_Francis_Medical_Center/Midlothian/Virginia/" TargetMode="External"/><Relationship Id="rId65" Type="http://schemas.openxmlformats.org/officeDocument/2006/relationships/hyperlink" Target="https://www.ahd.com/free_profile/I41151/Sentara_Heart_Hospital/Norfolk/Virginia/" TargetMode="External"/><Relationship Id="rId73" Type="http://schemas.openxmlformats.org/officeDocument/2006/relationships/hyperlink" Target="https://www.ahd.com/free_profile/490057/Sentara_Virginia_Beach_General_Hospital/Virginia_Beach/Virginia/" TargetMode="External"/><Relationship Id="rId78" Type="http://schemas.openxmlformats.org/officeDocument/2006/relationships/hyperlink" Target="https://www.ahd.com/free_profile/490067/Southside_Regional_Medical_Center/Petersburg/Virginia/" TargetMode="External"/><Relationship Id="rId81" Type="http://schemas.openxmlformats.org/officeDocument/2006/relationships/hyperlink" Target="https://www.ahd.com/free_profile/490141/Spotsylvania_Regional_Medical_Center/Fredericksburg/Virginia/" TargetMode="External"/><Relationship Id="rId86" Type="http://schemas.openxmlformats.org/officeDocument/2006/relationships/hyperlink" Target="https://www.ahd.com/free_profile/490032/VCU_Medical_Center/Richmond/Virginia/" TargetMode="External"/><Relationship Id="rId4" Type="http://schemas.openxmlformats.org/officeDocument/2006/relationships/hyperlink" Target="https://www.ahd.com/free_profile/490011/Bon_Secours_DePaul_Medical_Center/Norfolk/Virginia/" TargetMode="External"/><Relationship Id="rId9" Type="http://schemas.openxmlformats.org/officeDocument/2006/relationships/hyperlink" Target="https://www.ahd.com/free_profile/490089/Carilion_Franklin_Memorial_Hospital/Rocky_Mount/Virginia/" TargetMode="External"/><Relationship Id="rId13" Type="http://schemas.openxmlformats.org/officeDocument/2006/relationships/hyperlink" Target="https://www.ahd.com/free_profile/490117/Carilion_Tazewell_Community_Hospital/Tazewell/Virginia/" TargetMode="External"/><Relationship Id="rId18" Type="http://schemas.openxmlformats.org/officeDocument/2006/relationships/hyperlink" Target="https://www.ahd.com/free_profile/I41030/Centra_Virginia_Baptist_Hospital/Lynchburg/Virginia/" TargetMode="External"/><Relationship Id="rId39" Type="http://schemas.openxmlformats.org/officeDocument/2006/relationships/hyperlink" Target="https://www.ahd.com/free_profile/490048/LewisGale_Medical_Center/Salem/Virginia/" TargetMode="External"/><Relationship Id="rId34" Type="http://schemas.openxmlformats.org/officeDocument/2006/relationships/hyperlink" Target="https://www.ahd.com/free_profile/490053/Johnston_Memorial_Hospital/Abingdon/Virginia/" TargetMode="External"/><Relationship Id="rId50" Type="http://schemas.openxmlformats.org/officeDocument/2006/relationships/hyperlink" Target="https://www.ahd.com/free_profile/I41080/Parham_Doctor%27s_Hospital_-_A_Campus_of_Henrico_Doctor%27s_Hospital_/Richmond/Virginia/" TargetMode="External"/><Relationship Id="rId55" Type="http://schemas.openxmlformats.org/officeDocument/2006/relationships/hyperlink" Target="https://www.ahd.com/free_profile/490052/Riverside_Regional_Medical_Center/Newport_News/Virginia/" TargetMode="External"/><Relationship Id="rId76" Type="http://schemas.openxmlformats.org/officeDocument/2006/relationships/hyperlink" Target="https://www.ahd.com/free_profile/490092/Southampton_Memorial_Hospital/Franklin/Virginia/" TargetMode="External"/><Relationship Id="rId7" Type="http://schemas.openxmlformats.org/officeDocument/2006/relationships/hyperlink" Target="https://www.ahd.com/free_profile/490127/Buchanan_General_Hospital/Grundy/Virginia/" TargetMode="External"/><Relationship Id="rId71" Type="http://schemas.openxmlformats.org/officeDocument/2006/relationships/hyperlink" Target="https://www.ahd.com/free_profile/490119/Sentara_Princess_Anne_Hospital_/Virginia_Beach/Virginia/" TargetMode="External"/><Relationship Id="rId2" Type="http://schemas.openxmlformats.org/officeDocument/2006/relationships/hyperlink" Target="https://www.ahd.com/free_profile/I41005/633d_Medical_Group_-Langley_Air_Force_Base/Hampton/Virginia/" TargetMode="External"/><Relationship Id="rId29" Type="http://schemas.openxmlformats.org/officeDocument/2006/relationships/hyperlink" Target="https://www.ahd.com/free_profile/490101/Inova_Fair_Oaks_Hospital/Fairfax/Virginia/" TargetMode="External"/><Relationship Id="rId24" Type="http://schemas.openxmlformats.org/officeDocument/2006/relationships/hyperlink" Target="https://www.ahd.com/free_profile/49006F/Hampton_VA_Medical_Center/Hampton/Virginia/" TargetMode="External"/><Relationship Id="rId40" Type="http://schemas.openxmlformats.org/officeDocument/2006/relationships/hyperlink" Target="https://www.ahd.com/free_profile/490114/Lonesome_Pine_Hospital/Big_Stone_Gap/Virginia/" TargetMode="External"/><Relationship Id="rId45" Type="http://schemas.openxmlformats.org/officeDocument/2006/relationships/hyperlink" Target="https://www.ahd.com/free_profile/49008F/Naval_Medical_Center_Portsmouth/Portsmouth/Virginia/" TargetMode="External"/><Relationship Id="rId66" Type="http://schemas.openxmlformats.org/officeDocument/2006/relationships/hyperlink" Target="https://www.ahd.com/free_profile/490046/Sentara_Leigh_Hospital/Norfolk/Virginia/" TargetMode="External"/><Relationship Id="rId87" Type="http://schemas.openxmlformats.org/officeDocument/2006/relationships/hyperlink" Target="https://www.ahd.com/free_profile/490050/Virginia_Hospital_Center/Arlington/Virginia/" TargetMode="External"/><Relationship Id="rId61" Type="http://schemas.openxmlformats.org/officeDocument/2006/relationships/hyperlink" Target="https://www.ahd.com/free_profile/490059/Saint_Mary%27s_Hospital/Richmond/Virginia/" TargetMode="External"/><Relationship Id="rId82" Type="http://schemas.openxmlformats.org/officeDocument/2006/relationships/hyperlink" Target="https://www.ahd.com/free_profile/490140/Stafford_Hospital/Stafford/Virginia/" TargetMode="External"/><Relationship Id="rId19" Type="http://schemas.openxmlformats.org/officeDocument/2006/relationships/hyperlink" Target="https://www.ahd.com/free_profile/490120/Chesapeake_Regional_Medical_Center/Chesapeake/Virginia/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hd.com/free_profile/470012/Southwestern_Vermont_Medical_Center/Bennington/Vermont/" TargetMode="External"/><Relationship Id="rId2" Type="http://schemas.openxmlformats.org/officeDocument/2006/relationships/hyperlink" Target="https://www.ahd.com/free_profile/470005/Rutland_Regional_Medical_Center/Rutland/Vermont/" TargetMode="External"/><Relationship Id="rId1" Type="http://schemas.openxmlformats.org/officeDocument/2006/relationships/hyperlink" Target="https://www.ahd.com/free_profile/470024/Northwestern_Medical_Center/Saint_Albans/Vermont/" TargetMode="External"/><Relationship Id="rId6" Type="http://schemas.openxmlformats.org/officeDocument/2006/relationships/hyperlink" Target="https://www.ahd.com/free_profile/47001F/White_River_Junction_VA_Medical_Center/White_River_Junction/Vermont/" TargetMode="External"/><Relationship Id="rId5" Type="http://schemas.openxmlformats.org/officeDocument/2006/relationships/hyperlink" Target="https://www.ahd.com/free_profile/470003/The_University_of_Vermont_Medical_Center/Burlington/Vermont/" TargetMode="External"/><Relationship Id="rId4" Type="http://schemas.openxmlformats.org/officeDocument/2006/relationships/hyperlink" Target="https://www.ahd.com/free_profile/470001/The_University_of_Vermont_Health_Network_Central_Vermont_Medical_Center/Berlin/Vermont/" TargetMode="External"/></Relationships>
</file>

<file path=xl/worksheets/_rels/sheet4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ahd.com/free_profile/500007/Island_Hospital/Anacortes/Washington/" TargetMode="External"/><Relationship Id="rId18" Type="http://schemas.openxmlformats.org/officeDocument/2006/relationships/hyperlink" Target="https://www.ahd.com/free_profile/I08455/Multicare_Allenmore_Hospital_/Tacoma/Washington/" TargetMode="External"/><Relationship Id="rId26" Type="http://schemas.openxmlformats.org/officeDocument/2006/relationships/hyperlink" Target="https://www.ahd.com/free_profile/50014F/Naval_Hospital_Oak_Harbor/Oak_Harbor/Washington/" TargetMode="External"/><Relationship Id="rId39" Type="http://schemas.openxmlformats.org/officeDocument/2006/relationships/hyperlink" Target="https://www.ahd.com/free_profile/500151/Saint_Anthony_Hospital/Gig_Harbor/Washington/" TargetMode="External"/><Relationship Id="rId21" Type="http://schemas.openxmlformats.org/officeDocument/2006/relationships/hyperlink" Target="https://www.ahd.com/free_profile/500044/MultiCare_Deaconess_Hospital/Spokane/Washington/" TargetMode="External"/><Relationship Id="rId34" Type="http://schemas.openxmlformats.org/officeDocument/2006/relationships/hyperlink" Target="https://www.ahd.com/free_profile/500014/Providence_Regional_Medical_Center_Everett/Everett/Washington/" TargetMode="External"/><Relationship Id="rId42" Type="http://schemas.openxmlformats.org/officeDocument/2006/relationships/hyperlink" Target="https://www.ahd.com/free_profile/500134/Schick_Shadel_Hospital/Seattle/Washington/" TargetMode="External"/><Relationship Id="rId47" Type="http://schemas.openxmlformats.org/officeDocument/2006/relationships/hyperlink" Target="https://www.ahd.com/free_profile/500039/St_Michael_Medical_Center/Bremerton/Washington/" TargetMode="External"/><Relationship Id="rId50" Type="http://schemas.openxmlformats.org/officeDocument/2006/relationships/hyperlink" Target="https://www.ahd.com/free_profile/500026/Swedish_Edmonds_Campus/Edmonds/Washington/" TargetMode="External"/><Relationship Id="rId55" Type="http://schemas.openxmlformats.org/officeDocument/2006/relationships/hyperlink" Target="https://www.ahd.com/free_profile/500008/University_of_Washington_Medical_Center_-_Montlake/Seattle/Washington/" TargetMode="External"/><Relationship Id="rId7" Type="http://schemas.openxmlformats.org/officeDocument/2006/relationships/hyperlink" Target="https://www.ahd.com/free_profile/500124/EvergreenHealth_Kirkland/Kirkland/Washington/" TargetMode="External"/><Relationship Id="rId2" Type="http://schemas.openxmlformats.org/officeDocument/2006/relationships/hyperlink" Target="https://www.ahd.com/free_profile/500037/Astria_Toppenish_Hospital/Toppenish/Washington/" TargetMode="External"/><Relationship Id="rId16" Type="http://schemas.openxmlformats.org/officeDocument/2006/relationships/hyperlink" Target="https://www.ahd.com/free_profile/500150/Legacy_Salmon_Creek_Hospital/Vancouver/Washington/" TargetMode="External"/><Relationship Id="rId29" Type="http://schemas.openxmlformats.org/officeDocument/2006/relationships/hyperlink" Target="https://www.ahd.com/free_profile/500041/PeaceHealth_Saint_John_Medical_Center/Longview/Washington/" TargetMode="External"/><Relationship Id="rId11" Type="http://schemas.openxmlformats.org/officeDocument/2006/relationships/hyperlink" Target="https://www.ahd.com/free_profile/I41169/Harrison_Medical_Center_-_Silverdale/Silverdale/Washington/" TargetMode="External"/><Relationship Id="rId24" Type="http://schemas.openxmlformats.org/officeDocument/2006/relationships/hyperlink" Target="https://www.ahd.com/free_profile/500119/MultiCare_Valley_Hospital/Spokane_Valley/Washington/" TargetMode="External"/><Relationship Id="rId32" Type="http://schemas.openxmlformats.org/officeDocument/2006/relationships/hyperlink" Target="https://www.ahd.com/free_profile/500019/Providence_Centralia_Hospital/Centralia/Washington/" TargetMode="External"/><Relationship Id="rId37" Type="http://schemas.openxmlformats.org/officeDocument/2006/relationships/hyperlink" Target="https://www.ahd.com/free_profile/500002/Providence_Saint_Mary_Medical_Center/Walla_Walla/Washington/" TargetMode="External"/><Relationship Id="rId40" Type="http://schemas.openxmlformats.org/officeDocument/2006/relationships/hyperlink" Target="https://www.ahd.com/free_profile/500108/Saint_Joseph_Medical_Center/Tacoma/Washington/" TargetMode="External"/><Relationship Id="rId45" Type="http://schemas.openxmlformats.org/officeDocument/2006/relationships/hyperlink" Target="https://www.ahd.com/free_profile/50011F/Spokane_VA_Medical_Center/Spokane/Washington/" TargetMode="External"/><Relationship Id="rId53" Type="http://schemas.openxmlformats.org/officeDocument/2006/relationships/hyperlink" Target="https://www.ahd.com/free_profile/I42000/Trios_Southridge_Hospital/Kennewick/Washington/" TargetMode="External"/><Relationship Id="rId58" Type="http://schemas.openxmlformats.org/officeDocument/2006/relationships/hyperlink" Target="https://www.ahd.com/free_profile/500088/Valley_Medical_Center/Renton/Washington/" TargetMode="External"/><Relationship Id="rId5" Type="http://schemas.openxmlformats.org/officeDocument/2006/relationships/hyperlink" Target="https://www.ahd.com/free_profile/500016/Central_Washington_Hospital/Wenatchee/Washington/" TargetMode="External"/><Relationship Id="rId61" Type="http://schemas.openxmlformats.org/officeDocument/2006/relationships/hyperlink" Target="https://www.ahd.com/free_profile/I08359/Washington_State_Penitentiary_Hospital/Walla_Walla/Washington/" TargetMode="External"/><Relationship Id="rId19" Type="http://schemas.openxmlformats.org/officeDocument/2006/relationships/hyperlink" Target="https://www.ahd.com/free_profile/500015/Multicare_Auburn_Medical_Center/Auburn/Washington/" TargetMode="External"/><Relationship Id="rId14" Type="http://schemas.openxmlformats.org/officeDocument/2006/relationships/hyperlink" Target="https://www.ahd.com/free_profile/50013F/Jonathon_M_Wainwright_Memorial_VA_Medical_Center/Walla_Walla/Washington/" TargetMode="External"/><Relationship Id="rId22" Type="http://schemas.openxmlformats.org/officeDocument/2006/relationships/hyperlink" Target="https://www.ahd.com/free_profile/500079/MultiCare_Good_Samaritan_Hospital/Puyallup/Washington/" TargetMode="External"/><Relationship Id="rId27" Type="http://schemas.openxmlformats.org/officeDocument/2006/relationships/hyperlink" Target="https://www.ahd.com/free_profile/500072/Olympic_Medical_Center/Port_Angeles/Washington/" TargetMode="External"/><Relationship Id="rId30" Type="http://schemas.openxmlformats.org/officeDocument/2006/relationships/hyperlink" Target="https://www.ahd.com/free_profile/500030/PeaceHealth_Saint_Joseph_Medical_Center/Bellingham/Washington/" TargetMode="External"/><Relationship Id="rId35" Type="http://schemas.openxmlformats.org/officeDocument/2006/relationships/hyperlink" Target="https://www.ahd.com/free_profile/I42105/Providence_Regional_Medical_Center_Everett_Pacific_Campus/Everett/Washington/" TargetMode="External"/><Relationship Id="rId43" Type="http://schemas.openxmlformats.org/officeDocument/2006/relationships/hyperlink" Target="https://www.ahd.com/free_profile/500138/Seattle_Cancer_Care_Alliance/Seattle/Washington/" TargetMode="External"/><Relationship Id="rId48" Type="http://schemas.openxmlformats.org/officeDocument/2006/relationships/hyperlink" Target="https://www.ahd.com/free_profile/I08434/Swedish__Ballard_Campus/Seattle/Washington/" TargetMode="External"/><Relationship Id="rId56" Type="http://schemas.openxmlformats.org/officeDocument/2006/relationships/hyperlink" Target="https://www.ahd.com/free_profile/500001/University_of_Washington_Medical_Center-Northwest/Seattle/Washington/" TargetMode="External"/><Relationship Id="rId8" Type="http://schemas.openxmlformats.org/officeDocument/2006/relationships/hyperlink" Target="https://www.ahd.com/free_profile/500084/EvergreenHealth_Monroe/Monroe/Washington/" TargetMode="External"/><Relationship Id="rId51" Type="http://schemas.openxmlformats.org/officeDocument/2006/relationships/hyperlink" Target="https://www.ahd.com/free_profile/500027/Swedish_First_Hill_Campus/Seattle/Washington/" TargetMode="External"/><Relationship Id="rId3" Type="http://schemas.openxmlformats.org/officeDocument/2006/relationships/hyperlink" Target="https://www.ahd.com/free_profile/500139/Capital_Medical_Center/Olympia/Washington/" TargetMode="External"/><Relationship Id="rId12" Type="http://schemas.openxmlformats.org/officeDocument/2006/relationships/hyperlink" Target="https://www.ahd.com/free_profile/500011/Highline_Medical_Center/Burien/Washington/" TargetMode="External"/><Relationship Id="rId17" Type="http://schemas.openxmlformats.org/officeDocument/2006/relationships/hyperlink" Target="https://www.ahd.com/free_profile/50005F/Madigan_Army_Medical_Center/Tacoma/Washington/" TargetMode="External"/><Relationship Id="rId25" Type="http://schemas.openxmlformats.org/officeDocument/2006/relationships/hyperlink" Target="https://www.ahd.com/free_profile/50006F/Naval_Hospital_Bremerton/Bremerton/Washington/" TargetMode="External"/><Relationship Id="rId33" Type="http://schemas.openxmlformats.org/officeDocument/2006/relationships/hyperlink" Target="https://www.ahd.com/free_profile/I42106/Providence_Pavilion_for_Women_and_Children/Everett/Washington/" TargetMode="External"/><Relationship Id="rId38" Type="http://schemas.openxmlformats.org/officeDocument/2006/relationships/hyperlink" Target="https://www.ahd.com/free_profile/500024/Providence_Saint_Peter_Hospital/Olympia/Washington/" TargetMode="External"/><Relationship Id="rId46" Type="http://schemas.openxmlformats.org/officeDocument/2006/relationships/hyperlink" Target="https://www.ahd.com/free_profile/500021/St_Clare_Hospital/Lakewood/Washington/" TargetMode="External"/><Relationship Id="rId59" Type="http://schemas.openxmlformats.org/officeDocument/2006/relationships/hyperlink" Target="https://www.ahd.com/free_profile/500005/Virginia_Mason_Hospital_and_Seattle_Medical_Center/Seattle/Washington/" TargetMode="External"/><Relationship Id="rId20" Type="http://schemas.openxmlformats.org/officeDocument/2006/relationships/hyperlink" Target="https://www.ahd.com/free_profile/500154/MultiCare_Covington_Medical_Center/Covington/Washington/" TargetMode="External"/><Relationship Id="rId41" Type="http://schemas.openxmlformats.org/officeDocument/2006/relationships/hyperlink" Target="https://www.ahd.com/free_profile/500033/Samaritan_Hospital/Moses_Lake/Washington/" TargetMode="External"/><Relationship Id="rId54" Type="http://schemas.openxmlformats.org/officeDocument/2006/relationships/hyperlink" Target="https://www.ahd.com/free_profile/500053/Trios_Women%27s_and_Children%27s_Hospital_/Kennewick/Washington/" TargetMode="External"/><Relationship Id="rId62" Type="http://schemas.openxmlformats.org/officeDocument/2006/relationships/hyperlink" Target="https://www.ahd.com/free_profile/500148/Wenatchee_Valley_Hospital_and_Clinics/Wenatchee/Washington/" TargetMode="External"/><Relationship Id="rId1" Type="http://schemas.openxmlformats.org/officeDocument/2006/relationships/hyperlink" Target="https://www.ahd.com/free_profile/500077/_Providence_Holy_Family_Hospital/Spokane/Washington/" TargetMode="External"/><Relationship Id="rId6" Type="http://schemas.openxmlformats.org/officeDocument/2006/relationships/hyperlink" Target="https://www.ahd.com/free_profile/500141/CHI_Franciscan_Health_-_St_Francis_Hospital_/Federal_Way/Washington/" TargetMode="External"/><Relationship Id="rId15" Type="http://schemas.openxmlformats.org/officeDocument/2006/relationships/hyperlink" Target="https://www.ahd.com/free_profile/500058/Kadlec_Regional_Medical_Center/Richland/Washington/" TargetMode="External"/><Relationship Id="rId23" Type="http://schemas.openxmlformats.org/officeDocument/2006/relationships/hyperlink" Target="https://www.ahd.com/free_profile/500129/Multicare_Tacoma_General_Hospital/Tacoma/Washington/" TargetMode="External"/><Relationship Id="rId28" Type="http://schemas.openxmlformats.org/officeDocument/2006/relationships/hyperlink" Target="https://www.ahd.com/free_profile/500051/Overlake_Medical_Center/Bellevue/Washington/" TargetMode="External"/><Relationship Id="rId36" Type="http://schemas.openxmlformats.org/officeDocument/2006/relationships/hyperlink" Target="https://www.ahd.com/free_profile/500054/Providence_Sacred_Heart_Medical_Center_and_Children%27s_Hospital/Spokane/Washington/" TargetMode="External"/><Relationship Id="rId49" Type="http://schemas.openxmlformats.org/officeDocument/2006/relationships/hyperlink" Target="https://www.ahd.com/free_profile/500025/Swedish_Cherry_Hill_Campus/Seattle/Washington/" TargetMode="External"/><Relationship Id="rId57" Type="http://schemas.openxmlformats.org/officeDocument/2006/relationships/hyperlink" Target="https://www.ahd.com/free_profile/50030F/VA_Puget_Sound_Health_Care_System_-_Seattle_Division/Seattle/Washington/" TargetMode="External"/><Relationship Id="rId10" Type="http://schemas.openxmlformats.org/officeDocument/2006/relationships/hyperlink" Target="https://www.ahd.com/free_profile/500064/Harborview_Medical_Center/Seattle/Washington/" TargetMode="External"/><Relationship Id="rId31" Type="http://schemas.openxmlformats.org/officeDocument/2006/relationships/hyperlink" Target="https://www.ahd.com/free_profile/500050/PeaceHealth_Southwest_Medical_Center_/Vancouver/Washington/" TargetMode="External"/><Relationship Id="rId44" Type="http://schemas.openxmlformats.org/officeDocument/2006/relationships/hyperlink" Target="https://www.ahd.com/free_profile/500003/Skagit_Valley_Hospital/Mount_Vernon/Washington/" TargetMode="External"/><Relationship Id="rId52" Type="http://schemas.openxmlformats.org/officeDocument/2006/relationships/hyperlink" Target="https://www.ahd.com/free_profile/500152/Swedish_Issaquah_Campus/Issaquah/Washington/" TargetMode="External"/><Relationship Id="rId60" Type="http://schemas.openxmlformats.org/officeDocument/2006/relationships/hyperlink" Target="https://www.ahd.com/free_profile/500036/Virginia_Mason_Memorial/Yakima/Washington/" TargetMode="External"/><Relationship Id="rId4" Type="http://schemas.openxmlformats.org/officeDocument/2006/relationships/hyperlink" Target="https://www.ahd.com/free_profile/500060/Cascade_Valley_Hospital/Arlington/Washington/" TargetMode="External"/><Relationship Id="rId9" Type="http://schemas.openxmlformats.org/officeDocument/2006/relationships/hyperlink" Target="https://www.ahd.com/free_profile/500031/Grays_Harbor_Community_Hospital/Aberdeen/Washington/" TargetMode="External"/></Relationships>
</file>

<file path=xl/worksheets/_rels/sheet50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hd.com/free_profile/520038/Aurora_Medical_Center_Washington_County/Hartford/Wisconsin/" TargetMode="External"/><Relationship Id="rId21" Type="http://schemas.openxmlformats.org/officeDocument/2006/relationships/hyperlink" Target="https://www.ahd.com/free_profile/520059/Aurora_Medical_Center_in_Burlington/Burlington/Wisconsin/" TargetMode="External"/><Relationship Id="rId42" Type="http://schemas.openxmlformats.org/officeDocument/2006/relationships/hyperlink" Target="https://www.ahd.com/free_profile/520087/Gundersen_Lutheran_Medical_Center/La_Crosse/Wisconsin/" TargetMode="External"/><Relationship Id="rId47" Type="http://schemas.openxmlformats.org/officeDocument/2006/relationships/hyperlink" Target="https://www.ahd.com/free_profile/520097/HSHS_Saint_Mary%27s_Hospital_Medical_Center/Green_Bay/Wisconsin/" TargetMode="External"/><Relationship Id="rId63" Type="http://schemas.openxmlformats.org/officeDocument/2006/relationships/hyperlink" Target="https://www.ahd.com/free_profile/520062/ProHealth_Oconomowoc_Memorial_Hospital/Oconomowoc/Wisconsin/" TargetMode="External"/><Relationship Id="rId68" Type="http://schemas.openxmlformats.org/officeDocument/2006/relationships/hyperlink" Target="https://www.ahd.com/free_profile/520083/SSM_Health_Saint_Mary%27s_Hospital_-_Madison/Madison/Wisconsin/" TargetMode="External"/><Relationship Id="rId16" Type="http://schemas.openxmlformats.org/officeDocument/2006/relationships/hyperlink" Target="https://www.ahd.com/free_profile/520033/Aspirus_Riverview_Hospital/Wisconsin_Rapids/Wisconsin/" TargetMode="External"/><Relationship Id="rId11" Type="http://schemas.openxmlformats.org/officeDocument/2006/relationships/hyperlink" Target="https://www.ahd.com/free_profile/520019/Ascension_Saint_Mary%27s_Hospital_/Rhinelander/Wisconsin/" TargetMode="External"/><Relationship Id="rId24" Type="http://schemas.openxmlformats.org/officeDocument/2006/relationships/hyperlink" Target="https://www.ahd.com/free_profile/520034/Aurora_Medical_Center_Manitowoc_County/Two_Rivers/Wisconsin/" TargetMode="External"/><Relationship Id="rId32" Type="http://schemas.openxmlformats.org/officeDocument/2006/relationships/hyperlink" Target="https://www.ahd.com/free_profile/520139/Aurora_West_Allis_Medical_Center/West_Allis/Wisconsin/" TargetMode="External"/><Relationship Id="rId37" Type="http://schemas.openxmlformats.org/officeDocument/2006/relationships/hyperlink" Target="https://www.ahd.com/free_profile/520177/Froedtert_Hospital/Milwaukee/Wisconsin/" TargetMode="External"/><Relationship Id="rId40" Type="http://schemas.openxmlformats.org/officeDocument/2006/relationships/hyperlink" Target="https://www.ahd.com/free_profile/520069/Froedtert_Pleasant_Prairie_Hospital/Pleasant_Prairie/Wisconsin/" TargetMode="External"/><Relationship Id="rId45" Type="http://schemas.openxmlformats.org/officeDocument/2006/relationships/hyperlink" Target="https://www.ahd.com/free_profile/520013/HSHS_Sacred_Heart_Hospital/Eau_Claire/Wisconsin/" TargetMode="External"/><Relationship Id="rId53" Type="http://schemas.openxmlformats.org/officeDocument/2006/relationships/hyperlink" Target="https://www.ahd.com/free_profile/520076/Marshfield_Medical_Center_Beaver_Dam/Beaver_Dam/Wisconsin/" TargetMode="External"/><Relationship Id="rId58" Type="http://schemas.openxmlformats.org/officeDocument/2006/relationships/hyperlink" Target="https://www.ahd.com/free_profile/520205/Midwest_Orthopedic_Specialty_Hospital/Franklin/Wisconsin/" TargetMode="External"/><Relationship Id="rId66" Type="http://schemas.openxmlformats.org/officeDocument/2006/relationships/hyperlink" Target="https://www.ahd.com/free_profile/520095/Sauk_Prairie_Memorial_Hospital/Prairie_du_Sac/Wisconsin/" TargetMode="External"/><Relationship Id="rId74" Type="http://schemas.openxmlformats.org/officeDocument/2006/relationships/hyperlink" Target="https://www.ahd.com/free_profile/520089/UnityPoint_Health_Meriter/Madison/Wisconsin/" TargetMode="External"/><Relationship Id="rId5" Type="http://schemas.openxmlformats.org/officeDocument/2006/relationships/hyperlink" Target="https://www.ahd.com/free_profile/520096/Ascension_All_Saints_Hospital_-_Spring_Street_Campus/Racine/Wisconsin/" TargetMode="External"/><Relationship Id="rId61" Type="http://schemas.openxmlformats.org/officeDocument/2006/relationships/hyperlink" Target="https://www.ahd.com/free_profile/520196/Oakleaf_Surgical_Hospital/Altoona/Wisconsin/" TargetMode="External"/><Relationship Id="rId19" Type="http://schemas.openxmlformats.org/officeDocument/2006/relationships/hyperlink" Target="https://www.ahd.com/free_profile/520102/Aurora_Lakeland_Medical_Center/Elkhorn/Wisconsin/" TargetMode="External"/><Relationship Id="rId14" Type="http://schemas.openxmlformats.org/officeDocument/2006/relationships/hyperlink" Target="https://www.ahd.com/free_profile/520136/Ascension_SE_Wisconsin_Hospital-St_Joseph_Campus/Milwaukee/Wisconsin/" TargetMode="External"/><Relationship Id="rId22" Type="http://schemas.openxmlformats.org/officeDocument/2006/relationships/hyperlink" Target="https://www.ahd.com/free_profile/520206/Aurora_Medical_Center_in_Summit/Summit/Wisconsin/" TargetMode="External"/><Relationship Id="rId27" Type="http://schemas.openxmlformats.org/officeDocument/2006/relationships/hyperlink" Target="https://www.ahd.com/free_profile/520113/Aurora_Medical_Center-Bay_Area/Marinette/Wisconsin/" TargetMode="External"/><Relationship Id="rId30" Type="http://schemas.openxmlformats.org/officeDocument/2006/relationships/hyperlink" Target="https://www.ahd.com/free_profile/520035/Aurora_Sheboygan_Memorial_Medical_Center/Sheboygan/Wisconsin/" TargetMode="External"/><Relationship Id="rId35" Type="http://schemas.openxmlformats.org/officeDocument/2006/relationships/hyperlink" Target="https://www.ahd.com/free_profile/520041/Divine_Savior_Healthcare/Portage/Wisconsin/" TargetMode="External"/><Relationship Id="rId43" Type="http://schemas.openxmlformats.org/officeDocument/2006/relationships/hyperlink" Target="https://www.ahd.com/free_profile/520107/Holy_Family_Memorial_Medical_Center/Manitowoc/Wisconsin/" TargetMode="External"/><Relationship Id="rId48" Type="http://schemas.openxmlformats.org/officeDocument/2006/relationships/hyperlink" Target="https://www.ahd.com/free_profile/520044/HSHS_Saint_Nicholas_Hospital/Sheboygan/Wisconsin/" TargetMode="External"/><Relationship Id="rId56" Type="http://schemas.openxmlformats.org/officeDocument/2006/relationships/hyperlink" Target="https://www.ahd.com/free_profile/520070/Mayo_Clinic_Health_System_in_Eau_Claire/Eau_Claire/Wisconsin/" TargetMode="External"/><Relationship Id="rId64" Type="http://schemas.openxmlformats.org/officeDocument/2006/relationships/hyperlink" Target="https://www.ahd.com/free_profile/520008/ProHealth_Waukesha_Memorial_Hospital/Waukesha/Wisconsin/" TargetMode="External"/><Relationship Id="rId69" Type="http://schemas.openxmlformats.org/officeDocument/2006/relationships/hyperlink" Target="https://www.ahd.com/free_profile/520208/SSM_Health_Saint_Mary%27s_Hospital-Janesville/Janesville/Wisconsin/" TargetMode="External"/><Relationship Id="rId77" Type="http://schemas.openxmlformats.org/officeDocument/2006/relationships/hyperlink" Target="https://www.ahd.com/free_profile/52004F/William_S_Middleton_Memorial_Veterans_Hospital/Madison/Wisconsin/" TargetMode="External"/><Relationship Id="rId8" Type="http://schemas.openxmlformats.org/officeDocument/2006/relationships/hyperlink" Target="https://www.ahd.com/free_profile/520048/Ascension_North_East_Wisconsin_-_Mercy_Campus/Oshkosh/Wisconsin/" TargetMode="External"/><Relationship Id="rId51" Type="http://schemas.openxmlformats.org/officeDocument/2006/relationships/hyperlink" Target="https://www.ahd.com/free_profile/I42377/Marshfield_Medical_Center_%26%238211%3B_Minocqua/Minocqua/Wisconsin/" TargetMode="External"/><Relationship Id="rId72" Type="http://schemas.openxmlformats.org/officeDocument/2006/relationships/hyperlink" Target="https://www.ahd.com/free_profile/520045/ThedaCare_Regional_Medical_Center-Neenah/Neenah/Wisconsin/" TargetMode="External"/><Relationship Id="rId3" Type="http://schemas.openxmlformats.org/officeDocument/2006/relationships/hyperlink" Target="https://www.ahd.com/free_profile/520002/_Ascension_Saint_Michael%27s_Hospital/Stevens_Point/Wisconsin/" TargetMode="External"/><Relationship Id="rId12" Type="http://schemas.openxmlformats.org/officeDocument/2006/relationships/hyperlink" Target="https://www.ahd.com/free_profile/520204/Ascension_SE_Wisconsin_Hospital_Franklin_Campus/Franklin/Wisconsin/" TargetMode="External"/><Relationship Id="rId17" Type="http://schemas.openxmlformats.org/officeDocument/2006/relationships/hyperlink" Target="https://www.ahd.com/free_profile/520030/Aspirus_Wausau_Hospital/Wausau/Wisconsin/" TargetMode="External"/><Relationship Id="rId25" Type="http://schemas.openxmlformats.org/officeDocument/2006/relationships/hyperlink" Target="https://www.ahd.com/free_profile/520198/Aurora_Medical_Center_Oshkosh/Oshkosh/Wisconsin/" TargetMode="External"/><Relationship Id="rId33" Type="http://schemas.openxmlformats.org/officeDocument/2006/relationships/hyperlink" Target="https://www.ahd.com/free_profile/520049/Bellin_Hospital/Green_Bay/Wisconsin/" TargetMode="External"/><Relationship Id="rId38" Type="http://schemas.openxmlformats.org/officeDocument/2006/relationships/hyperlink" Target="https://www.ahd.com/free_profile/520021/Froedtert_Kenosha_Hospital/Kenosha/Wisconsin/" TargetMode="External"/><Relationship Id="rId46" Type="http://schemas.openxmlformats.org/officeDocument/2006/relationships/hyperlink" Target="https://www.ahd.com/free_profile/520017/HSHS_Saint_Joseph%27s_Hospital/Chippewa_Falls/Wisconsin/" TargetMode="External"/><Relationship Id="rId59" Type="http://schemas.openxmlformats.org/officeDocument/2006/relationships/hyperlink" Target="https://www.ahd.com/free_profile/520109/Mile_Bluff_Medical_Center/Mauston/Wisconsin/" TargetMode="External"/><Relationship Id="rId67" Type="http://schemas.openxmlformats.org/officeDocument/2006/relationships/hyperlink" Target="https://www.ahd.com/free_profile/520057/SSM_Health_Saint_Clare_Hospital_-Baraboo/Baraboo/Wisconsin/" TargetMode="External"/><Relationship Id="rId20" Type="http://schemas.openxmlformats.org/officeDocument/2006/relationships/hyperlink" Target="https://www.ahd.com/free_profile/520207/Aurora_Medical_Center_Grafton/Grafton/Wisconsin/" TargetMode="External"/><Relationship Id="rId41" Type="http://schemas.openxmlformats.org/officeDocument/2006/relationships/hyperlink" Target="https://www.ahd.com/free_profile/520063/Froedtert_West_Bend_Hospital/West_Bend/Wisconsin/" TargetMode="External"/><Relationship Id="rId54" Type="http://schemas.openxmlformats.org/officeDocument/2006/relationships/hyperlink" Target="https://www.ahd.com/free_profile/520011/Marshfield_Medical_Center_Rice_Lake/Rice_Lake/Wisconsin/" TargetMode="External"/><Relationship Id="rId62" Type="http://schemas.openxmlformats.org/officeDocument/2006/relationships/hyperlink" Target="https://www.ahd.com/free_profile/520194/Orthopaedic_Hospital_of_Wisconsin/Glendale/Wisconsin/" TargetMode="External"/><Relationship Id="rId70" Type="http://schemas.openxmlformats.org/officeDocument/2006/relationships/hyperlink" Target="https://www.ahd.com/free_profile/520028/The_Monroe_Clinic_Hospital/Monroe/Wisconsin/" TargetMode="External"/><Relationship Id="rId75" Type="http://schemas.openxmlformats.org/officeDocument/2006/relationships/hyperlink" Target="https://www.ahd.com/free_profile/520098/University_Hospital_/Madison/Wisconsin/" TargetMode="External"/><Relationship Id="rId1" Type="http://schemas.openxmlformats.org/officeDocument/2006/relationships/hyperlink" Target="https://www.ahd.com/free_profile/520027/_Ascension_Columbia_Saint_Mary%27s_Hospital_Ozaukee/Mequon/Wisconsin/" TargetMode="External"/><Relationship Id="rId6" Type="http://schemas.openxmlformats.org/officeDocument/2006/relationships/hyperlink" Target="https://www.ahd.com/free_profile/520094/Ascension_All_Saints_Hospital_Wisconsin_Avenue_Campus/Racine/Wisconsin/" TargetMode="External"/><Relationship Id="rId15" Type="http://schemas.openxmlformats.org/officeDocument/2006/relationships/hyperlink" Target="https://www.ahd.com/free_profile/520078/Ascension_St_Francis_Hospital/Milwaukee/Wisconsin/" TargetMode="External"/><Relationship Id="rId23" Type="http://schemas.openxmlformats.org/officeDocument/2006/relationships/hyperlink" Target="https://www.ahd.com/free_profile/520189/Aurora_Medical_Center_Kenosha/Kenosha/Wisconsin/" TargetMode="External"/><Relationship Id="rId28" Type="http://schemas.openxmlformats.org/officeDocument/2006/relationships/hyperlink" Target="https://www.ahd.com/free_profile/520138/Aurora_Saint_Luke%27s_Medical_Center/Milwaukee/Wisconsin/" TargetMode="External"/><Relationship Id="rId36" Type="http://schemas.openxmlformats.org/officeDocument/2006/relationships/hyperlink" Target="https://www.ahd.com/free_profile/520071/Fort_Memorial_Hospital/Fort_Atkinson/Wisconsin/" TargetMode="External"/><Relationship Id="rId49" Type="http://schemas.openxmlformats.org/officeDocument/2006/relationships/hyperlink" Target="https://www.ahd.com/free_profile/520075/HSHS_Saint_Vincent_Hospital/Green_Bay/Wisconsin/" TargetMode="External"/><Relationship Id="rId57" Type="http://schemas.openxmlformats.org/officeDocument/2006/relationships/hyperlink" Target="https://www.ahd.com/free_profile/520066/Mercyhealth_Hospital_and_Trauma_Center-Janesville/Janesville/Wisconsin/" TargetMode="External"/><Relationship Id="rId10" Type="http://schemas.openxmlformats.org/officeDocument/2006/relationships/hyperlink" Target="https://www.ahd.com/free_profile/520202/Ascension_Saint_Clare%27s_Hospital/Weston/Wisconsin/" TargetMode="External"/><Relationship Id="rId31" Type="http://schemas.openxmlformats.org/officeDocument/2006/relationships/hyperlink" Target="https://www.ahd.com/free_profile/520064/Aurora_Sinai_Medical_Center/Milwaukee/Wisconsin/" TargetMode="External"/><Relationship Id="rId44" Type="http://schemas.openxmlformats.org/officeDocument/2006/relationships/hyperlink" Target="https://www.ahd.com/free_profile/520091/Howard_Young_Medical_Center/Woodruff/Wisconsin/" TargetMode="External"/><Relationship Id="rId52" Type="http://schemas.openxmlformats.org/officeDocument/2006/relationships/hyperlink" Target="https://www.ahd.com/free_profile/520210/Marshfield_Medical_Center_-_Eau_Claire/Eau_Claire/Wisconsin/" TargetMode="External"/><Relationship Id="rId60" Type="http://schemas.openxmlformats.org/officeDocument/2006/relationships/hyperlink" Target="https://www.ahd.com/free_profile/52003F/Milwaukee_VA_Medical_Center/Milwaukee/Wisconsin/" TargetMode="External"/><Relationship Id="rId65" Type="http://schemas.openxmlformats.org/officeDocument/2006/relationships/hyperlink" Target="https://www.ahd.com/free_profile/520088/Saint_Agnes_Hospital/Fond_du_Lac/Wisconsin/" TargetMode="External"/><Relationship Id="rId73" Type="http://schemas.openxmlformats.org/officeDocument/2006/relationships/hyperlink" Target="https://www.ahd.com/free_profile/52002F/Tomah_VA_Medical_Center/Tomah/Wisconsin/" TargetMode="External"/><Relationship Id="rId4" Type="http://schemas.openxmlformats.org/officeDocument/2006/relationships/hyperlink" Target="https://www.ahd.com/free_profile/I42221/American_Family_Children%27s_Hospital_/Madison/Wisconsin/" TargetMode="External"/><Relationship Id="rId9" Type="http://schemas.openxmlformats.org/officeDocument/2006/relationships/hyperlink" Target="https://www.ahd.com/free_profile/520009/Ascension_Northeast__Wisconsin_Saint_Elizabeth_Campus/Appleton/Wisconsin/" TargetMode="External"/><Relationship Id="rId13" Type="http://schemas.openxmlformats.org/officeDocument/2006/relationships/hyperlink" Target="https://www.ahd.com/free_profile/520170/Ascension_SE_Wisconsin_Hospital-Elmbrook_Campus/Brookfield/Wisconsin/" TargetMode="External"/><Relationship Id="rId18" Type="http://schemas.openxmlformats.org/officeDocument/2006/relationships/hyperlink" Target="https://www.ahd.com/free_profile/520193/Aurora_BayCare_Medical_Center/Green_Bay/Wisconsin/" TargetMode="External"/><Relationship Id="rId39" Type="http://schemas.openxmlformats.org/officeDocument/2006/relationships/hyperlink" Target="https://www.ahd.com/free_profile/520103/Froedtert_Menomonee_Falls_Hospital/Menomonee_Falls/Wisconsin/" TargetMode="External"/><Relationship Id="rId34" Type="http://schemas.openxmlformats.org/officeDocument/2006/relationships/hyperlink" Target="https://www.ahd.com/free_profile/520100/Beloit_Memorial_Hospital/Beloit/Wisconsin/" TargetMode="External"/><Relationship Id="rId50" Type="http://schemas.openxmlformats.org/officeDocument/2006/relationships/hyperlink" Target="https://www.ahd.com/free_profile/520037/Marshfield_Medical_Center/Marshfield/Wisconsin/" TargetMode="External"/><Relationship Id="rId55" Type="http://schemas.openxmlformats.org/officeDocument/2006/relationships/hyperlink" Target="https://www.ahd.com/free_profile/520004/Mayo_Clinic_Health_System_-_Franciscan_Healthcare_in_La_Crosse/La_Crosse/Wisconsin/" TargetMode="External"/><Relationship Id="rId76" Type="http://schemas.openxmlformats.org/officeDocument/2006/relationships/hyperlink" Target="https://www.ahd.com/free_profile/520116/Watertown_Regional_Medical_Center/Watertown/Wisconsin/" TargetMode="External"/><Relationship Id="rId7" Type="http://schemas.openxmlformats.org/officeDocument/2006/relationships/hyperlink" Target="https://www.ahd.com/free_profile/520051/Ascension_Columbia_Saint_Mary%27s_Hospital_Milwaukee/Milwaukee/Wisconsin/" TargetMode="External"/><Relationship Id="rId71" Type="http://schemas.openxmlformats.org/officeDocument/2006/relationships/hyperlink" Target="https://www.ahd.com/free_profile/520160/ThedaCare_Regional_Medical_Center-Appleton_/Appleton/Wisconsin/" TargetMode="External"/><Relationship Id="rId2" Type="http://schemas.openxmlformats.org/officeDocument/2006/relationships/hyperlink" Target="https://www.ahd.com/free_profile/I41836/_Ascension_Columbia_Saint_Mary%27s_Women%27s_Hospital/Milwaukee/Wisconsin/" TargetMode="External"/><Relationship Id="rId29" Type="http://schemas.openxmlformats.org/officeDocument/2006/relationships/hyperlink" Target="https://www.ahd.com/free_profile/I08171/Aurora_Saint_Luke%27s_South_Shore/Cudahy/Wisconsin/" TargetMode="External"/></Relationships>
</file>

<file path=xl/worksheets/_rels/sheet5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ahd.com/free_profile/510030/Davis_Medical_Center/Elkins/West_Virginia/" TargetMode="External"/><Relationship Id="rId18" Type="http://schemas.openxmlformats.org/officeDocument/2006/relationships/hyperlink" Target="https://www.ahd.com/free_profile/510048/Logan_Regional_Medical_Center/Logan/West_Virginia/" TargetMode="External"/><Relationship Id="rId26" Type="http://schemas.openxmlformats.org/officeDocument/2006/relationships/hyperlink" Target="https://www.ahd.com/free_profile/510031/Saint_Francis_Hospital/Charleston/West_Virginia/" TargetMode="External"/><Relationship Id="rId3" Type="http://schemas.openxmlformats.org/officeDocument/2006/relationships/hyperlink" Target="https://www.ahd.com/free_profile/51002F/Beckley_VA_Medical_Center/Beckley/West_Virginia/" TargetMode="External"/><Relationship Id="rId21" Type="http://schemas.openxmlformats.org/officeDocument/2006/relationships/hyperlink" Target="https://www.ahd.com/free_profile/510024/Mon_Health_Medical_Center/Morgantown/West_Virginia/" TargetMode="External"/><Relationship Id="rId34" Type="http://schemas.openxmlformats.org/officeDocument/2006/relationships/hyperlink" Target="https://www.ahd.com/free_profile/510072/Wetzel_County_Hospital/New_Martinsville/West_Virginia/" TargetMode="External"/><Relationship Id="rId7" Type="http://schemas.openxmlformats.org/officeDocument/2006/relationships/hyperlink" Target="https://www.ahd.com/free_profile/510058/Camden_Clark_Medical_Center/Parkersburg/West_Virginia/" TargetMode="External"/><Relationship Id="rId12" Type="http://schemas.openxmlformats.org/officeDocument/2006/relationships/hyperlink" Target="https://www.ahd.com/free_profile/510091/Charleston_Surgical_Hospital/Charleston/West_Virginia/" TargetMode="External"/><Relationship Id="rId17" Type="http://schemas.openxmlformats.org/officeDocument/2006/relationships/hyperlink" Target="https://www.ahd.com/free_profile/510001/JW_Ruby_Memorial_Hospital/Morgantown/West_Virginia/" TargetMode="External"/><Relationship Id="rId25" Type="http://schemas.openxmlformats.org/officeDocument/2006/relationships/hyperlink" Target="https://www.ahd.com/free_profile/510013/Reynolds_Memorial_Hospital/Glen_Dale/West_Virginia/" TargetMode="External"/><Relationship Id="rId33" Type="http://schemas.openxmlformats.org/officeDocument/2006/relationships/hyperlink" Target="https://www.ahd.com/free_profile/510086/Welch_Community_Hospital/Welch/West_Virginia/" TargetMode="External"/><Relationship Id="rId2" Type="http://schemas.openxmlformats.org/officeDocument/2006/relationships/hyperlink" Target="https://www.ahd.com/free_profile/510062/Beckley_ARH_Hospital/Beckley/West_Virginia/" TargetMode="External"/><Relationship Id="rId16" Type="http://schemas.openxmlformats.org/officeDocument/2006/relationships/hyperlink" Target="https://www.ahd.com/free_profile/I42256/Hoops_Family_Children%27s_Hospital/Huntington/West_Virginia/" TargetMode="External"/><Relationship Id="rId20" Type="http://schemas.openxmlformats.org/officeDocument/2006/relationships/hyperlink" Target="https://www.ahd.com/free_profile/51005F/Martinsburg_VA_Medical_Center/Martinsburg/West_Virginia/" TargetMode="External"/><Relationship Id="rId29" Type="http://schemas.openxmlformats.org/officeDocument/2006/relationships/hyperlink" Target="https://www.ahd.com/free_profile/510082/Summersville_Regional_Medical_Center/Summersville/West_Virginia/" TargetMode="External"/><Relationship Id="rId1" Type="http://schemas.openxmlformats.org/officeDocument/2006/relationships/hyperlink" Target="https://www.ahd.com/free_profile/510092/Acuity_Specialty_Hospital_of_Morgantown/Morgantown/West_Virginia/" TargetMode="External"/><Relationship Id="rId6" Type="http://schemas.openxmlformats.org/officeDocument/2006/relationships/hyperlink" Target="https://www.ahd.com/free_profile/510055/Cabell_Huntington_Hospital/Huntington/West_Virginia/" TargetMode="External"/><Relationship Id="rId11" Type="http://schemas.openxmlformats.org/officeDocument/2006/relationships/hyperlink" Target="https://www.ahd.com/free_profile/510085/Charleston_Area_Medical_Center_Teays_Valley_Hospital/Hurricane/West_Virginia/" TargetMode="External"/><Relationship Id="rId24" Type="http://schemas.openxmlformats.org/officeDocument/2006/relationships/hyperlink" Target="https://www.ahd.com/free_profile/510070/Raleigh_General_Hospital/Beckley/West_Virginia/" TargetMode="External"/><Relationship Id="rId32" Type="http://schemas.openxmlformats.org/officeDocument/2006/relationships/hyperlink" Target="https://www.ahd.com/free_profile/510023/Weirton_Medical_Center/Weirton/West_Virginia/" TargetMode="External"/><Relationship Id="rId5" Type="http://schemas.openxmlformats.org/officeDocument/2006/relationships/hyperlink" Target="https://www.ahd.com/free_profile/510071/Bluefield_Regional_Medical_Center/Bluefield/West_Virginia/" TargetMode="External"/><Relationship Id="rId15" Type="http://schemas.openxmlformats.org/officeDocument/2006/relationships/hyperlink" Target="https://www.ahd.com/free_profile/51004F/Hershel_Woody_Williams_VA_Medical_Center/Huntington/West_Virginia/" TargetMode="External"/><Relationship Id="rId23" Type="http://schemas.openxmlformats.org/officeDocument/2006/relationships/hyperlink" Target="https://www.ahd.com/free_profile/510046/Princeton_Community_Hospital/Princeton/West_Virginia/" TargetMode="External"/><Relationship Id="rId28" Type="http://schemas.openxmlformats.org/officeDocument/2006/relationships/hyperlink" Target="https://www.ahd.com/free_profile/510038/Stonewall_Jackson_Memorial_Hospital/Weston/West_Virginia/" TargetMode="External"/><Relationship Id="rId10" Type="http://schemas.openxmlformats.org/officeDocument/2006/relationships/hyperlink" Target="https://www.ahd.com/free_profile/I41208/Charleston_Area_Medical_Center_Memorial_Hospital/Charleston/West_Virginia/" TargetMode="External"/><Relationship Id="rId19" Type="http://schemas.openxmlformats.org/officeDocument/2006/relationships/hyperlink" Target="https://www.ahd.com/free_profile/51003F/Louis_A_Johnson_VA_Medical_Center/Clarksburg/West_Virginia/" TargetMode="External"/><Relationship Id="rId31" Type="http://schemas.openxmlformats.org/officeDocument/2006/relationships/hyperlink" Target="https://www.ahd.com/free_profile/510006/United_Hospital_Center/Bridgeport/West_Virginia/" TargetMode="External"/><Relationship Id="rId4" Type="http://schemas.openxmlformats.org/officeDocument/2006/relationships/hyperlink" Target="https://www.ahd.com/free_profile/510008/Berkeley_Medical_Center/Martinsburg/West_Virginia/" TargetMode="External"/><Relationship Id="rId9" Type="http://schemas.openxmlformats.org/officeDocument/2006/relationships/hyperlink" Target="https://www.ahd.com/free_profile/510022/Charleston_Area_Medical_Center_General_Hospital/Charleston/West_Virginia/" TargetMode="External"/><Relationship Id="rId14" Type="http://schemas.openxmlformats.org/officeDocument/2006/relationships/hyperlink" Target="https://www.ahd.com/free_profile/510002/Greenbrier_Valley_Medical_Center/Ronceverte/West_Virginia/" TargetMode="External"/><Relationship Id="rId22" Type="http://schemas.openxmlformats.org/officeDocument/2006/relationships/hyperlink" Target="https://www.ahd.com/free_profile/510012/Pleasant_Valley_Hospital/Point_Pleasant/West_Virginia/" TargetMode="External"/><Relationship Id="rId27" Type="http://schemas.openxmlformats.org/officeDocument/2006/relationships/hyperlink" Target="https://www.ahd.com/free_profile/510007/Saint_Mary%27s_Medical_Center/Huntington/West_Virginia/" TargetMode="External"/><Relationship Id="rId30" Type="http://schemas.openxmlformats.org/officeDocument/2006/relationships/hyperlink" Target="https://www.ahd.com/free_profile/510029/Thomas_Memorial_Hospital/South_Charleston/West_Virginia/" TargetMode="External"/><Relationship Id="rId35" Type="http://schemas.openxmlformats.org/officeDocument/2006/relationships/hyperlink" Target="https://www.ahd.com/free_profile/510050/Wheeling_Hospital/Wheeling/West_Virginia/" TargetMode="External"/><Relationship Id="rId8" Type="http://schemas.openxmlformats.org/officeDocument/2006/relationships/hyperlink" Target="https://www.ahd.com/free_profile/I41207/Charleston_Area_Medical_Center__Women_and_Children%27s_Hospital/Charleston/West_Virginia/" TargetMode="Externa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hd.com/free_profile/530010/SageWest_Health_Care_at_Lander/Lander/Wyoming/" TargetMode="External"/><Relationship Id="rId13" Type="http://schemas.openxmlformats.org/officeDocument/2006/relationships/hyperlink" Target="https://www.ahd.com/free_profile/530034/Summit_Medical_Center/Casper/Wyoming/" TargetMode="External"/><Relationship Id="rId3" Type="http://schemas.openxmlformats.org/officeDocument/2006/relationships/hyperlink" Target="https://www.ahd.com/free_profile/530014/Cheyenne_Regional_Medical_Center/Cheyenne/Wyoming/" TargetMode="External"/><Relationship Id="rId7" Type="http://schemas.openxmlformats.org/officeDocument/2006/relationships/hyperlink" Target="https://www.ahd.com/free_profile/530011/Memorial_Hospital_of_Sweetwater_County/Rock_Springs/Wyoming/" TargetMode="External"/><Relationship Id="rId12" Type="http://schemas.openxmlformats.org/officeDocument/2006/relationships/hyperlink" Target="https://www.ahd.com/free_profile/53005F/Sheridan_VA_Medical_Center/Sheridan/Wyoming/" TargetMode="External"/><Relationship Id="rId2" Type="http://schemas.openxmlformats.org/officeDocument/2006/relationships/hyperlink" Target="https://www.ahd.com/free_profile/530002/Campbell_County_Memorial_Hospital/Gillette/Wyoming/" TargetMode="External"/><Relationship Id="rId1" Type="http://schemas.openxmlformats.org/officeDocument/2006/relationships/hyperlink" Target="https://www.ahd.com/free_profile/530035/Aspen_Mountain_Medical_Center/Rock_Springs/Wyoming/" TargetMode="External"/><Relationship Id="rId6" Type="http://schemas.openxmlformats.org/officeDocument/2006/relationships/hyperlink" Target="https://www.ahd.com/free_profile/530025/Ivinson_Memorial_Hospital/Laramie/Wyoming/" TargetMode="External"/><Relationship Id="rId11" Type="http://schemas.openxmlformats.org/officeDocument/2006/relationships/hyperlink" Target="https://www.ahd.com/free_profile/530006/Sheridan_Memorial_Hospital/Sheridan/Wyoming/" TargetMode="External"/><Relationship Id="rId5" Type="http://schemas.openxmlformats.org/officeDocument/2006/relationships/hyperlink" Target="https://www.ahd.com/free_profile/530032/Evanston_Regional_Hospital/Evanston/Wyoming/" TargetMode="External"/><Relationship Id="rId10" Type="http://schemas.openxmlformats.org/officeDocument/2006/relationships/hyperlink" Target="https://www.ahd.com/free_profile/530015/Saint_John%27s_Medical_Center/Jackson/Wyoming/" TargetMode="External"/><Relationship Id="rId4" Type="http://schemas.openxmlformats.org/officeDocument/2006/relationships/hyperlink" Target="https://www.ahd.com/free_profile/53004F/Cheyenne_VA_Medical_Center/Cheyenne/Wyoming/" TargetMode="External"/><Relationship Id="rId9" Type="http://schemas.openxmlformats.org/officeDocument/2006/relationships/hyperlink" Target="https://www.ahd.com/free_profile/530008/SageWest_Health_Care_at_Riverton/Riverton/Wyoming/" TargetMode="External"/><Relationship Id="rId14" Type="http://schemas.openxmlformats.org/officeDocument/2006/relationships/hyperlink" Target="https://www.ahd.com/free_profile/530012/Wyoming_Medical_Center/Casper/Wyoming/" TargetMode="External"/></Relationships>
</file>

<file path=xl/worksheets/_rels/sheet53.xml.rels><?xml version="1.0" encoding="UTF-8" standalone="yes"?>
<Relationships xmlns="http://schemas.openxmlformats.org/package/2006/relationships"><Relationship Id="rId21" Type="http://schemas.openxmlformats.org/officeDocument/2006/relationships/hyperlink" Target="https://en.wikipedia.org/wiki/San_Jose-San_Francisco-Oakland,_CA_Combined_Statistical_Area" TargetMode="External"/><Relationship Id="rId170" Type="http://schemas.openxmlformats.org/officeDocument/2006/relationships/hyperlink" Target="https://en.wikipedia.org/wiki/Jackson,_MS_Metropolitan_Statistical_Area" TargetMode="External"/><Relationship Id="rId268" Type="http://schemas.openxmlformats.org/officeDocument/2006/relationships/hyperlink" Target="https://en.wikipedia.org/wiki/Ocala,_FL_Metropolitan_Statistical_Area" TargetMode="External"/><Relationship Id="rId475" Type="http://schemas.openxmlformats.org/officeDocument/2006/relationships/hyperlink" Target="https://en.wikipedia.org/wiki/Texarkana,_TX-AR_Metropolitan_Statistical_Area" TargetMode="External"/><Relationship Id="rId682" Type="http://schemas.openxmlformats.org/officeDocument/2006/relationships/hyperlink" Target="https://en.wikipedia.org/wiki/Brainerd,_MN_Micropolitan_Statistical_Area" TargetMode="External"/><Relationship Id="rId128" Type="http://schemas.openxmlformats.org/officeDocument/2006/relationships/hyperlink" Target="https://en.wikipedia.org/wiki/Baton_Rouge,_LA_Metropolitan_Statistical_Area" TargetMode="External"/><Relationship Id="rId335" Type="http://schemas.openxmlformats.org/officeDocument/2006/relationships/hyperlink" Target="https://en.wikipedia.org/wiki/Macon-Warner_Robins,_GA_Combined_Statistical_Area" TargetMode="External"/><Relationship Id="rId542" Type="http://schemas.openxmlformats.org/officeDocument/2006/relationships/hyperlink" Target="https://en.wikipedia.org/wiki/Altoona,_PA_Metropolitan_Statistical_Area" TargetMode="External"/><Relationship Id="rId987" Type="http://schemas.openxmlformats.org/officeDocument/2006/relationships/hyperlink" Target="https://en.wikipedia.org/wiki/Gillette,_WY_Micropolitan_Statistical_Area" TargetMode="External"/><Relationship Id="rId1172" Type="http://schemas.openxmlformats.org/officeDocument/2006/relationships/hyperlink" Target="https://en.wikipedia.org/wiki/Astoria,_OR_Micropolitan_Statistical_Area" TargetMode="External"/><Relationship Id="rId402" Type="http://schemas.openxmlformats.org/officeDocument/2006/relationships/hyperlink" Target="https://en.wikipedia.org/wiki/Monroe-Ruston-Bastrop,_LA_Combined_Statistical_Area" TargetMode="External"/><Relationship Id="rId847" Type="http://schemas.openxmlformats.org/officeDocument/2006/relationships/hyperlink" Target="https://en.wikipedia.org/wiki/Oneonta,_NY_Micropolitan_Statistical_Area" TargetMode="External"/><Relationship Id="rId1032" Type="http://schemas.openxmlformats.org/officeDocument/2006/relationships/hyperlink" Target="https://en.wikipedia.org/wiki/Blackfoot,_ID_Micropolitan_Statistical_Area" TargetMode="External"/><Relationship Id="rId707" Type="http://schemas.openxmlformats.org/officeDocument/2006/relationships/hyperlink" Target="https://en.wikipedia.org/wiki/Branson,_MO_Micropolitan_Statistical_Area" TargetMode="External"/><Relationship Id="rId914" Type="http://schemas.openxmlformats.org/officeDocument/2006/relationships/hyperlink" Target="https://en.wikipedia.org/wiki/Sonora,_CA_Micropolitan_Statistical_Area" TargetMode="External"/><Relationship Id="rId1337" Type="http://schemas.openxmlformats.org/officeDocument/2006/relationships/hyperlink" Target="https://en.wikipedia.org/wiki/Summerville,_GA_Micropolitan_Statistical_Area" TargetMode="External"/><Relationship Id="rId43" Type="http://schemas.openxmlformats.org/officeDocument/2006/relationships/hyperlink" Target="https://en.wikipedia.org/wiki/Portland-Vancouver-Hillsboro,_OR-WA_Metropolitan_Statistical_Area" TargetMode="External"/><Relationship Id="rId1404" Type="http://schemas.openxmlformats.org/officeDocument/2006/relationships/hyperlink" Target="https://en.wikipedia.org/wiki/Moses_Lake-Othello,_WA_Combined_Statistical_Area" TargetMode="External"/><Relationship Id="rId192" Type="http://schemas.openxmlformats.org/officeDocument/2006/relationships/hyperlink" Target="https://en.wikipedia.org/wiki/Santa_Rosa,_CA_Metropolitan_Statistical_Area" TargetMode="External"/><Relationship Id="rId497" Type="http://schemas.openxmlformats.org/officeDocument/2006/relationships/hyperlink" Target="https://en.wikipedia.org/wiki/Spokane-Spokane_Valley-Coeur_d%27Alene,_WA-ID_Combined_Statistical_Area" TargetMode="External"/><Relationship Id="rId357" Type="http://schemas.openxmlformats.org/officeDocument/2006/relationships/hyperlink" Target="https://en.wikipedia.org/wiki/Rochester,_MN_Metropolitan_Statistical_Area" TargetMode="External"/><Relationship Id="rId1194" Type="http://schemas.openxmlformats.org/officeDocument/2006/relationships/hyperlink" Target="https://en.wikipedia.org/wiki/Alexandria,_MN_Micropolitan_Statistical_Area" TargetMode="External"/><Relationship Id="rId217" Type="http://schemas.openxmlformats.org/officeDocument/2006/relationships/hyperlink" Target="https://en.wikipedia.org/wiki/Santa_Maria-Santa_Barbara,_CA_Metropolitan_Statistical_Area" TargetMode="External"/><Relationship Id="rId564" Type="http://schemas.openxmlformats.org/officeDocument/2006/relationships/hyperlink" Target="https://en.wikipedia.org/wiki/Albany,_OR_Metropolitan_Statistical_Area" TargetMode="External"/><Relationship Id="rId771" Type="http://schemas.openxmlformats.org/officeDocument/2006/relationships/hyperlink" Target="https://en.wikipedia.org/wiki/Wisconsin_Rapids-Marshfield,_WI_Micropolitan_Statistical_Area" TargetMode="External"/><Relationship Id="rId869" Type="http://schemas.openxmlformats.org/officeDocument/2006/relationships/hyperlink" Target="https://en.wikipedia.org/wiki/Raleigh-Durham-Chapel_Hill,_NC_Combined_Statistical_Area" TargetMode="External"/><Relationship Id="rId424" Type="http://schemas.openxmlformats.org/officeDocument/2006/relationships/hyperlink" Target="https://en.wikipedia.org/wiki/Abilene,_TX_Metropolitan_Statistical_Area" TargetMode="External"/><Relationship Id="rId631" Type="http://schemas.openxmlformats.org/officeDocument/2006/relationships/hyperlink" Target="https://en.wikipedia.org/wiki/Corning,_NY_Micropolitan_Statistical_Area" TargetMode="External"/><Relationship Id="rId729" Type="http://schemas.openxmlformats.org/officeDocument/2006/relationships/hyperlink" Target="https://en.wikipedia.org/wiki/DuBois,_PA_Micropolitan_Statistical_Area" TargetMode="External"/><Relationship Id="rId1054" Type="http://schemas.openxmlformats.org/officeDocument/2006/relationships/hyperlink" Target="https://en.wikipedia.org/wiki/Coldwater,_MI_Micropolitan_Statistical_Area" TargetMode="External"/><Relationship Id="rId1261" Type="http://schemas.openxmlformats.org/officeDocument/2006/relationships/hyperlink" Target="https://en.wikipedia.org/wiki/Corpus_Christi-Kingsville-Alice,_TX_Combined_Statistical_Area" TargetMode="External"/><Relationship Id="rId1359" Type="http://schemas.openxmlformats.org/officeDocument/2006/relationships/hyperlink" Target="https://en.wikipedia.org/wiki/Cordele,_GA_Micropolitan_Statistical_Area" TargetMode="External"/><Relationship Id="rId936" Type="http://schemas.openxmlformats.org/officeDocument/2006/relationships/hyperlink" Target="https://en.wikipedia.org/wiki/Dayton-Springfield-Sidney,_OH_Combined_Statistical_Area" TargetMode="External"/><Relationship Id="rId1121" Type="http://schemas.openxmlformats.org/officeDocument/2006/relationships/hyperlink" Target="https://en.wikipedia.org/wiki/Williamsport-Lock_Haven,_PA_Combined_Statistical_Area" TargetMode="External"/><Relationship Id="rId1219" Type="http://schemas.openxmlformats.org/officeDocument/2006/relationships/hyperlink" Target="https://en.wikipedia.org/wiki/Martin,_TN_Micropolitan_Statistical_Area" TargetMode="External"/><Relationship Id="rId65" Type="http://schemas.openxmlformats.org/officeDocument/2006/relationships/hyperlink" Target="https://en.wikipedia.org/wiki/Nashville-Davidson%E2%80%93Murfreesboro%E2%80%93Franklin,_TN_Metropolitan_Statistical_Area" TargetMode="External"/><Relationship Id="rId1426" Type="http://schemas.openxmlformats.org/officeDocument/2006/relationships/hyperlink" Target="https://en.wikipedia.org/wiki/Lamesa,_TX_Micropolitan_Statistical_Area" TargetMode="External"/><Relationship Id="rId281" Type="http://schemas.openxmlformats.org/officeDocument/2006/relationships/hyperlink" Target="https://en.wikipedia.org/wiki/Columbus-Auburn-Opelika,_GA-AL_Combined_Statistical_Area" TargetMode="External"/><Relationship Id="rId141" Type="http://schemas.openxmlformats.org/officeDocument/2006/relationships/hyperlink" Target="https://en.wikipedia.org/wiki/Stockton-Lodi,_CA_Metropolitan_Statistical_Area" TargetMode="External"/><Relationship Id="rId379" Type="http://schemas.openxmlformats.org/officeDocument/2006/relationships/hyperlink" Target="https://en.wikipedia.org/wiki/Milwaukee-Racine-Waukesha,_WI_Combined_Statistical_Area" TargetMode="External"/><Relationship Id="rId586" Type="http://schemas.openxmlformats.org/officeDocument/2006/relationships/hyperlink" Target="https://en.wikipedia.org/wiki/Kansas_City-Overland_Park-Kansas_City,_MO-KS_Combined_Statistical_Area" TargetMode="External"/><Relationship Id="rId793" Type="http://schemas.openxmlformats.org/officeDocument/2006/relationships/hyperlink" Target="https://en.wikipedia.org/wiki/Muskogee,_OK_Micropolitan_Statistical_Area" TargetMode="External"/><Relationship Id="rId7" Type="http://schemas.openxmlformats.org/officeDocument/2006/relationships/hyperlink" Target="https://en.wikipedia.org/wiki/Dallas-Fort_Worth-Arlington,_TX_Metropolitan_Statistical_Area" TargetMode="External"/><Relationship Id="rId239" Type="http://schemas.openxmlformats.org/officeDocument/2006/relationships/hyperlink" Target="https://en.wikipedia.org/wiki/Salem,_OR_Metropolitan_Statistical_Area" TargetMode="External"/><Relationship Id="rId446" Type="http://schemas.openxmlformats.org/officeDocument/2006/relationships/hyperlink" Target="https://en.wikipedia.org/wiki/Albany,_GA_Metropolitan_Statistical_Area" TargetMode="External"/><Relationship Id="rId653" Type="http://schemas.openxmlformats.org/officeDocument/2006/relationships/hyperlink" Target="https://en.wikipedia.org/wiki/Victoria,_TX_Metropolitan_Statistical_Area" TargetMode="External"/><Relationship Id="rId1076" Type="http://schemas.openxmlformats.org/officeDocument/2006/relationships/hyperlink" Target="https://en.wikipedia.org/wiki/Auburn,_IN_Micropolitan_Statistical_Area" TargetMode="External"/><Relationship Id="rId1283" Type="http://schemas.openxmlformats.org/officeDocument/2006/relationships/hyperlink" Target="https://en.wikipedia.org/wiki/Elkins,_WV_Micropolitan_Statistical_Area" TargetMode="External"/><Relationship Id="rId306" Type="http://schemas.openxmlformats.org/officeDocument/2006/relationships/hyperlink" Target="https://en.wikipedia.org/wiki/Santa_Cruz-Watsonville,_CA_Metropolitan_Statistical_Area" TargetMode="External"/><Relationship Id="rId860" Type="http://schemas.openxmlformats.org/officeDocument/2006/relationships/hyperlink" Target="https://en.wikipedia.org/wiki/Mount_Vernon,_OH_Micropolitan_Statistical_Area" TargetMode="External"/><Relationship Id="rId958" Type="http://schemas.openxmlformats.org/officeDocument/2006/relationships/hyperlink" Target="https://en.wikipedia.org/wiki/Platteville,_WI_Micropolitan_Statistical_Area" TargetMode="External"/><Relationship Id="rId1143" Type="http://schemas.openxmlformats.org/officeDocument/2006/relationships/hyperlink" Target="https://en.wikipedia.org/wiki/Defiance,_OH_Micropolitan_Statistical_Area" TargetMode="External"/><Relationship Id="rId87" Type="http://schemas.openxmlformats.org/officeDocument/2006/relationships/hyperlink" Target="https://en.wikipedia.org/wiki/Raleigh-Durham-Chapel_Hill,_NC_Combined_Statistical_Area" TargetMode="External"/><Relationship Id="rId513" Type="http://schemas.openxmlformats.org/officeDocument/2006/relationships/hyperlink" Target="https://en.wikipedia.org/wiki/Lumberton,_NC_Micropolitan_Statistical_Area" TargetMode="External"/><Relationship Id="rId720" Type="http://schemas.openxmlformats.org/officeDocument/2006/relationships/hyperlink" Target="https://en.wikipedia.org/wiki/Kokomo-Peru,_IN_Combined_Statistical_Area" TargetMode="External"/><Relationship Id="rId818" Type="http://schemas.openxmlformats.org/officeDocument/2006/relationships/hyperlink" Target="https://en.wikipedia.org/wiki/Columbus-Marion-Zanesville,_OH_Combined_Statistical_Area" TargetMode="External"/><Relationship Id="rId1350" Type="http://schemas.openxmlformats.org/officeDocument/2006/relationships/hyperlink" Target="https://en.wikipedia.org/wiki/Fredericksburg,_TX_Micropolitan_Statistical_Area" TargetMode="External"/><Relationship Id="rId1003" Type="http://schemas.openxmlformats.org/officeDocument/2006/relationships/hyperlink" Target="https://en.wikipedia.org/wiki/Monroe-Ruston-Bastrop,_LA_Combined_Statistical_Area" TargetMode="External"/><Relationship Id="rId1210" Type="http://schemas.openxmlformats.org/officeDocument/2006/relationships/hyperlink" Target="https://en.wikipedia.org/wiki/Sulphur_Springs,_TX_Micropolitan_Statistical_Area" TargetMode="External"/><Relationship Id="rId1308" Type="http://schemas.openxmlformats.org/officeDocument/2006/relationships/hyperlink" Target="https://en.wikipedia.org/wiki/Mineral_Wells,_TX_Micropolitan_Statistical_Area" TargetMode="External"/><Relationship Id="rId14" Type="http://schemas.openxmlformats.org/officeDocument/2006/relationships/hyperlink" Target="https://en.wikipedia.org/wiki/Miami-Fort_Lauderdale-West_Palm_Beach,_FL_Metropolitan_Statistical_Area" TargetMode="External"/><Relationship Id="rId163" Type="http://schemas.openxmlformats.org/officeDocument/2006/relationships/hyperlink" Target="https://en.wikipedia.org/wiki/Salt_Lake_City-Provo-Orem,_UT_Combined_Statistical_Area" TargetMode="External"/><Relationship Id="rId370" Type="http://schemas.openxmlformats.org/officeDocument/2006/relationships/hyperlink" Target="https://en.wikipedia.org/wiki/Johnson_City-Kingsport-Bristol,_TN-VA_Combined_Statistical_Area" TargetMode="External"/><Relationship Id="rId230" Type="http://schemas.openxmlformats.org/officeDocument/2006/relationships/hyperlink" Target="https://en.wikipedia.org/wiki/Mobile,_AL_Metropolitan_Statistical_Area" TargetMode="External"/><Relationship Id="rId468" Type="http://schemas.openxmlformats.org/officeDocument/2006/relationships/hyperlink" Target="https://en.wikipedia.org/wiki/Washington-Baltimore-Arlington,_DC-MD-VA-WV-PA_Combined_Statistical_Area" TargetMode="External"/><Relationship Id="rId675" Type="http://schemas.openxmlformats.org/officeDocument/2006/relationships/hyperlink" Target="https://en.wikipedia.org/wiki/New_Philadelphia-Dover,_OH_Micropolitan_Statistical_Area" TargetMode="External"/><Relationship Id="rId882" Type="http://schemas.openxmlformats.org/officeDocument/2006/relationships/hyperlink" Target="https://en.wikipedia.org/wiki/Kinston,_NC_Micropolitan_Statistical_Area" TargetMode="External"/><Relationship Id="rId1098" Type="http://schemas.openxmlformats.org/officeDocument/2006/relationships/hyperlink" Target="https://en.wikipedia.org/wiki/Riverton,_WY_Micropolitan_Statistical_Area" TargetMode="External"/><Relationship Id="rId328" Type="http://schemas.openxmlformats.org/officeDocument/2006/relationships/hyperlink" Target="https://en.wikipedia.org/wiki/Yakima,_WA_Metropolitan_Statistical_Area" TargetMode="External"/><Relationship Id="rId535" Type="http://schemas.openxmlformats.org/officeDocument/2006/relationships/hyperlink" Target="https://en.wikipedia.org/wiki/Harrisonburg,_VA_Metropolitan_Statistical_Area" TargetMode="External"/><Relationship Id="rId742" Type="http://schemas.openxmlformats.org/officeDocument/2006/relationships/hyperlink" Target="https://en.wikipedia.org/wiki/Indianapolis-Carmel-Muncie,_IN_Combined_Statistical_Area" TargetMode="External"/><Relationship Id="rId1165" Type="http://schemas.openxmlformats.org/officeDocument/2006/relationships/hyperlink" Target="https://en.wikipedia.org/wiki/Newberry,_SC_Micropolitan_Statistical_Area" TargetMode="External"/><Relationship Id="rId1372" Type="http://schemas.openxmlformats.org/officeDocument/2006/relationships/hyperlink" Target="https://en.wikipedia.org/wiki/Fargo-Wahpeton,_ND-MN_Combined_Statistical_Area" TargetMode="External"/><Relationship Id="rId602" Type="http://schemas.openxmlformats.org/officeDocument/2006/relationships/hyperlink" Target="https://en.wikipedia.org/wiki/Bay_City,_MI_Metropolitan_Statistical_Area" TargetMode="External"/><Relationship Id="rId1025" Type="http://schemas.openxmlformats.org/officeDocument/2006/relationships/hyperlink" Target="https://en.wikipedia.org/wiki/Wapakoneta,_OH_Micropolitan_Statistical_Area" TargetMode="External"/><Relationship Id="rId1232" Type="http://schemas.openxmlformats.org/officeDocument/2006/relationships/hyperlink" Target="https://en.wikipedia.org/wiki/Angola,_IN_Micropolitan_Statistical_Area" TargetMode="External"/><Relationship Id="rId907" Type="http://schemas.openxmlformats.org/officeDocument/2006/relationships/hyperlink" Target="https://en.wikipedia.org/wiki/Reno-Carson_City-Fernley,_NV_Combined_Statistical_Area" TargetMode="External"/><Relationship Id="rId36" Type="http://schemas.openxmlformats.org/officeDocument/2006/relationships/hyperlink" Target="https://en.wikipedia.org/wiki/Washington-Baltimore-Arlington,_DC-MD-VA-WV-PA_Combined_Statistical_Area" TargetMode="External"/><Relationship Id="rId185" Type="http://schemas.openxmlformats.org/officeDocument/2006/relationships/hyperlink" Target="https://en.wikipedia.org/wiki/Lancaster,_PA_Metropolitan_Statistical_Area" TargetMode="External"/><Relationship Id="rId392" Type="http://schemas.openxmlformats.org/officeDocument/2006/relationships/hyperlink" Target="https://en.wikipedia.org/wiki/Macon-Warner_Robins,_GA_Combined_Statistical_Area" TargetMode="External"/><Relationship Id="rId697" Type="http://schemas.openxmlformats.org/officeDocument/2006/relationships/hyperlink" Target="https://en.wikipedia.org/wiki/Lufkin,_TX_Micropolitan_Statistical_Area" TargetMode="External"/><Relationship Id="rId252" Type="http://schemas.openxmlformats.org/officeDocument/2006/relationships/hyperlink" Target="https://en.wikipedia.org/wiki/Tallahassee-Bainbridge,_FL-GA_Combined_Statistical_Area" TargetMode="External"/><Relationship Id="rId1187" Type="http://schemas.openxmlformats.org/officeDocument/2006/relationships/hyperlink" Target="https://en.wikipedia.org/wiki/Bay_City,_TX_Micropolitan_Statistical_Area" TargetMode="External"/><Relationship Id="rId112" Type="http://schemas.openxmlformats.org/officeDocument/2006/relationships/hyperlink" Target="https://en.wikipedia.org/wiki/Omaha-Council_Bluffs-Fremont,_NE-IA_Combined_Statistical_Area" TargetMode="External"/><Relationship Id="rId557" Type="http://schemas.openxmlformats.org/officeDocument/2006/relationships/hyperlink" Target="https://en.wikipedia.org/wiki/Sherman-Denison,_TX_Metropolitan_Statistical_Area" TargetMode="External"/><Relationship Id="rId764" Type="http://schemas.openxmlformats.org/officeDocument/2006/relationships/hyperlink" Target="https://en.wikipedia.org/wiki/Centralia,_WA_Micropolitan_Statistical_Area" TargetMode="External"/><Relationship Id="rId971" Type="http://schemas.openxmlformats.org/officeDocument/2006/relationships/hyperlink" Target="https://en.wikipedia.org/wiki/Cortland,_NY_Micropolitan_Statistical_Area" TargetMode="External"/><Relationship Id="rId1394" Type="http://schemas.openxmlformats.org/officeDocument/2006/relationships/hyperlink" Target="https://en.wikipedia.org/wiki/Jamestown,_ND_Micropolitan_Statistical_Area" TargetMode="External"/><Relationship Id="rId417" Type="http://schemas.openxmlformats.org/officeDocument/2006/relationships/hyperlink" Target="https://en.wikipedia.org/wiki/Waterloo-Cedar_Falls,_IA_Metropolitan_Statistical_Area" TargetMode="External"/><Relationship Id="rId624" Type="http://schemas.openxmlformats.org/officeDocument/2006/relationships/hyperlink" Target="https://en.wikipedia.org/wiki/Gettysburg,_PA_Metropolitan_Statistical_Area" TargetMode="External"/><Relationship Id="rId831" Type="http://schemas.openxmlformats.org/officeDocument/2006/relationships/hyperlink" Target="https://en.wikipedia.org/wiki/Elizabeth_City,_NC_Micropolitan_Statistical_Area" TargetMode="External"/><Relationship Id="rId1047" Type="http://schemas.openxmlformats.org/officeDocument/2006/relationships/hyperlink" Target="https://en.wikipedia.org/wiki/Duncan,_OK_Micropolitan_Statistical_Area" TargetMode="External"/><Relationship Id="rId1254" Type="http://schemas.openxmlformats.org/officeDocument/2006/relationships/hyperlink" Target="https://en.wikipedia.org/wiki/Juneau,_AK_Micropolitan_Statistical_Area" TargetMode="External"/><Relationship Id="rId929" Type="http://schemas.openxmlformats.org/officeDocument/2006/relationships/hyperlink" Target="https://en.wikipedia.org/wiki/Ashland,_OH_Micropolitan_Statistical_Area" TargetMode="External"/><Relationship Id="rId1114" Type="http://schemas.openxmlformats.org/officeDocument/2006/relationships/hyperlink" Target="https://en.wikipedia.org/wiki/Cambridge,_OH_Micropolitan_Statistical_Area" TargetMode="External"/><Relationship Id="rId1321" Type="http://schemas.openxmlformats.org/officeDocument/2006/relationships/hyperlink" Target="https://en.wikipedia.org/wiki/Uvalde,_TX_Micropolitan_Statistical_Area" TargetMode="External"/><Relationship Id="rId58" Type="http://schemas.openxmlformats.org/officeDocument/2006/relationships/hyperlink" Target="https://en.wikipedia.org/wiki/Columbus,_OH_Metropolitan_Statistical_Area" TargetMode="External"/><Relationship Id="rId1419" Type="http://schemas.openxmlformats.org/officeDocument/2006/relationships/hyperlink" Target="https://en.wikipedia.org/wiki/Andrews,_TX_Micropolitan_Statistical_Area" TargetMode="External"/><Relationship Id="rId274" Type="http://schemas.openxmlformats.org/officeDocument/2006/relationships/hyperlink" Target="https://en.wikipedia.org/wiki/South_Bend-Elkhart-Mishawaka,_IN-MI_Combined_Statistical_Area" TargetMode="External"/><Relationship Id="rId481" Type="http://schemas.openxmlformats.org/officeDocument/2006/relationships/hyperlink" Target="https://en.wikipedia.org/wiki/Pottsville,_PA_Micropolitan_Statistical_Area" TargetMode="External"/><Relationship Id="rId134" Type="http://schemas.openxmlformats.org/officeDocument/2006/relationships/hyperlink" Target="https://en.wikipedia.org/wiki/Columbia-Orangeburg-Newberry,_SC_Combined_Statistical_Area" TargetMode="External"/><Relationship Id="rId579" Type="http://schemas.openxmlformats.org/officeDocument/2006/relationships/hyperlink" Target="https://en.wikipedia.org/wiki/San_Angelo,_TX_Metropolitan_Statistical_Area" TargetMode="External"/><Relationship Id="rId786" Type="http://schemas.openxmlformats.org/officeDocument/2006/relationships/hyperlink" Target="https://en.wikipedia.org/wiki/Springfield-Greenfield_Town,_MA_Combined_Statistical_Area" TargetMode="External"/><Relationship Id="rId993" Type="http://schemas.openxmlformats.org/officeDocument/2006/relationships/hyperlink" Target="https://en.wikipedia.org/wiki/Burlington,_IA-IL_Micropolitan_Statistical_Area" TargetMode="External"/><Relationship Id="rId341" Type="http://schemas.openxmlformats.org/officeDocument/2006/relationships/hyperlink" Target="https://en.wikipedia.org/wiki/Chico,_CA_Metropolitan_Statistical_Area" TargetMode="External"/><Relationship Id="rId439" Type="http://schemas.openxmlformats.org/officeDocument/2006/relationships/hyperlink" Target="https://en.wikipedia.org/wiki/Madison-Janesville-Beloit,_WI_Combined_Statistical_Area" TargetMode="External"/><Relationship Id="rId646" Type="http://schemas.openxmlformats.org/officeDocument/2006/relationships/hyperlink" Target="https://en.wikipedia.org/wiki/Charlotte-Concord,_NC-SC_Combined_Statistical_Area" TargetMode="External"/><Relationship Id="rId1069" Type="http://schemas.openxmlformats.org/officeDocument/2006/relationships/hyperlink" Target="https://en.wikipedia.org/wiki/Las_Vegas-Henderson,_NV-AZ_Combined_Statistical_Area" TargetMode="External"/><Relationship Id="rId1276" Type="http://schemas.openxmlformats.org/officeDocument/2006/relationships/hyperlink" Target="https://en.wikipedia.org/wiki/Iron_Mountain,_MI-WI_Micropolitan_Statistical_Area" TargetMode="External"/><Relationship Id="rId201" Type="http://schemas.openxmlformats.org/officeDocument/2006/relationships/hyperlink" Target="https://en.wikipedia.org/wiki/Pensacola-Ferry_Pass-Brent,_FL_Metropolitan_Statistical_Area" TargetMode="External"/><Relationship Id="rId506" Type="http://schemas.openxmlformats.org/officeDocument/2006/relationships/hyperlink" Target="https://en.wikipedia.org/wiki/Rapid_City,_SD_Metropolitan_Statistical_Area" TargetMode="External"/><Relationship Id="rId853" Type="http://schemas.openxmlformats.org/officeDocument/2006/relationships/hyperlink" Target="https://en.wikipedia.org/wiki/Lewiston,_Idaho_metropolitan_area" TargetMode="External"/><Relationship Id="rId1136" Type="http://schemas.openxmlformats.org/officeDocument/2006/relationships/hyperlink" Target="https://en.wikipedia.org/wiki/Virginia_Beach-Norfolk,_VA-NC_Combined_Statistical_Area" TargetMode="External"/><Relationship Id="rId713" Type="http://schemas.openxmlformats.org/officeDocument/2006/relationships/hyperlink" Target="https://en.wikipedia.org/wiki/Pocatello,_ID_Metropolitan_Statistical_Area" TargetMode="External"/><Relationship Id="rId920" Type="http://schemas.openxmlformats.org/officeDocument/2006/relationships/hyperlink" Target="https://en.wikipedia.org/wiki/Ontario,_OR-ID_Micropolitan_Statistical_Area" TargetMode="External"/><Relationship Id="rId1343" Type="http://schemas.openxmlformats.org/officeDocument/2006/relationships/hyperlink" Target="https://en.wikipedia.org/wiki/The_Dalles,_OR_Micropolitan_Statistical_Area" TargetMode="External"/><Relationship Id="rId1203" Type="http://schemas.openxmlformats.org/officeDocument/2006/relationships/hyperlink" Target="https://en.wikipedia.org/wiki/Charleston-Huntington-Ashland,_WV-OH-KY_Combined_Statistical_Area" TargetMode="External"/><Relationship Id="rId1410" Type="http://schemas.openxmlformats.org/officeDocument/2006/relationships/hyperlink" Target="https://en.wikipedia.org/wiki/Cincinnati-Wilmington-Maysville,_OH-KY-IN_Combined_Statistical_Area" TargetMode="External"/><Relationship Id="rId296" Type="http://schemas.openxmlformats.org/officeDocument/2006/relationships/hyperlink" Target="https://en.wikipedia.org/wiki/Duluth,_MN-WI_Metropolitan_Statistical_Area" TargetMode="External"/><Relationship Id="rId156" Type="http://schemas.openxmlformats.org/officeDocument/2006/relationships/hyperlink" Target="https://en.wikipedia.org/wiki/Wichita-Arkansas_City-Winfield,_KS_Combined_Statistical_Area" TargetMode="External"/><Relationship Id="rId363" Type="http://schemas.openxmlformats.org/officeDocument/2006/relationships/hyperlink" Target="https://en.wikipedia.org/wiki/Lafayette-West_Lafayette-Frankfort,_IN_Combined_Statistical_Area" TargetMode="External"/><Relationship Id="rId570" Type="http://schemas.openxmlformats.org/officeDocument/2006/relationships/hyperlink" Target="https://en.wikipedia.org/wiki/Muncie,_IN_Metropolitan_Statistical_Area" TargetMode="External"/><Relationship Id="rId223" Type="http://schemas.openxmlformats.org/officeDocument/2006/relationships/hyperlink" Target="https://en.wikipedia.org/wiki/Vallejo-Fairfield,_CA_Metropolitan_Statistical_Area" TargetMode="External"/><Relationship Id="rId430" Type="http://schemas.openxmlformats.org/officeDocument/2006/relationships/hyperlink" Target="https://en.wikipedia.org/wiki/Bloomington,_IN_Metropolitan_Statistical_Area" TargetMode="External"/><Relationship Id="rId668" Type="http://schemas.openxmlformats.org/officeDocument/2006/relationships/hyperlink" Target="https://en.wikipedia.org/wiki/Talladega-Sylacauga,_AL_Micropolitan_Statistical_Area" TargetMode="External"/><Relationship Id="rId875" Type="http://schemas.openxmlformats.org/officeDocument/2006/relationships/hyperlink" Target="https://en.wikipedia.org/wiki/Rochester-Batavia-Seneca_Falls,_NY_Combined_Statistical_Area" TargetMode="External"/><Relationship Id="rId1060" Type="http://schemas.openxmlformats.org/officeDocument/2006/relationships/hyperlink" Target="https://en.wikipedia.org/wiki/Burley,_ID_Micropolitan_Statistical_Area" TargetMode="External"/><Relationship Id="rId1298" Type="http://schemas.openxmlformats.org/officeDocument/2006/relationships/hyperlink" Target="https://en.wikipedia.org/wiki/Merrill,_WI_Micropolitan_Statistical_Area" TargetMode="External"/><Relationship Id="rId528" Type="http://schemas.openxmlformats.org/officeDocument/2006/relationships/hyperlink" Target="https://en.wikipedia.org/wiki/Winchester,_VA-WV_Metropolitan_Statistical_Area" TargetMode="External"/><Relationship Id="rId735" Type="http://schemas.openxmlformats.org/officeDocument/2006/relationships/hyperlink" Target="https://en.wikipedia.org/wiki/Auburn,_NY_Micropolitan_Statistical_Area" TargetMode="External"/><Relationship Id="rId942" Type="http://schemas.openxmlformats.org/officeDocument/2006/relationships/hyperlink" Target="https://en.wikipedia.org/wiki/Edwards,_CO_Micropolitan_Statistical_Area" TargetMode="External"/><Relationship Id="rId1158" Type="http://schemas.openxmlformats.org/officeDocument/2006/relationships/hyperlink" Target="https://en.wikipedia.org/wiki/Summit_Park,_UT_Micropolitan_Statistical_Area" TargetMode="External"/><Relationship Id="rId1365" Type="http://schemas.openxmlformats.org/officeDocument/2006/relationships/hyperlink" Target="https://en.wikipedia.org/wiki/Mitchell,_SD_Micropolitan_Statistical_Area" TargetMode="External"/><Relationship Id="rId1018" Type="http://schemas.openxmlformats.org/officeDocument/2006/relationships/hyperlink" Target="https://en.wikipedia.org/wiki/Moultrie,_GA_Micropolitan_Statistical_Area" TargetMode="External"/><Relationship Id="rId1225" Type="http://schemas.openxmlformats.org/officeDocument/2006/relationships/hyperlink" Target="https://en.wikipedia.org/wiki/Springfield-Jacksonville-Lincoln,_IL_Combined_Statistical_Area" TargetMode="External"/><Relationship Id="rId71" Type="http://schemas.openxmlformats.org/officeDocument/2006/relationships/hyperlink" Target="https://en.wikipedia.org/wiki/Milwaukee-Waukesha-West_Allis,_WI_Metropolitan_Statistical_Area" TargetMode="External"/><Relationship Id="rId802" Type="http://schemas.openxmlformats.org/officeDocument/2006/relationships/hyperlink" Target="https://en.wikipedia.org/wiki/LaGrange,_GA_Micropolitan_Statistical_Area" TargetMode="External"/><Relationship Id="rId29" Type="http://schemas.openxmlformats.org/officeDocument/2006/relationships/hyperlink" Target="https://en.wikipedia.org/wiki/Minneapolis-St._Paul-Bloomington,_MN-WI_Metropolitan_Statistical_Area" TargetMode="External"/><Relationship Id="rId178" Type="http://schemas.openxmlformats.org/officeDocument/2006/relationships/hyperlink" Target="https://en.wikipedia.org/wiki/Provo-Orem,_UT_Metropolitan_Statistical_Area" TargetMode="External"/><Relationship Id="rId385" Type="http://schemas.openxmlformats.org/officeDocument/2006/relationships/hyperlink" Target="https://en.wikipedia.org/wiki/Hilo,_HI_Micropolitan_Statistical_Area" TargetMode="External"/><Relationship Id="rId592" Type="http://schemas.openxmlformats.org/officeDocument/2006/relationships/hyperlink" Target="https://en.wikipedia.org/wiki/Missoula,_MT_Metropolitan_Statistical_Area" TargetMode="External"/><Relationship Id="rId245" Type="http://schemas.openxmlformats.org/officeDocument/2006/relationships/hyperlink" Target="https://en.wikipedia.org/wiki/Davenport-Moline,_IA-IL_Combined_Statistical_Area" TargetMode="External"/><Relationship Id="rId452" Type="http://schemas.openxmlformats.org/officeDocument/2006/relationships/hyperlink" Target="https://en.wikipedia.org/wiki/Decatur,_AL_Metropolitan_Statistical_Area" TargetMode="External"/><Relationship Id="rId897" Type="http://schemas.openxmlformats.org/officeDocument/2006/relationships/hyperlink" Target="https://en.wikipedia.org/wiki/Atlanta%E2%80%93Athens-Clarke_County%E2%80%93Sandy_Springs,_GA_Combined_Statistical_Area" TargetMode="External"/><Relationship Id="rId1082" Type="http://schemas.openxmlformats.org/officeDocument/2006/relationships/hyperlink" Target="https://en.wikipedia.org/wiki/Mount_Pleasant-Alma,_MI_Combined_Statistical_Area" TargetMode="External"/><Relationship Id="rId105" Type="http://schemas.openxmlformats.org/officeDocument/2006/relationships/hyperlink" Target="https://en.wikipedia.org/wiki/Bridgeport-Stamford-Norwalk,_CT_Metropolitan_Statistical_Area" TargetMode="External"/><Relationship Id="rId312" Type="http://schemas.openxmlformats.org/officeDocument/2006/relationships/hyperlink" Target="https://en.wikipedia.org/wiki/Modesto-Merced,_CA_Combined_Statistical_Area" TargetMode="External"/><Relationship Id="rId757" Type="http://schemas.openxmlformats.org/officeDocument/2006/relationships/hyperlink" Target="https://en.wikipedia.org/wiki/Johnstown-Somerset,_PA_Combined_Statistical_Area" TargetMode="External"/><Relationship Id="rId964" Type="http://schemas.openxmlformats.org/officeDocument/2006/relationships/hyperlink" Target="https://en.wikipedia.org/wiki/Albany-Schenectady,_NY_Combined_Statistical_Area" TargetMode="External"/><Relationship Id="rId1387" Type="http://schemas.openxmlformats.org/officeDocument/2006/relationships/hyperlink" Target="https://en.wikipedia.org/wiki/Port_Lavaca,_TX_Micropolitan_Statistical_Area" TargetMode="External"/><Relationship Id="rId93" Type="http://schemas.openxmlformats.org/officeDocument/2006/relationships/hyperlink" Target="https://en.wikipedia.org/wiki/Salt_Lake_City-Provo-Orem,_UT_Combined_Statistical_Area" TargetMode="External"/><Relationship Id="rId617" Type="http://schemas.openxmlformats.org/officeDocument/2006/relationships/hyperlink" Target="https://en.wikipedia.org/wiki/Portland-Vancouver-Salem,_OR-WA_Combined_Statistical_Area" TargetMode="External"/><Relationship Id="rId824" Type="http://schemas.openxmlformats.org/officeDocument/2006/relationships/hyperlink" Target="https://en.wikipedia.org/wiki/Roswell,_NM_Micropolitan_Statistical_Area" TargetMode="External"/><Relationship Id="rId1247" Type="http://schemas.openxmlformats.org/officeDocument/2006/relationships/hyperlink" Target="https://en.wikipedia.org/wiki/Jackson,_OH_Micropolitan_Statistical_Area" TargetMode="External"/><Relationship Id="rId1107" Type="http://schemas.openxmlformats.org/officeDocument/2006/relationships/hyperlink" Target="https://en.wikipedia.org/wiki/Jacksonville,_IL_Micropolitan_Statistical_Area" TargetMode="External"/><Relationship Id="rId1314" Type="http://schemas.openxmlformats.org/officeDocument/2006/relationships/hyperlink" Target="https://en.wikipedia.org/wiki/Wauchula,_FL_Micropolitan_Statistical_Area" TargetMode="External"/><Relationship Id="rId20" Type="http://schemas.openxmlformats.org/officeDocument/2006/relationships/hyperlink" Target="https://en.wikipedia.org/wiki/San_Francisco-Oakland-Hayward,_CA_Metropolitan_Statistical_Area" TargetMode="External"/><Relationship Id="rId267" Type="http://schemas.openxmlformats.org/officeDocument/2006/relationships/hyperlink" Target="https://en.wikipedia.org/wiki/Rockford-Freeport-Rochelle,_IL_Combined_Statistical_Area" TargetMode="External"/><Relationship Id="rId474" Type="http://schemas.openxmlformats.org/officeDocument/2006/relationships/hyperlink" Target="https://en.wikipedia.org/wiki/Jefferson_City,_MO_Metropolitan_Statistical_Area" TargetMode="External"/><Relationship Id="rId127" Type="http://schemas.openxmlformats.org/officeDocument/2006/relationships/hyperlink" Target="https://en.wikipedia.org/wiki/New_York-Newark,_NY-NJ-CT-PA_Combined_Statistical_Area" TargetMode="External"/><Relationship Id="rId681" Type="http://schemas.openxmlformats.org/officeDocument/2006/relationships/hyperlink" Target="https://en.wikipedia.org/wiki/Columbia-Orangeburg-Newberry,_SC_Combined_Statistical_Area" TargetMode="External"/><Relationship Id="rId779" Type="http://schemas.openxmlformats.org/officeDocument/2006/relationships/hyperlink" Target="https://en.wikipedia.org/wiki/Minot,_ND_Micropolitan_Statistical_Area" TargetMode="External"/><Relationship Id="rId986" Type="http://schemas.openxmlformats.org/officeDocument/2006/relationships/hyperlink" Target="https://en.wikipedia.org/wiki/Dallas-Fort_Worth,_TX-OK_Combined_Statistical_Area" TargetMode="External"/><Relationship Id="rId334" Type="http://schemas.openxmlformats.org/officeDocument/2006/relationships/hyperlink" Target="https://en.wikipedia.org/wiki/Macon,_GA_Metropolitan_Statistical_Area" TargetMode="External"/><Relationship Id="rId541" Type="http://schemas.openxmlformats.org/officeDocument/2006/relationships/hyperlink" Target="https://en.wikipedia.org/wiki/Kansas_City-Overland_Park-Kansas_City,_MO-KS_Combined_Statistical_Area" TargetMode="External"/><Relationship Id="rId639" Type="http://schemas.openxmlformats.org/officeDocument/2006/relationships/hyperlink" Target="https://en.wikipedia.org/wiki/Sacramento-Roseville,_CA_Combined_Statistical_Area" TargetMode="External"/><Relationship Id="rId1171" Type="http://schemas.openxmlformats.org/officeDocument/2006/relationships/hyperlink" Target="https://en.wikipedia.org/wiki/North_Platte,_NE_Micropolitan_Statistical_Area" TargetMode="External"/><Relationship Id="rId1269" Type="http://schemas.openxmlformats.org/officeDocument/2006/relationships/hyperlink" Target="https://en.wikipedia.org/wiki/Kennett,_MO_Micropolitan_Statistical_Area" TargetMode="External"/><Relationship Id="rId401" Type="http://schemas.openxmlformats.org/officeDocument/2006/relationships/hyperlink" Target="https://en.wikipedia.org/wiki/Monroe,_LA_Metropolitan_Statistical_Area" TargetMode="External"/><Relationship Id="rId846" Type="http://schemas.openxmlformats.org/officeDocument/2006/relationships/hyperlink" Target="https://en.wikipedia.org/wiki/Salina,_KS_Micropolitan_Statistical_Area" TargetMode="External"/><Relationship Id="rId1031" Type="http://schemas.openxmlformats.org/officeDocument/2006/relationships/hyperlink" Target="https://en.wikipedia.org/wiki/Columbus-Marion-Zanesville,_OH_Combined_Statistical_Area" TargetMode="External"/><Relationship Id="rId1129" Type="http://schemas.openxmlformats.org/officeDocument/2006/relationships/hyperlink" Target="https://en.wikipedia.org/wiki/Sikeston,_MO_Micropolitan_Statistical_Area" TargetMode="External"/><Relationship Id="rId706" Type="http://schemas.openxmlformats.org/officeDocument/2006/relationships/hyperlink" Target="https://en.wikipedia.org/wiki/Russellville,_AR_Micropolitan_Statistical_Area" TargetMode="External"/><Relationship Id="rId913" Type="http://schemas.openxmlformats.org/officeDocument/2006/relationships/hyperlink" Target="https://en.wikipedia.org/wiki/Oil_City,_PA_Micropolitan_Statistical_Area" TargetMode="External"/><Relationship Id="rId1336" Type="http://schemas.openxmlformats.org/officeDocument/2006/relationships/hyperlink" Target="https://en.wikipedia.org/wiki/La_Grande,_OR_Micropolitan_Statistical_Area" TargetMode="External"/><Relationship Id="rId42" Type="http://schemas.openxmlformats.org/officeDocument/2006/relationships/hyperlink" Target="https://en.wikipedia.org/wiki/Charlotte-Concord,_NC-SC_Combined_Statistical_Area" TargetMode="External"/><Relationship Id="rId1403" Type="http://schemas.openxmlformats.org/officeDocument/2006/relationships/hyperlink" Target="https://en.wikipedia.org/wiki/Othello,_WA_Micropolitan_Statistical_Area" TargetMode="External"/><Relationship Id="rId191" Type="http://schemas.openxmlformats.org/officeDocument/2006/relationships/hyperlink" Target="https://en.wikipedia.org/wiki/Portland-Lewiston-South_Portland,_ME_Combined_Statistical_Area" TargetMode="External"/><Relationship Id="rId289" Type="http://schemas.openxmlformats.org/officeDocument/2006/relationships/hyperlink" Target="https://en.wikipedia.org/wiki/Denver-Aurora,_CO_Combined_Statistical_Area" TargetMode="External"/><Relationship Id="rId496" Type="http://schemas.openxmlformats.org/officeDocument/2006/relationships/hyperlink" Target="https://en.wikipedia.org/wiki/Coeur_d%27Alene,_ID_Metropolitan_Statistical_Area" TargetMode="External"/><Relationship Id="rId149" Type="http://schemas.openxmlformats.org/officeDocument/2006/relationships/hyperlink" Target="https://en.wikipedia.org/wiki/Winston-Salem,_NC_Metropolitan_Statistical_Area" TargetMode="External"/><Relationship Id="rId356" Type="http://schemas.openxmlformats.org/officeDocument/2006/relationships/hyperlink" Target="https://en.wikipedia.org/wiki/Springfield-Jacksonville-Lincoln,_IL_Combined_Statistical_Area" TargetMode="External"/><Relationship Id="rId563" Type="http://schemas.openxmlformats.org/officeDocument/2006/relationships/hyperlink" Target="https://en.wikipedia.org/wiki/Harrisonburg-Staunton-Waynesboro,_VA_Combined_Statistical_Area" TargetMode="External"/><Relationship Id="rId770" Type="http://schemas.openxmlformats.org/officeDocument/2006/relationships/hyperlink" Target="https://en.wikipedia.org/wiki/Greenville-Spartanburg-Anderson,_SC_Combined_Statistical_Area" TargetMode="External"/><Relationship Id="rId1193" Type="http://schemas.openxmlformats.org/officeDocument/2006/relationships/hyperlink" Target="https://en.wikipedia.org/wiki/Omaha-Council_Bluffs-Fremont,_NE-IA_Combined_Statistical_Area" TargetMode="External"/><Relationship Id="rId216" Type="http://schemas.openxmlformats.org/officeDocument/2006/relationships/hyperlink" Target="https://en.wikipedia.org/wiki/Asheville-Brevard,_NC_Combined_Statistical_Area" TargetMode="External"/><Relationship Id="rId423" Type="http://schemas.openxmlformats.org/officeDocument/2006/relationships/hyperlink" Target="https://en.wikipedia.org/wiki/Philadelphia-Reading-Camden,_PA-NJ-DE-MD_Combined_Statistical_Area" TargetMode="External"/><Relationship Id="rId868" Type="http://schemas.openxmlformats.org/officeDocument/2006/relationships/hyperlink" Target="https://en.wikipedia.org/wiki/Oxford,_NC_Micropolitan_Statistical_Area" TargetMode="External"/><Relationship Id="rId1053" Type="http://schemas.openxmlformats.org/officeDocument/2006/relationships/hyperlink" Target="https://en.wikipedia.org/wiki/Ottumwa,_IA_Micropolitan_Statistical_Area" TargetMode="External"/><Relationship Id="rId1260" Type="http://schemas.openxmlformats.org/officeDocument/2006/relationships/hyperlink" Target="https://en.wikipedia.org/wiki/Kingsville,_TX_Micropolitan_Statistical_Area" TargetMode="External"/><Relationship Id="rId630" Type="http://schemas.openxmlformats.org/officeDocument/2006/relationships/hyperlink" Target="https://en.wikipedia.org/wiki/Fairbanks,_AK_Metropolitan_Statistical_Area" TargetMode="External"/><Relationship Id="rId728" Type="http://schemas.openxmlformats.org/officeDocument/2006/relationships/hyperlink" Target="https://en.wikipedia.org/wiki/Savannah-Hinesville-Statesboro,_GA_Combined_Statistical_Area" TargetMode="External"/><Relationship Id="rId935" Type="http://schemas.openxmlformats.org/officeDocument/2006/relationships/hyperlink" Target="https://en.wikipedia.org/wiki/Greenville,_OH_Micropolitan_Statistical_Area" TargetMode="External"/><Relationship Id="rId1358" Type="http://schemas.openxmlformats.org/officeDocument/2006/relationships/hyperlink" Target="https://en.wikipedia.org/wiki/Richmond-Connersville,_IN_Combined_Statistical_Area" TargetMode="External"/><Relationship Id="rId64" Type="http://schemas.openxmlformats.org/officeDocument/2006/relationships/hyperlink" Target="https://en.wikipedia.org/wiki/Austin-Round_Rock,_TX_Metropolitan_Statistical_Area" TargetMode="External"/><Relationship Id="rId1120" Type="http://schemas.openxmlformats.org/officeDocument/2006/relationships/hyperlink" Target="https://en.wikipedia.org/wiki/Lock_Haven,_PA_Micropolitan_Statistical_Area" TargetMode="External"/><Relationship Id="rId1218" Type="http://schemas.openxmlformats.org/officeDocument/2006/relationships/hyperlink" Target="https://en.wikipedia.org/wiki/Jackson-Vicksburg-Brookhaven,_MS_Combined_Statistical_Area" TargetMode="External"/><Relationship Id="rId1425" Type="http://schemas.openxmlformats.org/officeDocument/2006/relationships/hyperlink" Target="https://en.wikipedia.org/wiki/Ketchikan,_AK_Micropolitan_Statistical_Area" TargetMode="External"/><Relationship Id="rId280" Type="http://schemas.openxmlformats.org/officeDocument/2006/relationships/hyperlink" Target="https://en.wikipedia.org/wiki/Columbus,_GA-AL_Metropolitan_Statistical_Area" TargetMode="External"/><Relationship Id="rId140" Type="http://schemas.openxmlformats.org/officeDocument/2006/relationships/hyperlink" Target="https://en.wikipedia.org/wiki/Little_Rock-North_Little_Rock,_AR_Combined_Statistical_Area" TargetMode="External"/><Relationship Id="rId378" Type="http://schemas.openxmlformats.org/officeDocument/2006/relationships/hyperlink" Target="https://en.wikipedia.org/wiki/Racine,_WI_Metropolitan_Statistical_Area" TargetMode="External"/><Relationship Id="rId585" Type="http://schemas.openxmlformats.org/officeDocument/2006/relationships/hyperlink" Target="https://en.wikipedia.org/wiki/Lawrence,_KS_Metropolitan_Statistical_Area" TargetMode="External"/><Relationship Id="rId792" Type="http://schemas.openxmlformats.org/officeDocument/2006/relationships/hyperlink" Target="https://en.wikipedia.org/wiki/Mount_Pleasant-Alma,_MI_Combined_Statistical_Area" TargetMode="External"/><Relationship Id="rId6" Type="http://schemas.openxmlformats.org/officeDocument/2006/relationships/hyperlink" Target="https://en.wikipedia.org/wiki/Chicago-Naperville,_IL-IN-WI_Combined_Statistical_Area" TargetMode="External"/><Relationship Id="rId238" Type="http://schemas.openxmlformats.org/officeDocument/2006/relationships/hyperlink" Target="https://en.wikipedia.org/wiki/Boston-Worcester-Providence,_MA-RI-NH-CT_Combined_Statistical_Area" TargetMode="External"/><Relationship Id="rId445" Type="http://schemas.openxmlformats.org/officeDocument/2006/relationships/hyperlink" Target="https://en.wikipedia.org/wiki/Philadelphia-Reading-Camden,_PA-NJ-DE-MD_Combined_Statistical_Area" TargetMode="External"/><Relationship Id="rId652" Type="http://schemas.openxmlformats.org/officeDocument/2006/relationships/hyperlink" Target="https://en.wikipedia.org/wiki/Hot_Springs-Malvern,_AR_Combined_Statistical_Area" TargetMode="External"/><Relationship Id="rId1075" Type="http://schemas.openxmlformats.org/officeDocument/2006/relationships/hyperlink" Target="https://en.wikipedia.org/wiki/Willmar,_MN_Micropolitan_Statistical_Area" TargetMode="External"/><Relationship Id="rId1282" Type="http://schemas.openxmlformats.org/officeDocument/2006/relationships/hyperlink" Target="https://en.wikipedia.org/wiki/Silver_City,_NM_Micropolitan_Statistical_Area" TargetMode="External"/><Relationship Id="rId305" Type="http://schemas.openxmlformats.org/officeDocument/2006/relationships/hyperlink" Target="https://en.wikipedia.org/wiki/Gainesville-Lake_City,_FL_Combined_Statistical_Area" TargetMode="External"/><Relationship Id="rId512" Type="http://schemas.openxmlformats.org/officeDocument/2006/relationships/hyperlink" Target="https://en.wikipedia.org/wiki/Flagstaff,_AZ_Metropolitan_Statistical_Area" TargetMode="External"/><Relationship Id="rId957" Type="http://schemas.openxmlformats.org/officeDocument/2006/relationships/hyperlink" Target="https://en.wikipedia.org/wiki/Tyler-Jacksonville,_TX_Combined_Statistical_Area" TargetMode="External"/><Relationship Id="rId1142" Type="http://schemas.openxmlformats.org/officeDocument/2006/relationships/hyperlink" Target="https://en.wikipedia.org/wiki/Dallas-Fort_Worth,_TX-OK_Combined_Statistical_Area" TargetMode="External"/><Relationship Id="rId86" Type="http://schemas.openxmlformats.org/officeDocument/2006/relationships/hyperlink" Target="https://en.wikipedia.org/wiki/Raleigh,_NC_Metropolitan_Statistical_Area" TargetMode="External"/><Relationship Id="rId817" Type="http://schemas.openxmlformats.org/officeDocument/2006/relationships/hyperlink" Target="https://en.wikipedia.org/wiki/Marion,_OH_Micropolitan_Statistical_Area" TargetMode="External"/><Relationship Id="rId1002" Type="http://schemas.openxmlformats.org/officeDocument/2006/relationships/hyperlink" Target="https://en.wikipedia.org/wiki/Ruston,_LA_Micropolitan_Statistical_Area" TargetMode="External"/><Relationship Id="rId1307" Type="http://schemas.openxmlformats.org/officeDocument/2006/relationships/hyperlink" Target="https://en.wikipedia.org/wiki/Memphis-Forrest_City,_TN-MS-AR_Combined_Statistical_Area" TargetMode="External"/><Relationship Id="rId13" Type="http://schemas.openxmlformats.org/officeDocument/2006/relationships/hyperlink" Target="https://en.wikipedia.org/wiki/Washington-Baltimore-Arlington,_DC-MD-VA-WV-PA_Combined_Statistical_Area" TargetMode="External"/><Relationship Id="rId162" Type="http://schemas.openxmlformats.org/officeDocument/2006/relationships/hyperlink" Target="https://en.wikipedia.org/wiki/Ogden-Clearfield,_UT_Metropolitan_Statistical_Area" TargetMode="External"/><Relationship Id="rId467" Type="http://schemas.openxmlformats.org/officeDocument/2006/relationships/hyperlink" Target="https://en.wikipedia.org/wiki/Chambersburg-Waynesboro,_PA_Metropolitan_Statistical_Area" TargetMode="External"/><Relationship Id="rId1097" Type="http://schemas.openxmlformats.org/officeDocument/2006/relationships/hyperlink" Target="https://en.wikipedia.org/wiki/Warren,_PA_Micropolitan_Statistical_Area" TargetMode="External"/><Relationship Id="rId674" Type="http://schemas.openxmlformats.org/officeDocument/2006/relationships/hyperlink" Target="https://en.wikipedia.org/wiki/Knoxville-Morristown-Sevierville,_TN_Combined_Statistical_Area" TargetMode="External"/><Relationship Id="rId881" Type="http://schemas.openxmlformats.org/officeDocument/2006/relationships/hyperlink" Target="https://en.wikipedia.org/wiki/Cleveland-Akron-Canton,_OH_Combined_Statistical_Area" TargetMode="External"/><Relationship Id="rId979" Type="http://schemas.openxmlformats.org/officeDocument/2006/relationships/hyperlink" Target="https://en.wikipedia.org/wiki/Del_Rio,_TX_Micropolitan_Statistical_Area" TargetMode="External"/><Relationship Id="rId327" Type="http://schemas.openxmlformats.org/officeDocument/2006/relationships/hyperlink" Target="https://en.wikipedia.org/wiki/Crestview-Fort_Walton_Beach-Destin,_FL_Metropolitan_Statistical_Area" TargetMode="External"/><Relationship Id="rId534" Type="http://schemas.openxmlformats.org/officeDocument/2006/relationships/hyperlink" Target="https://en.wikipedia.org/wiki/Albany-Schenectady,_NY_Combined_Statistical_Area" TargetMode="External"/><Relationship Id="rId741" Type="http://schemas.openxmlformats.org/officeDocument/2006/relationships/hyperlink" Target="https://en.wikipedia.org/wiki/Columbus,_IN_Metropolitan_Statistical_Area" TargetMode="External"/><Relationship Id="rId839" Type="http://schemas.openxmlformats.org/officeDocument/2006/relationships/hyperlink" Target="https://en.wikipedia.org/wiki/Walla_Walla,_WA_Metropolitan_Statistical_Area" TargetMode="External"/><Relationship Id="rId1164" Type="http://schemas.openxmlformats.org/officeDocument/2006/relationships/hyperlink" Target="https://en.wikipedia.org/wiki/Murray,_KY_Micropolitan_Statistical_Area" TargetMode="External"/><Relationship Id="rId1371" Type="http://schemas.openxmlformats.org/officeDocument/2006/relationships/hyperlink" Target="https://en.wikipedia.org/wiki/Wahpeton,_ND-MN_Micropolitan_Statistical_Area" TargetMode="External"/><Relationship Id="rId601" Type="http://schemas.openxmlformats.org/officeDocument/2006/relationships/hyperlink" Target="https://en.wikipedia.org/wiki/Show_Low,_AZ_Micropolitan_Statistical_Area" TargetMode="External"/><Relationship Id="rId1024" Type="http://schemas.openxmlformats.org/officeDocument/2006/relationships/hyperlink" Target="https://en.wikipedia.org/wiki/Ponca_City,_OK_Micropolitan_Statistical_Area" TargetMode="External"/><Relationship Id="rId1231" Type="http://schemas.openxmlformats.org/officeDocument/2006/relationships/hyperlink" Target="https://en.wikipedia.org/wiki/Effingham,_IL_Micropolitan_Statistical_Area" TargetMode="External"/><Relationship Id="rId906" Type="http://schemas.openxmlformats.org/officeDocument/2006/relationships/hyperlink" Target="https://en.wikipedia.org/wiki/Carson_City,_NV_Metropolitan_Statistical_Area" TargetMode="External"/><Relationship Id="rId1329" Type="http://schemas.openxmlformats.org/officeDocument/2006/relationships/hyperlink" Target="https://en.wikipedia.org/wiki/Boone,_IA_Micropolitan_Statistical_Area" TargetMode="External"/><Relationship Id="rId35" Type="http://schemas.openxmlformats.org/officeDocument/2006/relationships/hyperlink" Target="https://en.wikipedia.org/wiki/Baltimore-Columbia-Towson,_MD_Metropolitan_Statistical_Area" TargetMode="External"/><Relationship Id="rId184" Type="http://schemas.openxmlformats.org/officeDocument/2006/relationships/hyperlink" Target="https://en.wikipedia.org/wiki/Spokane-Spokane_Valley-Coeur_d%27Alene,_WA-ID_Combined_Statistical_Area" TargetMode="External"/><Relationship Id="rId391" Type="http://schemas.openxmlformats.org/officeDocument/2006/relationships/hyperlink" Target="https://en.wikipedia.org/wiki/Warner_Robins,_GA_Metropolitan_Statistical_Area" TargetMode="External"/><Relationship Id="rId251" Type="http://schemas.openxmlformats.org/officeDocument/2006/relationships/hyperlink" Target="https://en.wikipedia.org/wiki/Tallahassee,_FL_Metropolitan_Statistical_Area" TargetMode="External"/><Relationship Id="rId489" Type="http://schemas.openxmlformats.org/officeDocument/2006/relationships/hyperlink" Target="https://en.wikipedia.org/wiki/Traverse_City,_MI_Micropolitan_Statistical_Area" TargetMode="External"/><Relationship Id="rId696" Type="http://schemas.openxmlformats.org/officeDocument/2006/relationships/hyperlink" Target="https://en.wikipedia.org/wiki/Erie-Meadville,_PA_Combined_Statistical_Area" TargetMode="External"/><Relationship Id="rId349" Type="http://schemas.openxmlformats.org/officeDocument/2006/relationships/hyperlink" Target="https://en.wikipedia.org/wiki/Tyler,_TX_Metropolitan_Statistical_Area" TargetMode="External"/><Relationship Id="rId556" Type="http://schemas.openxmlformats.org/officeDocument/2006/relationships/hyperlink" Target="https://en.wikipedia.org/wiki/Raleigh-Durham-Chapel_Hill,_NC_Combined_Statistical_Area" TargetMode="External"/><Relationship Id="rId763" Type="http://schemas.openxmlformats.org/officeDocument/2006/relationships/hyperlink" Target="https://en.wikipedia.org/wiki/Findlay-Tiffin,_OH_Combined_Statistical_Area" TargetMode="External"/><Relationship Id="rId1186" Type="http://schemas.openxmlformats.org/officeDocument/2006/relationships/hyperlink" Target="https://en.wikipedia.org/wiki/Des_Moines-Ames-West_Des_Moines,_IA_Combined_Statistical_Area" TargetMode="External"/><Relationship Id="rId1393" Type="http://schemas.openxmlformats.org/officeDocument/2006/relationships/hyperlink" Target="https://en.wikipedia.org/wiki/Evanston,_WY_Micropolitan_Statistical_Area" TargetMode="External"/><Relationship Id="rId111" Type="http://schemas.openxmlformats.org/officeDocument/2006/relationships/hyperlink" Target="https://en.wikipedia.org/wiki/Omaha-Council_Bluffs,_NE-IA_Metropolitan_Statistical_Area" TargetMode="External"/><Relationship Id="rId209" Type="http://schemas.openxmlformats.org/officeDocument/2006/relationships/hyperlink" Target="https://en.wikipedia.org/wiki/Corpus_Christi,_TX_Metropolitan_Statistical_Area" TargetMode="External"/><Relationship Id="rId416" Type="http://schemas.openxmlformats.org/officeDocument/2006/relationships/hyperlink" Target="https://en.wikipedia.org/wiki/Appleton-Oshkosh-Neenah,_WI_Combined_Statistical_Area" TargetMode="External"/><Relationship Id="rId970" Type="http://schemas.openxmlformats.org/officeDocument/2006/relationships/hyperlink" Target="https://en.wikipedia.org/wiki/Oxford,_MS_Micropolitan_Statistical_Area" TargetMode="External"/><Relationship Id="rId1046" Type="http://schemas.openxmlformats.org/officeDocument/2006/relationships/hyperlink" Target="https://en.wikipedia.org/wiki/Lexington-Fayette%E2%80%93Richmond%E2%80%93Frankfort,_KY_Combined_Statistical_Area" TargetMode="External"/><Relationship Id="rId1253" Type="http://schemas.openxmlformats.org/officeDocument/2006/relationships/hyperlink" Target="https://en.wikipedia.org/wiki/Brookings,_SD_Micropolitan_Statistical_Area" TargetMode="External"/><Relationship Id="rId623" Type="http://schemas.openxmlformats.org/officeDocument/2006/relationships/hyperlink" Target="https://en.wikipedia.org/wiki/Orlando-Deltona-Daytona_Beach,_FL_Combined_Statistical_Area" TargetMode="External"/><Relationship Id="rId830" Type="http://schemas.openxmlformats.org/officeDocument/2006/relationships/hyperlink" Target="https://en.wikipedia.org/wiki/Athens,_OH_Micropolitan_Statistical_Area" TargetMode="External"/><Relationship Id="rId928" Type="http://schemas.openxmlformats.org/officeDocument/2006/relationships/hyperlink" Target="https://en.wikipedia.org/wiki/Chattanooga-Cleveland-Dalton,_TN-GA-AL_Combined_Statistical_Area" TargetMode="External"/><Relationship Id="rId57" Type="http://schemas.openxmlformats.org/officeDocument/2006/relationships/hyperlink" Target="https://en.wikipedia.org/wiki/Las_Vegas-Henderson,_NV-AZ_Combined_Statistical_Area" TargetMode="External"/><Relationship Id="rId1113" Type="http://schemas.openxmlformats.org/officeDocument/2006/relationships/hyperlink" Target="https://en.wikipedia.org/wiki/McMinnville,_TN_Micropolitan_Statistical_Area" TargetMode="External"/><Relationship Id="rId1320" Type="http://schemas.openxmlformats.org/officeDocument/2006/relationships/hyperlink" Target="https://en.wikipedia.org/wiki/Dickinson,_ND_Micropolitan_Statistical_Area" TargetMode="External"/><Relationship Id="rId1418" Type="http://schemas.openxmlformats.org/officeDocument/2006/relationships/hyperlink" Target="https://en.wikipedia.org/wiki/Spencer,_IA_Micropolitan_Statistical_Area" TargetMode="External"/><Relationship Id="rId273" Type="http://schemas.openxmlformats.org/officeDocument/2006/relationships/hyperlink" Target="https://en.wikipedia.org/wiki/South_Bend-Mishawaka,_IN-MI_Metropolitan_Statistical_Area" TargetMode="External"/><Relationship Id="rId480" Type="http://schemas.openxmlformats.org/officeDocument/2006/relationships/hyperlink" Target="https://en.wikipedia.org/wiki/Columbus-Auburn-Opelika,_GA-AL_Combined_Statistical_Area" TargetMode="External"/><Relationship Id="rId133" Type="http://schemas.openxmlformats.org/officeDocument/2006/relationships/hyperlink" Target="https://en.wikipedia.org/wiki/Columbia,_SC_Metropolitan_Statistical_Area" TargetMode="External"/><Relationship Id="rId340" Type="http://schemas.openxmlformats.org/officeDocument/2006/relationships/hyperlink" Target="https://en.wikipedia.org/wiki/Charlottesville,_VA_Metropolitan_Statistical_Area" TargetMode="External"/><Relationship Id="rId578" Type="http://schemas.openxmlformats.org/officeDocument/2006/relationships/hyperlink" Target="https://en.wikipedia.org/wiki/Knoxville-Morristown-Sevierville,_TN_Combined_Statistical_Area" TargetMode="External"/><Relationship Id="rId785" Type="http://schemas.openxmlformats.org/officeDocument/2006/relationships/hyperlink" Target="https://en.wikipedia.org/wiki/Greenfield_Town,_MA_Micropolitan_Statistical_Area" TargetMode="External"/><Relationship Id="rId992" Type="http://schemas.openxmlformats.org/officeDocument/2006/relationships/hyperlink" Target="https://en.wikipedia.org/wiki/Greenville-Washington,_NC_Combined_Statistical_Area" TargetMode="External"/><Relationship Id="rId200" Type="http://schemas.openxmlformats.org/officeDocument/2006/relationships/hyperlink" Target="https://en.wikipedia.org/wiki/Lansing-East_Lansing-Owosso,_MI_Combined_Statistical_Area" TargetMode="External"/><Relationship Id="rId438" Type="http://schemas.openxmlformats.org/officeDocument/2006/relationships/hyperlink" Target="https://en.wikipedia.org/wiki/Janesville-Beloit,_WI_Metropolitan_Statistical_Area" TargetMode="External"/><Relationship Id="rId645" Type="http://schemas.openxmlformats.org/officeDocument/2006/relationships/hyperlink" Target="https://en.wikipedia.org/wiki/Shelby,_NC_Micropolitan_Statistical_Area" TargetMode="External"/><Relationship Id="rId852" Type="http://schemas.openxmlformats.org/officeDocument/2006/relationships/hyperlink" Target="https://en.wikipedia.org/wiki/Parkersburg-Marietta-Vienna,_WV-OH_Combined_Statistical_Area" TargetMode="External"/><Relationship Id="rId1068" Type="http://schemas.openxmlformats.org/officeDocument/2006/relationships/hyperlink" Target="https://en.wikipedia.org/wiki/Pahrump,_NV_Micropolitan_Statistical_Area" TargetMode="External"/><Relationship Id="rId1275" Type="http://schemas.openxmlformats.org/officeDocument/2006/relationships/hyperlink" Target="https://en.wikipedia.org/wiki/Camden,_AR_Micropolitan_Statistical_Area" TargetMode="External"/><Relationship Id="rId505" Type="http://schemas.openxmlformats.org/officeDocument/2006/relationships/hyperlink" Target="https://en.wikipedia.org/wiki/Tupelo,_MS_Micropolitan_Statistical_Area" TargetMode="External"/><Relationship Id="rId712" Type="http://schemas.openxmlformats.org/officeDocument/2006/relationships/hyperlink" Target="https://en.wikipedia.org/wiki/Saginaw-Midland-Bay_City,_MI_Combined_Statistical_Area" TargetMode="External"/><Relationship Id="rId1135" Type="http://schemas.openxmlformats.org/officeDocument/2006/relationships/hyperlink" Target="https://en.wikipedia.org/wiki/Kill_Devil_Hills,_NC_Micropolitan_Statistical_Area" TargetMode="External"/><Relationship Id="rId1342" Type="http://schemas.openxmlformats.org/officeDocument/2006/relationships/hyperlink" Target="https://en.wikipedia.org/wiki/Marshall,_MN_Micropolitan_Statistical_Area" TargetMode="External"/><Relationship Id="rId79" Type="http://schemas.openxmlformats.org/officeDocument/2006/relationships/hyperlink" Target="https://en.wikipedia.org/wiki/Louisville/Jefferson_County,_KY-IN_Metropolitan_Statistical_Area" TargetMode="External"/><Relationship Id="rId1202" Type="http://schemas.openxmlformats.org/officeDocument/2006/relationships/hyperlink" Target="https://en.wikipedia.org/wiki/Logan,_WV_Micropolitan_Statistical_Area" TargetMode="External"/><Relationship Id="rId211" Type="http://schemas.openxmlformats.org/officeDocument/2006/relationships/hyperlink" Target="https://en.wikipedia.org/wiki/Reno,_NV_Metropolitan_Statistical_Area" TargetMode="External"/><Relationship Id="rId295" Type="http://schemas.openxmlformats.org/officeDocument/2006/relationships/hyperlink" Target="https://en.wikipedia.org/wiki/Fort_Smith,_AR-OK_Metropolitan_Statistical_Area" TargetMode="External"/><Relationship Id="rId309" Type="http://schemas.openxmlformats.org/officeDocument/2006/relationships/hyperlink" Target="https://en.wikipedia.org/wiki/Denver-Aurora,_CO_Combined_Statistical_Area" TargetMode="External"/><Relationship Id="rId516" Type="http://schemas.openxmlformats.org/officeDocument/2006/relationships/hyperlink" Target="https://en.wikipedia.org/wiki/Lebanon,_PA_Metropolitan_Statistical_Area" TargetMode="External"/><Relationship Id="rId1146" Type="http://schemas.openxmlformats.org/officeDocument/2006/relationships/hyperlink" Target="https://en.wikipedia.org/wiki/Logansport,_IN_Micropolitan_Statistical_Area" TargetMode="External"/><Relationship Id="rId723" Type="http://schemas.openxmlformats.org/officeDocument/2006/relationships/hyperlink" Target="https://en.wikipedia.org/wiki/Wilson,_NC_Micropolitan_Statistical_Area" TargetMode="External"/><Relationship Id="rId930" Type="http://schemas.openxmlformats.org/officeDocument/2006/relationships/hyperlink" Target="https://en.wikipedia.org/wiki/Mansfield-Ashland-Bucyrus,_OH_Combined_Statistical_Area" TargetMode="External"/><Relationship Id="rId1006" Type="http://schemas.openxmlformats.org/officeDocument/2006/relationships/hyperlink" Target="https://en.wikipedia.org/wiki/Lewistown,_PA_Micropolitan_Statistical_Area" TargetMode="External"/><Relationship Id="rId1353" Type="http://schemas.openxmlformats.org/officeDocument/2006/relationships/hyperlink" Target="https://en.wikipedia.org/wiki/Magnolia,_AR_Micropolitan_Statistical_Area" TargetMode="External"/><Relationship Id="rId155" Type="http://schemas.openxmlformats.org/officeDocument/2006/relationships/hyperlink" Target="https://en.wikipedia.org/wiki/Wichita,_KS_Metropolitan_Statistical_Area" TargetMode="External"/><Relationship Id="rId362" Type="http://schemas.openxmlformats.org/officeDocument/2006/relationships/hyperlink" Target="https://en.wikipedia.org/wiki/Lafayette-West_Lafayette,_IN_Metropolitan_Statistical_Area" TargetMode="External"/><Relationship Id="rId1213" Type="http://schemas.openxmlformats.org/officeDocument/2006/relationships/hyperlink" Target="https://en.wikipedia.org/wiki/Seneca_Falls,_NY_Micropolitan_Statistical_Area" TargetMode="External"/><Relationship Id="rId1297" Type="http://schemas.openxmlformats.org/officeDocument/2006/relationships/hyperlink" Target="https://en.wikipedia.org/wiki/Cleveland-Indianola,_MS_Combined_Statistical_Area" TargetMode="External"/><Relationship Id="rId1420" Type="http://schemas.openxmlformats.org/officeDocument/2006/relationships/hyperlink" Target="https://en.wikipedia.org/wiki/Sweetwater,_TX_Micropolitan_Statistical_Area" TargetMode="External"/><Relationship Id="rId222" Type="http://schemas.openxmlformats.org/officeDocument/2006/relationships/hyperlink" Target="https://en.wikipedia.org/wiki/Fort_Wayne-Huntington-Auburn,_IN_Combined_Statistical_Area" TargetMode="External"/><Relationship Id="rId667" Type="http://schemas.openxmlformats.org/officeDocument/2006/relationships/hyperlink" Target="https://en.wikipedia.org/wiki/Clarksburg,_WV_Micropolitan_Statistical_Area" TargetMode="External"/><Relationship Id="rId874" Type="http://schemas.openxmlformats.org/officeDocument/2006/relationships/hyperlink" Target="https://en.wikipedia.org/wiki/Batavia,_NY_Micropolitan_Statistical_Area" TargetMode="External"/><Relationship Id="rId17" Type="http://schemas.openxmlformats.org/officeDocument/2006/relationships/hyperlink" Target="https://en.wikipedia.org/wiki/Atlanta%E2%80%93Athens-Clarke_County%E2%80%93Sandy_Springs,_GA_Combined_Statistical_Area" TargetMode="External"/><Relationship Id="rId527" Type="http://schemas.openxmlformats.org/officeDocument/2006/relationships/hyperlink" Target="https://en.wikipedia.org/wiki/Sierra_Vista-Douglas,_AZ_Metropolitan_Statistical_Area" TargetMode="External"/><Relationship Id="rId734" Type="http://schemas.openxmlformats.org/officeDocument/2006/relationships/hyperlink" Target="https://en.wikipedia.org/wiki/Birmingham-Hoover-Talladega,_AL_Combined_Statistical_Area" TargetMode="External"/><Relationship Id="rId941" Type="http://schemas.openxmlformats.org/officeDocument/2006/relationships/hyperlink" Target="https://en.wikipedia.org/wiki/Galesburg,_IL_Micropolitan_Statistical_Area" TargetMode="External"/><Relationship Id="rId1157" Type="http://schemas.openxmlformats.org/officeDocument/2006/relationships/hyperlink" Target="https://en.wikipedia.org/wiki/Manhattan-Junction_City,_KS_Combined_Statistical_Area" TargetMode="External"/><Relationship Id="rId1364" Type="http://schemas.openxmlformats.org/officeDocument/2006/relationships/hyperlink" Target="https://en.wikipedia.org/wiki/Steamboat_Springs-Craig,_CO_Combined_Statistical_Area" TargetMode="External"/><Relationship Id="rId70" Type="http://schemas.openxmlformats.org/officeDocument/2006/relationships/hyperlink" Target="https://en.wikipedia.org/wiki/Boston-Worcester-Providence,_MA-RI-NH-CT_Combined_Statistical_Area" TargetMode="External"/><Relationship Id="rId166" Type="http://schemas.openxmlformats.org/officeDocument/2006/relationships/hyperlink" Target="https://en.wikipedia.org/wiki/Deltona-Daytona_Beach-Ormond_Beach,_FL_Metropolitan_Statistical_Area" TargetMode="External"/><Relationship Id="rId373" Type="http://schemas.openxmlformats.org/officeDocument/2006/relationships/hyperlink" Target="https://en.wikipedia.org/wiki/South_Bend-Elkhart-Mishawaka,_IN-MI_Combined_Statistical_Area" TargetMode="External"/><Relationship Id="rId580" Type="http://schemas.openxmlformats.org/officeDocument/2006/relationships/hyperlink" Target="https://en.wikipedia.org/wiki/Wooster,_OH_Micropolitan_Statistical_Area" TargetMode="External"/><Relationship Id="rId801" Type="http://schemas.openxmlformats.org/officeDocument/2006/relationships/hyperlink" Target="https://en.wikipedia.org/wiki/Greeneville,_TN_Micropolitan_Statistical_Area" TargetMode="External"/><Relationship Id="rId1017" Type="http://schemas.openxmlformats.org/officeDocument/2006/relationships/hyperlink" Target="https://en.wikipedia.org/wiki/Newport,_OR_Micropolitan_Statistical_Area" TargetMode="External"/><Relationship Id="rId1224" Type="http://schemas.openxmlformats.org/officeDocument/2006/relationships/hyperlink" Target="https://en.wikipedia.org/wiki/Taylorville,_IL_Micropolitan_Statistical_Area" TargetMode="External"/><Relationship Id="rId1" Type="http://schemas.openxmlformats.org/officeDocument/2006/relationships/hyperlink" Target="https://en.wikipedia.org/wiki/New_York-Newark-Jersey_City,_NY-NJ-PA_Metropolitan_Statistical_Area" TargetMode="External"/><Relationship Id="rId233" Type="http://schemas.openxmlformats.org/officeDocument/2006/relationships/hyperlink" Target="https://en.wikipedia.org/wiki/Philadelphia-Reading-Camden,_PA-NJ-DE-MD_Combined_Statistical_Area" TargetMode="External"/><Relationship Id="rId440" Type="http://schemas.openxmlformats.org/officeDocument/2006/relationships/hyperlink" Target="https://en.wikipedia.org/wiki/Jackson,_MI_Metropolitan_Statistical_Area" TargetMode="External"/><Relationship Id="rId678" Type="http://schemas.openxmlformats.org/officeDocument/2006/relationships/hyperlink" Target="https://en.wikipedia.org/wiki/Moses_Lake-Othello,_WA_Combined_Statistical_Area" TargetMode="External"/><Relationship Id="rId885" Type="http://schemas.openxmlformats.org/officeDocument/2006/relationships/hyperlink" Target="https://en.wikipedia.org/wiki/Point_Pleasant,_WV-OH_Micropolitan_Statistical_Area" TargetMode="External"/><Relationship Id="rId1070" Type="http://schemas.openxmlformats.org/officeDocument/2006/relationships/hyperlink" Target="https://en.wikipedia.org/wiki/Muscatine,_IA_Micropolitan_Statistical_Area" TargetMode="External"/><Relationship Id="rId28" Type="http://schemas.openxmlformats.org/officeDocument/2006/relationships/hyperlink" Target="https://en.wikipedia.org/wiki/Seattle-Tacoma,_WA_Combined_Statistical_Area" TargetMode="External"/><Relationship Id="rId300" Type="http://schemas.openxmlformats.org/officeDocument/2006/relationships/hyperlink" Target="https://en.wikipedia.org/wiki/Clarksville,_TN-KY_Metropolitan_Statistical_Area" TargetMode="External"/><Relationship Id="rId538" Type="http://schemas.openxmlformats.org/officeDocument/2006/relationships/hyperlink" Target="https://en.wikipedia.org/wiki/New_Bern,_NC_Metropolitan_Statistical_Area" TargetMode="External"/><Relationship Id="rId745" Type="http://schemas.openxmlformats.org/officeDocument/2006/relationships/hyperlink" Target="https://en.wikipedia.org/wiki/Casper,_WY_Metropolitan_Statistical_Area" TargetMode="External"/><Relationship Id="rId952" Type="http://schemas.openxmlformats.org/officeDocument/2006/relationships/hyperlink" Target="https://en.wikipedia.org/wiki/Reno-Carson_City-Fernley,_NV_Combined_Statistical_Area" TargetMode="External"/><Relationship Id="rId1168" Type="http://schemas.openxmlformats.org/officeDocument/2006/relationships/hyperlink" Target="https://en.wikipedia.org/wiki/Paducah-Mayfield,_KY-IL_Combined_Statistical_Area" TargetMode="External"/><Relationship Id="rId1375" Type="http://schemas.openxmlformats.org/officeDocument/2006/relationships/hyperlink" Target="https://en.wikipedia.org/wiki/Hood_River,_OR_Micropolitan_Statistical_Area" TargetMode="External"/><Relationship Id="rId81" Type="http://schemas.openxmlformats.org/officeDocument/2006/relationships/hyperlink" Target="https://en.wikipedia.org/wiki/Richmond,_VA_Metropolitan_Statistical_Area" TargetMode="External"/><Relationship Id="rId177" Type="http://schemas.openxmlformats.org/officeDocument/2006/relationships/hyperlink" Target="https://en.wikipedia.org/wiki/Harrisburg-York-Lebanon,_PA_Combined_Statistical_Area" TargetMode="External"/><Relationship Id="rId384" Type="http://schemas.openxmlformats.org/officeDocument/2006/relationships/hyperlink" Target="https://en.wikipedia.org/wiki/Minneapolis-St._Paul,_MN-WI_Combined_Statistical_Area" TargetMode="External"/><Relationship Id="rId591" Type="http://schemas.openxmlformats.org/officeDocument/2006/relationships/hyperlink" Target="https://en.wikipedia.org/wiki/Chicago-Naperville,_IL-IN-WI_Combined_Statistical_Area" TargetMode="External"/><Relationship Id="rId605" Type="http://schemas.openxmlformats.org/officeDocument/2006/relationships/hyperlink" Target="https://en.wikipedia.org/wiki/Bluefield,_WV-VA_Micropolitan_Statistical_Area" TargetMode="External"/><Relationship Id="rId812" Type="http://schemas.openxmlformats.org/officeDocument/2006/relationships/hyperlink" Target="https://en.wikipedia.org/wiki/Marshall,_TX_Micropolitan_Statistical_Area" TargetMode="External"/><Relationship Id="rId1028" Type="http://schemas.openxmlformats.org/officeDocument/2006/relationships/hyperlink" Target="https://en.wikipedia.org/wiki/Nashville-Davidson%E2%80%93Murfreesboro,_TN_Combined_Statistical_Area" TargetMode="External"/><Relationship Id="rId1235" Type="http://schemas.openxmlformats.org/officeDocument/2006/relationships/hyperlink" Target="https://en.wikipedia.org/wiki/Houston-The_Woodlands,_TX_Combined_Statistical_Area" TargetMode="External"/><Relationship Id="rId244" Type="http://schemas.openxmlformats.org/officeDocument/2006/relationships/hyperlink" Target="https://en.wikipedia.org/wiki/Davenport-Moline-Rock_Island,_IA-IL_Metropolitan_Statistical_Area" TargetMode="External"/><Relationship Id="rId689" Type="http://schemas.openxmlformats.org/officeDocument/2006/relationships/hyperlink" Target="https://en.wikipedia.org/w/index.php?title=Elmira-Corning,_NY_Combined_Statistical_Area&amp;action=edit&amp;redlink=1" TargetMode="External"/><Relationship Id="rId896" Type="http://schemas.openxmlformats.org/officeDocument/2006/relationships/hyperlink" Target="https://en.wikipedia.org/wiki/Calhoun,_GA_Micropolitan_Statistical_Area" TargetMode="External"/><Relationship Id="rId1081" Type="http://schemas.openxmlformats.org/officeDocument/2006/relationships/hyperlink" Target="https://en.wikipedia.org/wiki/Alma,_MI_Micropolitan_Statistical_Area" TargetMode="External"/><Relationship Id="rId1302" Type="http://schemas.openxmlformats.org/officeDocument/2006/relationships/hyperlink" Target="https://en.wikipedia.org/wiki/North_Vernon,_IN_Micropolitan_Statistical_Area" TargetMode="External"/><Relationship Id="rId39" Type="http://schemas.openxmlformats.org/officeDocument/2006/relationships/hyperlink" Target="https://en.wikipedia.org/wiki/Pittsburgh,_PA_Metropolitan_Statistical_Area" TargetMode="External"/><Relationship Id="rId451" Type="http://schemas.openxmlformats.org/officeDocument/2006/relationships/hyperlink" Target="https://en.wikipedia.org/wiki/Alexandria,_LA_Metropolitan_Statistical_Area" TargetMode="External"/><Relationship Id="rId549" Type="http://schemas.openxmlformats.org/officeDocument/2006/relationships/hyperlink" Target="https://en.wikipedia.org/wiki/Hammond,_LA_Metropolitan_Statistical_Area" TargetMode="External"/><Relationship Id="rId756" Type="http://schemas.openxmlformats.org/officeDocument/2006/relationships/hyperlink" Target="https://en.wikipedia.org/wiki/Somerset,_PA_Micropolitan_Statistical_Area" TargetMode="External"/><Relationship Id="rId1179" Type="http://schemas.openxmlformats.org/officeDocument/2006/relationships/hyperlink" Target="https://en.wikipedia.org/wiki/Escanaba,_MI_Micropolitan_Statistical_Area" TargetMode="External"/><Relationship Id="rId1386" Type="http://schemas.openxmlformats.org/officeDocument/2006/relationships/hyperlink" Target="https://en.wikipedia.org/wiki/Grenada,_MS_Micropolitan_Statistical_Area" TargetMode="External"/><Relationship Id="rId104" Type="http://schemas.openxmlformats.org/officeDocument/2006/relationships/hyperlink" Target="https://en.wikipedia.org/wiki/Fresno-Madera,_CA_Combined_Statistical_Area" TargetMode="External"/><Relationship Id="rId188" Type="http://schemas.openxmlformats.org/officeDocument/2006/relationships/hyperlink" Target="https://en.wikipedia.org/wiki/Modesto,_CA_Metropolitan_Statistical_Area" TargetMode="External"/><Relationship Id="rId311" Type="http://schemas.openxmlformats.org/officeDocument/2006/relationships/hyperlink" Target="https://en.wikipedia.org/wiki/Merced,_CA_Metropolitan_Statistical_Area" TargetMode="External"/><Relationship Id="rId395" Type="http://schemas.openxmlformats.org/officeDocument/2006/relationships/hyperlink" Target="https://en.wikipedia.org/wiki/Jacksonville,_NC_Metropolitan_Statistical_Area" TargetMode="External"/><Relationship Id="rId409" Type="http://schemas.openxmlformats.org/officeDocument/2006/relationships/hyperlink" Target="https://en.wikipedia.org/wiki/Muskegon,_MI_Metropolitan_Statistical_Area" TargetMode="External"/><Relationship Id="rId963" Type="http://schemas.openxmlformats.org/officeDocument/2006/relationships/hyperlink" Target="https://en.wikipedia.org/wiki/Amsterdam,_NY_Micropolitan_Statistical_Area" TargetMode="External"/><Relationship Id="rId1039" Type="http://schemas.openxmlformats.org/officeDocument/2006/relationships/hyperlink" Target="https://en.wikipedia.org/wiki/McAlester,_OK_Micropolitan_Statistical_Area" TargetMode="External"/><Relationship Id="rId1246" Type="http://schemas.openxmlformats.org/officeDocument/2006/relationships/hyperlink" Target="https://en.wikipedia.org/wiki/Lafayette-West_Lafayette-Frankfort,_IN_Combined_Statistical_Area" TargetMode="External"/><Relationship Id="rId92" Type="http://schemas.openxmlformats.org/officeDocument/2006/relationships/hyperlink" Target="https://en.wikipedia.org/wiki/Salt_Lake_City,_UT_Metropolitan_Statistical_Area" TargetMode="External"/><Relationship Id="rId616" Type="http://schemas.openxmlformats.org/officeDocument/2006/relationships/hyperlink" Target="https://en.wikipedia.org/wiki/Longview,_WA_Metropolitan_Statistical_Area" TargetMode="External"/><Relationship Id="rId823" Type="http://schemas.openxmlformats.org/officeDocument/2006/relationships/hyperlink" Target="https://en.wikipedia.org/wiki/Klamath_Falls,_OR_Micropolitan_Statistical_Area" TargetMode="External"/><Relationship Id="rId255" Type="http://schemas.openxmlformats.org/officeDocument/2006/relationships/hyperlink" Target="https://en.wikipedia.org/wiki/Trenton-Princeton,_NJ_Metropolitan_Statistical_Area" TargetMode="External"/><Relationship Id="rId462" Type="http://schemas.openxmlformats.org/officeDocument/2006/relationships/hyperlink" Target="https://en.wikipedia.org/wiki/Rocky_Mount-Wilson-Roanoke_Rapids,_NC_Combined_Statistical_Area" TargetMode="External"/><Relationship Id="rId1092" Type="http://schemas.openxmlformats.org/officeDocument/2006/relationships/hyperlink" Target="https://en.wikipedia.org/wiki/El_Campo,_TX_Micropolitan_Statistical_Area" TargetMode="External"/><Relationship Id="rId1106" Type="http://schemas.openxmlformats.org/officeDocument/2006/relationships/hyperlink" Target="https://en.wikipedia.org/wiki/West_Plains,_MO_Micropolitan_Statistical_Area" TargetMode="External"/><Relationship Id="rId1313" Type="http://schemas.openxmlformats.org/officeDocument/2006/relationships/hyperlink" Target="https://en.wikipedia.org/wiki/Great_Bend,_KS_Micropolitan_Statistical_Area" TargetMode="External"/><Relationship Id="rId1397" Type="http://schemas.openxmlformats.org/officeDocument/2006/relationships/hyperlink" Target="https://en.wikipedia.org/wiki/Bend-Prineville,_OR_Combined_Statistical_Area" TargetMode="External"/><Relationship Id="rId115" Type="http://schemas.openxmlformats.org/officeDocument/2006/relationships/hyperlink" Target="https://en.wikipedia.org/wiki/New_Haven-Milford,_CT_Metropolitan_Statistical_Area" TargetMode="External"/><Relationship Id="rId322" Type="http://schemas.openxmlformats.org/officeDocument/2006/relationships/hyperlink" Target="https://en.wikipedia.org/wiki/Washington-Baltimore-Arlington,_DC-MD-VA-WV-PA_Combined_Statistical_Area" TargetMode="External"/><Relationship Id="rId767" Type="http://schemas.openxmlformats.org/officeDocument/2006/relationships/hyperlink" Target="https://en.wikipedia.org/wiki/Rocky_Mount-Wilson-Roanoke_Rapids,_NC_Combined_Statistical_Area" TargetMode="External"/><Relationship Id="rId974" Type="http://schemas.openxmlformats.org/officeDocument/2006/relationships/hyperlink" Target="https://en.wikipedia.org/wiki/Indianapolis-Carmel-Muncie,_IN_Combined_Statistical_Area" TargetMode="External"/><Relationship Id="rId199" Type="http://schemas.openxmlformats.org/officeDocument/2006/relationships/hyperlink" Target="https://en.wikipedia.org/wiki/Lansing-East_Lansing,_MI_Metropolitan_Statistical_Area" TargetMode="External"/><Relationship Id="rId627" Type="http://schemas.openxmlformats.org/officeDocument/2006/relationships/hyperlink" Target="https://en.wikipedia.org/wiki/Ashtabula,_OH_Micropolitan_Statistical_Area" TargetMode="External"/><Relationship Id="rId834" Type="http://schemas.openxmlformats.org/officeDocument/2006/relationships/hyperlink" Target="https://en.wikipedia.org/wiki/Ionia,_MI_Micropolitan_Statistical_Area" TargetMode="External"/><Relationship Id="rId1257" Type="http://schemas.openxmlformats.org/officeDocument/2006/relationships/hyperlink" Target="https://en.wikipedia.org/wiki/Washington-Baltimore-Arlington,_DC-MD-VA-WV-PA_Combined_Statistical_Area" TargetMode="External"/><Relationship Id="rId266" Type="http://schemas.openxmlformats.org/officeDocument/2006/relationships/hyperlink" Target="https://en.wikipedia.org/wiki/Rockford,_IL_Metropolitan_Statistical_Area" TargetMode="External"/><Relationship Id="rId473" Type="http://schemas.openxmlformats.org/officeDocument/2006/relationships/hyperlink" Target="https://en.wikipedia.org/wiki/Louisville/Jefferson_County%E2%80%93Elizabethtown%E2%80%93Bardstown,_KY-IN_Combined_Statistical_Area" TargetMode="External"/><Relationship Id="rId680" Type="http://schemas.openxmlformats.org/officeDocument/2006/relationships/hyperlink" Target="https://en.wikipedia.org/wiki/Orangeburg,_SC_Micropolitan_Statistical_Area" TargetMode="External"/><Relationship Id="rId901" Type="http://schemas.openxmlformats.org/officeDocument/2006/relationships/hyperlink" Target="https://en.wikipedia.org/wiki/Milledgeville,_GA_Micropolitan_Statistical_Area" TargetMode="External"/><Relationship Id="rId1117" Type="http://schemas.openxmlformats.org/officeDocument/2006/relationships/hyperlink" Target="https://en.wikipedia.org/wiki/Bloomsburg-Berwick-Sunbury,_PA_Combined_Statistical_Area" TargetMode="External"/><Relationship Id="rId1324" Type="http://schemas.openxmlformats.org/officeDocument/2006/relationships/hyperlink" Target="https://en.wikipedia.org/wiki/Atlanta%E2%80%93Athens-Clarke_County%E2%80%93Sandy_Springs,_GA_Combined_Statistical_Area" TargetMode="External"/><Relationship Id="rId30" Type="http://schemas.openxmlformats.org/officeDocument/2006/relationships/hyperlink" Target="https://en.wikipedia.org/wiki/Minneapolis-St._Paul,_MN-WI_Combined_Statistical_Area" TargetMode="External"/><Relationship Id="rId126" Type="http://schemas.openxmlformats.org/officeDocument/2006/relationships/hyperlink" Target="https://en.wikipedia.org/wiki/Allentown-Bethlehem-Easton,_PA-NJ_Metropolitan_Statistical_Area" TargetMode="External"/><Relationship Id="rId333" Type="http://schemas.openxmlformats.org/officeDocument/2006/relationships/hyperlink" Target="https://en.wikipedia.org/wiki/Tuscaloosa,_AL_Metropolitan_Statistical_Area" TargetMode="External"/><Relationship Id="rId540" Type="http://schemas.openxmlformats.org/officeDocument/2006/relationships/hyperlink" Target="https://en.wikipedia.org/wiki/St._Joseph,_MO-KS_Metropolitan_Statistical_Area" TargetMode="External"/><Relationship Id="rId778" Type="http://schemas.openxmlformats.org/officeDocument/2006/relationships/hyperlink" Target="https://en.wikipedia.org/wiki/Jacksonville-St._Marys-Palatka,_FL-GA_Combined_Statistical_Area" TargetMode="External"/><Relationship Id="rId985" Type="http://schemas.openxmlformats.org/officeDocument/2006/relationships/hyperlink" Target="https://en.wikipedia.org/wiki/Corsicana,_TX_Micropolitan_Statistical_Area" TargetMode="External"/><Relationship Id="rId1170" Type="http://schemas.openxmlformats.org/officeDocument/2006/relationships/hyperlink" Target="https://en.wikipedia.org/wiki/Safford,_AZ_Micropolitan_Statistical_Area" TargetMode="External"/><Relationship Id="rId638" Type="http://schemas.openxmlformats.org/officeDocument/2006/relationships/hyperlink" Target="https://en.wikipedia.org/wiki/Truckee-Grass_Valley,_CA_Micropolitan_Statistical_Area" TargetMode="External"/><Relationship Id="rId845" Type="http://schemas.openxmlformats.org/officeDocument/2006/relationships/hyperlink" Target="https://en.wikipedia.org/wiki/Albany-Schenectady,_NY_Combined_Statistical_Area" TargetMode="External"/><Relationship Id="rId1030" Type="http://schemas.openxmlformats.org/officeDocument/2006/relationships/hyperlink" Target="https://en.wikipedia.org/wiki/Bellefontaine,_OH_Micropolitan_Statistical_Area" TargetMode="External"/><Relationship Id="rId1268" Type="http://schemas.openxmlformats.org/officeDocument/2006/relationships/hyperlink" Target="https://en.wikipedia.org/wiki/Washington,_IN_Micropolitan_Statistical_Area" TargetMode="External"/><Relationship Id="rId277" Type="http://schemas.openxmlformats.org/officeDocument/2006/relationships/hyperlink" Target="https://en.wikipedia.org/wiki/Evansville,_IN-KY_Metropolitan_Statistical_Area" TargetMode="External"/><Relationship Id="rId400" Type="http://schemas.openxmlformats.org/officeDocument/2006/relationships/hyperlink" Target="https://en.wikipedia.org/wiki/Redding-Red_Bluff,_CA_Combined_Statistical_Area" TargetMode="External"/><Relationship Id="rId484" Type="http://schemas.openxmlformats.org/officeDocument/2006/relationships/hyperlink" Target="https://en.wikipedia.org/wiki/Concord,_NH_Micropolitan_Statistical_Area" TargetMode="External"/><Relationship Id="rId705" Type="http://schemas.openxmlformats.org/officeDocument/2006/relationships/hyperlink" Target="https://en.wikipedia.org/wiki/Laurel,_MS_Micropolitan_Statistical_Area" TargetMode="External"/><Relationship Id="rId1128" Type="http://schemas.openxmlformats.org/officeDocument/2006/relationships/hyperlink" Target="https://en.wikipedia.org/wiki/Stephenville,_TX_Micropolitan_Statistical_Area" TargetMode="External"/><Relationship Id="rId1335" Type="http://schemas.openxmlformats.org/officeDocument/2006/relationships/hyperlink" Target="https://en.wikipedia.org/wiki/Toccoa,_GA_Micropolitan_Statistical_Area" TargetMode="External"/><Relationship Id="rId137" Type="http://schemas.openxmlformats.org/officeDocument/2006/relationships/hyperlink" Target="https://en.wikipedia.org/wiki/North_Port-Sarasota-Bradenton,_FL_Metropolitan_Statistical_Area" TargetMode="External"/><Relationship Id="rId344" Type="http://schemas.openxmlformats.org/officeDocument/2006/relationships/hyperlink" Target="https://en.wikipedia.org/wiki/Longview-Marshall,_TX_Combined_Statistical_Area" TargetMode="External"/><Relationship Id="rId691" Type="http://schemas.openxmlformats.org/officeDocument/2006/relationships/hyperlink" Target="https://en.wikipedia.org/wiki/Milwaukee-Racine-Waukesha,_WI_Combined_Statistical_Area" TargetMode="External"/><Relationship Id="rId789" Type="http://schemas.openxmlformats.org/officeDocument/2006/relationships/hyperlink" Target="https://en.wikipedia.org/wiki/Shawnee,_OK_Micropolitan_Statistical_Area" TargetMode="External"/><Relationship Id="rId912" Type="http://schemas.openxmlformats.org/officeDocument/2006/relationships/hyperlink" Target="https://en.wikipedia.org/wiki/Kansas_City-Overland_Park-Kansas_City,_MO-KS_Combined_Statistical_Area" TargetMode="External"/><Relationship Id="rId996" Type="http://schemas.openxmlformats.org/officeDocument/2006/relationships/hyperlink" Target="https://en.wikipedia.org/wiki/Plymouth,_IN_Micropolitan_Statistical_Area" TargetMode="External"/><Relationship Id="rId41" Type="http://schemas.openxmlformats.org/officeDocument/2006/relationships/hyperlink" Target="https://en.wikipedia.org/wiki/Charlotte-Concord-Gastonia,_NC-SC_Metropolitan_Statistical_Area" TargetMode="External"/><Relationship Id="rId551" Type="http://schemas.openxmlformats.org/officeDocument/2006/relationships/hyperlink" Target="https://en.wikipedia.org/wiki/Mansfield,_OH_Metropolitan_Statistical_Area" TargetMode="External"/><Relationship Id="rId649" Type="http://schemas.openxmlformats.org/officeDocument/2006/relationships/hyperlink" Target="https://en.wikipedia.org/wiki/Cape_Girardeau,_MO-IL_Metropolitan_Statistical_Area" TargetMode="External"/><Relationship Id="rId856" Type="http://schemas.openxmlformats.org/officeDocument/2006/relationships/hyperlink" Target="https://en.wikipedia.org/wiki/Shelton,_WA_Micropolitan_Statistical_Area" TargetMode="External"/><Relationship Id="rId1181" Type="http://schemas.openxmlformats.org/officeDocument/2006/relationships/hyperlink" Target="https://en.wikipedia.org/wiki/Bennington,_VT_Micropolitan_Statistical_Area" TargetMode="External"/><Relationship Id="rId1279" Type="http://schemas.openxmlformats.org/officeDocument/2006/relationships/hyperlink" Target="https://en.wikipedia.org/wiki/Springfield-Jacksonville-Lincoln,_IL_Combined_Statistical_Area" TargetMode="External"/><Relationship Id="rId1402" Type="http://schemas.openxmlformats.org/officeDocument/2006/relationships/hyperlink" Target="https://en.wikipedia.org/wiki/Hereford,_TX_Micropolitan_Statistical_Area" TargetMode="External"/><Relationship Id="rId190" Type="http://schemas.openxmlformats.org/officeDocument/2006/relationships/hyperlink" Target="https://en.wikipedia.org/wiki/Portland-South_Portland,_ME_Metropolitan_Statistical_Area" TargetMode="External"/><Relationship Id="rId204" Type="http://schemas.openxmlformats.org/officeDocument/2006/relationships/hyperlink" Target="https://en.wikipedia.org/wiki/Shreveport-Bossier_City,_LA_Metropolitan_Statistical_Area" TargetMode="External"/><Relationship Id="rId288" Type="http://schemas.openxmlformats.org/officeDocument/2006/relationships/hyperlink" Target="https://en.wikipedia.org/wiki/Boulder,_CO_Metropolitan_Statistical_Area" TargetMode="External"/><Relationship Id="rId411" Type="http://schemas.openxmlformats.org/officeDocument/2006/relationships/hyperlink" Target="https://en.wikipedia.org/wiki/Sioux_City,_IA-NE-SD_Metropolitan_Statistical_Area" TargetMode="External"/><Relationship Id="rId509" Type="http://schemas.openxmlformats.org/officeDocument/2006/relationships/hyperlink" Target="https://en.wikipedia.org/wiki/Dayton-Springfield-Sidney,_OH_Combined_Statistical_Area" TargetMode="External"/><Relationship Id="rId1041" Type="http://schemas.openxmlformats.org/officeDocument/2006/relationships/hyperlink" Target="https://en.wikipedia.org/wiki/Hickory-Lenoir,_NC_Combined_Statistical_Area" TargetMode="External"/><Relationship Id="rId1139" Type="http://schemas.openxmlformats.org/officeDocument/2006/relationships/hyperlink" Target="https://en.wikipedia.org/wiki/Houghton,_MI_Micropolitan_Statistical_Area" TargetMode="External"/><Relationship Id="rId1346" Type="http://schemas.openxmlformats.org/officeDocument/2006/relationships/hyperlink" Target="https://en.wikipedia.org/wiki/Moberly,_MO_Micropolitan_Statistical_Area" TargetMode="External"/><Relationship Id="rId495" Type="http://schemas.openxmlformats.org/officeDocument/2006/relationships/hyperlink" Target="https://en.wikipedia.org/wiki/Chattanooga-Cleveland-Dalton,_TN-GA-AL_Combined_Statistical_Area" TargetMode="External"/><Relationship Id="rId716" Type="http://schemas.openxmlformats.org/officeDocument/2006/relationships/hyperlink" Target="https://en.wikipedia.org/wiki/Grand_Island,_NE_Metropolitan_Statistical_Area" TargetMode="External"/><Relationship Id="rId923" Type="http://schemas.openxmlformats.org/officeDocument/2006/relationships/hyperlink" Target="https://en.wikipedia.org/wiki/Elko,_NV_Micropolitan_Statistical_Area" TargetMode="External"/><Relationship Id="rId52" Type="http://schemas.openxmlformats.org/officeDocument/2006/relationships/hyperlink" Target="https://en.wikipedia.org/wiki/Cleveland-Elyria,_OH_Metropolitan_Statistical_Area" TargetMode="External"/><Relationship Id="rId148" Type="http://schemas.openxmlformats.org/officeDocument/2006/relationships/hyperlink" Target="https://en.wikipedia.org/wiki/Syracuse-Auburn,_NY_Combined_Statistical_Area" TargetMode="External"/><Relationship Id="rId355" Type="http://schemas.openxmlformats.org/officeDocument/2006/relationships/hyperlink" Target="https://en.wikipedia.org/wiki/Springfield,_IL_Metropolitan_Statistical_Area" TargetMode="External"/><Relationship Id="rId562" Type="http://schemas.openxmlformats.org/officeDocument/2006/relationships/hyperlink" Target="https://en.wikipedia.org/wiki/Staunton-Waynesboro,_VA_Metropolitan_Statistical_Area" TargetMode="External"/><Relationship Id="rId1192" Type="http://schemas.openxmlformats.org/officeDocument/2006/relationships/hyperlink" Target="https://en.wikipedia.org/wiki/Fremont,_NE_Micropolitan_Statistical_Area" TargetMode="External"/><Relationship Id="rId1206" Type="http://schemas.openxmlformats.org/officeDocument/2006/relationships/hyperlink" Target="https://en.wikipedia.org/wiki/Hutchinson,_MN_Micropolitan_Statistical_Area" TargetMode="External"/><Relationship Id="rId1413" Type="http://schemas.openxmlformats.org/officeDocument/2006/relationships/hyperlink" Target="https://en.wikipedia.org/wiki/Vineyard_Haven,_MA_Micropolitan_Statistical_Area" TargetMode="External"/><Relationship Id="rId215" Type="http://schemas.openxmlformats.org/officeDocument/2006/relationships/hyperlink" Target="https://en.wikipedia.org/wiki/Asheville,_NC_Metropolitan_Statistical_Area" TargetMode="External"/><Relationship Id="rId422" Type="http://schemas.openxmlformats.org/officeDocument/2006/relationships/hyperlink" Target="https://en.wikipedia.org/wiki/Dover,_DE_Metropolitan_Statistical_Area" TargetMode="External"/><Relationship Id="rId867" Type="http://schemas.openxmlformats.org/officeDocument/2006/relationships/hyperlink" Target="https://en.wikipedia.org/wiki/Fremont,_OH_Micropolitan_Statistical_Area" TargetMode="External"/><Relationship Id="rId1052" Type="http://schemas.openxmlformats.org/officeDocument/2006/relationships/hyperlink" Target="https://en.wikipedia.org/wiki/Eau_Claire-Menomonie,_WI_Combined_Statistical_Area" TargetMode="External"/><Relationship Id="rId299" Type="http://schemas.openxmlformats.org/officeDocument/2006/relationships/hyperlink" Target="https://en.wikipedia.org/wiki/San_Luis_Obispo-Paso_Robles-Arroyo_Grande,_CA_Metropolitan_Statistical_Area" TargetMode="External"/><Relationship Id="rId727" Type="http://schemas.openxmlformats.org/officeDocument/2006/relationships/hyperlink" Target="https://en.wikipedia.org/wiki/Hinesville,_GA_Metropolitan_Statistical_Area" TargetMode="External"/><Relationship Id="rId934" Type="http://schemas.openxmlformats.org/officeDocument/2006/relationships/hyperlink" Target="https://en.wikipedia.org/wiki/Bowling_Green-Glasgow,_KY_Combined_Statistical_Area" TargetMode="External"/><Relationship Id="rId1357" Type="http://schemas.openxmlformats.org/officeDocument/2006/relationships/hyperlink" Target="https://en.wikipedia.org/wiki/Connersville,_IN_Micropolitan_Statistical_Area" TargetMode="External"/><Relationship Id="rId63" Type="http://schemas.openxmlformats.org/officeDocument/2006/relationships/hyperlink" Target="https://en.wikipedia.org/wiki/San_Jose-San_Francisco-Oakland,_CA_Combined_Statistical_Area" TargetMode="External"/><Relationship Id="rId159" Type="http://schemas.openxmlformats.org/officeDocument/2006/relationships/hyperlink" Target="https://en.wikipedia.org/wiki/Madison,_WI_Metropolitan_Statistical_Area" TargetMode="External"/><Relationship Id="rId366" Type="http://schemas.openxmlformats.org/officeDocument/2006/relationships/hyperlink" Target="https://en.wikipedia.org/wiki/Lake_Havasu_City-Kingman,_AZ_Metropolitan_Statistical_Area" TargetMode="External"/><Relationship Id="rId573" Type="http://schemas.openxmlformats.org/officeDocument/2006/relationships/hyperlink" Target="https://en.wikipedia.org/wiki/Williamsport,_PA_Metropolitan_Statistical_Area" TargetMode="External"/><Relationship Id="rId780" Type="http://schemas.openxmlformats.org/officeDocument/2006/relationships/hyperlink" Target="https://en.wikipedia.org/wiki/Gallup,_NM_Micropolitan_Statistical_Area" TargetMode="External"/><Relationship Id="rId1217" Type="http://schemas.openxmlformats.org/officeDocument/2006/relationships/hyperlink" Target="https://en.wikipedia.org/wiki/Brookhaven,_MS_Micropolitan_Statistical_Area" TargetMode="External"/><Relationship Id="rId1424" Type="http://schemas.openxmlformats.org/officeDocument/2006/relationships/hyperlink" Target="https://en.wikipedia.org/wiki/Pecos,_TX_Micropolitan_Statistical_Area" TargetMode="External"/><Relationship Id="rId226" Type="http://schemas.openxmlformats.org/officeDocument/2006/relationships/hyperlink" Target="https://en.wikipedia.org/wiki/Flint,_MI_Metropolitan_Statistical_Area" TargetMode="External"/><Relationship Id="rId433" Type="http://schemas.openxmlformats.org/officeDocument/2006/relationships/hyperlink" Target="https://en.wikipedia.org/wiki/Bend-Prineville,_OR_Combined_Statistical_Area" TargetMode="External"/><Relationship Id="rId878" Type="http://schemas.openxmlformats.org/officeDocument/2006/relationships/hyperlink" Target="https://en.wikipedia.org/wiki/Columbus,_MS_Micropolitan_Statistical_Area" TargetMode="External"/><Relationship Id="rId1063" Type="http://schemas.openxmlformats.org/officeDocument/2006/relationships/hyperlink" Target="https://en.wikipedia.org/wiki/Jonesboro-Paragould,_AR_Combined_Statistical_Area" TargetMode="External"/><Relationship Id="rId1270" Type="http://schemas.openxmlformats.org/officeDocument/2006/relationships/hyperlink" Target="https://en.wikipedia.org/wiki/Jackson,_WY-ID_Micropolitan_Statistical_Area" TargetMode="External"/><Relationship Id="rId640" Type="http://schemas.openxmlformats.org/officeDocument/2006/relationships/hyperlink" Target="https://en.wikipedia.org/wiki/Sebring,_FL_Metropolitan_Statistical_Area" TargetMode="External"/><Relationship Id="rId738" Type="http://schemas.openxmlformats.org/officeDocument/2006/relationships/hyperlink" Target="https://en.wikipedia.org/wiki/Buffalo-Cheektowaga,_NY_Combined_Statistical_Area" TargetMode="External"/><Relationship Id="rId945" Type="http://schemas.openxmlformats.org/officeDocument/2006/relationships/hyperlink" Target="https://en.wikipedia.org/wiki/Malone,_NY_Micropolitan_Statistical_Area" TargetMode="External"/><Relationship Id="rId1368" Type="http://schemas.openxmlformats.org/officeDocument/2006/relationships/hyperlink" Target="https://en.wikipedia.org/wiki/Lubbock-Levelland,_TX_Combined_Statistical_Area" TargetMode="External"/><Relationship Id="rId74" Type="http://schemas.openxmlformats.org/officeDocument/2006/relationships/hyperlink" Target="https://en.wikipedia.org/wiki/Jacksonville-St._Marys-Palatka,_FL-GA_Combined_Statistical_Area" TargetMode="External"/><Relationship Id="rId377" Type="http://schemas.openxmlformats.org/officeDocument/2006/relationships/hyperlink" Target="https://en.wikipedia.org/wiki/Atlanta%E2%80%93Athens-Clarke_County%E2%80%93Sandy_Springs,_GA_Combined_Statistical_Area" TargetMode="External"/><Relationship Id="rId500" Type="http://schemas.openxmlformats.org/officeDocument/2006/relationships/hyperlink" Target="https://en.wikipedia.org/wiki/Sebastian-Vero_Beach,_FL_Metropolitan_Statistical_Area" TargetMode="External"/><Relationship Id="rId584" Type="http://schemas.openxmlformats.org/officeDocument/2006/relationships/hyperlink" Target="https://en.wikipedia.org/wiki/Wenatchee,_WA_Metropolitan_Statistical_Area" TargetMode="External"/><Relationship Id="rId805" Type="http://schemas.openxmlformats.org/officeDocument/2006/relationships/hyperlink" Target="https://en.wikipedia.org/wiki/Richmond,_IN_Micropolitan_Statistical_Area" TargetMode="External"/><Relationship Id="rId1130" Type="http://schemas.openxmlformats.org/officeDocument/2006/relationships/hyperlink" Target="https://en.wikipedia.org/wiki/Cape_Girardeau-Sikeston,_MO-IL_Combined_Statistical_Area" TargetMode="External"/><Relationship Id="rId1228" Type="http://schemas.openxmlformats.org/officeDocument/2006/relationships/hyperlink" Target="https://en.wikipedia.org/wiki/Butte-Silver_Bow,_MT_Micropolitan_Statistical_Area" TargetMode="External"/><Relationship Id="rId5" Type="http://schemas.openxmlformats.org/officeDocument/2006/relationships/hyperlink" Target="https://en.wikipedia.org/wiki/Chicago-Naperville-Elgin,_IL-IN-WI_Metropolitan_Statistical_Area" TargetMode="External"/><Relationship Id="rId237" Type="http://schemas.openxmlformats.org/officeDocument/2006/relationships/hyperlink" Target="https://en.wikipedia.org/wiki/Manchester-Nashua,_NH_Metropolitan_Statistical_Area" TargetMode="External"/><Relationship Id="rId791" Type="http://schemas.openxmlformats.org/officeDocument/2006/relationships/hyperlink" Target="https://en.wikipedia.org/wiki/Mount_Pleasant,_MI_Micropolitan_Statistical_Area" TargetMode="External"/><Relationship Id="rId889" Type="http://schemas.openxmlformats.org/officeDocument/2006/relationships/hyperlink" Target="https://en.wikipedia.org/wiki/Jackson-Vicksburg-Brookhaven,_MS_Combined_Statistical_Area" TargetMode="External"/><Relationship Id="rId1074" Type="http://schemas.openxmlformats.org/officeDocument/2006/relationships/hyperlink" Target="https://en.wikipedia.org/wiki/Mansfield-Ashland-Bucyrus,_OH_Combined_Statistical_Area" TargetMode="External"/><Relationship Id="rId444" Type="http://schemas.openxmlformats.org/officeDocument/2006/relationships/hyperlink" Target="https://en.wikipedia.org/wiki/Vineland-Bridgeton,_NJ_Metropolitan_Statistical_Area" TargetMode="External"/><Relationship Id="rId651" Type="http://schemas.openxmlformats.org/officeDocument/2006/relationships/hyperlink" Target="https://en.wikipedia.org/wiki/Hot_Springs,_AR_Metropolitan_Statistical_Area" TargetMode="External"/><Relationship Id="rId749" Type="http://schemas.openxmlformats.org/officeDocument/2006/relationships/hyperlink" Target="https://en.wikipedia.org/wiki/Charleston-Huntington-Ashland,_WV-OH-KY_Combined_Statistical_Area" TargetMode="External"/><Relationship Id="rId1281" Type="http://schemas.openxmlformats.org/officeDocument/2006/relationships/hyperlink" Target="https://en.wikipedia.org/wiki/Sheridan,_WY_Micropolitan_Statistical_Area" TargetMode="External"/><Relationship Id="rId1379" Type="http://schemas.openxmlformats.org/officeDocument/2006/relationships/hyperlink" Target="https://en.wikipedia.org/wiki/Raymondville,_TX_Micropolitan_Statistical_Area" TargetMode="External"/><Relationship Id="rId290" Type="http://schemas.openxmlformats.org/officeDocument/2006/relationships/hyperlink" Target="https://en.wikipedia.org/wiki/Utica-Rome,_NY_Metropolitan_Statistical_Area" TargetMode="External"/><Relationship Id="rId304" Type="http://schemas.openxmlformats.org/officeDocument/2006/relationships/hyperlink" Target="https://en.wikipedia.org/wiki/Gainesville,_FL_Metropolitan_Statistical_Area" TargetMode="External"/><Relationship Id="rId388" Type="http://schemas.openxmlformats.org/officeDocument/2006/relationships/hyperlink" Target="https://en.wikipedia.org/wiki/Panama_City,_FL_Metropolitan_Statistical_Area" TargetMode="External"/><Relationship Id="rId511" Type="http://schemas.openxmlformats.org/officeDocument/2006/relationships/hyperlink" Target="https://en.wikipedia.org/wiki/Idaho_Falls-Rexburg-Blackfoot,_ID_Combined_Statistical_Area" TargetMode="External"/><Relationship Id="rId609" Type="http://schemas.openxmlformats.org/officeDocument/2006/relationships/hyperlink" Target="https://en.wikipedia.org/wiki/Lima,_OH_Metropolitan_Statistical_Area" TargetMode="External"/><Relationship Id="rId956" Type="http://schemas.openxmlformats.org/officeDocument/2006/relationships/hyperlink" Target="https://en.wikipedia.org/wiki/Jacksonville,_TX_Micropolitan_Statistical_Area" TargetMode="External"/><Relationship Id="rId1141" Type="http://schemas.openxmlformats.org/officeDocument/2006/relationships/hyperlink" Target="https://en.wikipedia.org/wiki/Gainesville,_TX_Micropolitan_Statistical_Area" TargetMode="External"/><Relationship Id="rId1239" Type="http://schemas.openxmlformats.org/officeDocument/2006/relationships/hyperlink" Target="https://en.wikipedia.org/wiki/Cleveland-Indianola,_MS_Combined_Statistical_Area" TargetMode="External"/><Relationship Id="rId85" Type="http://schemas.openxmlformats.org/officeDocument/2006/relationships/hyperlink" Target="https://en.wikipedia.org/wiki/Hartford-East_Hartford,_CT_Combined_Statistical_Area" TargetMode="External"/><Relationship Id="rId150" Type="http://schemas.openxmlformats.org/officeDocument/2006/relationships/hyperlink" Target="https://en.wikipedia.org/wiki/Greensboro%E2%80%93Winston-Salem%E2%80%93High_Point,_NC_Combined_Statistical_Area" TargetMode="External"/><Relationship Id="rId595" Type="http://schemas.openxmlformats.org/officeDocument/2006/relationships/hyperlink" Target="https://en.wikipedia.org/wiki/Washington-Baltimore-Arlington,_DC-MD-VA-WV-PA_Combined_Statistical_Area" TargetMode="External"/><Relationship Id="rId816" Type="http://schemas.openxmlformats.org/officeDocument/2006/relationships/hyperlink" Target="https://en.wikipedia.org/wiki/Hobbs,_NM_Micropolitan_Statistical_Area" TargetMode="External"/><Relationship Id="rId1001" Type="http://schemas.openxmlformats.org/officeDocument/2006/relationships/hyperlink" Target="https://en.wikipedia.org/wiki/Rockford-Freeport-Rochelle,_IL_Combined_Statistical_Area" TargetMode="External"/><Relationship Id="rId248" Type="http://schemas.openxmlformats.org/officeDocument/2006/relationships/hyperlink" Target="https://en.wikipedia.org/wiki/Peoria-Canton,_IL_Combined_Statistical_Area" TargetMode="External"/><Relationship Id="rId455" Type="http://schemas.openxmlformats.org/officeDocument/2006/relationships/hyperlink" Target="https://en.wikipedia.org/wiki/Greensboro%E2%80%93Winston-Salem%E2%80%93High_Point,_NC_Combined_Statistical_Area" TargetMode="External"/><Relationship Id="rId662" Type="http://schemas.openxmlformats.org/officeDocument/2006/relationships/hyperlink" Target="https://en.wikipedia.org/wiki/Albertville,_AL_Micropolitan_Statistical_Area" TargetMode="External"/><Relationship Id="rId1085" Type="http://schemas.openxmlformats.org/officeDocument/2006/relationships/hyperlink" Target="https://en.wikipedia.org/wiki/Alice,_TX_Micropolitan_Statistical_Area" TargetMode="External"/><Relationship Id="rId1292" Type="http://schemas.openxmlformats.org/officeDocument/2006/relationships/hyperlink" Target="https://en.wikipedia.org/wiki/Lima-Van_Wert-Celina,_OH_Combined_Statistical_Area" TargetMode="External"/><Relationship Id="rId1306" Type="http://schemas.openxmlformats.org/officeDocument/2006/relationships/hyperlink" Target="https://en.wikipedia.org/wiki/Forrest_City,_AR_Micropolitan_Statistical_Area" TargetMode="External"/><Relationship Id="rId12" Type="http://schemas.openxmlformats.org/officeDocument/2006/relationships/hyperlink" Target="https://en.wikipedia.org/wiki/Washington-Arlington-Alexandria,_DC-VA-MD-WV_Metropolitan_Statistical_Area" TargetMode="External"/><Relationship Id="rId108" Type="http://schemas.openxmlformats.org/officeDocument/2006/relationships/hyperlink" Target="https://en.wikipedia.org/wiki/Boston-Worcester-Providence,_MA-RI-NH-CT_Combined_Statistical_Area" TargetMode="External"/><Relationship Id="rId315" Type="http://schemas.openxmlformats.org/officeDocument/2006/relationships/hyperlink" Target="https://en.wikipedia.org/wiki/Laredo,_TX_Metropolitan_Statistical_Area" TargetMode="External"/><Relationship Id="rId522" Type="http://schemas.openxmlformats.org/officeDocument/2006/relationships/hyperlink" Target="https://en.wikipedia.org/wiki/Wausau-Stevens_Point-Wisconsin_Rapids,_WI_Combined_Statistical_Area" TargetMode="External"/><Relationship Id="rId967" Type="http://schemas.openxmlformats.org/officeDocument/2006/relationships/hyperlink" Target="https://en.wikipedia.org/wiki/Paris,_TX_Micropolitan_Statistical_Area" TargetMode="External"/><Relationship Id="rId1152" Type="http://schemas.openxmlformats.org/officeDocument/2006/relationships/hyperlink" Target="https://en.wikipedia.org/wiki/Pullman-Moscow,_WA-ID_Combined_Statistical_Area" TargetMode="External"/><Relationship Id="rId96" Type="http://schemas.openxmlformats.org/officeDocument/2006/relationships/hyperlink" Target="https://en.wikipedia.org/wiki/Grand_Rapids-Wyoming,_MI_Metropolitan_Statistical_Area" TargetMode="External"/><Relationship Id="rId161" Type="http://schemas.openxmlformats.org/officeDocument/2006/relationships/hyperlink" Target="https://en.wikipedia.org/wiki/Lakeland-Winter_Haven,_FL_Metropolitan_Statistical_Area" TargetMode="External"/><Relationship Id="rId399" Type="http://schemas.openxmlformats.org/officeDocument/2006/relationships/hyperlink" Target="https://en.wikipedia.org/wiki/Redding,_CA_Metropolitan_Statistical_Area" TargetMode="External"/><Relationship Id="rId827" Type="http://schemas.openxmlformats.org/officeDocument/2006/relationships/hyperlink" Target="https://en.wikipedia.org/wiki/Minneapolis-St._Paul,_MN-WI_Combined_Statistical_Area" TargetMode="External"/><Relationship Id="rId1012" Type="http://schemas.openxmlformats.org/officeDocument/2006/relationships/hyperlink" Target="https://en.wikipedia.org/wiki/Pullman,_WA_Micropolitan_Statistical_Area" TargetMode="External"/><Relationship Id="rId259" Type="http://schemas.openxmlformats.org/officeDocument/2006/relationships/hyperlink" Target="https://en.wikipedia.org/wiki/Hickory-Lenoir-Morganton,_NC_Metropolitan_Statistical_Area" TargetMode="External"/><Relationship Id="rId466" Type="http://schemas.openxmlformats.org/officeDocument/2006/relationships/hyperlink" Target="https://en.wikipedia.org/wiki/Visalia-Porterville-Hanford,_CA_Combined_Statistical_Area" TargetMode="External"/><Relationship Id="rId673" Type="http://schemas.openxmlformats.org/officeDocument/2006/relationships/hyperlink" Target="https://en.wikipedia.org/wiki/Sevierville,_TN_Micropolitan_Statistical_Area" TargetMode="External"/><Relationship Id="rId880" Type="http://schemas.openxmlformats.org/officeDocument/2006/relationships/hyperlink" Target="https://en.wikipedia.org/wiki/Norwalk,_OH_Micropolitan_Statistical_Area" TargetMode="External"/><Relationship Id="rId1096" Type="http://schemas.openxmlformats.org/officeDocument/2006/relationships/hyperlink" Target="https://en.wikipedia.org/wiki/Garden_City,_KS_Micropolitan_Statistical_Area" TargetMode="External"/><Relationship Id="rId1317" Type="http://schemas.openxmlformats.org/officeDocument/2006/relationships/hyperlink" Target="https://en.wikipedia.org/wiki/Hailey,_ID_Micropolitan_Statistical_Area" TargetMode="External"/><Relationship Id="rId23" Type="http://schemas.openxmlformats.org/officeDocument/2006/relationships/hyperlink" Target="https://en.wikipedia.org/wiki/Los_Angeles-Long_Beach,_CA_Combined_Statistical_Area" TargetMode="External"/><Relationship Id="rId119" Type="http://schemas.openxmlformats.org/officeDocument/2006/relationships/hyperlink" Target="https://en.wikipedia.org/wiki/Knoxville-Morristown-Sevierville,_TN_Combined_Statistical_Area" TargetMode="External"/><Relationship Id="rId326" Type="http://schemas.openxmlformats.org/officeDocument/2006/relationships/hyperlink" Target="https://en.wikipedia.org/wiki/Binghamton,_NY_Metropolitan_Statistical_Area" TargetMode="External"/><Relationship Id="rId533" Type="http://schemas.openxmlformats.org/officeDocument/2006/relationships/hyperlink" Target="https://en.wikipedia.org/wiki/Glens_Falls,_NY_Metropolitan_Statistical_Area" TargetMode="External"/><Relationship Id="rId978" Type="http://schemas.openxmlformats.org/officeDocument/2006/relationships/hyperlink" Target="https://en.wikipedia.org/wiki/Davenport-Moline,_IA-IL_Combined_Statistical_Area" TargetMode="External"/><Relationship Id="rId1163" Type="http://schemas.openxmlformats.org/officeDocument/2006/relationships/hyperlink" Target="https://en.wikipedia.org/wiki/Brownwood,_TX_Micropolitan_Statistical_Area" TargetMode="External"/><Relationship Id="rId1370" Type="http://schemas.openxmlformats.org/officeDocument/2006/relationships/hyperlink" Target="https://en.wikipedia.org/wiki/Arkadelphia,_AR_Micropolitan_Statistical_Area" TargetMode="External"/><Relationship Id="rId740" Type="http://schemas.openxmlformats.org/officeDocument/2006/relationships/hyperlink" Target="https://en.wikipedia.org/wiki/Seattle-Tacoma,_WA_Combined_Statistical_Area" TargetMode="External"/><Relationship Id="rId838" Type="http://schemas.openxmlformats.org/officeDocument/2006/relationships/hyperlink" Target="https://en.wikipedia.org/wiki/Redding-Red_Bluff,_CA_Combined_Statistical_Area" TargetMode="External"/><Relationship Id="rId1023" Type="http://schemas.openxmlformats.org/officeDocument/2006/relationships/hyperlink" Target="https://en.wikipedia.org/wiki/Huntingdon,_PA_Micropolitan_Statistical_Area" TargetMode="External"/><Relationship Id="rId172" Type="http://schemas.openxmlformats.org/officeDocument/2006/relationships/hyperlink" Target="https://en.wikipedia.org/wiki/Augusta-Richmond_County,_GA-SC_Metropolitan_Statistical_Area" TargetMode="External"/><Relationship Id="rId477" Type="http://schemas.openxmlformats.org/officeDocument/2006/relationships/hyperlink" Target="https://en.wikipedia.org/wiki/Dothan,_AL_Metropolitan_Statistical_Area" TargetMode="External"/><Relationship Id="rId600" Type="http://schemas.openxmlformats.org/officeDocument/2006/relationships/hyperlink" Target="https://en.wikipedia.org/wiki/Meridian,_MS_Micropolitan_Statistical_Area" TargetMode="External"/><Relationship Id="rId684" Type="http://schemas.openxmlformats.org/officeDocument/2006/relationships/hyperlink" Target="https://en.wikipedia.org/wiki/Des_Moines-Ames-West_Des_Moines,_IA_Combined_Statistical_Area" TargetMode="External"/><Relationship Id="rId1230" Type="http://schemas.openxmlformats.org/officeDocument/2006/relationships/hyperlink" Target="https://en.wikipedia.org/wiki/Fort_Wayne-Huntington-Auburn,_IN_Combined_Statistical_Area" TargetMode="External"/><Relationship Id="rId1328" Type="http://schemas.openxmlformats.org/officeDocument/2006/relationships/hyperlink" Target="https://en.wikipedia.org/wiki/Boise_City-Mountain_Home-Ontario,_ID-OR_Combined_Statistical_Area" TargetMode="External"/><Relationship Id="rId337" Type="http://schemas.openxmlformats.org/officeDocument/2006/relationships/hyperlink" Target="https://en.wikipedia.org/wiki/Appleton-Oshkosh-Neenah,_WI_Combined_Statistical_Area" TargetMode="External"/><Relationship Id="rId891" Type="http://schemas.openxmlformats.org/officeDocument/2006/relationships/hyperlink" Target="https://en.wikipedia.org/wiki/Crossville,_TN_Micropolitan_Statistical_Area" TargetMode="External"/><Relationship Id="rId905" Type="http://schemas.openxmlformats.org/officeDocument/2006/relationships/hyperlink" Target="https://en.wikipedia.org/wiki/Albany-Schenectady,_NY_Combined_Statistical_Area" TargetMode="External"/><Relationship Id="rId989" Type="http://schemas.openxmlformats.org/officeDocument/2006/relationships/hyperlink" Target="https://en.wikipedia.org/wiki/Kendallville,_IN_Micropolitan_Statistical_Area" TargetMode="External"/><Relationship Id="rId34" Type="http://schemas.openxmlformats.org/officeDocument/2006/relationships/hyperlink" Target="https://en.wikipedia.org/wiki/St._Louis-St._Charles-Farmington,_MO-IL_Combined_Statistical_Area" TargetMode="External"/><Relationship Id="rId544" Type="http://schemas.openxmlformats.org/officeDocument/2006/relationships/hyperlink" Target="https://en.wikipedia.org/wiki/London,_KY_Micropolitan_Statistical_Area" TargetMode="External"/><Relationship Id="rId751" Type="http://schemas.openxmlformats.org/officeDocument/2006/relationships/hyperlink" Target="https://en.wikipedia.org/wiki/Warsaw,_IN_Micropolitan_Statistical_Area" TargetMode="External"/><Relationship Id="rId849" Type="http://schemas.openxmlformats.org/officeDocument/2006/relationships/hyperlink" Target="https://en.wikipedia.org/wiki/McAllen-Edinburg,_TX_Combined_Statistical_Area" TargetMode="External"/><Relationship Id="rId1174" Type="http://schemas.openxmlformats.org/officeDocument/2006/relationships/hyperlink" Target="https://en.wikipedia.org/wiki/Fort_Dodge,_IA_Micropolitan_Statistical_Area" TargetMode="External"/><Relationship Id="rId1381" Type="http://schemas.openxmlformats.org/officeDocument/2006/relationships/hyperlink" Target="https://en.wikipedia.org/wiki/Borger,_TX_Micropolitan_Statistical_Area" TargetMode="External"/><Relationship Id="rId183" Type="http://schemas.openxmlformats.org/officeDocument/2006/relationships/hyperlink" Target="https://en.wikipedia.org/wiki/Spokane-Spokane_Valley,_WA_Metropolitan_Statistical_Area" TargetMode="External"/><Relationship Id="rId390" Type="http://schemas.openxmlformats.org/officeDocument/2006/relationships/hyperlink" Target="https://en.wikipedia.org/wiki/New_York-Newark,_NY-NJ-CT-PA_Combined_Statistical_Area" TargetMode="External"/><Relationship Id="rId404" Type="http://schemas.openxmlformats.org/officeDocument/2006/relationships/hyperlink" Target="https://en.wikipedia.org/wiki/Joplin,_MO_Metropolitan_Statistical_Area" TargetMode="External"/><Relationship Id="rId611" Type="http://schemas.openxmlformats.org/officeDocument/2006/relationships/hyperlink" Target="https://en.wikipedia.org/wiki/Gadsden,_AL_Metropolitan_Statistical_Area" TargetMode="External"/><Relationship Id="rId1034" Type="http://schemas.openxmlformats.org/officeDocument/2006/relationships/hyperlink" Target="https://en.wikipedia.org/wiki/Harrison,_AR_Micropolitan_Statistical_Area" TargetMode="External"/><Relationship Id="rId1241" Type="http://schemas.openxmlformats.org/officeDocument/2006/relationships/hyperlink" Target="https://en.wikipedia.org/wiki/Susanville,_CA_Micropolitan_Statistical_Area" TargetMode="External"/><Relationship Id="rId1339" Type="http://schemas.openxmlformats.org/officeDocument/2006/relationships/hyperlink" Target="https://en.wikipedia.org/wiki/Clarksdale,_MS_Micropolitan_Statistical_Area" TargetMode="External"/><Relationship Id="rId250" Type="http://schemas.openxmlformats.org/officeDocument/2006/relationships/hyperlink" Target="https://en.wikipedia.org/wiki/Montgomery,_AL_Metropolitan_Statistical_Area" TargetMode="External"/><Relationship Id="rId488" Type="http://schemas.openxmlformats.org/officeDocument/2006/relationships/hyperlink" Target="https://en.wikipedia.org/wiki/Albuquerque-Santa_Fe-Las_Vegas,_NM_Combined_Statistical_Area" TargetMode="External"/><Relationship Id="rId695" Type="http://schemas.openxmlformats.org/officeDocument/2006/relationships/hyperlink" Target="https://en.wikipedia.org/wiki/Meadville,_PA_Micropolitan_Statistical_Area" TargetMode="External"/><Relationship Id="rId709" Type="http://schemas.openxmlformats.org/officeDocument/2006/relationships/hyperlink" Target="https://en.wikipedia.org/wiki/Watertown-Fort_Atkinson,_WI_Micropolitan_Statistical_Area" TargetMode="External"/><Relationship Id="rId916" Type="http://schemas.openxmlformats.org/officeDocument/2006/relationships/hyperlink" Target="https://en.wikipedia.org/wiki/Fort_Polk_South,_LA_Micropolitan_Statistical_Area" TargetMode="External"/><Relationship Id="rId1101" Type="http://schemas.openxmlformats.org/officeDocument/2006/relationships/hyperlink" Target="https://en.wikipedia.org/wiki/Celina,_OH_Micropolitan_Statistical_Area" TargetMode="External"/><Relationship Id="rId45" Type="http://schemas.openxmlformats.org/officeDocument/2006/relationships/hyperlink" Target="https://en.wikipedia.org/wiki/San_Antonio-New_Braunfels,_TX_Metropolitan_Statistical_Area" TargetMode="External"/><Relationship Id="rId110" Type="http://schemas.openxmlformats.org/officeDocument/2006/relationships/hyperlink" Target="https://en.wikipedia.org/wiki/Albuquerque-Santa_Fe-Las_Vegas,_NM_Combined_Statistical_Area" TargetMode="External"/><Relationship Id="rId348" Type="http://schemas.openxmlformats.org/officeDocument/2006/relationships/hyperlink" Target="https://en.wikipedia.org/wiki/Boston-Worcester-Providence,_MA-RI-NH-CT_Combined_Statistical_Area" TargetMode="External"/><Relationship Id="rId555" Type="http://schemas.openxmlformats.org/officeDocument/2006/relationships/hyperlink" Target="https://en.wikipedia.org/wiki/Dunn,_NC_Micropolitan_Statistical_Area" TargetMode="External"/><Relationship Id="rId762" Type="http://schemas.openxmlformats.org/officeDocument/2006/relationships/hyperlink" Target="https://en.wikipedia.org/wiki/Findlay,_OH_Micropolitan_Statistical_Area" TargetMode="External"/><Relationship Id="rId1185" Type="http://schemas.openxmlformats.org/officeDocument/2006/relationships/hyperlink" Target="https://en.wikipedia.org/wiki/Newton,_IA_Micropolitan_Statistical_Area" TargetMode="External"/><Relationship Id="rId1392" Type="http://schemas.openxmlformats.org/officeDocument/2006/relationships/hyperlink" Target="https://en.wikipedia.org/wiki/Price,_UT_Micropolitan_Statistical_Area" TargetMode="External"/><Relationship Id="rId1406" Type="http://schemas.openxmlformats.org/officeDocument/2006/relationships/hyperlink" Target="https://en.wikipedia.org/wiki/Albuquerque-Santa_Fe-Las_Vegas,_NM_Combined_Statistical_Area" TargetMode="External"/><Relationship Id="rId194" Type="http://schemas.openxmlformats.org/officeDocument/2006/relationships/hyperlink" Target="https://en.wikipedia.org/wiki/Lexington-Fayette,_KY_Metropolitan_Statistical_Area" TargetMode="External"/><Relationship Id="rId208" Type="http://schemas.openxmlformats.org/officeDocument/2006/relationships/hyperlink" Target="https://en.wikipedia.org/wiki/Harrisburg-York-Lebanon,_PA_Combined_Statistical_Area" TargetMode="External"/><Relationship Id="rId415" Type="http://schemas.openxmlformats.org/officeDocument/2006/relationships/hyperlink" Target="https://en.wikipedia.org/wiki/Oshkosh-Neenah,_WI_Metropolitan_Statistical_Area" TargetMode="External"/><Relationship Id="rId622" Type="http://schemas.openxmlformats.org/officeDocument/2006/relationships/hyperlink" Target="https://en.wikipedia.org/wiki/The_Villages,_FL_Metropolitan_Statistical_Area" TargetMode="External"/><Relationship Id="rId1045" Type="http://schemas.openxmlformats.org/officeDocument/2006/relationships/hyperlink" Target="https://en.wikipedia.org/wiki/Mount_Sterling,_KY_Micropolitan_Statistical_Area" TargetMode="External"/><Relationship Id="rId1252" Type="http://schemas.openxmlformats.org/officeDocument/2006/relationships/hyperlink" Target="https://en.wikipedia.org/wiki/Mount_Pleasant,_TX_Micropolitan_Statistical_Area" TargetMode="External"/><Relationship Id="rId261" Type="http://schemas.openxmlformats.org/officeDocument/2006/relationships/hyperlink" Target="https://en.wikipedia.org/wiki/Savannah,_GA_Metropolitan_Statistical_Area" TargetMode="External"/><Relationship Id="rId499" Type="http://schemas.openxmlformats.org/officeDocument/2006/relationships/hyperlink" Target="https://en.wikipedia.org/wiki/Johnstown-Somerset,_PA_Combined_Statistical_Area" TargetMode="External"/><Relationship Id="rId927" Type="http://schemas.openxmlformats.org/officeDocument/2006/relationships/hyperlink" Target="https://en.wikipedia.org/wiki/Scottsboro,_AL_Micropolitan_Statistical_Area" TargetMode="External"/><Relationship Id="rId1112" Type="http://schemas.openxmlformats.org/officeDocument/2006/relationships/hyperlink" Target="https://en.wikipedia.org/wiki/Albuquerque-Santa_Fe-Las_Vegas,_NM_Combined_Statistical_Area" TargetMode="External"/><Relationship Id="rId56" Type="http://schemas.openxmlformats.org/officeDocument/2006/relationships/hyperlink" Target="https://en.wikipedia.org/wiki/Las_Vegas-Henderson-Paradise,_NV_Metropolitan_Statistical_Area" TargetMode="External"/><Relationship Id="rId359" Type="http://schemas.openxmlformats.org/officeDocument/2006/relationships/hyperlink" Target="https://en.wikipedia.org/wiki/Houma-Thibodaux,_LA_Metropolitan_Statistical_Area" TargetMode="External"/><Relationship Id="rId566" Type="http://schemas.openxmlformats.org/officeDocument/2006/relationships/hyperlink" Target="https://en.wikipedia.org/wiki/Mount_Vernon-Anacortes,_WA_Metropolitan_Statistical_Area" TargetMode="External"/><Relationship Id="rId773" Type="http://schemas.openxmlformats.org/officeDocument/2006/relationships/hyperlink" Target="https://en.wikipedia.org/wiki/Glenwood_Springs,_CO_Micropolitan_Statistical_Area" TargetMode="External"/><Relationship Id="rId1196" Type="http://schemas.openxmlformats.org/officeDocument/2006/relationships/hyperlink" Target="https://en.wikipedia.org/wiki/Owatonna,_MN_Micropolitan_Statistical_Area" TargetMode="External"/><Relationship Id="rId1417" Type="http://schemas.openxmlformats.org/officeDocument/2006/relationships/hyperlink" Target="https://en.wikipedia.org/wiki/Kansas_City-Overland_Park-Kansas_City,_MO-KS_Combined_Statistical_Area" TargetMode="External"/><Relationship Id="rId121" Type="http://schemas.openxmlformats.org/officeDocument/2006/relationships/hyperlink" Target="https://en.wikipedia.org/wiki/Greenville-Spartanburg-Anderson,_SC_Combined_Statistical_Area" TargetMode="External"/><Relationship Id="rId219" Type="http://schemas.openxmlformats.org/officeDocument/2006/relationships/hyperlink" Target="https://en.wikipedia.org/wiki/Huntsville-Decatur-Albertville,_AL_Combined_Statistical_Area" TargetMode="External"/><Relationship Id="rId426" Type="http://schemas.openxmlformats.org/officeDocument/2006/relationships/hyperlink" Target="https://en.wikipedia.org/wiki/Eau_Claire-Menomonie,_WI_Combined_Statistical_Area" TargetMode="External"/><Relationship Id="rId633" Type="http://schemas.openxmlformats.org/officeDocument/2006/relationships/hyperlink" Target="https://en.wikipedia.org/wiki/Adrian,_MI_Micropolitan_Statistical_Area" TargetMode="External"/><Relationship Id="rId980" Type="http://schemas.openxmlformats.org/officeDocument/2006/relationships/hyperlink" Target="https://en.wikipedia.org/wiki/Norfolk,_NE_Micropolitan_Statistical_Area" TargetMode="External"/><Relationship Id="rId1056" Type="http://schemas.openxmlformats.org/officeDocument/2006/relationships/hyperlink" Target="https://en.wikipedia.org/wiki/Durant,_OK_Micropolitan_Statistical_Area" TargetMode="External"/><Relationship Id="rId1263" Type="http://schemas.openxmlformats.org/officeDocument/2006/relationships/hyperlink" Target="https://en.wikipedia.org/wiki/Paris,_TN_Micropolitan_Statistical_Area" TargetMode="External"/><Relationship Id="rId840" Type="http://schemas.openxmlformats.org/officeDocument/2006/relationships/hyperlink" Target="https://en.wikipedia.org/wiki/Sayre,_PA_Micropolitan_Statistical_Area" TargetMode="External"/><Relationship Id="rId938" Type="http://schemas.openxmlformats.org/officeDocument/2006/relationships/hyperlink" Target="https://en.wikipedia.org/wiki/Athens,_TN_Micropolitan_Statistical_Area" TargetMode="External"/><Relationship Id="rId67" Type="http://schemas.openxmlformats.org/officeDocument/2006/relationships/hyperlink" Target="https://en.wikipedia.org/wiki/Virginia_Beach-Norfolk-Newport_News,_VA-NC_Metropolitan_Statistical_Area" TargetMode="External"/><Relationship Id="rId272" Type="http://schemas.openxmlformats.org/officeDocument/2006/relationships/hyperlink" Target="https://en.wikipedia.org/wiki/Kalamazoo-Battle_Creek-Portage,_MI_Combined_Statistical_Area" TargetMode="External"/><Relationship Id="rId577" Type="http://schemas.openxmlformats.org/officeDocument/2006/relationships/hyperlink" Target="https://en.wikipedia.org/wiki/Morristown,_TN_Metropolitan_Statistical_Area" TargetMode="External"/><Relationship Id="rId700" Type="http://schemas.openxmlformats.org/officeDocument/2006/relationships/hyperlink" Target="https://en.wikipedia.org/wiki/Portland-Vancouver-Salem,_OR-WA_Combined_Statistical_Area" TargetMode="External"/><Relationship Id="rId1123" Type="http://schemas.openxmlformats.org/officeDocument/2006/relationships/hyperlink" Target="https://en.wikipedia.org/wiki/Miami-Fort_Lauderdale-Port_St._Lucie,_FL_Combined_Statistical_Area" TargetMode="External"/><Relationship Id="rId1330" Type="http://schemas.openxmlformats.org/officeDocument/2006/relationships/hyperlink" Target="https://en.wikipedia.org/wiki/Des_Moines-Ames-West_Des_Moines,_IA_Combined_Statistical_Area" TargetMode="External"/><Relationship Id="rId1428" Type="http://schemas.openxmlformats.org/officeDocument/2006/relationships/hyperlink" Target="https://en.wikipedia.org/wiki/Craig,_CO_Micropolitan_Statistical_Area" TargetMode="External"/><Relationship Id="rId132" Type="http://schemas.openxmlformats.org/officeDocument/2006/relationships/hyperlink" Target="https://en.wikipedia.org/wiki/Dayton-Springfield-Sidney,_OH_Combined_Statistical_Area" TargetMode="External"/><Relationship Id="rId784" Type="http://schemas.openxmlformats.org/officeDocument/2006/relationships/hyperlink" Target="https://en.wikipedia.org/wiki/Aberdeen,_WA_Micropolitan_Statistical_Area" TargetMode="External"/><Relationship Id="rId991" Type="http://schemas.openxmlformats.org/officeDocument/2006/relationships/hyperlink" Target="https://en.wikipedia.org/wiki/Washington,_NC_Micropolitan_Statistical_Area" TargetMode="External"/><Relationship Id="rId1067" Type="http://schemas.openxmlformats.org/officeDocument/2006/relationships/hyperlink" Target="https://en.wikipedia.org/wiki/Poplar_Bluff,_MO_Micropolitan_Statistical_Area" TargetMode="External"/><Relationship Id="rId437" Type="http://schemas.openxmlformats.org/officeDocument/2006/relationships/hyperlink" Target="https://en.wikipedia.org/wiki/Pueblo-Ca%C3%B1on_City,_CO_Combined_Statistical_Area" TargetMode="External"/><Relationship Id="rId644" Type="http://schemas.openxmlformats.org/officeDocument/2006/relationships/hyperlink" Target="https://en.wikipedia.org/wiki/Manhattan-Junction_City,_KS_Combined_Statistical_Area" TargetMode="External"/><Relationship Id="rId851" Type="http://schemas.openxmlformats.org/officeDocument/2006/relationships/hyperlink" Target="https://en.wikipedia.org/wiki/Marietta,_OH_Micropolitan_Statistical_Area" TargetMode="External"/><Relationship Id="rId1274" Type="http://schemas.openxmlformats.org/officeDocument/2006/relationships/hyperlink" Target="https://en.wikipedia.org/wiki/Nashville-Davidson%E2%80%93Murfreesboro,_TN_Combined_Statistical_Area" TargetMode="External"/><Relationship Id="rId283" Type="http://schemas.openxmlformats.org/officeDocument/2006/relationships/hyperlink" Target="https://en.wikipedia.org/wiki/Lincoln,_Nebraska_metropolitan_area" TargetMode="External"/><Relationship Id="rId490" Type="http://schemas.openxmlformats.org/officeDocument/2006/relationships/hyperlink" Target="https://en.wikipedia.org/wiki/St._George,_UT_Metropolitan_Statistical_Area" TargetMode="External"/><Relationship Id="rId504" Type="http://schemas.openxmlformats.org/officeDocument/2006/relationships/hyperlink" Target="https://en.wikipedia.org/wiki/San_Jose-San_Francisco-Oakland,_CA_Combined_Statistical_Area" TargetMode="External"/><Relationship Id="rId711" Type="http://schemas.openxmlformats.org/officeDocument/2006/relationships/hyperlink" Target="https://en.wikipedia.org/wiki/Midland,_MI_Metropolitan_Statistical_Area" TargetMode="External"/><Relationship Id="rId949" Type="http://schemas.openxmlformats.org/officeDocument/2006/relationships/hyperlink" Target="https://en.wikipedia.org/wiki/St._Marys,_GA_Micropolitan_Statistical_Area" TargetMode="External"/><Relationship Id="rId1134" Type="http://schemas.openxmlformats.org/officeDocument/2006/relationships/hyperlink" Target="https://en.wikipedia.org/wiki/Sault_Ste._Marie,_MI_Micropolitan_Statistical_Area" TargetMode="External"/><Relationship Id="rId1341" Type="http://schemas.openxmlformats.org/officeDocument/2006/relationships/hyperlink" Target="https://en.wikipedia.org/wiki/Columbia-Moberly-Mexico,_MO_Combined_Statistical_Area" TargetMode="External"/><Relationship Id="rId78" Type="http://schemas.openxmlformats.org/officeDocument/2006/relationships/hyperlink" Target="https://en.wikipedia.org/wiki/Oklahoma_City-Shawnee,_OK_Combined_Statistical_Area" TargetMode="External"/><Relationship Id="rId143" Type="http://schemas.openxmlformats.org/officeDocument/2006/relationships/hyperlink" Target="https://en.wikipedia.org/wiki/Akron,_OH_Metropolitan_Statistical_Area" TargetMode="External"/><Relationship Id="rId350" Type="http://schemas.openxmlformats.org/officeDocument/2006/relationships/hyperlink" Target="https://en.wikipedia.org/wiki/Tyler-Jacksonville,_TX_Combined_Statistical_Area" TargetMode="External"/><Relationship Id="rId588" Type="http://schemas.openxmlformats.org/officeDocument/2006/relationships/hyperlink" Target="https://en.wikipedia.org/wiki/Holland,_MI_Micropolitan_Statistical_Area" TargetMode="External"/><Relationship Id="rId795" Type="http://schemas.openxmlformats.org/officeDocument/2006/relationships/hyperlink" Target="https://en.wikipedia.org/wiki/Stevens_Point,_WI_Micropolitan_Statistical_Area" TargetMode="External"/><Relationship Id="rId809" Type="http://schemas.openxmlformats.org/officeDocument/2006/relationships/hyperlink" Target="https://en.wikipedia.org/wiki/Marquette,_MI_Micropolitan_Statistical_Area" TargetMode="External"/><Relationship Id="rId1201" Type="http://schemas.openxmlformats.org/officeDocument/2006/relationships/hyperlink" Target="https://en.wikipedia.org/wiki/Vidalia,_GA_Micropolitan_Statistical_Area" TargetMode="External"/><Relationship Id="rId9" Type="http://schemas.openxmlformats.org/officeDocument/2006/relationships/hyperlink" Target="https://en.wikipedia.org/wiki/Houston-The_Woodlands,_TX_Combined_Statistical_Area" TargetMode="External"/><Relationship Id="rId210" Type="http://schemas.openxmlformats.org/officeDocument/2006/relationships/hyperlink" Target="https://en.wikipedia.org/wiki/Corpus_Christi-Kingsville-Alice,_TX_Combined_Statistical_Area" TargetMode="External"/><Relationship Id="rId448" Type="http://schemas.openxmlformats.org/officeDocument/2006/relationships/hyperlink" Target="https://en.wikipedia.org/wiki/South_Bend-Elkhart-Mishawaka,_IN-MI_Combined_Statistical_Area" TargetMode="External"/><Relationship Id="rId655" Type="http://schemas.openxmlformats.org/officeDocument/2006/relationships/hyperlink" Target="https://en.wikipedia.org/wiki/Ocean_City,_NJ_Metropolitan_Statistical_Area" TargetMode="External"/><Relationship Id="rId862" Type="http://schemas.openxmlformats.org/officeDocument/2006/relationships/hyperlink" Target="https://en.wikipedia.org/wiki/Big_Stone_Gap,_VA_Micropolitan_Statistical_Area" TargetMode="External"/><Relationship Id="rId1078" Type="http://schemas.openxmlformats.org/officeDocument/2006/relationships/hyperlink" Target="https://en.wikipedia.org/wiki/Sedalia,_MO_Micropolitan_Statistical_Area" TargetMode="External"/><Relationship Id="rId1285" Type="http://schemas.openxmlformats.org/officeDocument/2006/relationships/hyperlink" Target="https://en.wikipedia.org/wiki/Alpena,_MI_Micropolitan_Statistical_Area" TargetMode="External"/><Relationship Id="rId294" Type="http://schemas.openxmlformats.org/officeDocument/2006/relationships/hyperlink" Target="https://en.wikipedia.org/wiki/Erie-Meadville,_PA_Combined_Statistical_Area" TargetMode="External"/><Relationship Id="rId308" Type="http://schemas.openxmlformats.org/officeDocument/2006/relationships/hyperlink" Target="https://en.wikipedia.org/wiki/Greeley,_CO_Metropolitan_Statistical_Area" TargetMode="External"/><Relationship Id="rId515" Type="http://schemas.openxmlformats.org/officeDocument/2006/relationships/hyperlink" Target="https://en.wikipedia.org/wiki/La_Crosse-Onalaska,_WI-MN_Metropolitan_Statistical_Area" TargetMode="External"/><Relationship Id="rId722" Type="http://schemas.openxmlformats.org/officeDocument/2006/relationships/hyperlink" Target="https://en.wikipedia.org/wiki/Houston-The_Woodlands,_TX_Combined_Statistical_Area" TargetMode="External"/><Relationship Id="rId1145" Type="http://schemas.openxmlformats.org/officeDocument/2006/relationships/hyperlink" Target="https://en.wikipedia.org/wiki/Bloomington-Pontiac,_IL_Combined_Statistical_Area" TargetMode="External"/><Relationship Id="rId1352" Type="http://schemas.openxmlformats.org/officeDocument/2006/relationships/hyperlink" Target="https://en.wikipedia.org/wiki/Campbellsville,_KY_Micropolitan_Statistical_Area" TargetMode="External"/><Relationship Id="rId89" Type="http://schemas.openxmlformats.org/officeDocument/2006/relationships/hyperlink" Target="https://en.wikipedia.org/wiki/Birmingham-Hoover-Talladega,_AL_Combined_Statistical_Area" TargetMode="External"/><Relationship Id="rId154" Type="http://schemas.openxmlformats.org/officeDocument/2006/relationships/hyperlink" Target="https://en.wikipedia.org/wiki/Boise_City-Mountain_Home-Ontario,_ID-OR_Combined_Statistical_Area" TargetMode="External"/><Relationship Id="rId361" Type="http://schemas.openxmlformats.org/officeDocument/2006/relationships/hyperlink" Target="https://en.wikipedia.org/wiki/Medford-Grants_Pass,_OR_Combined_Statistical_Area" TargetMode="External"/><Relationship Id="rId599" Type="http://schemas.openxmlformats.org/officeDocument/2006/relationships/hyperlink" Target="https://en.wikipedia.org/wiki/Roseburg,_OR_Micropolitan_Statistical_Area" TargetMode="External"/><Relationship Id="rId1005" Type="http://schemas.openxmlformats.org/officeDocument/2006/relationships/hyperlink" Target="https://en.wikipedia.org/wiki/Pueblo-Ca%C3%B1on_City,_CO_Combined_Statistical_Area" TargetMode="External"/><Relationship Id="rId1212" Type="http://schemas.openxmlformats.org/officeDocument/2006/relationships/hyperlink" Target="https://en.wikipedia.org/wiki/Lebanon,_MO_Micropolitan_Statistical_Area" TargetMode="External"/><Relationship Id="rId459" Type="http://schemas.openxmlformats.org/officeDocument/2006/relationships/hyperlink" Target="https://en.wikipedia.org/wiki/Madera,_CA_Metropolitan_Statistical_Area" TargetMode="External"/><Relationship Id="rId666" Type="http://schemas.openxmlformats.org/officeDocument/2006/relationships/hyperlink" Target="https://en.wikipedia.org/wiki/Bloomsburg-Berwick-Sunbury,_PA_Combined_Statistical_Area" TargetMode="External"/><Relationship Id="rId873" Type="http://schemas.openxmlformats.org/officeDocument/2006/relationships/hyperlink" Target="https://en.wikipedia.org/wiki/Myrtle_Beach-Conway,_SC-NC_Combined_Statistical_Area" TargetMode="External"/><Relationship Id="rId1089" Type="http://schemas.openxmlformats.org/officeDocument/2006/relationships/hyperlink" Target="https://en.wikipedia.org/wiki/Aberdeen,_SD_Micropolitan_Statistical_Area" TargetMode="External"/><Relationship Id="rId1296" Type="http://schemas.openxmlformats.org/officeDocument/2006/relationships/hyperlink" Target="https://en.wikipedia.org/wiki/Indianola,_MS_Micropolitan_Statistical_Area" TargetMode="External"/><Relationship Id="rId16" Type="http://schemas.openxmlformats.org/officeDocument/2006/relationships/hyperlink" Target="https://en.wikipedia.org/wiki/Atlanta-Sandy_Springs-Roswell,_GA_Metropolitan_Statistical_Area" TargetMode="External"/><Relationship Id="rId221" Type="http://schemas.openxmlformats.org/officeDocument/2006/relationships/hyperlink" Target="https://en.wikipedia.org/wiki/Fort_Wayne,_IN_Metropolitan_Statistical_Area" TargetMode="External"/><Relationship Id="rId319" Type="http://schemas.openxmlformats.org/officeDocument/2006/relationships/hyperlink" Target="https://en.wikipedia.org/wiki/Amarillo-Borger,_TX_Combined_Statistical_Area" TargetMode="External"/><Relationship Id="rId526" Type="http://schemas.openxmlformats.org/officeDocument/2006/relationships/hyperlink" Target="https://en.wikipedia.org/wiki/Lawton,_OK_Metropolitan_Statistical_Area" TargetMode="External"/><Relationship Id="rId1156" Type="http://schemas.openxmlformats.org/officeDocument/2006/relationships/hyperlink" Target="https://en.wikipedia.org/wiki/Junction_City,_KS_Micropolitan_Statistical_Area" TargetMode="External"/><Relationship Id="rId1363" Type="http://schemas.openxmlformats.org/officeDocument/2006/relationships/hyperlink" Target="https://en.wikipedia.org/wiki/Steamboat_Springs,_CO_Micropolitan_Statistical_Area" TargetMode="External"/><Relationship Id="rId733" Type="http://schemas.openxmlformats.org/officeDocument/2006/relationships/hyperlink" Target="https://en.wikipedia.org/wiki/Cullman,_AL_Micropolitan_Statistical_Area" TargetMode="External"/><Relationship Id="rId940" Type="http://schemas.openxmlformats.org/officeDocument/2006/relationships/hyperlink" Target="https://en.wikipedia.org/wiki/Durango,_CO_Micropolitan_Statistical_Area" TargetMode="External"/><Relationship Id="rId1016" Type="http://schemas.openxmlformats.org/officeDocument/2006/relationships/hyperlink" Target="https://en.wikipedia.org/wiki/Hillsdale,_MI_Micropolitan_Statistical_Area" TargetMode="External"/><Relationship Id="rId165" Type="http://schemas.openxmlformats.org/officeDocument/2006/relationships/hyperlink" Target="https://en.wikipedia.org/wiki/Toledo-Port_Clinton,_OH_Combined_Statistical_Area" TargetMode="External"/><Relationship Id="rId372" Type="http://schemas.openxmlformats.org/officeDocument/2006/relationships/hyperlink" Target="https://en.wikipedia.org/wiki/Elkhart-Goshen,_IN_Metropolitan_Statistical_Area" TargetMode="External"/><Relationship Id="rId677" Type="http://schemas.openxmlformats.org/officeDocument/2006/relationships/hyperlink" Target="https://en.wikipedia.org/wiki/Moses_Lake,_WA_Micropolitan_Statistical_Area" TargetMode="External"/><Relationship Id="rId800" Type="http://schemas.openxmlformats.org/officeDocument/2006/relationships/hyperlink" Target="https://en.wikipedia.org/wiki/Lansing-East_Lansing-Owosso,_MI_Combined_Statistical_Area" TargetMode="External"/><Relationship Id="rId1223" Type="http://schemas.openxmlformats.org/officeDocument/2006/relationships/hyperlink" Target="https://en.wikipedia.org/wiki/North_Port-Sarasota,_FL_Combined_Statistical_Area" TargetMode="External"/><Relationship Id="rId232" Type="http://schemas.openxmlformats.org/officeDocument/2006/relationships/hyperlink" Target="https://en.wikipedia.org/wiki/Reading,_PA_Metropolitan_Statistical_Area" TargetMode="External"/><Relationship Id="rId884" Type="http://schemas.openxmlformats.org/officeDocument/2006/relationships/hyperlink" Target="https://en.wikipedia.org/wiki/Dublin,_GA_Micropolitan_Statistical_Area" TargetMode="External"/><Relationship Id="rId27" Type="http://schemas.openxmlformats.org/officeDocument/2006/relationships/hyperlink" Target="https://en.wikipedia.org/wiki/Seattle-Tacoma-Bellevue,_WA_Metropolitan_Statistical_Area" TargetMode="External"/><Relationship Id="rId537" Type="http://schemas.openxmlformats.org/officeDocument/2006/relationships/hyperlink" Target="https://en.wikipedia.org/wiki/Logan,_UT-ID_Metropolitan_Statistical_Area" TargetMode="External"/><Relationship Id="rId744" Type="http://schemas.openxmlformats.org/officeDocument/2006/relationships/hyperlink" Target="https://en.wikipedia.org/wiki/Dallas-Fort_Worth,_TX-OK_Combined_Statistical_Area" TargetMode="External"/><Relationship Id="rId951" Type="http://schemas.openxmlformats.org/officeDocument/2006/relationships/hyperlink" Target="https://en.wikipedia.org/wiki/Fernley,_NV_Micropolitan_Statistical_Area" TargetMode="External"/><Relationship Id="rId1167" Type="http://schemas.openxmlformats.org/officeDocument/2006/relationships/hyperlink" Target="https://en.wikipedia.org/wiki/Mayfield,_KY_Micropolitan_Statistical_Area" TargetMode="External"/><Relationship Id="rId1374" Type="http://schemas.openxmlformats.org/officeDocument/2006/relationships/hyperlink" Target="https://en.wikipedia.org/wiki/Yankton,_SD_Micropolitan_Statistical_Area" TargetMode="External"/><Relationship Id="rId80" Type="http://schemas.openxmlformats.org/officeDocument/2006/relationships/hyperlink" Target="https://en.wikipedia.org/wiki/Louisville/Jefferson_County%E2%80%93Elizabethtown%E2%80%93Bardstown,_KY-IN_Combined_Statistical_Area" TargetMode="External"/><Relationship Id="rId176" Type="http://schemas.openxmlformats.org/officeDocument/2006/relationships/hyperlink" Target="https://en.wikipedia.org/wiki/Harrisburg-Carlisle,_PA_Metropolitan_Statistical_Area" TargetMode="External"/><Relationship Id="rId383" Type="http://schemas.openxmlformats.org/officeDocument/2006/relationships/hyperlink" Target="https://en.wikipedia.org/wiki/St._Cloud,_MN_Metropolitan_Statistical_Area" TargetMode="External"/><Relationship Id="rId590" Type="http://schemas.openxmlformats.org/officeDocument/2006/relationships/hyperlink" Target="https://en.wikipedia.org/wiki/Michigan_City-La_Porte,_IN_Metropolitan_Statistical_Area" TargetMode="External"/><Relationship Id="rId604" Type="http://schemas.openxmlformats.org/officeDocument/2006/relationships/hyperlink" Target="https://en.wikipedia.org/wiki/Cookeville,_TN_Micropolitan_Statistical_Area" TargetMode="External"/><Relationship Id="rId811" Type="http://schemas.openxmlformats.org/officeDocument/2006/relationships/hyperlink" Target="https://en.wikipedia.org/wiki/New_Bern-Morehead_City,_NC_Combined_Statistical_Area" TargetMode="External"/><Relationship Id="rId1027" Type="http://schemas.openxmlformats.org/officeDocument/2006/relationships/hyperlink" Target="https://en.wikipedia.org/wiki/Shelbyville,_TN_Micropolitan_Statistical_Area" TargetMode="External"/><Relationship Id="rId1234" Type="http://schemas.openxmlformats.org/officeDocument/2006/relationships/hyperlink" Target="https://en.wikipedia.org/wiki/Brenham,_TX_Micropolitan_Statistical_Area" TargetMode="External"/><Relationship Id="rId243" Type="http://schemas.openxmlformats.org/officeDocument/2006/relationships/hyperlink" Target="https://en.wikipedia.org/wiki/Anchorage,_AK_Metropolitan_Statistical_Area" TargetMode="External"/><Relationship Id="rId450" Type="http://schemas.openxmlformats.org/officeDocument/2006/relationships/hyperlink" Target="https://en.wikipedia.org/wiki/State_College-DuBois,_PA_Combined_Statistical_Area" TargetMode="External"/><Relationship Id="rId688" Type="http://schemas.openxmlformats.org/officeDocument/2006/relationships/hyperlink" Target="https://en.wikipedia.org/wiki/Elmira,_NY_Metropolitan_Statistical_Area" TargetMode="External"/><Relationship Id="rId895" Type="http://schemas.openxmlformats.org/officeDocument/2006/relationships/hyperlink" Target="https://en.wikipedia.org/wiki/Findlay-Tiffin,_OH_Combined_Statistical_Area" TargetMode="External"/><Relationship Id="rId909" Type="http://schemas.openxmlformats.org/officeDocument/2006/relationships/hyperlink" Target="https://en.wikipedia.org/wiki/Waycross,_GA_Micropolitan_Statistical_Area" TargetMode="External"/><Relationship Id="rId1080" Type="http://schemas.openxmlformats.org/officeDocument/2006/relationships/hyperlink" Target="https://en.wikipedia.org/wiki/Nashville-Davidson%E2%80%93Murfreesboro,_TN_Combined_Statistical_Area" TargetMode="External"/><Relationship Id="rId1301" Type="http://schemas.openxmlformats.org/officeDocument/2006/relationships/hyperlink" Target="https://en.wikipedia.org/wiki/Middlesborough,_KY_Micropolitan_Statistical_Area" TargetMode="External"/><Relationship Id="rId38" Type="http://schemas.openxmlformats.org/officeDocument/2006/relationships/hyperlink" Target="https://en.wikipedia.org/wiki/Denver-Aurora,_CO_Combined_Statistical_Area" TargetMode="External"/><Relationship Id="rId103" Type="http://schemas.openxmlformats.org/officeDocument/2006/relationships/hyperlink" Target="https://en.wikipedia.org/wiki/Fresno,_CA_Metropolitan_Statistical_Area" TargetMode="External"/><Relationship Id="rId310" Type="http://schemas.openxmlformats.org/officeDocument/2006/relationships/hyperlink" Target="https://en.wikipedia.org/wiki/Wilmington,_NC_Metropolitan_Statistical_Area" TargetMode="External"/><Relationship Id="rId548" Type="http://schemas.openxmlformats.org/officeDocument/2006/relationships/hyperlink" Target="https://en.wikipedia.org/wiki/Jonesboro-Paragould,_AR_Combined_Statistical_Area" TargetMode="External"/><Relationship Id="rId755" Type="http://schemas.openxmlformats.org/officeDocument/2006/relationships/hyperlink" Target="https://en.wikipedia.org/wiki/Quincy-Hannibal,_IL-MO_Combined_Statistical_Area" TargetMode="External"/><Relationship Id="rId962" Type="http://schemas.openxmlformats.org/officeDocument/2006/relationships/hyperlink" Target="https://en.wikipedia.org/wiki/Idaho_Falls-Rexburg-Blackfoot,_ID_Combined_Statistical_Area" TargetMode="External"/><Relationship Id="rId1178" Type="http://schemas.openxmlformats.org/officeDocument/2006/relationships/hyperlink" Target="https://en.wikipedia.org/wiki/Fort_Wayne-Huntington-Auburn,_IN_Combined_Statistical_Area" TargetMode="External"/><Relationship Id="rId1385" Type="http://schemas.openxmlformats.org/officeDocument/2006/relationships/hyperlink" Target="https://en.wikipedia.org/wiki/Lincoln,_Nebraska_metropolitan_area" TargetMode="External"/><Relationship Id="rId91" Type="http://schemas.openxmlformats.org/officeDocument/2006/relationships/hyperlink" Target="https://en.wikipedia.org/wiki/Buffalo-Cheektowaga-Olean,_NY_Combined_Statistical_Area" TargetMode="External"/><Relationship Id="rId187" Type="http://schemas.openxmlformats.org/officeDocument/2006/relationships/hyperlink" Target="https://en.wikipedia.org/wiki/Raleigh-Durham-Chapel_Hill,_NC_Combined_Statistical_Area" TargetMode="External"/><Relationship Id="rId394" Type="http://schemas.openxmlformats.org/officeDocument/2006/relationships/hyperlink" Target="https://en.wikipedia.org/wiki/Atlanta%E2%80%93Athens-Clarke_County%E2%80%93Sandy_Springs,_GA_Combined_Statistical_Area" TargetMode="External"/><Relationship Id="rId408" Type="http://schemas.openxmlformats.org/officeDocument/2006/relationships/hyperlink" Target="https://en.wikipedia.org/wiki/Terre_Haute,_IN_Metropolitan_Statistical_Area" TargetMode="External"/><Relationship Id="rId615" Type="http://schemas.openxmlformats.org/officeDocument/2006/relationships/hyperlink" Target="https://en.wikipedia.org/wiki/Ithaca-Cortland,_NY_Combined_Statistical_Area" TargetMode="External"/><Relationship Id="rId822" Type="http://schemas.openxmlformats.org/officeDocument/2006/relationships/hyperlink" Target="https://en.wikipedia.org/wiki/St._Louis-St._Charles-Farmington,_MO-IL_Combined_Statistical_Area" TargetMode="External"/><Relationship Id="rId1038" Type="http://schemas.openxmlformats.org/officeDocument/2006/relationships/hyperlink" Target="https://en.wikipedia.org/wiki/Raleigh-Durham-Chapel_Hill,_NC_Combined_Statistical_Area" TargetMode="External"/><Relationship Id="rId1245" Type="http://schemas.openxmlformats.org/officeDocument/2006/relationships/hyperlink" Target="https://en.wikipedia.org/wiki/Frankfort,_IN_Micropolitan_Statistical_Area" TargetMode="External"/><Relationship Id="rId254" Type="http://schemas.openxmlformats.org/officeDocument/2006/relationships/hyperlink" Target="https://en.wikipedia.org/wiki/Fayetteville-Lumberton-Laurinburg,_NC_Combined_Statistical_Area" TargetMode="External"/><Relationship Id="rId699" Type="http://schemas.openxmlformats.org/officeDocument/2006/relationships/hyperlink" Target="https://en.wikipedia.org/wiki/Corvallis,_OR_Metropolitan_Statistical_Area" TargetMode="External"/><Relationship Id="rId1091" Type="http://schemas.openxmlformats.org/officeDocument/2006/relationships/hyperlink" Target="https://en.wikipedia.org/wiki/Toledo-Port_Clinton,_OH_Combined_Statistical_Area" TargetMode="External"/><Relationship Id="rId1105" Type="http://schemas.openxmlformats.org/officeDocument/2006/relationships/hyperlink" Target="https://en.wikipedia.org/wiki/Montrose,_CO_Micropolitan_Statistical_Area" TargetMode="External"/><Relationship Id="rId1312" Type="http://schemas.openxmlformats.org/officeDocument/2006/relationships/hyperlink" Target="https://en.wikipedia.org/wiki/Monroe-Ruston-Bastrop,_LA_Combined_Statistical_Area" TargetMode="External"/><Relationship Id="rId49" Type="http://schemas.openxmlformats.org/officeDocument/2006/relationships/hyperlink" Target="https://en.wikipedia.org/wiki/Sacramento-Roseville,_CA_Combined_Statistical_Area" TargetMode="External"/><Relationship Id="rId114" Type="http://schemas.openxmlformats.org/officeDocument/2006/relationships/hyperlink" Target="https://en.wikipedia.org/wiki/Albany-Schenectady,_NY_Combined_Statistical_Area" TargetMode="External"/><Relationship Id="rId461" Type="http://schemas.openxmlformats.org/officeDocument/2006/relationships/hyperlink" Target="https://en.wikipedia.org/wiki/Rocky_Mount,_NC_Metropolitan_Statistical_Area" TargetMode="External"/><Relationship Id="rId559" Type="http://schemas.openxmlformats.org/officeDocument/2006/relationships/hyperlink" Target="https://en.wikipedia.org/wiki/Augusta-Waterville,_ME_Micropolitan_Statistical_Area" TargetMode="External"/><Relationship Id="rId766" Type="http://schemas.openxmlformats.org/officeDocument/2006/relationships/hyperlink" Target="https://en.wikipedia.org/wiki/Roanoke_Rapids,_NC_Micropolitan_Statistical_Area" TargetMode="External"/><Relationship Id="rId1189" Type="http://schemas.openxmlformats.org/officeDocument/2006/relationships/hyperlink" Target="https://en.wikipedia.org/wiki/Americus,_GA_Micropolitan_Statistical_Area" TargetMode="External"/><Relationship Id="rId1396" Type="http://schemas.openxmlformats.org/officeDocument/2006/relationships/hyperlink" Target="https://en.wikipedia.org/wiki/Prineville,_OR_Micropolitan_Statistical_Area" TargetMode="External"/><Relationship Id="rId198" Type="http://schemas.openxmlformats.org/officeDocument/2006/relationships/hyperlink" Target="https://en.wikipedia.org/wiki/Lafayette-Opelousas-Morgan_City,_LA_Combined_Statistical_Area" TargetMode="External"/><Relationship Id="rId321" Type="http://schemas.openxmlformats.org/officeDocument/2006/relationships/hyperlink" Target="https://en.wikipedia.org/wiki/Hagerstown-Martinsburg,_MD-WV_Metropolitan_Statistical_Area" TargetMode="External"/><Relationship Id="rId419" Type="http://schemas.openxmlformats.org/officeDocument/2006/relationships/hyperlink" Target="https://en.wikipedia.org/wiki/Columbia-Moberly-Mexico,_MO_Combined_Statistical_Area" TargetMode="External"/><Relationship Id="rId626" Type="http://schemas.openxmlformats.org/officeDocument/2006/relationships/hyperlink" Target="https://en.wikipedia.org/wiki/Twin_Falls,_ID_Micropolitan_Statistical_Area" TargetMode="External"/><Relationship Id="rId973" Type="http://schemas.openxmlformats.org/officeDocument/2006/relationships/hyperlink" Target="https://en.wikipedia.org/wiki/New_Castle,_IN_Micropolitan_Statistical_Area" TargetMode="External"/><Relationship Id="rId1049" Type="http://schemas.openxmlformats.org/officeDocument/2006/relationships/hyperlink" Target="https://en.wikipedia.org/wiki/Bardstown,_KY_Micropolitan_Statistical_Area" TargetMode="External"/><Relationship Id="rId1256" Type="http://schemas.openxmlformats.org/officeDocument/2006/relationships/hyperlink" Target="https://en.wikipedia.org/wiki/Cambridge,_MD_Micropolitan_Statistical_Area" TargetMode="External"/><Relationship Id="rId833" Type="http://schemas.openxmlformats.org/officeDocument/2006/relationships/hyperlink" Target="https://en.wikipedia.org/wiki/Clearlake,_CA_Micropolitan_Statistical_Area" TargetMode="External"/><Relationship Id="rId1116" Type="http://schemas.openxmlformats.org/officeDocument/2006/relationships/hyperlink" Target="https://en.wikipedia.org/wiki/Selinsgrove,_PA_Micropolitan_Statistical_Area" TargetMode="External"/><Relationship Id="rId265" Type="http://schemas.openxmlformats.org/officeDocument/2006/relationships/hyperlink" Target="https://en.wikipedia.org/wiki/Detroit-Warren-Ann_Arbor,_MI_Combined_Statistical_Area" TargetMode="External"/><Relationship Id="rId472" Type="http://schemas.openxmlformats.org/officeDocument/2006/relationships/hyperlink" Target="https://en.wikipedia.org/wiki/Elizabethtown-Fort_Knox,_KY_Metropolitan_Statistical_Area" TargetMode="External"/><Relationship Id="rId900" Type="http://schemas.openxmlformats.org/officeDocument/2006/relationships/hyperlink" Target="https://en.wikipedia.org/wiki/Eagle_Pass,_TX_Micropolitan_Statistical_Area" TargetMode="External"/><Relationship Id="rId1323" Type="http://schemas.openxmlformats.org/officeDocument/2006/relationships/hyperlink" Target="https://en.wikipedia.org/wiki/Thomaston,_GA_Micropolitan_Statistical_Area" TargetMode="External"/><Relationship Id="rId125" Type="http://schemas.openxmlformats.org/officeDocument/2006/relationships/hyperlink" Target="https://en.wikipedia.org/wiki/El_Paso-Las_Cruces,_TX-NM_Combined_Statistical_Area" TargetMode="External"/><Relationship Id="rId332" Type="http://schemas.openxmlformats.org/officeDocument/2006/relationships/hyperlink" Target="https://en.wikipedia.org/wiki/Champaign-Urbana,_IL_Metropolitan_Statistical_Area" TargetMode="External"/><Relationship Id="rId777" Type="http://schemas.openxmlformats.org/officeDocument/2006/relationships/hyperlink" Target="https://en.wikipedia.org/wiki/Palatka,_FL_Micropolitan_Statistical_Area" TargetMode="External"/><Relationship Id="rId984" Type="http://schemas.openxmlformats.org/officeDocument/2006/relationships/hyperlink" Target="https://en.wikipedia.org/wiki/Ardmore,_OK_Micropolitan_Statistical_Area" TargetMode="External"/><Relationship Id="rId637" Type="http://schemas.openxmlformats.org/officeDocument/2006/relationships/hyperlink" Target="https://en.wikipedia.org/wiki/Paducah-Mayfield,_KY-IL_Combined_Statistical_Area" TargetMode="External"/><Relationship Id="rId844" Type="http://schemas.openxmlformats.org/officeDocument/2006/relationships/hyperlink" Target="https://en.wikipedia.org/wiki/Hudson,_NY_Micropolitan_Statistical_Area" TargetMode="External"/><Relationship Id="rId1267" Type="http://schemas.openxmlformats.org/officeDocument/2006/relationships/hyperlink" Target="https://en.wikipedia.org/wiki/Joplin-Miami,_MO-OK_Combined_Statistical_Area" TargetMode="External"/><Relationship Id="rId276" Type="http://schemas.openxmlformats.org/officeDocument/2006/relationships/hyperlink" Target="https://en.wikipedia.org/wiki/Greenville-Spartanburg-Anderson,_SC_Combined_Statistical_Area" TargetMode="External"/><Relationship Id="rId483" Type="http://schemas.openxmlformats.org/officeDocument/2006/relationships/hyperlink" Target="https://en.wikipedia.org/wiki/Hattiesburg,_MS_Metropolitan_Statistical_Area" TargetMode="External"/><Relationship Id="rId690" Type="http://schemas.openxmlformats.org/officeDocument/2006/relationships/hyperlink" Target="https://en.wikipedia.org/wiki/Beaver_Dam,_WI_Micropolitan_Statistical_Area" TargetMode="External"/><Relationship Id="rId704" Type="http://schemas.openxmlformats.org/officeDocument/2006/relationships/hyperlink" Target="https://en.wikipedia.org/wiki/Bloomsburg-Berwick-Sunbury,_PA_Combined_Statistical_Area" TargetMode="External"/><Relationship Id="rId911" Type="http://schemas.openxmlformats.org/officeDocument/2006/relationships/hyperlink" Target="https://en.wikipedia.org/wiki/Warrensburg,_MO_Micropolitan_Statistical_Area" TargetMode="External"/><Relationship Id="rId1127" Type="http://schemas.openxmlformats.org/officeDocument/2006/relationships/hyperlink" Target="https://en.wikipedia.org/wiki/Pittsburg,_KS_Micropolitan_Statistical_Area" TargetMode="External"/><Relationship Id="rId1334" Type="http://schemas.openxmlformats.org/officeDocument/2006/relationships/hyperlink" Target="https://en.wikipedia.org/wiki/Kansas_City-Overland_Park-Kansas_City,_MO-KS_Combined_Statistical_Area" TargetMode="External"/><Relationship Id="rId40" Type="http://schemas.openxmlformats.org/officeDocument/2006/relationships/hyperlink" Target="https://en.wikipedia.org/wiki/Pittsburgh-New_Castle-Weirton,_PA-OH-WV_Combined_Statistical_Area" TargetMode="External"/><Relationship Id="rId136" Type="http://schemas.openxmlformats.org/officeDocument/2006/relationships/hyperlink" Target="https://en.wikipedia.org/wiki/Greensboro%E2%80%93Winston-Salem%E2%80%93High_Point,_NC_Combined_Statistical_Area" TargetMode="External"/><Relationship Id="rId343" Type="http://schemas.openxmlformats.org/officeDocument/2006/relationships/hyperlink" Target="https://en.wikipedia.org/wiki/Longview,_TX_Metropolitan_Statistical_Area" TargetMode="External"/><Relationship Id="rId550" Type="http://schemas.openxmlformats.org/officeDocument/2006/relationships/hyperlink" Target="https://en.wikipedia.org/wiki/New_Orleans-Metairie-Hammond,_LA-MS_Combined_Statistical_Area" TargetMode="External"/><Relationship Id="rId788" Type="http://schemas.openxmlformats.org/officeDocument/2006/relationships/hyperlink" Target="https://en.wikipedia.org/wiki/Lexington-Fayette%E2%80%93Richmond%E2%80%93Frankfort,_KY_Combined_Statistical_Area" TargetMode="External"/><Relationship Id="rId995" Type="http://schemas.openxmlformats.org/officeDocument/2006/relationships/hyperlink" Target="https://en.wikipedia.org/wiki/Tucson-Nogales,_AZ_Combined_Statistical_Area" TargetMode="External"/><Relationship Id="rId1180" Type="http://schemas.openxmlformats.org/officeDocument/2006/relationships/hyperlink" Target="https://en.wikipedia.org/wiki/Coshocton,_OH_Micropolitan_Statistical_Area" TargetMode="External"/><Relationship Id="rId1401" Type="http://schemas.openxmlformats.org/officeDocument/2006/relationships/hyperlink" Target="https://en.wikipedia.org/wiki/Clovis-Portales,_NM_Combined_Statistical_Area" TargetMode="External"/><Relationship Id="rId203" Type="http://schemas.openxmlformats.org/officeDocument/2006/relationships/hyperlink" Target="https://en.wikipedia.org/wiki/Visalia-Porterville-Hanford,_CA_Combined_Statistical_Area" TargetMode="External"/><Relationship Id="rId648" Type="http://schemas.openxmlformats.org/officeDocument/2006/relationships/hyperlink" Target="https://en.wikipedia.org/wiki/Little_Rock-North_Little_Rock,_AR_Combined_Statistical_Area" TargetMode="External"/><Relationship Id="rId855" Type="http://schemas.openxmlformats.org/officeDocument/2006/relationships/hyperlink" Target="https://en.wikipedia.org/wiki/Rutland,_VT_Micropolitan_Statistical_Area" TargetMode="External"/><Relationship Id="rId1040" Type="http://schemas.openxmlformats.org/officeDocument/2006/relationships/hyperlink" Target="https://en.wikipedia.org/wiki/Marion,_NC_Micropolitan_Statistical_Area" TargetMode="External"/><Relationship Id="rId1278" Type="http://schemas.openxmlformats.org/officeDocument/2006/relationships/hyperlink" Target="https://en.wikipedia.org/wiki/Lincoln,_IL_Micropolitan_Statistical_Area" TargetMode="External"/><Relationship Id="rId287" Type="http://schemas.openxmlformats.org/officeDocument/2006/relationships/hyperlink" Target="https://en.wikipedia.org/wiki/Johnson_City-Kingsport-Bristol,_TN-VA_Combined_Statistical_Area" TargetMode="External"/><Relationship Id="rId410" Type="http://schemas.openxmlformats.org/officeDocument/2006/relationships/hyperlink" Target="https://en.wikipedia.org/wiki/Grand_Rapids-Wyoming-Muskegon,_MI_Combined_Statistical_Area" TargetMode="External"/><Relationship Id="rId494" Type="http://schemas.openxmlformats.org/officeDocument/2006/relationships/hyperlink" Target="https://en.wikipedia.org/wiki/Dalton,_GA_Metropolitan_Statistical_Area" TargetMode="External"/><Relationship Id="rId508" Type="http://schemas.openxmlformats.org/officeDocument/2006/relationships/hyperlink" Target="https://en.wikipedia.org/wiki/Springfield,_OH_Metropolitan_Statistical_Area" TargetMode="External"/><Relationship Id="rId715" Type="http://schemas.openxmlformats.org/officeDocument/2006/relationships/hyperlink" Target="https://en.wikipedia.org/wiki/Lafayette-Opelousas-Morgan_City,_LA_Combined_Statistical_Area" TargetMode="External"/><Relationship Id="rId922" Type="http://schemas.openxmlformats.org/officeDocument/2006/relationships/hyperlink" Target="https://en.wikipedia.org/wiki/Fort_Leonard_Wood,_MO_Micropolitan_Statistical_Area" TargetMode="External"/><Relationship Id="rId1138" Type="http://schemas.openxmlformats.org/officeDocument/2006/relationships/hyperlink" Target="https://en.wikipedia.org/wiki/St._Louis-St._Charles-Farmington,_MO-IL_Combined_Statistical_Area" TargetMode="External"/><Relationship Id="rId1345" Type="http://schemas.openxmlformats.org/officeDocument/2006/relationships/hyperlink" Target="https://en.wikipedia.org/wiki/Mankato-New_Ulm-North_Mankato,_MN_Combined_Statistical_Area" TargetMode="External"/><Relationship Id="rId147" Type="http://schemas.openxmlformats.org/officeDocument/2006/relationships/hyperlink" Target="https://en.wikipedia.org/wiki/Syracuse,_NY_Metropolitan_Statistical_Area" TargetMode="External"/><Relationship Id="rId354" Type="http://schemas.openxmlformats.org/officeDocument/2006/relationships/hyperlink" Target="https://en.wikipedia.org/wiki/Prescott,_AZ_Metropolitan_Statistical_Area" TargetMode="External"/><Relationship Id="rId799" Type="http://schemas.openxmlformats.org/officeDocument/2006/relationships/hyperlink" Target="https://en.wikipedia.org/wiki/Owosso,_MI_Micropolitan_Statistical_Area" TargetMode="External"/><Relationship Id="rId1191" Type="http://schemas.openxmlformats.org/officeDocument/2006/relationships/hyperlink" Target="https://en.wikipedia.org/wiki/Kokomo-Peru,_IN_Combined_Statistical_Area" TargetMode="External"/><Relationship Id="rId1205" Type="http://schemas.openxmlformats.org/officeDocument/2006/relationships/hyperlink" Target="https://en.wikipedia.org/wiki/Fayetteville-Lumberton-Laurinburg,_NC_Combined_Statistical_Area" TargetMode="External"/><Relationship Id="rId51" Type="http://schemas.openxmlformats.org/officeDocument/2006/relationships/hyperlink" Target="https://en.wikipedia.org/wiki/Cincinnati-Wilmington-Maysville,_OH-KY-IN_Combined_Statistical_Area" TargetMode="External"/><Relationship Id="rId561" Type="http://schemas.openxmlformats.org/officeDocument/2006/relationships/hyperlink" Target="https://en.wikipedia.org/wiki/Bismarck,_ND_Metropolitan_Statistical_Area" TargetMode="External"/><Relationship Id="rId659" Type="http://schemas.openxmlformats.org/officeDocument/2006/relationships/hyperlink" Target="https://en.wikipedia.org/wiki/Dubuque,_IA_Metropolitan_Statistical_Area" TargetMode="External"/><Relationship Id="rId866" Type="http://schemas.openxmlformats.org/officeDocument/2006/relationships/hyperlink" Target="https://en.wikipedia.org/wiki/Atlanta%E2%80%93Athens-Clarke_County%E2%80%93Sandy_Springs,_GA_Combined_Statistical_Area" TargetMode="External"/><Relationship Id="rId1289" Type="http://schemas.openxmlformats.org/officeDocument/2006/relationships/hyperlink" Target="https://en.wikipedia.org/wiki/Washington_Court_House,_OH_Micropolitan_Statistical_Area" TargetMode="External"/><Relationship Id="rId1412" Type="http://schemas.openxmlformats.org/officeDocument/2006/relationships/hyperlink" Target="https://en.wikipedia.org/wiki/Winnemucca,_NV_Micropolitan_Statistical_Area" TargetMode="External"/><Relationship Id="rId214" Type="http://schemas.openxmlformats.org/officeDocument/2006/relationships/hyperlink" Target="https://en.wikipedia.org/wiki/Miami-Fort_Lauderdale-Port_St._Lucie,_FL_Combined_Statistical_Area" TargetMode="External"/><Relationship Id="rId298" Type="http://schemas.openxmlformats.org/officeDocument/2006/relationships/hyperlink" Target="https://en.wikipedia.org/wiki/Philadelphia-Reading-Camden,_PA-NJ-DE-MD_Combined_Statistical_Area" TargetMode="External"/><Relationship Id="rId421" Type="http://schemas.openxmlformats.org/officeDocument/2006/relationships/hyperlink" Target="https://en.wikipedia.org/wiki/Sacramento-Roseville,_CA_Combined_Statistical_Area" TargetMode="External"/><Relationship Id="rId519" Type="http://schemas.openxmlformats.org/officeDocument/2006/relationships/hyperlink" Target="https://en.wikipedia.org/wiki/Kalamazoo-Battle_Creek-Portage,_MI_Combined_Statistical_Area" TargetMode="External"/><Relationship Id="rId1051" Type="http://schemas.openxmlformats.org/officeDocument/2006/relationships/hyperlink" Target="https://en.wikipedia.org/wiki/Menomonie,_WI_Micropolitan_Statistical_Area" TargetMode="External"/><Relationship Id="rId1149" Type="http://schemas.openxmlformats.org/officeDocument/2006/relationships/hyperlink" Target="https://en.wikipedia.org/wiki/Crawfordsville,_IN_Micropolitan_Statistical_Area" TargetMode="External"/><Relationship Id="rId1356" Type="http://schemas.openxmlformats.org/officeDocument/2006/relationships/hyperlink" Target="https://en.wikipedia.org/wiki/Fallon,_NV_Micropolitan_Statistical_Area" TargetMode="External"/><Relationship Id="rId158" Type="http://schemas.openxmlformats.org/officeDocument/2006/relationships/hyperlink" Target="https://en.wikipedia.org/wiki/Springfield-Greenfield_Town,_MA_Combined_Statistical_Area" TargetMode="External"/><Relationship Id="rId726" Type="http://schemas.openxmlformats.org/officeDocument/2006/relationships/hyperlink" Target="https://en.wikipedia.org/wiki/Plattsburgh,_NY_Micropolitan_Statistical_Area" TargetMode="External"/><Relationship Id="rId933" Type="http://schemas.openxmlformats.org/officeDocument/2006/relationships/hyperlink" Target="https://en.wikipedia.org/wiki/Glasgow,_KY_Micropolitan_Statistical_Area" TargetMode="External"/><Relationship Id="rId1009" Type="http://schemas.openxmlformats.org/officeDocument/2006/relationships/hyperlink" Target="https://en.wikipedia.org/wiki/Bogalusa,_LA_Micropolitan_Statistical_Area" TargetMode="External"/><Relationship Id="rId62" Type="http://schemas.openxmlformats.org/officeDocument/2006/relationships/hyperlink" Target="https://en.wikipedia.org/wiki/San_Jose-Sunnyvale-Santa_Clara,_CA_Metropolitan_Statistical_Area" TargetMode="External"/><Relationship Id="rId365" Type="http://schemas.openxmlformats.org/officeDocument/2006/relationships/hyperlink" Target="https://en.wikipedia.org/wiki/Bellingham,_WA_Metropolitan_Statistical_Area" TargetMode="External"/><Relationship Id="rId572" Type="http://schemas.openxmlformats.org/officeDocument/2006/relationships/hyperlink" Target="https://en.wikipedia.org/wiki/Anniston-Oxford-Jacksonville,_AL_Metropolitan_Statistical_Area" TargetMode="External"/><Relationship Id="rId1216" Type="http://schemas.openxmlformats.org/officeDocument/2006/relationships/hyperlink" Target="https://en.wikipedia.org/wiki/Dixon-Sterling,_IL_Combined_Statistical_Area" TargetMode="External"/><Relationship Id="rId1423" Type="http://schemas.openxmlformats.org/officeDocument/2006/relationships/hyperlink" Target="https://en.wikipedia.org/wiki/Sioux_City-Vermillion,_IA-SD-NE_Combined_Statistical_Area" TargetMode="External"/><Relationship Id="rId225" Type="http://schemas.openxmlformats.org/officeDocument/2006/relationships/hyperlink" Target="https://en.wikipedia.org/wiki/Killeen-Temple,_TX_Metropolitan_Statistical_Area" TargetMode="External"/><Relationship Id="rId432" Type="http://schemas.openxmlformats.org/officeDocument/2006/relationships/hyperlink" Target="https://en.wikipedia.org/wiki/Bend,_OR_Metropolitan_Statistical_Area" TargetMode="External"/><Relationship Id="rId877" Type="http://schemas.openxmlformats.org/officeDocument/2006/relationships/hyperlink" Target="https://en.wikipedia.org/wiki/Raleigh-Durham-Chapel_Hill,_NC_Combined_Statistical_Area" TargetMode="External"/><Relationship Id="rId1062" Type="http://schemas.openxmlformats.org/officeDocument/2006/relationships/hyperlink" Target="https://en.wikipedia.org/wiki/Paragould,_AR_Micropolitan_Statistical_Area" TargetMode="External"/><Relationship Id="rId737" Type="http://schemas.openxmlformats.org/officeDocument/2006/relationships/hyperlink" Target="https://en.wikipedia.org/wiki/Olean,_NY_Micropolitan_Statistical_Area" TargetMode="External"/><Relationship Id="rId944" Type="http://schemas.openxmlformats.org/officeDocument/2006/relationships/hyperlink" Target="https://en.wikipedia.org/wiki/Boone,_NC_Micropolitan_Statistical_Area" TargetMode="External"/><Relationship Id="rId1367" Type="http://schemas.openxmlformats.org/officeDocument/2006/relationships/hyperlink" Target="https://en.wikipedia.org/wiki/Levelland,_TX_Micropolitan_Statistical_Area" TargetMode="External"/><Relationship Id="rId73" Type="http://schemas.openxmlformats.org/officeDocument/2006/relationships/hyperlink" Target="https://en.wikipedia.org/wiki/Jacksonville,_FL_Metropolitan_Statistical_Area" TargetMode="External"/><Relationship Id="rId169" Type="http://schemas.openxmlformats.org/officeDocument/2006/relationships/hyperlink" Target="https://en.wikipedia.org/wiki/Des_Moines-Ames-West_Des_Moines,_IA_Combined_Statistical_Area" TargetMode="External"/><Relationship Id="rId376" Type="http://schemas.openxmlformats.org/officeDocument/2006/relationships/hyperlink" Target="https://en.wikipedia.org/wiki/Athens-Clarke_County,_GA_Metropolitan_Statistical_Area" TargetMode="External"/><Relationship Id="rId583" Type="http://schemas.openxmlformats.org/officeDocument/2006/relationships/hyperlink" Target="https://en.wikipedia.org/wiki/Chicago-Naperville,_IL-IN-WI_Combined_Statistical_Area" TargetMode="External"/><Relationship Id="rId790" Type="http://schemas.openxmlformats.org/officeDocument/2006/relationships/hyperlink" Target="https://en.wikipedia.org/wiki/Oklahoma_City-Shawnee,_OK_Combined_Statistical_Area" TargetMode="External"/><Relationship Id="rId804" Type="http://schemas.openxmlformats.org/officeDocument/2006/relationships/hyperlink" Target="https://en.wikipedia.org/wiki/Kapaa,_HI_Micropolitan_Statistical_Area" TargetMode="External"/><Relationship Id="rId1227" Type="http://schemas.openxmlformats.org/officeDocument/2006/relationships/hyperlink" Target="https://en.wikipedia.org/wiki/Coffeyville,_KS_Micropolitan_Statistical_Area" TargetMode="External"/><Relationship Id="rId4" Type="http://schemas.openxmlformats.org/officeDocument/2006/relationships/hyperlink" Target="https://en.wikipedia.org/wiki/Los_Angeles-Long_Beach,_CA_Combined_Statistical_Area" TargetMode="External"/><Relationship Id="rId236" Type="http://schemas.openxmlformats.org/officeDocument/2006/relationships/hyperlink" Target="https://en.wikipedia.org/wiki/Cleveland-Akron-Canton,_OH_Combined_Statistical_Area" TargetMode="External"/><Relationship Id="rId443" Type="http://schemas.openxmlformats.org/officeDocument/2006/relationships/hyperlink" Target="https://en.wikipedia.org/wiki/Cedar_Rapids-Iowa_City,_IA_Combined_Statistical_Area" TargetMode="External"/><Relationship Id="rId650" Type="http://schemas.openxmlformats.org/officeDocument/2006/relationships/hyperlink" Target="https://en.wikipedia.org/wiki/Cape_Girardeau-Sikeston,_MO-IL_Combined_Statistical_Area" TargetMode="External"/><Relationship Id="rId888" Type="http://schemas.openxmlformats.org/officeDocument/2006/relationships/hyperlink" Target="https://en.wikipedia.org/wiki/Vicksburg,_MS_Micropolitan_Statistical_Area" TargetMode="External"/><Relationship Id="rId1073" Type="http://schemas.openxmlformats.org/officeDocument/2006/relationships/hyperlink" Target="https://en.wikipedia.org/wiki/Bucyrus,_OH_Micropolitan_Statistical_Area" TargetMode="External"/><Relationship Id="rId1280" Type="http://schemas.openxmlformats.org/officeDocument/2006/relationships/hyperlink" Target="https://en.wikipedia.org/wiki/Kirksville,_MO_Micropolitan_Statistical_Area" TargetMode="External"/><Relationship Id="rId303" Type="http://schemas.openxmlformats.org/officeDocument/2006/relationships/hyperlink" Target="https://en.wikipedia.org/wiki/Kennewick-Richland,_WA_Metropolitan_Statistical_Area" TargetMode="External"/><Relationship Id="rId748" Type="http://schemas.openxmlformats.org/officeDocument/2006/relationships/hyperlink" Target="https://en.wikipedia.org/wiki/Portsmouth,_OH_Micropolitan_Statistical_Area" TargetMode="External"/><Relationship Id="rId955" Type="http://schemas.openxmlformats.org/officeDocument/2006/relationships/hyperlink" Target="https://en.wikipedia.org/wiki/Dothan-Enterprise-Ozark,_AL_Combined_Statistical_Area" TargetMode="External"/><Relationship Id="rId1140" Type="http://schemas.openxmlformats.org/officeDocument/2006/relationships/hyperlink" Target="https://en.wikipedia.org/wiki/Mount_Vernon,_IL_Micropolitan_Statistical_Area" TargetMode="External"/><Relationship Id="rId1378" Type="http://schemas.openxmlformats.org/officeDocument/2006/relationships/hyperlink" Target="https://en.wikipedia.org/wiki/Brookings,_OR_Micropolitan_Statistical_Area" TargetMode="External"/><Relationship Id="rId84" Type="http://schemas.openxmlformats.org/officeDocument/2006/relationships/hyperlink" Target="https://en.wikipedia.org/wiki/Hartford-East_Hartford-Middletown,_CT_Metropolitan_Statistical_Area" TargetMode="External"/><Relationship Id="rId387" Type="http://schemas.openxmlformats.org/officeDocument/2006/relationships/hyperlink" Target="https://en.wikipedia.org/wiki/Bloomington-Pontiac,_IL_Combined_Statistical_Area" TargetMode="External"/><Relationship Id="rId510" Type="http://schemas.openxmlformats.org/officeDocument/2006/relationships/hyperlink" Target="https://en.wikipedia.org/wiki/Idaho_Falls,_ID_Metropolitan_Statistical_Area" TargetMode="External"/><Relationship Id="rId594" Type="http://schemas.openxmlformats.org/officeDocument/2006/relationships/hyperlink" Target="https://en.wikipedia.org/wiki/California-Lexington_Park,_MD_Metropolitan_Statistical_Area" TargetMode="External"/><Relationship Id="rId608" Type="http://schemas.openxmlformats.org/officeDocument/2006/relationships/hyperlink" Target="https://en.wikipedia.org/wiki/Danville,_VA_Micropolitan_Statistical_Area" TargetMode="External"/><Relationship Id="rId815" Type="http://schemas.openxmlformats.org/officeDocument/2006/relationships/hyperlink" Target="https://en.wikipedia.org/wiki/Martinsville,_VA_Micropolitan_Statistical_Area" TargetMode="External"/><Relationship Id="rId1238" Type="http://schemas.openxmlformats.org/officeDocument/2006/relationships/hyperlink" Target="https://en.wikipedia.org/wiki/Cleveland,_MS_Micropolitan_Statistical_Area" TargetMode="External"/><Relationship Id="rId247" Type="http://schemas.openxmlformats.org/officeDocument/2006/relationships/hyperlink" Target="https://en.wikipedia.org/wiki/Peoria,_IL_Metropolitan_Statistical_Area" TargetMode="External"/><Relationship Id="rId899" Type="http://schemas.openxmlformats.org/officeDocument/2006/relationships/hyperlink" Target="https://en.wikipedia.org/wiki/Greenville-Spartanburg-Anderson,_SC_Combined_Statistical_Area" TargetMode="External"/><Relationship Id="rId1000" Type="http://schemas.openxmlformats.org/officeDocument/2006/relationships/hyperlink" Target="https://en.wikipedia.org/wiki/Freeport,_IL_Micropolitan_Statistical_Area" TargetMode="External"/><Relationship Id="rId1084" Type="http://schemas.openxmlformats.org/officeDocument/2006/relationships/hyperlink" Target="https://en.wikipedia.org/wiki/Cincinnati-Wilmington-Maysville,_OH-KY-IN_Combined_Statistical_Area" TargetMode="External"/><Relationship Id="rId1305" Type="http://schemas.openxmlformats.org/officeDocument/2006/relationships/hyperlink" Target="https://en.wikipedia.org/wiki/Breckenridge,_CO_Micropolitan_Statistical_Area" TargetMode="External"/><Relationship Id="rId107" Type="http://schemas.openxmlformats.org/officeDocument/2006/relationships/hyperlink" Target="https://en.wikipedia.org/wiki/Worcester,_MA-CT_Metropolitan_Statistical_Area" TargetMode="External"/><Relationship Id="rId454" Type="http://schemas.openxmlformats.org/officeDocument/2006/relationships/hyperlink" Target="https://en.wikipedia.org/wiki/Burlington,_NC_Metropolitan_Statistical_Area" TargetMode="External"/><Relationship Id="rId661" Type="http://schemas.openxmlformats.org/officeDocument/2006/relationships/hyperlink" Target="https://en.wikipedia.org/wiki/Greenville-Spartanburg-Anderson,_SC_Combined_Statistical_Area" TargetMode="External"/><Relationship Id="rId759" Type="http://schemas.openxmlformats.org/officeDocument/2006/relationships/hyperlink" Target="https://en.wikipedia.org/wiki/Sandusky,_OH_Micropolitan_Statistical_Area" TargetMode="External"/><Relationship Id="rId966" Type="http://schemas.openxmlformats.org/officeDocument/2006/relationships/hyperlink" Target="https://en.wikipedia.org/wiki/Clovis-Portales,_NM_Combined_Statistical_Area" TargetMode="External"/><Relationship Id="rId1291" Type="http://schemas.openxmlformats.org/officeDocument/2006/relationships/hyperlink" Target="https://en.wikipedia.org/wiki/Van_Wert,_OH_Micropolitan_Statistical_Area" TargetMode="External"/><Relationship Id="rId1389" Type="http://schemas.openxmlformats.org/officeDocument/2006/relationships/hyperlink" Target="https://en.wikipedia.org/wiki/Guymon,_OK_Micropolitan_Statistical_Area" TargetMode="External"/><Relationship Id="rId11" Type="http://schemas.openxmlformats.org/officeDocument/2006/relationships/hyperlink" Target="https://en.wikipedia.org/wiki/Philadelphia-Reading-Camden,_PA-NJ-DE-MD_Combined_Statistical_Area" TargetMode="External"/><Relationship Id="rId314" Type="http://schemas.openxmlformats.org/officeDocument/2006/relationships/hyperlink" Target="https://en.wikipedia.org/wiki/Cedar_Rapids-Iowa_City,_IA_Combined_Statistical_Area" TargetMode="External"/><Relationship Id="rId398" Type="http://schemas.openxmlformats.org/officeDocument/2006/relationships/hyperlink" Target="https://en.wikipedia.org/wiki/Blacksburg-Christiansburg,_VA_Metropolitan_Statistical_Area" TargetMode="External"/><Relationship Id="rId521" Type="http://schemas.openxmlformats.org/officeDocument/2006/relationships/hyperlink" Target="https://en.wikipedia.org/wiki/Wausau,_WI_Metropolitan_Statistical_Area" TargetMode="External"/><Relationship Id="rId619" Type="http://schemas.openxmlformats.org/officeDocument/2006/relationships/hyperlink" Target="https://en.wikipedia.org/wiki/Fond_du_Lac,_WI_Metropolitan_Statistical_Area" TargetMode="External"/><Relationship Id="rId1151" Type="http://schemas.openxmlformats.org/officeDocument/2006/relationships/hyperlink" Target="https://en.wikipedia.org/wiki/Moscow,_ID_Micropolitan_Statistical_Area" TargetMode="External"/><Relationship Id="rId1249" Type="http://schemas.openxmlformats.org/officeDocument/2006/relationships/hyperlink" Target="https://en.wikipedia.org/wiki/Asheville-Brevard,_NC_Combined_Statistical_Area" TargetMode="External"/><Relationship Id="rId95" Type="http://schemas.openxmlformats.org/officeDocument/2006/relationships/hyperlink" Target="https://en.wikipedia.org/wiki/Rochester-Batavia-Seneca_Falls,_NY_Combined_Statistical_Area" TargetMode="External"/><Relationship Id="rId160" Type="http://schemas.openxmlformats.org/officeDocument/2006/relationships/hyperlink" Target="https://en.wikipedia.org/wiki/Madison-Janesville-Beloit,_WI_Combined_Statistical_Area" TargetMode="External"/><Relationship Id="rId826" Type="http://schemas.openxmlformats.org/officeDocument/2006/relationships/hyperlink" Target="https://en.wikipedia.org/wiki/Faribault-Northfield,_MN_Micropolitan_Statistical_Area" TargetMode="External"/><Relationship Id="rId1011" Type="http://schemas.openxmlformats.org/officeDocument/2006/relationships/hyperlink" Target="https://en.wikipedia.org/wiki/Rockingham,_NC_Micropolitan_Statistical_Area" TargetMode="External"/><Relationship Id="rId1109" Type="http://schemas.openxmlformats.org/officeDocument/2006/relationships/hyperlink" Target="https://en.wikipedia.org/wiki/Sandpoint,_ID_Micropolitan_Statistical_Area" TargetMode="External"/><Relationship Id="rId258" Type="http://schemas.openxmlformats.org/officeDocument/2006/relationships/hyperlink" Target="https://en.wikipedia.org/wiki/Charleston-Huntington-Ashland,_WV-OH-KY_Combined_Statistical_Area" TargetMode="External"/><Relationship Id="rId465" Type="http://schemas.openxmlformats.org/officeDocument/2006/relationships/hyperlink" Target="https://en.wikipedia.org/wiki/Hanford-Corcoran,_CA_Metropolitan_Statistical_Area" TargetMode="External"/><Relationship Id="rId672" Type="http://schemas.openxmlformats.org/officeDocument/2006/relationships/hyperlink" Target="https://en.wikipedia.org/wiki/Parkersburg-Marietta-Vienna,_WV-OH_Combined_Statistical_Area" TargetMode="External"/><Relationship Id="rId1095" Type="http://schemas.openxmlformats.org/officeDocument/2006/relationships/hyperlink" Target="https://en.wikipedia.org/wiki/Atlanta%E2%80%93Athens-Clarke_County%E2%80%93Sandy_Springs,_GA_Combined_Statistical_Area" TargetMode="External"/><Relationship Id="rId1316" Type="http://schemas.openxmlformats.org/officeDocument/2006/relationships/hyperlink" Target="https://en.wikipedia.org/wiki/Tallahassee-Bainbridge,_FL-GA_Combined_Statistical_Area" TargetMode="External"/><Relationship Id="rId22" Type="http://schemas.openxmlformats.org/officeDocument/2006/relationships/hyperlink" Target="https://en.wikipedia.org/wiki/Riverside-San_Bernardino-Ontario,_CA_Metropolitan_Statistical_Area" TargetMode="External"/><Relationship Id="rId118" Type="http://schemas.openxmlformats.org/officeDocument/2006/relationships/hyperlink" Target="https://en.wikipedia.org/wiki/Knoxville,_TN_Metropolitan_Statistical_Area" TargetMode="External"/><Relationship Id="rId325" Type="http://schemas.openxmlformats.org/officeDocument/2006/relationships/hyperlink" Target="https://en.wikipedia.org/wiki/Seattle-Tacoma,_WA_Combined_Statistical_Area" TargetMode="External"/><Relationship Id="rId532" Type="http://schemas.openxmlformats.org/officeDocument/2006/relationships/hyperlink" Target="https://en.wikipedia.org/wiki/Farmington,_NM_Metropolitan_Statistical_Area" TargetMode="External"/><Relationship Id="rId977" Type="http://schemas.openxmlformats.org/officeDocument/2006/relationships/hyperlink" Target="https://en.wikipedia.org/wiki/Clinton,_IA_Micropolitan_Statistical_Area" TargetMode="External"/><Relationship Id="rId1162" Type="http://schemas.openxmlformats.org/officeDocument/2006/relationships/hyperlink" Target="https://en.wikipedia.org/wiki/Martin-Union_City,_TN_Combined_Statistical_Area" TargetMode="External"/><Relationship Id="rId171" Type="http://schemas.openxmlformats.org/officeDocument/2006/relationships/hyperlink" Target="https://en.wikipedia.org/wiki/Jackson-Vicksburg-Brookhaven,_MS_Combined_Statistical_Area" TargetMode="External"/><Relationship Id="rId837" Type="http://schemas.openxmlformats.org/officeDocument/2006/relationships/hyperlink" Target="https://en.wikipedia.org/wiki/Red_Bluff,_CA_Micropolitan_Statistical_Area" TargetMode="External"/><Relationship Id="rId1022" Type="http://schemas.openxmlformats.org/officeDocument/2006/relationships/hyperlink" Target="https://en.wikipedia.org/wiki/Green_Bay-Shawano,_WI_Combined_Statistical_Area" TargetMode="External"/><Relationship Id="rId269" Type="http://schemas.openxmlformats.org/officeDocument/2006/relationships/hyperlink" Target="https://en.wikipedia.org/wiki/Naples-Immokalee-Marco_Island,_FL_Metropolitan_Statistical_Area" TargetMode="External"/><Relationship Id="rId476" Type="http://schemas.openxmlformats.org/officeDocument/2006/relationships/hyperlink" Target="https://en.wikipedia.org/wiki/Grand_Junction,_CO_Metropolitan_Statistical_Area" TargetMode="External"/><Relationship Id="rId683" Type="http://schemas.openxmlformats.org/officeDocument/2006/relationships/hyperlink" Target="https://en.wikipedia.org/wiki/Ames,_IA_Metropolitan_Statistical_Area" TargetMode="External"/><Relationship Id="rId890" Type="http://schemas.openxmlformats.org/officeDocument/2006/relationships/hyperlink" Target="https://en.wikipedia.org/wiki/Fergus_Falls,_MN_Micropolitan_Statistical_Area" TargetMode="External"/><Relationship Id="rId904" Type="http://schemas.openxmlformats.org/officeDocument/2006/relationships/hyperlink" Target="https://en.wikipedia.org/wiki/Gloversville,_NY_Micropolitan_Statistical_Area" TargetMode="External"/><Relationship Id="rId1327" Type="http://schemas.openxmlformats.org/officeDocument/2006/relationships/hyperlink" Target="https://en.wikipedia.org/wiki/Mountain_Home,_ID_Micropolitan_Statistical_Area" TargetMode="External"/><Relationship Id="rId33" Type="http://schemas.openxmlformats.org/officeDocument/2006/relationships/hyperlink" Target="https://en.wikipedia.org/wiki/St._Louis,_MO-IL_Metropolitan_Statistical_Area" TargetMode="External"/><Relationship Id="rId129" Type="http://schemas.openxmlformats.org/officeDocument/2006/relationships/hyperlink" Target="https://en.wikipedia.org/wiki/McAllen-Edinburg-Mission,_TX_Metropolitan_Statistical_Area" TargetMode="External"/><Relationship Id="rId336" Type="http://schemas.openxmlformats.org/officeDocument/2006/relationships/hyperlink" Target="https://en.wikipedia.org/wiki/Appleton,_WI_Metropolitan_Statistical_Area" TargetMode="External"/><Relationship Id="rId543" Type="http://schemas.openxmlformats.org/officeDocument/2006/relationships/hyperlink" Target="https://en.wikipedia.org/wiki/Carbondale-Marion,_IL_Metropolitan_Statistical_Area" TargetMode="External"/><Relationship Id="rId988" Type="http://schemas.openxmlformats.org/officeDocument/2006/relationships/hyperlink" Target="https://en.wikipedia.org/wiki/Cadillac,_MI_Micropolitan_Statistical_Area" TargetMode="External"/><Relationship Id="rId1173" Type="http://schemas.openxmlformats.org/officeDocument/2006/relationships/hyperlink" Target="https://en.wikipedia.org/wiki/Laramie,_WY_Micropolitan_Statistical_Area" TargetMode="External"/><Relationship Id="rId1380" Type="http://schemas.openxmlformats.org/officeDocument/2006/relationships/hyperlink" Target="https://en.wikipedia.org/wiki/Brownsville-Harlingen-Raymondville,_TX_Combined_Statistical_Area" TargetMode="External"/><Relationship Id="rId182" Type="http://schemas.openxmlformats.org/officeDocument/2006/relationships/hyperlink" Target="https://en.wikipedia.org/wiki/Chattanooga-Cleveland-Dalton,_TN-GA-AL_Combined_Statistical_Area" TargetMode="External"/><Relationship Id="rId403" Type="http://schemas.openxmlformats.org/officeDocument/2006/relationships/hyperlink" Target="https://en.wikipedia.org/wiki/El_Centro,_CA_Metropolitan_Statistical_Area" TargetMode="External"/><Relationship Id="rId750" Type="http://schemas.openxmlformats.org/officeDocument/2006/relationships/hyperlink" Target="https://en.wikipedia.org/wiki/Stillwater,_OK_Micropolitan_Statistical_Area" TargetMode="External"/><Relationship Id="rId848" Type="http://schemas.openxmlformats.org/officeDocument/2006/relationships/hyperlink" Target="https://en.wikipedia.org/wiki/Rio_Grande_City,_TX_Micropolitan_Statistical_Area" TargetMode="External"/><Relationship Id="rId1033" Type="http://schemas.openxmlformats.org/officeDocument/2006/relationships/hyperlink" Target="https://en.wikipedia.org/wiki/Idaho_Falls-Rexburg-Blackfoot,_ID_Combined_Statistical_Area" TargetMode="External"/><Relationship Id="rId487" Type="http://schemas.openxmlformats.org/officeDocument/2006/relationships/hyperlink" Target="https://en.wikipedia.org/wiki/Santa_Fe,_NM_Metropolitan_Statistical_Area" TargetMode="External"/><Relationship Id="rId610" Type="http://schemas.openxmlformats.org/officeDocument/2006/relationships/hyperlink" Target="https://en.wikipedia.org/wiki/Lima-Van_Wert-Celina,_OH_Combined_Statistical_Area" TargetMode="External"/><Relationship Id="rId694" Type="http://schemas.openxmlformats.org/officeDocument/2006/relationships/hyperlink" Target="https://en.wikipedia.org/wiki/Hermiston-Pendleton,_OR_Micropolitan_Statistical_Area" TargetMode="External"/><Relationship Id="rId708" Type="http://schemas.openxmlformats.org/officeDocument/2006/relationships/hyperlink" Target="https://en.wikipedia.org/wiki/Springfield-Branson,_MO_Combined_Statistical_Area" TargetMode="External"/><Relationship Id="rId915" Type="http://schemas.openxmlformats.org/officeDocument/2006/relationships/hyperlink" Target="https://en.wikipedia.org/wiki/Kearney,_NE_Micropolitan_Statistical_Area" TargetMode="External"/><Relationship Id="rId1240" Type="http://schemas.openxmlformats.org/officeDocument/2006/relationships/hyperlink" Target="https://en.wikipedia.org/wiki/Emporia,_KS_Micropolitan_Statistical_Area" TargetMode="External"/><Relationship Id="rId1338" Type="http://schemas.openxmlformats.org/officeDocument/2006/relationships/hyperlink" Target="https://en.wikipedia.org/wiki/Rome-Summerville,_GA_Combined_Statistical_Area" TargetMode="External"/><Relationship Id="rId347" Type="http://schemas.openxmlformats.org/officeDocument/2006/relationships/hyperlink" Target="https://en.wikipedia.org/wiki/Barnstable_Town,_MA_Metropolitan_Statistical_Area" TargetMode="External"/><Relationship Id="rId999" Type="http://schemas.openxmlformats.org/officeDocument/2006/relationships/hyperlink" Target="https://en.wikipedia.org/wiki/Reno-Carson_City-Fernley,_NV_Combined_Statistical_Area" TargetMode="External"/><Relationship Id="rId1100" Type="http://schemas.openxmlformats.org/officeDocument/2006/relationships/hyperlink" Target="https://en.wikipedia.org/wiki/Mountain_Home,_AR_Micropolitan_Statistical_Area" TargetMode="External"/><Relationship Id="rId1184" Type="http://schemas.openxmlformats.org/officeDocument/2006/relationships/hyperlink" Target="https://en.wikipedia.org/wiki/Peoria-Canton,_IL_Combined_Statistical_Area" TargetMode="External"/><Relationship Id="rId1405" Type="http://schemas.openxmlformats.org/officeDocument/2006/relationships/hyperlink" Target="https://en.wikipedia.org/wiki/Los_Alamos,_NM_Micropolitan_Statistical_Area" TargetMode="External"/><Relationship Id="rId44" Type="http://schemas.openxmlformats.org/officeDocument/2006/relationships/hyperlink" Target="https://en.wikipedia.org/wiki/Portland-Vancouver-Salem,_OR-WA_Combined_Statistical_Area" TargetMode="External"/><Relationship Id="rId554" Type="http://schemas.openxmlformats.org/officeDocument/2006/relationships/hyperlink" Target="https://en.wikipedia.org/wiki/Pittsburgh-New_Castle-Weirton,_PA-OH-WV_Combined_Statistical_Area" TargetMode="External"/><Relationship Id="rId761" Type="http://schemas.openxmlformats.org/officeDocument/2006/relationships/hyperlink" Target="https://en.wikipedia.org/wiki/Helena,_MT_Micropolitan_Statistical_Area" TargetMode="External"/><Relationship Id="rId859" Type="http://schemas.openxmlformats.org/officeDocument/2006/relationships/hyperlink" Target="https://en.wikipedia.org/wiki/Kalamazoo-Battle_Creek-Portage,_MI_Combined_Statistical_Area" TargetMode="External"/><Relationship Id="rId1391" Type="http://schemas.openxmlformats.org/officeDocument/2006/relationships/hyperlink" Target="https://en.wikipedia.org/wiki/Parsons,_KS_Micropolitan_Statistical_Area" TargetMode="External"/><Relationship Id="rId193" Type="http://schemas.openxmlformats.org/officeDocument/2006/relationships/hyperlink" Target="https://en.wikipedia.org/wiki/San_Jose-San_Francisco-Oakland,_CA_Combined_Statistical_Area" TargetMode="External"/><Relationship Id="rId207" Type="http://schemas.openxmlformats.org/officeDocument/2006/relationships/hyperlink" Target="https://en.wikipedia.org/wiki/York-Hanover,_PA_Metropolitan_Statistical_Area" TargetMode="External"/><Relationship Id="rId414" Type="http://schemas.openxmlformats.org/officeDocument/2006/relationships/hyperlink" Target="https://en.wikipedia.org/wiki/New_York-Newark,_NY-NJ-CT-PA_Combined_Statistical_Area" TargetMode="External"/><Relationship Id="rId498" Type="http://schemas.openxmlformats.org/officeDocument/2006/relationships/hyperlink" Target="https://en.wikipedia.org/wiki/Johnstown,_PA_Metropolitan_Statistical_Area" TargetMode="External"/><Relationship Id="rId621" Type="http://schemas.openxmlformats.org/officeDocument/2006/relationships/hyperlink" Target="https://en.wikipedia.org/wiki/Lexington-Fayette%E2%80%93Richmond%E2%80%93Frankfort,_KY_Combined_Statistical_Area" TargetMode="External"/><Relationship Id="rId1044" Type="http://schemas.openxmlformats.org/officeDocument/2006/relationships/hyperlink" Target="https://en.wikipedia.org/wiki/Bloomsburg-Berwick-Sunbury,_PA_Combined_Statistical_Area" TargetMode="External"/><Relationship Id="rId1251" Type="http://schemas.openxmlformats.org/officeDocument/2006/relationships/hyperlink" Target="https://en.wikipedia.org/wiki/Columbus,_NE_Micropolitan_Statistical_Area" TargetMode="External"/><Relationship Id="rId1349" Type="http://schemas.openxmlformats.org/officeDocument/2006/relationships/hyperlink" Target="https://en.wikipedia.org/wiki/Salt_Lake_City-Provo-Orem,_UT_Combined_Statistical_Area" TargetMode="External"/><Relationship Id="rId260" Type="http://schemas.openxmlformats.org/officeDocument/2006/relationships/hyperlink" Target="https://en.wikipedia.org/wiki/Hickory-Lenoir,_NC_Combined_Statistical_Area" TargetMode="External"/><Relationship Id="rId719" Type="http://schemas.openxmlformats.org/officeDocument/2006/relationships/hyperlink" Target="https://en.wikipedia.org/wiki/Kokomo,_IN_Metropolitan_Statistical_Area" TargetMode="External"/><Relationship Id="rId926" Type="http://schemas.openxmlformats.org/officeDocument/2006/relationships/hyperlink" Target="https://en.wikipedia.org/wiki/McComb,_MS_Micropolitan_Statistical_Area" TargetMode="External"/><Relationship Id="rId1111" Type="http://schemas.openxmlformats.org/officeDocument/2006/relationships/hyperlink" Target="https://en.wikipedia.org/wiki/Espa%C3%B1ola,_NM_Micropolitan_Statistical_Area" TargetMode="External"/><Relationship Id="rId55" Type="http://schemas.openxmlformats.org/officeDocument/2006/relationships/hyperlink" Target="https://en.wikipedia.org/wiki/Kansas_City-Overland_Park-Kansas_City,_MO-KS_Combined_Statistical_Area" TargetMode="External"/><Relationship Id="rId120" Type="http://schemas.openxmlformats.org/officeDocument/2006/relationships/hyperlink" Target="https://en.wikipedia.org/wiki/Greenville-Anderson-Mauldin,_SC_Metropolitan_Statistical_Area" TargetMode="External"/><Relationship Id="rId358" Type="http://schemas.openxmlformats.org/officeDocument/2006/relationships/hyperlink" Target="https://en.wikipedia.org/wiki/Rochester-Austin,_MN_Combined_Statistical_Area" TargetMode="External"/><Relationship Id="rId565" Type="http://schemas.openxmlformats.org/officeDocument/2006/relationships/hyperlink" Target="https://en.wikipedia.org/wiki/Portland-Vancouver-Salem,_OR-WA_Combined_Statistical_Area" TargetMode="External"/><Relationship Id="rId772" Type="http://schemas.openxmlformats.org/officeDocument/2006/relationships/hyperlink" Target="https://en.wikipedia.org/wiki/Wausau-Stevens_Point-Wisconsin_Rapids,_WI_Combined_Statistical_Area" TargetMode="External"/><Relationship Id="rId1195" Type="http://schemas.openxmlformats.org/officeDocument/2006/relationships/hyperlink" Target="https://en.wikipedia.org/wiki/Plainview,_TX_Micropolitan_Statistical_Area" TargetMode="External"/><Relationship Id="rId1209" Type="http://schemas.openxmlformats.org/officeDocument/2006/relationships/hyperlink" Target="https://en.wikipedia.org/wiki/Knoxville-Morristown-Sevierville,_TN_Combined_Statistical_Area" TargetMode="External"/><Relationship Id="rId1416" Type="http://schemas.openxmlformats.org/officeDocument/2006/relationships/hyperlink" Target="https://en.wikipedia.org/wiki/Atchison,_KS_Micropolitan_Statistical_Area" TargetMode="External"/><Relationship Id="rId218" Type="http://schemas.openxmlformats.org/officeDocument/2006/relationships/hyperlink" Target="https://en.wikipedia.org/wiki/Huntsville,_AL_Metropolitan_Statistical_Area" TargetMode="External"/><Relationship Id="rId425" Type="http://schemas.openxmlformats.org/officeDocument/2006/relationships/hyperlink" Target="https://en.wikipedia.org/wiki/Eau_Claire,_WI_Metropolitan_Statistical_Area" TargetMode="External"/><Relationship Id="rId632" Type="http://schemas.openxmlformats.org/officeDocument/2006/relationships/hyperlink" Target="https://en.wikipedia.org/w/index.php?title=Elmira-Corning,_NY_Combined_Statistical_Area&amp;action=edit&amp;redlink=1" TargetMode="External"/><Relationship Id="rId1055" Type="http://schemas.openxmlformats.org/officeDocument/2006/relationships/hyperlink" Target="https://en.wikipedia.org/wiki/Cornelia,_GA_Micropolitan_Statistical_Area" TargetMode="External"/><Relationship Id="rId1262" Type="http://schemas.openxmlformats.org/officeDocument/2006/relationships/hyperlink" Target="https://en.wikipedia.org/wiki/Wabash,_IN_Micropolitan_Statistical_Area" TargetMode="External"/><Relationship Id="rId271" Type="http://schemas.openxmlformats.org/officeDocument/2006/relationships/hyperlink" Target="https://en.wikipedia.org/wiki/Kalamazoo-Portage,_MI_Metropolitan_Statistical_Area" TargetMode="External"/><Relationship Id="rId937" Type="http://schemas.openxmlformats.org/officeDocument/2006/relationships/hyperlink" Target="https://en.wikipedia.org/wiki/Natchez,_MS-LA_Micropolitan_Statistical_Area" TargetMode="External"/><Relationship Id="rId1122" Type="http://schemas.openxmlformats.org/officeDocument/2006/relationships/hyperlink" Target="https://en.wikipedia.org/wiki/Okeechobee,_FL_Micropolitan_Statistical_Area" TargetMode="External"/><Relationship Id="rId66" Type="http://schemas.openxmlformats.org/officeDocument/2006/relationships/hyperlink" Target="https://en.wikipedia.org/wiki/Nashville-Davidson%E2%80%93Murfreesboro,_TN_Combined_Statistical_Area" TargetMode="External"/><Relationship Id="rId131" Type="http://schemas.openxmlformats.org/officeDocument/2006/relationships/hyperlink" Target="https://en.wikipedia.org/wiki/Dayton,_OH_Metropolitan_Statistical_Area" TargetMode="External"/><Relationship Id="rId369" Type="http://schemas.openxmlformats.org/officeDocument/2006/relationships/hyperlink" Target="https://en.wikipedia.org/wiki/Johnson_City,_TN_Metropolitan_Statistical_Area" TargetMode="External"/><Relationship Id="rId576" Type="http://schemas.openxmlformats.org/officeDocument/2006/relationships/hyperlink" Target="https://en.wikipedia.org/wiki/Sheboygan,_WI_Metropolitan_Statistical_Area" TargetMode="External"/><Relationship Id="rId783" Type="http://schemas.openxmlformats.org/officeDocument/2006/relationships/hyperlink" Target="https://en.wikipedia.org/wiki/Port_Angeles,_WA_Micropolitan_Statistical_Area" TargetMode="External"/><Relationship Id="rId990" Type="http://schemas.openxmlformats.org/officeDocument/2006/relationships/hyperlink" Target="https://en.wikipedia.org/wiki/Fort_Wayne-Huntington-Auburn,_IN_Combined_Statistical_Area" TargetMode="External"/><Relationship Id="rId1427" Type="http://schemas.openxmlformats.org/officeDocument/2006/relationships/hyperlink" Target="https://en.wikipedia.org/wiki/Vernon,_TX_Micropolitan_Statistical_Area" TargetMode="External"/><Relationship Id="rId229" Type="http://schemas.openxmlformats.org/officeDocument/2006/relationships/hyperlink" Target="https://en.wikipedia.org/wiki/Brownsville-Harlingen-Raymondville,_TX_Combined_Statistical_Area" TargetMode="External"/><Relationship Id="rId436" Type="http://schemas.openxmlformats.org/officeDocument/2006/relationships/hyperlink" Target="https://en.wikipedia.org/wiki/Pueblo,_CO_Metropolitan_Statistical_Area" TargetMode="External"/><Relationship Id="rId643" Type="http://schemas.openxmlformats.org/officeDocument/2006/relationships/hyperlink" Target="https://en.wikipedia.org/wiki/Manhattan,_KS_Metropolitan_Statistical_Area" TargetMode="External"/><Relationship Id="rId1066" Type="http://schemas.openxmlformats.org/officeDocument/2006/relationships/hyperlink" Target="https://en.wikipedia.org/wiki/Indianapolis-Carmel-Muncie,_IN_Combined_Statistical_Area" TargetMode="External"/><Relationship Id="rId1273" Type="http://schemas.openxmlformats.org/officeDocument/2006/relationships/hyperlink" Target="https://en.wikipedia.org/wiki/Lewisburg,_TN_Micropolitan_Statistical_Area" TargetMode="External"/><Relationship Id="rId850" Type="http://schemas.openxmlformats.org/officeDocument/2006/relationships/hyperlink" Target="https://en.wikipedia.org/wiki/Fort_Madison-Keokuk,_IA-IL-MO_Micropolitan_Statistical_Area" TargetMode="External"/><Relationship Id="rId948" Type="http://schemas.openxmlformats.org/officeDocument/2006/relationships/hyperlink" Target="https://en.wikipedia.org/wiki/Winona,_MN_Micropolitan_Statistical_Area" TargetMode="External"/><Relationship Id="rId1133" Type="http://schemas.openxmlformats.org/officeDocument/2006/relationships/hyperlink" Target="https://en.wikipedia.org/wiki/Quincy-Hannibal,_IL-MO_Combined_Statistical_Area" TargetMode="External"/><Relationship Id="rId77" Type="http://schemas.openxmlformats.org/officeDocument/2006/relationships/hyperlink" Target="https://en.wikipedia.org/wiki/Oklahoma_City,_OK_Metropolitan_Statistical_Area" TargetMode="External"/><Relationship Id="rId282" Type="http://schemas.openxmlformats.org/officeDocument/2006/relationships/hyperlink" Target="https://en.wikipedia.org/wiki/Fort_Collins,_CO_Metropolitan_Statistical_Area" TargetMode="External"/><Relationship Id="rId503" Type="http://schemas.openxmlformats.org/officeDocument/2006/relationships/hyperlink" Target="https://en.wikipedia.org/wiki/Napa,_CA_Metropolitan_Statistical_Area" TargetMode="External"/><Relationship Id="rId587" Type="http://schemas.openxmlformats.org/officeDocument/2006/relationships/hyperlink" Target="https://en.wikipedia.org/wiki/Ogdensburg-Massena,_NY_Micropolitan_Statistical_Area" TargetMode="External"/><Relationship Id="rId710" Type="http://schemas.openxmlformats.org/officeDocument/2006/relationships/hyperlink" Target="https://en.wikipedia.org/wiki/Milwaukee-Racine-Waukesha,_WI_Combined_Statistical_Area" TargetMode="External"/><Relationship Id="rId808" Type="http://schemas.openxmlformats.org/officeDocument/2006/relationships/hyperlink" Target="https://en.wikipedia.org/wiki/Gainesville-Lake_City,_FL_Combined_Statistical_Area" TargetMode="External"/><Relationship Id="rId1340" Type="http://schemas.openxmlformats.org/officeDocument/2006/relationships/hyperlink" Target="https://en.wikipedia.org/wiki/Mexico,_MO_Micropolitan_Statistical_Area" TargetMode="External"/><Relationship Id="rId8" Type="http://schemas.openxmlformats.org/officeDocument/2006/relationships/hyperlink" Target="https://en.wikipedia.org/wiki/Dallas-Fort_Worth,_TX-OK_Combined_Statistical_Area" TargetMode="External"/><Relationship Id="rId142" Type="http://schemas.openxmlformats.org/officeDocument/2006/relationships/hyperlink" Target="https://en.wikipedia.org/wiki/San_Jose-San_Francisco-Oakland,_CA_Combined_Statistical_Area" TargetMode="External"/><Relationship Id="rId447" Type="http://schemas.openxmlformats.org/officeDocument/2006/relationships/hyperlink" Target="https://en.wikipedia.org/wiki/Niles-Benton_Harbor,_MI_Metropolitan_Statistical_Area" TargetMode="External"/><Relationship Id="rId794" Type="http://schemas.openxmlformats.org/officeDocument/2006/relationships/hyperlink" Target="https://en.wikipedia.org/wiki/Tulsa-Muskogee-Bartlesville,_OK_Combined_Statistical_Area" TargetMode="External"/><Relationship Id="rId1077" Type="http://schemas.openxmlformats.org/officeDocument/2006/relationships/hyperlink" Target="https://en.wikipedia.org/wiki/Fort_Wayne-Huntington-Auburn,_IN_Combined_Statistical_Area" TargetMode="External"/><Relationship Id="rId1200" Type="http://schemas.openxmlformats.org/officeDocument/2006/relationships/hyperlink" Target="https://en.wikipedia.org/wiki/DeRidder-Fort_Polk_South,_LA_Combined_Statistical_Area" TargetMode="External"/><Relationship Id="rId654" Type="http://schemas.openxmlformats.org/officeDocument/2006/relationships/hyperlink" Target="https://en.wikipedia.org/wiki/Victoria-Port_Lavaca,_TX_Combined_Statistical_Area" TargetMode="External"/><Relationship Id="rId861" Type="http://schemas.openxmlformats.org/officeDocument/2006/relationships/hyperlink" Target="https://en.wikipedia.org/wiki/Columbus-Marion-Zanesville,_OH_Combined_Statistical_Area" TargetMode="External"/><Relationship Id="rId959" Type="http://schemas.openxmlformats.org/officeDocument/2006/relationships/hyperlink" Target="https://en.wikipedia.org/wiki/Ozark,_AL_Micropolitan_Statistical_Area" TargetMode="External"/><Relationship Id="rId1284" Type="http://schemas.openxmlformats.org/officeDocument/2006/relationships/hyperlink" Target="https://en.wikipedia.org/wiki/McPherson,_KS_Micropolitan_Statistical_Area" TargetMode="External"/><Relationship Id="rId293" Type="http://schemas.openxmlformats.org/officeDocument/2006/relationships/hyperlink" Target="https://en.wikipedia.org/wiki/Erie,_PA_Metropolitan_Statistical_Area" TargetMode="External"/><Relationship Id="rId307" Type="http://schemas.openxmlformats.org/officeDocument/2006/relationships/hyperlink" Target="https://en.wikipedia.org/wiki/San_Jose-San_Francisco-Oakland,_CA_Combined_Statistical_Area" TargetMode="External"/><Relationship Id="rId514" Type="http://schemas.openxmlformats.org/officeDocument/2006/relationships/hyperlink" Target="https://en.wikipedia.org/wiki/Fayetteville-Lumberton-Laurinburg,_NC_Combined_Statistical_Area" TargetMode="External"/><Relationship Id="rId721" Type="http://schemas.openxmlformats.org/officeDocument/2006/relationships/hyperlink" Target="https://en.wikipedia.org/wiki/Huntsville,_TX_Micropolitan_Statistical_Area" TargetMode="External"/><Relationship Id="rId1144" Type="http://schemas.openxmlformats.org/officeDocument/2006/relationships/hyperlink" Target="https://en.wikipedia.org/wiki/Pontiac,_IL_Micropolitan_Statistical_Area" TargetMode="External"/><Relationship Id="rId1351" Type="http://schemas.openxmlformats.org/officeDocument/2006/relationships/hyperlink" Target="https://en.wikipedia.org/wiki/Deming,_NM_Micropolitan_Statistical_Area" TargetMode="External"/><Relationship Id="rId88" Type="http://schemas.openxmlformats.org/officeDocument/2006/relationships/hyperlink" Target="https://en.wikipedia.org/wiki/Birmingham-Hoover,_AL_Metropolitan_Statistical_Area" TargetMode="External"/><Relationship Id="rId153" Type="http://schemas.openxmlformats.org/officeDocument/2006/relationships/hyperlink" Target="https://en.wikipedia.org/wiki/Boise_City,_ID_Metropolitan_Statistical_Area" TargetMode="External"/><Relationship Id="rId360" Type="http://schemas.openxmlformats.org/officeDocument/2006/relationships/hyperlink" Target="https://en.wikipedia.org/wiki/Medford,_OR_Metropolitan_Statistical_Area" TargetMode="External"/><Relationship Id="rId598" Type="http://schemas.openxmlformats.org/officeDocument/2006/relationships/hyperlink" Target="https://en.wikipedia.org/wiki/Portland-Lewiston-South_Portland,_ME_Combined_Statistical_Area" TargetMode="External"/><Relationship Id="rId819" Type="http://schemas.openxmlformats.org/officeDocument/2006/relationships/hyperlink" Target="https://en.wikipedia.org/wiki/Alamogordo,_NM_Micropolitan_Statistical_Area" TargetMode="External"/><Relationship Id="rId1004" Type="http://schemas.openxmlformats.org/officeDocument/2006/relationships/hyperlink" Target="https://en.wikipedia.org/wiki/Ca%C3%B1on_City,_CO_Micropolitan_Statistical_Area" TargetMode="External"/><Relationship Id="rId1211" Type="http://schemas.openxmlformats.org/officeDocument/2006/relationships/hyperlink" Target="https://en.wikipedia.org/wiki/Dallas-Fort_Worth,_TX-OK_Combined_Statistical_Area" TargetMode="External"/><Relationship Id="rId220" Type="http://schemas.openxmlformats.org/officeDocument/2006/relationships/hyperlink" Target="https://en.wikipedia.org/wiki/Salinas,_CA_Metropolitan_Statistical_Area" TargetMode="External"/><Relationship Id="rId458" Type="http://schemas.openxmlformats.org/officeDocument/2006/relationships/hyperlink" Target="https://en.wikipedia.org/wiki/Chicago-Naperville,_IL-IN-WI_Combined_Statistical_Area" TargetMode="External"/><Relationship Id="rId665" Type="http://schemas.openxmlformats.org/officeDocument/2006/relationships/hyperlink" Target="https://en.wikipedia.org/wiki/Sunbury,_PA_Micropolitan_Statistical_Area" TargetMode="External"/><Relationship Id="rId872" Type="http://schemas.openxmlformats.org/officeDocument/2006/relationships/hyperlink" Target="https://en.wikipedia.org/wiki/Georgetown,_SC_Micropolitan_Statistical_Area" TargetMode="External"/><Relationship Id="rId1088" Type="http://schemas.openxmlformats.org/officeDocument/2006/relationships/hyperlink" Target="https://en.wikipedia.org/wiki/Greenwood,_MS_Micropolitan_Statistical_Area" TargetMode="External"/><Relationship Id="rId1295" Type="http://schemas.openxmlformats.org/officeDocument/2006/relationships/hyperlink" Target="https://en.wikipedia.org/wiki/Fort_Morgan,_CO_Micropolitan_Statistical_Area" TargetMode="External"/><Relationship Id="rId1309" Type="http://schemas.openxmlformats.org/officeDocument/2006/relationships/hyperlink" Target="https://en.wikipedia.org/wiki/Dallas-Fort_Worth,_TX-OK_Combined_Statistical_Area" TargetMode="External"/><Relationship Id="rId15" Type="http://schemas.openxmlformats.org/officeDocument/2006/relationships/hyperlink" Target="https://en.wikipedia.org/wiki/Miami-Fort_Lauderdale-Port_St._Lucie,_FL_Combined_Statistical_Area" TargetMode="External"/><Relationship Id="rId318" Type="http://schemas.openxmlformats.org/officeDocument/2006/relationships/hyperlink" Target="https://en.wikipedia.org/wiki/Amarillo,_TX_Metropolitan_Statistical_Area" TargetMode="External"/><Relationship Id="rId525" Type="http://schemas.openxmlformats.org/officeDocument/2006/relationships/hyperlink" Target="https://en.wikipedia.org/wiki/Jamestown-Dunkirk-Fredonia,_NY_Micropolitan_Statistical_Area" TargetMode="External"/><Relationship Id="rId732" Type="http://schemas.openxmlformats.org/officeDocument/2006/relationships/hyperlink" Target="https://en.wikipedia.org/wiki/Manitowoc,_WI_Micropolitan_Statistical_Area" TargetMode="External"/><Relationship Id="rId1155" Type="http://schemas.openxmlformats.org/officeDocument/2006/relationships/hyperlink" Target="https://en.wikipedia.org/wiki/Washington-Baltimore-Arlington,_DC-MD-VA-WV-PA_Combined_Statistical_Area" TargetMode="External"/><Relationship Id="rId1362" Type="http://schemas.openxmlformats.org/officeDocument/2006/relationships/hyperlink" Target="https://en.wikipedia.org/wiki/Marshall,_MO_Micropolitan_Statistical_Area" TargetMode="External"/><Relationship Id="rId99" Type="http://schemas.openxmlformats.org/officeDocument/2006/relationships/hyperlink" Target="https://en.wikipedia.org/wiki/Tucson-Nogales,_AZ_Combined_Statistical_Area" TargetMode="External"/><Relationship Id="rId164" Type="http://schemas.openxmlformats.org/officeDocument/2006/relationships/hyperlink" Target="https://en.wikipedia.org/wiki/Toledo,_OH_Metropolitan_Statistical_Area" TargetMode="External"/><Relationship Id="rId371" Type="http://schemas.openxmlformats.org/officeDocument/2006/relationships/hyperlink" Target="https://en.wikipedia.org/wiki/Yuma,_AZ_Metropolitan_Statistical_Area" TargetMode="External"/><Relationship Id="rId1015" Type="http://schemas.openxmlformats.org/officeDocument/2006/relationships/hyperlink" Target="https://en.wikipedia.org/wiki/Minneapolis-St._Paul,_MN-WI_Combined_Statistical_Area" TargetMode="External"/><Relationship Id="rId1222" Type="http://schemas.openxmlformats.org/officeDocument/2006/relationships/hyperlink" Target="https://en.wikipedia.org/wiki/Arcadia,_FL_Micropolitan_Statistical_Area" TargetMode="External"/><Relationship Id="rId469" Type="http://schemas.openxmlformats.org/officeDocument/2006/relationships/hyperlink" Target="https://en.wikipedia.org/wiki/Monroe,_MI_Metropolitan_Statistical_Area" TargetMode="External"/><Relationship Id="rId676" Type="http://schemas.openxmlformats.org/officeDocument/2006/relationships/hyperlink" Target="https://en.wikipedia.org/wiki/Cleveland-Akron-Canton,_OH_Combined_Statistical_Area" TargetMode="External"/><Relationship Id="rId883" Type="http://schemas.openxmlformats.org/officeDocument/2006/relationships/hyperlink" Target="https://en.wikipedia.org/wiki/Palestine,_TX_Micropolitan_Statistical_Area" TargetMode="External"/><Relationship Id="rId1099" Type="http://schemas.openxmlformats.org/officeDocument/2006/relationships/hyperlink" Target="https://en.wikipedia.org/wiki/Tifton,_GA_Micropolitan_Statistical_Area" TargetMode="External"/><Relationship Id="rId26" Type="http://schemas.openxmlformats.org/officeDocument/2006/relationships/hyperlink" Target="https://en.wikipedia.org/wiki/Detroit-Warren-Ann_Arbor,_MI_Combined_Statistical_Area" TargetMode="External"/><Relationship Id="rId231" Type="http://schemas.openxmlformats.org/officeDocument/2006/relationships/hyperlink" Target="https://en.wikipedia.org/wiki/Mobile-Daphne-Fairhope,_AL_Combined_Statistical_Area" TargetMode="External"/><Relationship Id="rId329" Type="http://schemas.openxmlformats.org/officeDocument/2006/relationships/hyperlink" Target="https://en.wikipedia.org/wiki/Sioux_Falls,_SD_Metropolitan_Statistical_Area" TargetMode="External"/><Relationship Id="rId536" Type="http://schemas.openxmlformats.org/officeDocument/2006/relationships/hyperlink" Target="https://en.wikipedia.org/wiki/Harrisonburg-Staunton-Waynesboro,_VA_Combined_Statistical_Area" TargetMode="External"/><Relationship Id="rId1166" Type="http://schemas.openxmlformats.org/officeDocument/2006/relationships/hyperlink" Target="https://en.wikipedia.org/wiki/Columbia-Orangeburg-Newberry,_SC_Combined_Statistical_Area" TargetMode="External"/><Relationship Id="rId1373" Type="http://schemas.openxmlformats.org/officeDocument/2006/relationships/hyperlink" Target="https://en.wikipedia.org/wiki/Sterling,_CO_Micropolitan_Statistical_Area" TargetMode="External"/><Relationship Id="rId175" Type="http://schemas.openxmlformats.org/officeDocument/2006/relationships/hyperlink" Target="https://en.wikipedia.org/wiki/Youngstown-Warren,_OH-PA_Combined_Statistical_Area" TargetMode="External"/><Relationship Id="rId743" Type="http://schemas.openxmlformats.org/officeDocument/2006/relationships/hyperlink" Target="https://en.wikipedia.org/wiki/Athens,_TX_Micropolitan_Statistical_Area" TargetMode="External"/><Relationship Id="rId950" Type="http://schemas.openxmlformats.org/officeDocument/2006/relationships/hyperlink" Target="https://en.wikipedia.org/wiki/Jacksonville-St._Marys-Palatka,_FL-GA_Combined_Statistical_Area" TargetMode="External"/><Relationship Id="rId1026" Type="http://schemas.openxmlformats.org/officeDocument/2006/relationships/hyperlink" Target="https://en.wikipedia.org/wiki/Lima-Van_Wert-Celina,_OH_Combined_Statistical_Area" TargetMode="External"/><Relationship Id="rId382" Type="http://schemas.openxmlformats.org/officeDocument/2006/relationships/hyperlink" Target="https://en.wikipedia.org/wiki/Mobile-Daphne-Fairhope,_AL_Combined_Statistical_Area" TargetMode="External"/><Relationship Id="rId603" Type="http://schemas.openxmlformats.org/officeDocument/2006/relationships/hyperlink" Target="https://en.wikipedia.org/wiki/Saginaw-Midland-Bay_City,_MI_Combined_Statistical_Area" TargetMode="External"/><Relationship Id="rId687" Type="http://schemas.openxmlformats.org/officeDocument/2006/relationships/hyperlink" Target="https://en.wikipedia.org/wiki/Pittsburgh-New_Castle-Weirton,_PA-OH-WV_Combined_Statistical_Area" TargetMode="External"/><Relationship Id="rId810" Type="http://schemas.openxmlformats.org/officeDocument/2006/relationships/hyperlink" Target="https://en.wikipedia.org/wiki/Morehead_City,_NC_Micropolitan_Statistical_Area" TargetMode="External"/><Relationship Id="rId908" Type="http://schemas.openxmlformats.org/officeDocument/2006/relationships/hyperlink" Target="https://en.wikipedia.org/wiki/Jasper,_IN_Micropolitan_Statistical_Area" TargetMode="External"/><Relationship Id="rId1233" Type="http://schemas.openxmlformats.org/officeDocument/2006/relationships/hyperlink" Target="https://en.wikipedia.org/wiki/Fort_Wayne-Huntington-Auburn,_IN_Combined_Statistical_Area" TargetMode="External"/><Relationship Id="rId242" Type="http://schemas.openxmlformats.org/officeDocument/2006/relationships/hyperlink" Target="https://en.wikipedia.org/wiki/Myrtle_Beach-Conway,_SC-NC_Combined_Statistical_Area" TargetMode="External"/><Relationship Id="rId894" Type="http://schemas.openxmlformats.org/officeDocument/2006/relationships/hyperlink" Target="https://en.wikipedia.org/wiki/Tiffin,_OH_Micropolitan_Statistical_Area" TargetMode="External"/><Relationship Id="rId1177" Type="http://schemas.openxmlformats.org/officeDocument/2006/relationships/hyperlink" Target="https://en.wikipedia.org/wiki/Huntington,_IN_Micropolitan_Statistical_Area" TargetMode="External"/><Relationship Id="rId1300" Type="http://schemas.openxmlformats.org/officeDocument/2006/relationships/hyperlink" Target="https://en.wikipedia.org/wiki/Crescent_City,_CA_Micropolitan_Statistical_Area" TargetMode="External"/><Relationship Id="rId37" Type="http://schemas.openxmlformats.org/officeDocument/2006/relationships/hyperlink" Target="https://en.wikipedia.org/wiki/Denver-Aurora-Lakewood,_CO_Metropolitan_Statistical_Area" TargetMode="External"/><Relationship Id="rId102" Type="http://schemas.openxmlformats.org/officeDocument/2006/relationships/hyperlink" Target="https://en.wikipedia.org/wiki/Tulsa-Muskogee-Bartlesville,_OK_Combined_Statistical_Area" TargetMode="External"/><Relationship Id="rId547" Type="http://schemas.openxmlformats.org/officeDocument/2006/relationships/hyperlink" Target="https://en.wikipedia.org/wiki/Jonesboro,_AR_Metropolitan_Statistical_Area" TargetMode="External"/><Relationship Id="rId754" Type="http://schemas.openxmlformats.org/officeDocument/2006/relationships/hyperlink" Target="https://en.wikipedia.org/wiki/Quincy,_IL-MO_Micropolitan_Statistical_Area" TargetMode="External"/><Relationship Id="rId961" Type="http://schemas.openxmlformats.org/officeDocument/2006/relationships/hyperlink" Target="https://en.wikipedia.org/wiki/Rexburg,_ID_Micropolitan_Statistical_Area" TargetMode="External"/><Relationship Id="rId1384" Type="http://schemas.openxmlformats.org/officeDocument/2006/relationships/hyperlink" Target="https://en.wikipedia.org/wiki/Beatrice,_NE_Micropolitan_Statistical_Area" TargetMode="External"/><Relationship Id="rId90" Type="http://schemas.openxmlformats.org/officeDocument/2006/relationships/hyperlink" Target="https://en.wikipedia.org/wiki/Buffalo-Cheektowaga-Niagara_Falls,_NY_Metropolitan_Statistical_Area" TargetMode="External"/><Relationship Id="rId186" Type="http://schemas.openxmlformats.org/officeDocument/2006/relationships/hyperlink" Target="https://en.wikipedia.org/wiki/Durham-Chapel_Hill,_NC_Metropolitan_Statistical_Area" TargetMode="External"/><Relationship Id="rId393" Type="http://schemas.openxmlformats.org/officeDocument/2006/relationships/hyperlink" Target="https://en.wikipedia.org/wiki/Gainesville,_GA_Metropolitan_Statistical_Area" TargetMode="External"/><Relationship Id="rId407" Type="http://schemas.openxmlformats.org/officeDocument/2006/relationships/hyperlink" Target="https://en.wikipedia.org/wiki/Greenville-Washington,_NC_Combined_Statistical_Area" TargetMode="External"/><Relationship Id="rId614" Type="http://schemas.openxmlformats.org/officeDocument/2006/relationships/hyperlink" Target="https://en.wikipedia.org/wiki/Ithaca,_NY_Metropolitan_Statistical_Area" TargetMode="External"/><Relationship Id="rId821" Type="http://schemas.openxmlformats.org/officeDocument/2006/relationships/hyperlink" Target="https://en.wikipedia.org/wiki/Farmington,_MO_Micropolitan_Statistical_Area" TargetMode="External"/><Relationship Id="rId1037" Type="http://schemas.openxmlformats.org/officeDocument/2006/relationships/hyperlink" Target="https://en.wikipedia.org/wiki/Henderson,_NC_Micropolitan_Statistical_Area" TargetMode="External"/><Relationship Id="rId1244" Type="http://schemas.openxmlformats.org/officeDocument/2006/relationships/hyperlink" Target="https://en.wikipedia.org/wiki/Troy,_AL_Micropolitan_Statistical_Area" TargetMode="External"/><Relationship Id="rId253" Type="http://schemas.openxmlformats.org/officeDocument/2006/relationships/hyperlink" Target="https://en.wikipedia.org/wiki/Fayetteville,_NC_Metropolitan_Statistical_Area" TargetMode="External"/><Relationship Id="rId460" Type="http://schemas.openxmlformats.org/officeDocument/2006/relationships/hyperlink" Target="https://en.wikipedia.org/wiki/Fresno-Madera,_CA_Combined_Statistical_Area" TargetMode="External"/><Relationship Id="rId698" Type="http://schemas.openxmlformats.org/officeDocument/2006/relationships/hyperlink" Target="https://en.wikipedia.org/wiki/Ukiah,_CA_Micropolitan_Statistical_Area" TargetMode="External"/><Relationship Id="rId919" Type="http://schemas.openxmlformats.org/officeDocument/2006/relationships/hyperlink" Target="https://en.wikipedia.org/wiki/Lafayette-Opelousas-Morgan_City,_LA_Combined_Statistical_Area" TargetMode="External"/><Relationship Id="rId1090" Type="http://schemas.openxmlformats.org/officeDocument/2006/relationships/hyperlink" Target="https://en.wikipedia.org/wiki/Port_Clinton,_OH_Micropolitan_Statistical_Area" TargetMode="External"/><Relationship Id="rId1104" Type="http://schemas.openxmlformats.org/officeDocument/2006/relationships/hyperlink" Target="https://en.wikipedia.org/wiki/Marshalltown,_IA_Micropolitan_Statistical_Area" TargetMode="External"/><Relationship Id="rId1311" Type="http://schemas.openxmlformats.org/officeDocument/2006/relationships/hyperlink" Target="https://en.wikipedia.org/wiki/Bastrop,_LA_Micropolitan_Statistical_Area" TargetMode="External"/><Relationship Id="rId48" Type="http://schemas.openxmlformats.org/officeDocument/2006/relationships/hyperlink" Target="https://en.wikipedia.org/wiki/Sacramento%E2%80%93Roseville%E2%80%93Arden-Arcade,_CA_Metropolitan_Statistical_Area" TargetMode="External"/><Relationship Id="rId113" Type="http://schemas.openxmlformats.org/officeDocument/2006/relationships/hyperlink" Target="https://en.wikipedia.org/wiki/Albany-Schenectady-Troy,_NY_Metropolitan_Statistical_Area" TargetMode="External"/><Relationship Id="rId320" Type="http://schemas.openxmlformats.org/officeDocument/2006/relationships/hyperlink" Target="https://en.wikipedia.org/wiki/Waco,_TX_Metropolitan_Statistical_Area" TargetMode="External"/><Relationship Id="rId558" Type="http://schemas.openxmlformats.org/officeDocument/2006/relationships/hyperlink" Target="https://en.wikipedia.org/wiki/Dallas-Fort_Worth,_TX-OK_Combined_Statistical_Area" TargetMode="External"/><Relationship Id="rId765" Type="http://schemas.openxmlformats.org/officeDocument/2006/relationships/hyperlink" Target="https://en.wikipedia.org/wiki/Seattle-Tacoma,_WA_Combined_Statistical_Area" TargetMode="External"/><Relationship Id="rId972" Type="http://schemas.openxmlformats.org/officeDocument/2006/relationships/hyperlink" Target="https://en.wikipedia.org/wiki/Ithaca-Cortland,_NY_Combined_Statistical_Area" TargetMode="External"/><Relationship Id="rId1188" Type="http://schemas.openxmlformats.org/officeDocument/2006/relationships/hyperlink" Target="https://en.wikipedia.org/wiki/Houston-The_Woodlands,_TX_Combined_Statistical_Area" TargetMode="External"/><Relationship Id="rId1395" Type="http://schemas.openxmlformats.org/officeDocument/2006/relationships/hyperlink" Target="https://en.wikipedia.org/wiki/Helena-West_Helena,_AR_Micropolitan_Statistical_Area" TargetMode="External"/><Relationship Id="rId1409" Type="http://schemas.openxmlformats.org/officeDocument/2006/relationships/hyperlink" Target="https://en.wikipedia.org/wiki/Maysville,_KY_Micropolitan_Statistical_Area" TargetMode="External"/><Relationship Id="rId197" Type="http://schemas.openxmlformats.org/officeDocument/2006/relationships/hyperlink" Target="https://en.wikipedia.org/wiki/Lafayette,_LA_Metropolitan_Statistical_Area" TargetMode="External"/><Relationship Id="rId418" Type="http://schemas.openxmlformats.org/officeDocument/2006/relationships/hyperlink" Target="https://en.wikipedia.org/wiki/Columbia,_MO_Metropolitan_Statistical_Area" TargetMode="External"/><Relationship Id="rId625" Type="http://schemas.openxmlformats.org/officeDocument/2006/relationships/hyperlink" Target="https://en.wikipedia.org/wiki/Harrisburg-York-Lebanon,_PA_Combined_Statistical_Area" TargetMode="External"/><Relationship Id="rId832" Type="http://schemas.openxmlformats.org/officeDocument/2006/relationships/hyperlink" Target="https://en.wikipedia.org/wiki/Virginia_Beach-Norfolk,_VA-NC_Combined_Statistical_Area" TargetMode="External"/><Relationship Id="rId1048" Type="http://schemas.openxmlformats.org/officeDocument/2006/relationships/hyperlink" Target="https://en.wikipedia.org/wiki/Thomasville,_GA_Micropolitan_Statistical_Area" TargetMode="External"/><Relationship Id="rId1255" Type="http://schemas.openxmlformats.org/officeDocument/2006/relationships/hyperlink" Target="https://en.wikipedia.org/wiki/Madison,_IN_Micropolitan_Statistical_Area" TargetMode="External"/><Relationship Id="rId264" Type="http://schemas.openxmlformats.org/officeDocument/2006/relationships/hyperlink" Target="https://en.wikipedia.org/wiki/Ann_Arbor,_MI_Metropolitan_Statistical_Area" TargetMode="External"/><Relationship Id="rId471" Type="http://schemas.openxmlformats.org/officeDocument/2006/relationships/hyperlink" Target="https://en.wikipedia.org/wiki/Wichita_Falls,_TX_Metropolitan_Statistical_Area" TargetMode="External"/><Relationship Id="rId1115" Type="http://schemas.openxmlformats.org/officeDocument/2006/relationships/hyperlink" Target="https://en.wikipedia.org/wiki/Columbus-Marion-Zanesville,_OH_Combined_Statistical_Area" TargetMode="External"/><Relationship Id="rId1322" Type="http://schemas.openxmlformats.org/officeDocument/2006/relationships/hyperlink" Target="https://en.wikipedia.org/wiki/Williston,_ND_Micropolitan_Statistical_Area" TargetMode="External"/><Relationship Id="rId59" Type="http://schemas.openxmlformats.org/officeDocument/2006/relationships/hyperlink" Target="https://en.wikipedia.org/wiki/Columbus-Marion-Zanesville,_OH_Combined_Statistical_Area" TargetMode="External"/><Relationship Id="rId124" Type="http://schemas.openxmlformats.org/officeDocument/2006/relationships/hyperlink" Target="https://en.wikipedia.org/wiki/El_Paso,_TX_Metropolitan_Statistical_Area" TargetMode="External"/><Relationship Id="rId569" Type="http://schemas.openxmlformats.org/officeDocument/2006/relationships/hyperlink" Target="https://en.wikipedia.org/wiki/Chattanooga-Cleveland-Dalton,_TN-GA-AL_Combined_Statistical_Area" TargetMode="External"/><Relationship Id="rId776" Type="http://schemas.openxmlformats.org/officeDocument/2006/relationships/hyperlink" Target="https://en.wikipedia.org/wiki/Greensboro%E2%80%93Winston-Salem%E2%80%93High_Point,_NC_Combined_Statistical_Area" TargetMode="External"/><Relationship Id="rId983" Type="http://schemas.openxmlformats.org/officeDocument/2006/relationships/hyperlink" Target="https://en.wikipedia.org/wiki/Tulsa-Muskogee-Bartlesville,_OK_Combined_Statistical_Area" TargetMode="External"/><Relationship Id="rId1199" Type="http://schemas.openxmlformats.org/officeDocument/2006/relationships/hyperlink" Target="https://en.wikipedia.org/wiki/DeRidder,_LA_Micropolitan_Statistical_Area" TargetMode="External"/><Relationship Id="rId331" Type="http://schemas.openxmlformats.org/officeDocument/2006/relationships/hyperlink" Target="https://en.wikipedia.org/wiki/College_Station-Bryan,_TX_Metropolitan_Statistical_Area" TargetMode="External"/><Relationship Id="rId429" Type="http://schemas.openxmlformats.org/officeDocument/2006/relationships/hyperlink" Target="https://en.wikipedia.org/wiki/North_Port-Sarasota,_FL_Combined_Statistical_Area" TargetMode="External"/><Relationship Id="rId636" Type="http://schemas.openxmlformats.org/officeDocument/2006/relationships/hyperlink" Target="https://en.wikipedia.org/wiki/Paducah,_KY-IL_Micropolitan_Statistical_Area" TargetMode="External"/><Relationship Id="rId1059" Type="http://schemas.openxmlformats.org/officeDocument/2006/relationships/hyperlink" Target="https://en.wikipedia.org/wiki/Grand_Rapids-Wyoming-Muskegon,_MI_Combined_Statistical_Area" TargetMode="External"/><Relationship Id="rId1266" Type="http://schemas.openxmlformats.org/officeDocument/2006/relationships/hyperlink" Target="https://en.wikipedia.org/wiki/Miami,_OK_Micropolitan_Statistical_Area" TargetMode="External"/><Relationship Id="rId843" Type="http://schemas.openxmlformats.org/officeDocument/2006/relationships/hyperlink" Target="https://en.wikipedia.org/wiki/Coos_Bay,_OR_Micropolitan_Statistical_Area" TargetMode="External"/><Relationship Id="rId1126" Type="http://schemas.openxmlformats.org/officeDocument/2006/relationships/hyperlink" Target="https://en.wikipedia.org/wiki/Rochester-Austin,_MN_Combined_Statistical_Area" TargetMode="External"/><Relationship Id="rId275" Type="http://schemas.openxmlformats.org/officeDocument/2006/relationships/hyperlink" Target="https://en.wikipedia.org/wiki/Spartanburg,_SC_Metropolitan_Statistical_Area" TargetMode="External"/><Relationship Id="rId482" Type="http://schemas.openxmlformats.org/officeDocument/2006/relationships/hyperlink" Target="https://en.wikipedia.org/wiki/Florence-Muscle_Shoals,_AL_Metropolitan_Statistical_Area" TargetMode="External"/><Relationship Id="rId703" Type="http://schemas.openxmlformats.org/officeDocument/2006/relationships/hyperlink" Target="https://en.wikipedia.org/wiki/Bloomsburg-Berwick,_PA_Metropolitan_Statistical_Area" TargetMode="External"/><Relationship Id="rId910" Type="http://schemas.openxmlformats.org/officeDocument/2006/relationships/hyperlink" Target="https://en.wikipedia.org/wiki/Carlsbad-Artesia,_NM_Micropolitan_Statistical_Area" TargetMode="External"/><Relationship Id="rId1333" Type="http://schemas.openxmlformats.org/officeDocument/2006/relationships/hyperlink" Target="https://en.wikipedia.org/wiki/Ottawa,_KS_Micropolitan_Statistical_Area" TargetMode="External"/><Relationship Id="rId135" Type="http://schemas.openxmlformats.org/officeDocument/2006/relationships/hyperlink" Target="https://en.wikipedia.org/wiki/Greensboro-High_Point,_NC_Metropolitan_Statistical_Area" TargetMode="External"/><Relationship Id="rId342" Type="http://schemas.openxmlformats.org/officeDocument/2006/relationships/hyperlink" Target="https://en.wikipedia.org/wiki/Claremont-Lebanon,_NH-VT_Micropolitan_Statistical_Area" TargetMode="External"/><Relationship Id="rId787" Type="http://schemas.openxmlformats.org/officeDocument/2006/relationships/hyperlink" Target="https://en.wikipedia.org/wiki/Frankfort,_KY_Micropolitan_Statistical_Area" TargetMode="External"/><Relationship Id="rId994" Type="http://schemas.openxmlformats.org/officeDocument/2006/relationships/hyperlink" Target="https://en.wikipedia.org/wiki/Nogales,_AZ_Micropolitan_Statistical_Area" TargetMode="External"/><Relationship Id="rId1400" Type="http://schemas.openxmlformats.org/officeDocument/2006/relationships/hyperlink" Target="https://en.wikipedia.org/wiki/Portales,_NM_Micropolitan_Statistical_Area" TargetMode="External"/><Relationship Id="rId202" Type="http://schemas.openxmlformats.org/officeDocument/2006/relationships/hyperlink" Target="https://en.wikipedia.org/wiki/Visalia-Porterville,_CA_Metropolitan_Statistical_Area" TargetMode="External"/><Relationship Id="rId647" Type="http://schemas.openxmlformats.org/officeDocument/2006/relationships/hyperlink" Target="https://en.wikipedia.org/wiki/Pine_Bluff,_AR_Metropolitan_Statistical_Area" TargetMode="External"/><Relationship Id="rId854" Type="http://schemas.openxmlformats.org/officeDocument/2006/relationships/hyperlink" Target="https://en.wikipedia.org/wiki/Enid,_OK_Micropolitan_Statistical_Area" TargetMode="External"/><Relationship Id="rId1277" Type="http://schemas.openxmlformats.org/officeDocument/2006/relationships/hyperlink" Target="https://en.wikipedia.org/wiki/Jesup,_GA_Micropolitan_Statistical_Area" TargetMode="External"/><Relationship Id="rId286" Type="http://schemas.openxmlformats.org/officeDocument/2006/relationships/hyperlink" Target="https://en.wikipedia.org/wiki/Kingsport-Bristol-Bristol,_TN-VA_Metropolitan_Statistical_Area" TargetMode="External"/><Relationship Id="rId493" Type="http://schemas.openxmlformats.org/officeDocument/2006/relationships/hyperlink" Target="https://en.wikipedia.org/wiki/Midland,_Texas_metropolitan_area" TargetMode="External"/><Relationship Id="rId507" Type="http://schemas.openxmlformats.org/officeDocument/2006/relationships/hyperlink" Target="https://en.wikipedia.org/wiki/Rapid_City-Spearfish,_SD_Combined_Statistical_Area" TargetMode="External"/><Relationship Id="rId714" Type="http://schemas.openxmlformats.org/officeDocument/2006/relationships/hyperlink" Target="https://en.wikipedia.org/wiki/Opelousas,_LA_Micropolitan_Statistical_Area" TargetMode="External"/><Relationship Id="rId921" Type="http://schemas.openxmlformats.org/officeDocument/2006/relationships/hyperlink" Target="https://en.wikipedia.org/wiki/Boise_City-Mountain_Home-Ontario,_ID-OR_Combined_Statistical_Area" TargetMode="External"/><Relationship Id="rId1137" Type="http://schemas.openxmlformats.org/officeDocument/2006/relationships/hyperlink" Target="https://en.wikipedia.org/wiki/Centralia,_IL_Micropolitan_Statistical_Area" TargetMode="External"/><Relationship Id="rId1344" Type="http://schemas.openxmlformats.org/officeDocument/2006/relationships/hyperlink" Target="https://en.wikipedia.org/wiki/New_Ulm,_MN_Micropolitan_Statistical_Area" TargetMode="External"/><Relationship Id="rId50" Type="http://schemas.openxmlformats.org/officeDocument/2006/relationships/hyperlink" Target="https://en.wikipedia.org/wiki/Cincinnati,_OH-KY-IN_Metropolitan_Statistical_Area" TargetMode="External"/><Relationship Id="rId146" Type="http://schemas.openxmlformats.org/officeDocument/2006/relationships/hyperlink" Target="https://en.wikipedia.org/wiki/Colorado_Springs,_CO_Metropolitan_Statistical_Area" TargetMode="External"/><Relationship Id="rId353" Type="http://schemas.openxmlformats.org/officeDocument/2006/relationships/hyperlink" Target="https://en.wikipedia.org/wiki/Burlington-South_Burlington,_VT_Metropolitan_Statistical_Area" TargetMode="External"/><Relationship Id="rId560" Type="http://schemas.openxmlformats.org/officeDocument/2006/relationships/hyperlink" Target="https://en.wikipedia.org/wiki/Watertown-Fort_Drum,_NY_Metropolitan_Statistical_Area" TargetMode="External"/><Relationship Id="rId798" Type="http://schemas.openxmlformats.org/officeDocument/2006/relationships/hyperlink" Target="https://en.wikipedia.org/wiki/North_Wilkesboro,_NC_Micropolitan_Statistical_Area" TargetMode="External"/><Relationship Id="rId1190" Type="http://schemas.openxmlformats.org/officeDocument/2006/relationships/hyperlink" Target="https://en.wikipedia.org/wiki/Peru,_IN_Micropolitan_Statistical_Area" TargetMode="External"/><Relationship Id="rId1204" Type="http://schemas.openxmlformats.org/officeDocument/2006/relationships/hyperlink" Target="https://en.wikipedia.org/wiki/Laurinburg,_NC_Micropolitan_Statistical_Area" TargetMode="External"/><Relationship Id="rId1411" Type="http://schemas.openxmlformats.org/officeDocument/2006/relationships/hyperlink" Target="https://en.wikipedia.org/wiki/Snyder,_TX_Micropolitan_Statistical_Area" TargetMode="External"/><Relationship Id="rId213" Type="http://schemas.openxmlformats.org/officeDocument/2006/relationships/hyperlink" Target="https://en.wikipedia.org/wiki/Port_St._Lucie,_FL_Metropolitan_Statistical_Area" TargetMode="External"/><Relationship Id="rId420" Type="http://schemas.openxmlformats.org/officeDocument/2006/relationships/hyperlink" Target="https://en.wikipedia.org/wiki/Yuba_City,_CA_Metropolitan_Statistical_Area" TargetMode="External"/><Relationship Id="rId658" Type="http://schemas.openxmlformats.org/officeDocument/2006/relationships/hyperlink" Target="https://en.wikipedia.org/wiki/Rome-Summerville,_GA_Combined_Statistical_Area" TargetMode="External"/><Relationship Id="rId865" Type="http://schemas.openxmlformats.org/officeDocument/2006/relationships/hyperlink" Target="https://en.wikipedia.org/wiki/Jefferson,_GA_Micropolitan_Statistical_Area" TargetMode="External"/><Relationship Id="rId1050" Type="http://schemas.openxmlformats.org/officeDocument/2006/relationships/hyperlink" Target="https://en.wikipedia.org/wiki/Louisville/Jefferson_County%E2%80%93Elizabethtown%E2%80%93Bardstown,_KY-IN_Combined_Statistical_Area" TargetMode="External"/><Relationship Id="rId1288" Type="http://schemas.openxmlformats.org/officeDocument/2006/relationships/hyperlink" Target="https://en.wikipedia.org/wiki/Albuquerque-Santa_Fe-Las_Vegas,_NM_Combined_Statistical_Area" TargetMode="External"/><Relationship Id="rId297" Type="http://schemas.openxmlformats.org/officeDocument/2006/relationships/hyperlink" Target="https://en.wikipedia.org/wiki/Atlantic_City-Hammonton,_NJ_Metropolitan_Statistical_Area" TargetMode="External"/><Relationship Id="rId518" Type="http://schemas.openxmlformats.org/officeDocument/2006/relationships/hyperlink" Target="https://en.wikipedia.org/wiki/Battle_Creek,_MI_Metropolitan_Statistical_Area" TargetMode="External"/><Relationship Id="rId725" Type="http://schemas.openxmlformats.org/officeDocument/2006/relationships/hyperlink" Target="https://en.wikipedia.org/wiki/Great_Falls,_MT_Metropolitan_Statistical_Area" TargetMode="External"/><Relationship Id="rId932" Type="http://schemas.openxmlformats.org/officeDocument/2006/relationships/hyperlink" Target="https://en.wikipedia.org/wiki/Rockford-Freeport-Rochelle,_IL_Combined_Statistical_Area" TargetMode="External"/><Relationship Id="rId1148" Type="http://schemas.openxmlformats.org/officeDocument/2006/relationships/hyperlink" Target="https://en.wikipedia.org/wiki/Dyersburg,_TN_Micropolitan_Statistical_Area" TargetMode="External"/><Relationship Id="rId1355" Type="http://schemas.openxmlformats.org/officeDocument/2006/relationships/hyperlink" Target="https://en.wikipedia.org/wiki/Rapid_City-Spearfish,_SD_Combined_Statistical_Area" TargetMode="External"/><Relationship Id="rId157" Type="http://schemas.openxmlformats.org/officeDocument/2006/relationships/hyperlink" Target="https://en.wikipedia.org/wiki/Springfield,_MA_Metropolitan_Statistical_Area" TargetMode="External"/><Relationship Id="rId364" Type="http://schemas.openxmlformats.org/officeDocument/2006/relationships/hyperlink" Target="https://en.wikipedia.org/wiki/Florence,_SC_Metropolitan_Statistical_Area" TargetMode="External"/><Relationship Id="rId1008" Type="http://schemas.openxmlformats.org/officeDocument/2006/relationships/hyperlink" Target="https://en.wikipedia.org/wiki/Madisonville,_KY_Micropolitan_Statistical_Area" TargetMode="External"/><Relationship Id="rId1215" Type="http://schemas.openxmlformats.org/officeDocument/2006/relationships/hyperlink" Target="https://en.wikipedia.org/wiki/Dixon,_IL_Micropolitan_Statistical_Area" TargetMode="External"/><Relationship Id="rId1422" Type="http://schemas.openxmlformats.org/officeDocument/2006/relationships/hyperlink" Target="https://en.wikipedia.org/wiki/Vermillion,_SD_Micropolitan_Statistical_Area" TargetMode="External"/><Relationship Id="rId61" Type="http://schemas.openxmlformats.org/officeDocument/2006/relationships/hyperlink" Target="https://en.wikipedia.org/wiki/Indianapolis-Carmel-Muncie,_IN_Combined_Statistical_Area" TargetMode="External"/><Relationship Id="rId571" Type="http://schemas.openxmlformats.org/officeDocument/2006/relationships/hyperlink" Target="https://en.wikipedia.org/wiki/Indianapolis-Carmel-Muncie,_IN_Combined_Statistical_Area" TargetMode="External"/><Relationship Id="rId669" Type="http://schemas.openxmlformats.org/officeDocument/2006/relationships/hyperlink" Target="https://en.wikipedia.org/wiki/Birmingham-Hoover-Talladega,_AL_Combined_Statistical_Area" TargetMode="External"/><Relationship Id="rId876" Type="http://schemas.openxmlformats.org/officeDocument/2006/relationships/hyperlink" Target="https://en.wikipedia.org/wiki/Sanford,_NC_Micropolitan_Statistical_Area" TargetMode="External"/><Relationship Id="rId1299" Type="http://schemas.openxmlformats.org/officeDocument/2006/relationships/hyperlink" Target="https://en.wikipedia.org/wiki/Wausau-Stevens_Point-Wisconsin_Rapids,_WI_Combined_Statistical_Area" TargetMode="External"/><Relationship Id="rId19" Type="http://schemas.openxmlformats.org/officeDocument/2006/relationships/hyperlink" Target="https://en.wikipedia.org/wiki/Boston-Worcester-Providence,_MA-RI-NH-CT_Combined_Statistical_Area" TargetMode="External"/><Relationship Id="rId224" Type="http://schemas.openxmlformats.org/officeDocument/2006/relationships/hyperlink" Target="https://en.wikipedia.org/wiki/San_Jose-San_Francisco-Oakland,_CA_Combined_Statistical_Area" TargetMode="External"/><Relationship Id="rId431" Type="http://schemas.openxmlformats.org/officeDocument/2006/relationships/hyperlink" Target="https://en.wikipedia.org/wiki/Bloomington-Bedford,_IN_Combined_Statistical_Area" TargetMode="External"/><Relationship Id="rId529" Type="http://schemas.openxmlformats.org/officeDocument/2006/relationships/hyperlink" Target="https://en.wikipedia.org/wiki/Washington-Baltimore-Arlington,_DC-MD-VA-WV-PA_Combined_Statistical_Area" TargetMode="External"/><Relationship Id="rId736" Type="http://schemas.openxmlformats.org/officeDocument/2006/relationships/hyperlink" Target="https://en.wikipedia.org/wiki/Syracuse-Auburn,_NY_Combined_Statistical_Area" TargetMode="External"/><Relationship Id="rId1061" Type="http://schemas.openxmlformats.org/officeDocument/2006/relationships/hyperlink" Target="https://en.wikipedia.org/wiki/Douglas,_GA_Micropolitan_Statistical_Area" TargetMode="External"/><Relationship Id="rId1159" Type="http://schemas.openxmlformats.org/officeDocument/2006/relationships/hyperlink" Target="https://en.wikipedia.org/wiki/Salt_Lake_City-Provo-Orem,_UT_Combined_Statistical_Area" TargetMode="External"/><Relationship Id="rId1366" Type="http://schemas.openxmlformats.org/officeDocument/2006/relationships/hyperlink" Target="https://en.wikipedia.org/wiki/Elk_City,_OK_Micropolitan_Statistical_Area" TargetMode="External"/><Relationship Id="rId168" Type="http://schemas.openxmlformats.org/officeDocument/2006/relationships/hyperlink" Target="https://en.wikipedia.org/wiki/Des_Moines-West_Des_Moines,_IA_Metropolitan_Statistical_Area" TargetMode="External"/><Relationship Id="rId943" Type="http://schemas.openxmlformats.org/officeDocument/2006/relationships/hyperlink" Target="https://en.wikipedia.org/wiki/Edwards-Glenwood_Springs,_CO_Combined_Statistical_Area" TargetMode="External"/><Relationship Id="rId1019" Type="http://schemas.openxmlformats.org/officeDocument/2006/relationships/hyperlink" Target="https://en.wikipedia.org/wiki/Bedford,_IN_Micropolitan_Statistical_Area" TargetMode="External"/><Relationship Id="rId72" Type="http://schemas.openxmlformats.org/officeDocument/2006/relationships/hyperlink" Target="https://en.wikipedia.org/wiki/Milwaukee-Racine-Waukesha,_WI_Combined_Statistical_Area" TargetMode="External"/><Relationship Id="rId375" Type="http://schemas.openxmlformats.org/officeDocument/2006/relationships/hyperlink" Target="https://en.wikipedia.org/wiki/Saginaw-Midland-Bay_City,_MI_Combined_Statistical_Area" TargetMode="External"/><Relationship Id="rId582" Type="http://schemas.openxmlformats.org/officeDocument/2006/relationships/hyperlink" Target="https://en.wikipedia.org/wiki/Kankakee,_IL_Metropolitan_Statistical_Area" TargetMode="External"/><Relationship Id="rId803" Type="http://schemas.openxmlformats.org/officeDocument/2006/relationships/hyperlink" Target="https://en.wikipedia.org/wiki/Atlanta%E2%80%93Athens-Clarke_County%E2%80%93Sandy_Springs,_GA_Combined_Statistical_Area" TargetMode="External"/><Relationship Id="rId1226" Type="http://schemas.openxmlformats.org/officeDocument/2006/relationships/hyperlink" Target="https://en.wikipedia.org/wiki/Vernal,_UT_Micropolitan_Statistical_Area" TargetMode="External"/><Relationship Id="rId3" Type="http://schemas.openxmlformats.org/officeDocument/2006/relationships/hyperlink" Target="https://en.wikipedia.org/wiki/Los_Angeles-Long_Beach-Anaheim,_CA_Metropolitan_Statistical_Area" TargetMode="External"/><Relationship Id="rId235" Type="http://schemas.openxmlformats.org/officeDocument/2006/relationships/hyperlink" Target="https://en.wikipedia.org/wiki/Canton-Massillon,_OH_Metropolitan_Statistical_Area" TargetMode="External"/><Relationship Id="rId442" Type="http://schemas.openxmlformats.org/officeDocument/2006/relationships/hyperlink" Target="https://en.wikipedia.org/wiki/Iowa_City,_IA_Metropolitan_Statistical_Area" TargetMode="External"/><Relationship Id="rId887" Type="http://schemas.openxmlformats.org/officeDocument/2006/relationships/hyperlink" Target="https://en.wikipedia.org/wiki/Dixon-Sterling,_IL_Combined_Statistical_Area" TargetMode="External"/><Relationship Id="rId1072" Type="http://schemas.openxmlformats.org/officeDocument/2006/relationships/hyperlink" Target="https://en.wikipedia.org/wiki/Selma,_AL_Micropolitan_Statistical_Area" TargetMode="External"/><Relationship Id="rId302" Type="http://schemas.openxmlformats.org/officeDocument/2006/relationships/hyperlink" Target="https://en.wikipedia.org/wiki/Hartford-East_Hartford,_CT_Combined_Statistical_Area" TargetMode="External"/><Relationship Id="rId747" Type="http://schemas.openxmlformats.org/officeDocument/2006/relationships/hyperlink" Target="https://en.wikipedia.org/wiki/Little_Rock-North_Little_Rock,_AR_Combined_Statistical_Area" TargetMode="External"/><Relationship Id="rId954" Type="http://schemas.openxmlformats.org/officeDocument/2006/relationships/hyperlink" Target="https://en.wikipedia.org/wiki/Enterprise,_AL_Micropolitan_Statistical_Area" TargetMode="External"/><Relationship Id="rId1377" Type="http://schemas.openxmlformats.org/officeDocument/2006/relationships/hyperlink" Target="https://en.wikipedia.org/wiki/Dumas,_TX_Micropolitan_Statistical_Area" TargetMode="External"/><Relationship Id="rId83" Type="http://schemas.openxmlformats.org/officeDocument/2006/relationships/hyperlink" Target="https://en.wikipedia.org/wiki/New_Orleans-Metairie-Hammond,_LA-MS_Combined_Statistical_Area" TargetMode="External"/><Relationship Id="rId179" Type="http://schemas.openxmlformats.org/officeDocument/2006/relationships/hyperlink" Target="https://en.wikipedia.org/wiki/Salt_Lake_City-Provo-Orem,_UT_Combined_Statistical_Area" TargetMode="External"/><Relationship Id="rId386" Type="http://schemas.openxmlformats.org/officeDocument/2006/relationships/hyperlink" Target="https://en.wikipedia.org/wiki/Bloomington,_IL_Metropolitan_Statistical_Area" TargetMode="External"/><Relationship Id="rId593" Type="http://schemas.openxmlformats.org/officeDocument/2006/relationships/hyperlink" Target="https://en.wikipedia.org/wiki/Decatur,_IL_Metropolitan_Statistical_Area" TargetMode="External"/><Relationship Id="rId607" Type="http://schemas.openxmlformats.org/officeDocument/2006/relationships/hyperlink" Target="https://en.wikipedia.org/wiki/Youngstown-Warren,_OH-PA_Combined_Statistical_Area" TargetMode="External"/><Relationship Id="rId814" Type="http://schemas.openxmlformats.org/officeDocument/2006/relationships/hyperlink" Target="https://en.wikipedia.org/wiki/Forest_City,_NC_Micropolitan_Statistical_Area" TargetMode="External"/><Relationship Id="rId1237" Type="http://schemas.openxmlformats.org/officeDocument/2006/relationships/hyperlink" Target="https://en.wikipedia.org/wiki/Columbus-Auburn-Opelika,_GA-AL_Combined_Statistical_Area" TargetMode="External"/><Relationship Id="rId246" Type="http://schemas.openxmlformats.org/officeDocument/2006/relationships/hyperlink" Target="https://en.wikipedia.org/wiki/Salisbury,_MD-DE_Metropolitan_Statistical_Area" TargetMode="External"/><Relationship Id="rId453" Type="http://schemas.openxmlformats.org/officeDocument/2006/relationships/hyperlink" Target="https://en.wikipedia.org/wiki/Huntsville-Decatur-Albertville,_AL_Combined_Statistical_Area" TargetMode="External"/><Relationship Id="rId660" Type="http://schemas.openxmlformats.org/officeDocument/2006/relationships/hyperlink" Target="https://en.wikipedia.org/wiki/Greenwood,_SC_Micropolitan_Statistical_Area" TargetMode="External"/><Relationship Id="rId898" Type="http://schemas.openxmlformats.org/officeDocument/2006/relationships/hyperlink" Target="https://en.wikipedia.org/wiki/Gaffney,_SC_Micropolitan_Statistical_Area" TargetMode="External"/><Relationship Id="rId1083" Type="http://schemas.openxmlformats.org/officeDocument/2006/relationships/hyperlink" Target="https://en.wikipedia.org/wiki/Wilmington,_OH_Micropolitan_Statistical_Area" TargetMode="External"/><Relationship Id="rId1290" Type="http://schemas.openxmlformats.org/officeDocument/2006/relationships/hyperlink" Target="https://en.wikipedia.org/wiki/Columbus-Marion-Zanesville,_OH_Combined_Statistical_Area" TargetMode="External"/><Relationship Id="rId1304" Type="http://schemas.openxmlformats.org/officeDocument/2006/relationships/hyperlink" Target="https://en.wikipedia.org/wiki/Bennettsville,_SC_Micropolitan_Statistical_Area" TargetMode="External"/><Relationship Id="rId106" Type="http://schemas.openxmlformats.org/officeDocument/2006/relationships/hyperlink" Target="https://en.wikipedia.org/wiki/New_York-Newark,_NY-NJ-CT-PA_Combined_Statistical_Area" TargetMode="External"/><Relationship Id="rId313" Type="http://schemas.openxmlformats.org/officeDocument/2006/relationships/hyperlink" Target="https://en.wikipedia.org/wiki/Cedar_Rapids,_IA_Metropolitan_Statistical_Area" TargetMode="External"/><Relationship Id="rId758" Type="http://schemas.openxmlformats.org/officeDocument/2006/relationships/hyperlink" Target="https://en.wikipedia.org/wiki/Keene,_NH_Micropolitan_Statistical_Area" TargetMode="External"/><Relationship Id="rId965" Type="http://schemas.openxmlformats.org/officeDocument/2006/relationships/hyperlink" Target="https://en.wikipedia.org/wiki/Clovis,_NM_Micropolitan_Statistical_Area" TargetMode="External"/><Relationship Id="rId1150" Type="http://schemas.openxmlformats.org/officeDocument/2006/relationships/hyperlink" Target="https://en.wikipedia.org/wiki/Indianapolis-Carmel-Muncie,_IN_Combined_Statistical_Area" TargetMode="External"/><Relationship Id="rId1388" Type="http://schemas.openxmlformats.org/officeDocument/2006/relationships/hyperlink" Target="https://en.wikipedia.org/wiki/Victoria-Port_Lavaca,_TX_Combined_Statistical_Area" TargetMode="External"/><Relationship Id="rId10" Type="http://schemas.openxmlformats.org/officeDocument/2006/relationships/hyperlink" Target="https://en.wikipedia.org/wiki/Philadelphia-Camden-Wilmington,_PA-NJ-DE-MD_Metropolitan_Statistical_Area" TargetMode="External"/><Relationship Id="rId94" Type="http://schemas.openxmlformats.org/officeDocument/2006/relationships/hyperlink" Target="https://en.wikipedia.org/wiki/Rochester,_NY_Metropolitan_Statistical_Area" TargetMode="External"/><Relationship Id="rId397" Type="http://schemas.openxmlformats.org/officeDocument/2006/relationships/hyperlink" Target="https://en.wikipedia.org/wiki/New_York-Newark,_NY-NJ-CT-PA_Combined_Statistical_Area" TargetMode="External"/><Relationship Id="rId520" Type="http://schemas.openxmlformats.org/officeDocument/2006/relationships/hyperlink" Target="https://en.wikipedia.org/wiki/Eureka-Arcata-Fortuna,_CA_Micropolitan_Statistical_Area" TargetMode="External"/><Relationship Id="rId618" Type="http://schemas.openxmlformats.org/officeDocument/2006/relationships/hyperlink" Target="https://en.wikipedia.org/wiki/Cumberland,_MD-WV_Metropolitan_Statistical_Area" TargetMode="External"/><Relationship Id="rId825" Type="http://schemas.openxmlformats.org/officeDocument/2006/relationships/hyperlink" Target="https://en.wikipedia.org/wiki/Marinette,_WI-MI_Micropolitan_Statistical_Area" TargetMode="External"/><Relationship Id="rId1248" Type="http://schemas.openxmlformats.org/officeDocument/2006/relationships/hyperlink" Target="https://en.wikipedia.org/wiki/Brevard,_NC_Micropolitan_Statistical_Area" TargetMode="External"/><Relationship Id="rId257" Type="http://schemas.openxmlformats.org/officeDocument/2006/relationships/hyperlink" Target="https://en.wikipedia.org/wiki/Huntington-Ashland,_WV-KY-OH_Metropolitan_Statistical_Area" TargetMode="External"/><Relationship Id="rId464" Type="http://schemas.openxmlformats.org/officeDocument/2006/relationships/hyperlink" Target="https://en.wikipedia.org/wiki/Midland,_Texas_metropolitan_area" TargetMode="External"/><Relationship Id="rId1010" Type="http://schemas.openxmlformats.org/officeDocument/2006/relationships/hyperlink" Target="https://en.wikipedia.org/wiki/New_Orleans-Metairie-Hammond,_LA-MS_Combined_Statistical_Area" TargetMode="External"/><Relationship Id="rId1094" Type="http://schemas.openxmlformats.org/officeDocument/2006/relationships/hyperlink" Target="https://en.wikipedia.org/wiki/Cedartown,_GA_Micropolitan_Statistical_Area" TargetMode="External"/><Relationship Id="rId1108" Type="http://schemas.openxmlformats.org/officeDocument/2006/relationships/hyperlink" Target="https://en.wikipedia.org/wiki/Springfield-Jacksonville-Lincoln,_IL_Combined_Statistical_Area" TargetMode="External"/><Relationship Id="rId1315" Type="http://schemas.openxmlformats.org/officeDocument/2006/relationships/hyperlink" Target="https://en.wikipedia.org/wiki/Bainbridge,_GA_Micropolitan_Statistical_Area" TargetMode="External"/><Relationship Id="rId117" Type="http://schemas.openxmlformats.org/officeDocument/2006/relationships/hyperlink" Target="https://en.wikipedia.org/wiki/Bakersfield,_CA_Metropolitan_Statistical_Area" TargetMode="External"/><Relationship Id="rId671" Type="http://schemas.openxmlformats.org/officeDocument/2006/relationships/hyperlink" Target="https://en.wikipedia.org/wiki/Parkersburg-Vienna,_WV_Metropolitan_Statistical_Area" TargetMode="External"/><Relationship Id="rId769" Type="http://schemas.openxmlformats.org/officeDocument/2006/relationships/hyperlink" Target="https://en.wikipedia.org/wiki/Seneca,_SC_Micropolitan_Statistical_Area" TargetMode="External"/><Relationship Id="rId976" Type="http://schemas.openxmlformats.org/officeDocument/2006/relationships/hyperlink" Target="https://en.wikipedia.org/wiki/Dayton-Springfield-Sidney,_OH_Combined_Statistical_Area" TargetMode="External"/><Relationship Id="rId1399" Type="http://schemas.openxmlformats.org/officeDocument/2006/relationships/hyperlink" Target="https://en.wikipedia.org/wiki/Woodward,_OK_Micropolitan_Statistical_Area" TargetMode="External"/><Relationship Id="rId324" Type="http://schemas.openxmlformats.org/officeDocument/2006/relationships/hyperlink" Target="https://en.wikipedia.org/wiki/Bremerton-Silverdale,_WA_Metropolitan_Statistical_Area" TargetMode="External"/><Relationship Id="rId531" Type="http://schemas.openxmlformats.org/officeDocument/2006/relationships/hyperlink" Target="https://en.wikipedia.org/wiki/Pittsfield,_MA_Metropolitan_Statistical_Area" TargetMode="External"/><Relationship Id="rId629" Type="http://schemas.openxmlformats.org/officeDocument/2006/relationships/hyperlink" Target="https://en.wikipedia.org/wiki/Tullahoma-Manchester,_TN_Micropolitan_Statistical_Area" TargetMode="External"/><Relationship Id="rId1161" Type="http://schemas.openxmlformats.org/officeDocument/2006/relationships/hyperlink" Target="https://en.wikipedia.org/wiki/Union_City,_TN_Micropolitan_Statistical_Area" TargetMode="External"/><Relationship Id="rId1259" Type="http://schemas.openxmlformats.org/officeDocument/2006/relationships/hyperlink" Target="https://en.wikipedia.org/wiki/Beeville,_TX_Micropolitan_Statistical_Area" TargetMode="External"/><Relationship Id="rId836" Type="http://schemas.openxmlformats.org/officeDocument/2006/relationships/hyperlink" Target="https://en.wikipedia.org/wiki/Somerset,_KY_Micropolitan_Statistical_Area" TargetMode="External"/><Relationship Id="rId1021" Type="http://schemas.openxmlformats.org/officeDocument/2006/relationships/hyperlink" Target="https://en.wikipedia.org/wiki/Shawano,_WI_Micropolitan_Statistical_Area" TargetMode="External"/><Relationship Id="rId1119" Type="http://schemas.openxmlformats.org/officeDocument/2006/relationships/hyperlink" Target="https://en.wikipedia.org/wiki/Dayton-Springfield-Sidney,_OH_Combined_Statistical_Area" TargetMode="External"/><Relationship Id="rId903" Type="http://schemas.openxmlformats.org/officeDocument/2006/relationships/hyperlink" Target="https://en.wikipedia.org/wiki/New_Orleans-Metairie-Hammond,_LA-MS_Combined_Statistical_Area" TargetMode="External"/><Relationship Id="rId1326" Type="http://schemas.openxmlformats.org/officeDocument/2006/relationships/hyperlink" Target="https://en.wikipedia.org/wiki/Altus,_OK_Micropolitan_Statistical_Area" TargetMode="External"/><Relationship Id="rId32" Type="http://schemas.openxmlformats.org/officeDocument/2006/relationships/hyperlink" Target="https://en.wikipedia.org/wiki/Tampa-St._Petersburg-Clearwater,_FL_Metropolitan_Statistical_Area" TargetMode="External"/><Relationship Id="rId181" Type="http://schemas.openxmlformats.org/officeDocument/2006/relationships/hyperlink" Target="https://en.wikipedia.org/wiki/Chattanooga,_TN-GA_Metropolitan_Statistical_Area" TargetMode="External"/><Relationship Id="rId279" Type="http://schemas.openxmlformats.org/officeDocument/2006/relationships/hyperlink" Target="https://en.wikipedia.org/wiki/Green_Bay-Shawano,_WI_Combined_Statistical_Area" TargetMode="External"/><Relationship Id="rId486" Type="http://schemas.openxmlformats.org/officeDocument/2006/relationships/hyperlink" Target="https://en.wikipedia.org/wiki/Wheeling,_WV-OH_Metropolitan_Statistical_Area" TargetMode="External"/><Relationship Id="rId693" Type="http://schemas.openxmlformats.org/officeDocument/2006/relationships/hyperlink" Target="https://en.wikipedia.org/wiki/Pittsburgh-New_Castle-Weirton,_PA-OH-WV_Combined_Statistical_Area" TargetMode="External"/><Relationship Id="rId139" Type="http://schemas.openxmlformats.org/officeDocument/2006/relationships/hyperlink" Target="https://en.wikipedia.org/wiki/Little_Rock-North_Little_Rock-Conway,_AR_Metropolitan_Statistical_Area" TargetMode="External"/><Relationship Id="rId346" Type="http://schemas.openxmlformats.org/officeDocument/2006/relationships/hyperlink" Target="https://en.wikipedia.org/wiki/Fargo-Wahpeton,_ND-MN_Combined_Statistical_Area" TargetMode="External"/><Relationship Id="rId553" Type="http://schemas.openxmlformats.org/officeDocument/2006/relationships/hyperlink" Target="https://en.wikipedia.org/wiki/Weirton-Steubenville,_WV-OH_Metropolitan_Statistical_Area" TargetMode="External"/><Relationship Id="rId760" Type="http://schemas.openxmlformats.org/officeDocument/2006/relationships/hyperlink" Target="https://en.wikipedia.org/wiki/Cleveland-Akron-Canton,_OH_Combined_Statistical_Area" TargetMode="External"/><Relationship Id="rId998" Type="http://schemas.openxmlformats.org/officeDocument/2006/relationships/hyperlink" Target="https://en.wikipedia.org/wiki/Gardnerville_Ranchos,_NV_Micropolitan_Statistical_Area" TargetMode="External"/><Relationship Id="rId1183" Type="http://schemas.openxmlformats.org/officeDocument/2006/relationships/hyperlink" Target="https://en.wikipedia.org/wiki/Canton,_IL_Micropolitan_Statistical_Area" TargetMode="External"/><Relationship Id="rId1390" Type="http://schemas.openxmlformats.org/officeDocument/2006/relationships/hyperlink" Target="https://en.wikipedia.org/wiki/Worthington,_MN_Micropolitan_Statistical_Area" TargetMode="External"/><Relationship Id="rId206" Type="http://schemas.openxmlformats.org/officeDocument/2006/relationships/hyperlink" Target="https://en.wikipedia.org/wiki/Springfield-Branson,_MO_Combined_Statistical_Area" TargetMode="External"/><Relationship Id="rId413" Type="http://schemas.openxmlformats.org/officeDocument/2006/relationships/hyperlink" Target="https://en.wikipedia.org/wiki/East_Stroudsburg,_PA_Metropolitan_Statistical_Area" TargetMode="External"/><Relationship Id="rId858" Type="http://schemas.openxmlformats.org/officeDocument/2006/relationships/hyperlink" Target="https://en.wikipedia.org/wiki/Sturgis,_MI_Micropolitan_Statistical_Area" TargetMode="External"/><Relationship Id="rId1043" Type="http://schemas.openxmlformats.org/officeDocument/2006/relationships/hyperlink" Target="https://en.wikipedia.org/wiki/Lewisburg,_PA_Micropolitan_Statistical_Area" TargetMode="External"/><Relationship Id="rId620" Type="http://schemas.openxmlformats.org/officeDocument/2006/relationships/hyperlink" Target="https://en.wikipedia.org/wiki/Richmond-Berea,_KY_Micropolitan_Statistical_Area" TargetMode="External"/><Relationship Id="rId718" Type="http://schemas.openxmlformats.org/officeDocument/2006/relationships/hyperlink" Target="https://en.wikipedia.org/wiki/Medford-Grants_Pass,_OR_Combined_Statistical_Area" TargetMode="External"/><Relationship Id="rId925" Type="http://schemas.openxmlformats.org/officeDocument/2006/relationships/hyperlink" Target="https://en.wikipedia.org/wiki/Danville,_KY_Micropolitan_Statistical_Area" TargetMode="External"/><Relationship Id="rId1250" Type="http://schemas.openxmlformats.org/officeDocument/2006/relationships/hyperlink" Target="https://en.wikipedia.org/wiki/Taos,_NM_Micropolitan_Statistical_Area" TargetMode="External"/><Relationship Id="rId1348" Type="http://schemas.openxmlformats.org/officeDocument/2006/relationships/hyperlink" Target="https://en.wikipedia.org/wiki/Heber,_UT_Micropolitan_Statistical_Area" TargetMode="External"/><Relationship Id="rId1110" Type="http://schemas.openxmlformats.org/officeDocument/2006/relationships/hyperlink" Target="https://en.wikipedia.org/wiki/Cullowhee,_NC_Micropolitan_Statistical_Area" TargetMode="External"/><Relationship Id="rId1208" Type="http://schemas.openxmlformats.org/officeDocument/2006/relationships/hyperlink" Target="https://en.wikipedia.org/wiki/Newport,_TN_Micropolitan_Statistical_Area" TargetMode="External"/><Relationship Id="rId1415" Type="http://schemas.openxmlformats.org/officeDocument/2006/relationships/hyperlink" Target="https://en.wikipedia.org/wiki/Fairfield,_IA_Micropolitan_Statistical_Area" TargetMode="External"/><Relationship Id="rId54" Type="http://schemas.openxmlformats.org/officeDocument/2006/relationships/hyperlink" Target="https://en.wikipedia.org/wiki/Kansas_City,_MO-KS_Metropolitan_Statistical_Area" TargetMode="External"/><Relationship Id="rId270" Type="http://schemas.openxmlformats.org/officeDocument/2006/relationships/hyperlink" Target="https://en.wikipedia.org/wiki/Cape_Coral-Fort_Myers-Naples,_FL_Combined_Statistical_Area" TargetMode="External"/><Relationship Id="rId130" Type="http://schemas.openxmlformats.org/officeDocument/2006/relationships/hyperlink" Target="https://en.wikipedia.org/wiki/McAllen-Edinburg,_TX_Combined_Statistical_Area" TargetMode="External"/><Relationship Id="rId368" Type="http://schemas.openxmlformats.org/officeDocument/2006/relationships/hyperlink" Target="https://en.wikipedia.org/wiki/Lake_Charles,_LA_Metropolitan_Statistical_Area" TargetMode="External"/><Relationship Id="rId575" Type="http://schemas.openxmlformats.org/officeDocument/2006/relationships/hyperlink" Target="https://en.wikipedia.org/wiki/Owensboro,_KY_Metropolitan_Statistical_Area" TargetMode="External"/><Relationship Id="rId782" Type="http://schemas.openxmlformats.org/officeDocument/2006/relationships/hyperlink" Target="https://en.wikipedia.org/wiki/Savannah-Hinesville-Statesboro,_GA_Combined_Statistical_Area" TargetMode="External"/><Relationship Id="rId228" Type="http://schemas.openxmlformats.org/officeDocument/2006/relationships/hyperlink" Target="https://en.wikipedia.org/wiki/Brownsville-Harlingen,_TX_Metropolitan_Statistical_Area" TargetMode="External"/><Relationship Id="rId435" Type="http://schemas.openxmlformats.org/officeDocument/2006/relationships/hyperlink" Target="https://en.wikipedia.org/wiki/Bowling_Green-Glasgow,_KY_Combined_Statistical_Area" TargetMode="External"/><Relationship Id="rId642" Type="http://schemas.openxmlformats.org/officeDocument/2006/relationships/hyperlink" Target="https://en.wikipedia.org/wiki/Mankato-New_Ulm-North_Mankato,_MN_Combined_Statistical_Area" TargetMode="External"/><Relationship Id="rId1065" Type="http://schemas.openxmlformats.org/officeDocument/2006/relationships/hyperlink" Target="https://en.wikipedia.org/wiki/Seymour,_IN_Micropolitan_Statistical_Area" TargetMode="External"/><Relationship Id="rId1272" Type="http://schemas.openxmlformats.org/officeDocument/2006/relationships/hyperlink" Target="https://en.wikipedia.org/wiki/Albert_Lea,_MN_Micropolitan_Statistical_Area" TargetMode="External"/><Relationship Id="rId502" Type="http://schemas.openxmlformats.org/officeDocument/2006/relationships/hyperlink" Target="https://en.wikipedia.org/wiki/Homosassa_Springs,_FL_Metropolitan_Statistical_Area" TargetMode="External"/><Relationship Id="rId947" Type="http://schemas.openxmlformats.org/officeDocument/2006/relationships/hyperlink" Target="https://en.wikipedia.org/wiki/Tulsa-Muskogee-Bartlesville,_OK_Combined_Statistical_Area" TargetMode="External"/><Relationship Id="rId1132" Type="http://schemas.openxmlformats.org/officeDocument/2006/relationships/hyperlink" Target="https://en.wikipedia.org/wiki/Hannibal,_MO_Micropolitan_Statistical_Area" TargetMode="External"/><Relationship Id="rId76" Type="http://schemas.openxmlformats.org/officeDocument/2006/relationships/hyperlink" Target="https://en.wikipedia.org/wiki/Memphis-Forrest_City,_TN-MS-AR_Combined_Statistical_Area" TargetMode="External"/><Relationship Id="rId807" Type="http://schemas.openxmlformats.org/officeDocument/2006/relationships/hyperlink" Target="https://en.wikipedia.org/wiki/Lake_City,_FL_Micropolitan_Statistical_Area" TargetMode="External"/><Relationship Id="rId292" Type="http://schemas.openxmlformats.org/officeDocument/2006/relationships/hyperlink" Target="https://en.wikipedia.org/wiki/Lubbock-Levelland,_TX_Combined_Statistical_Area" TargetMode="External"/><Relationship Id="rId597" Type="http://schemas.openxmlformats.org/officeDocument/2006/relationships/hyperlink" Target="https://en.wikipedia.org/wiki/Lewiston-Auburn,_ME_Metropolitan_Statistical_Area" TargetMode="External"/><Relationship Id="rId152" Type="http://schemas.openxmlformats.org/officeDocument/2006/relationships/hyperlink" Target="https://en.wikipedia.org/wiki/Cape_Coral-Fort_Myers-Naples,_FL_Combined_Statistical_Area" TargetMode="External"/><Relationship Id="rId457" Type="http://schemas.openxmlformats.org/officeDocument/2006/relationships/hyperlink" Target="https://en.wikipedia.org/wiki/Ottawa,_IL_Micropolitan_Statistical_Area" TargetMode="External"/><Relationship Id="rId1087" Type="http://schemas.openxmlformats.org/officeDocument/2006/relationships/hyperlink" Target="https://en.wikipedia.org/wiki/Ellensburg,_WA_Micropolitan_Statistical_Area" TargetMode="External"/><Relationship Id="rId1294" Type="http://schemas.openxmlformats.org/officeDocument/2006/relationships/hyperlink" Target="https://en.wikipedia.org/wiki/Weatherford,_OK_Micropolitan_Statistical_Area" TargetMode="External"/><Relationship Id="rId664" Type="http://schemas.openxmlformats.org/officeDocument/2006/relationships/hyperlink" Target="https://en.wikipedia.org/wiki/Cheyenne,_WY_Metropolitan_Statistical_Area" TargetMode="External"/><Relationship Id="rId871" Type="http://schemas.openxmlformats.org/officeDocument/2006/relationships/hyperlink" Target="https://en.wikipedia.org/wiki/Boston-Worcester-Providence,_MA-RI-NH-CT_Combined_Statistical_Area" TargetMode="External"/><Relationship Id="rId969" Type="http://schemas.openxmlformats.org/officeDocument/2006/relationships/hyperlink" Target="https://en.wikipedia.org/wiki/Greenville,_MS_Micropolitan_Statistical_Area" TargetMode="External"/><Relationship Id="rId317" Type="http://schemas.openxmlformats.org/officeDocument/2006/relationships/hyperlink" Target="https://en.wikipedia.org/wiki/Seattle-Tacoma,_WA_Combined_Statistical_Area" TargetMode="External"/><Relationship Id="rId524" Type="http://schemas.openxmlformats.org/officeDocument/2006/relationships/hyperlink" Target="https://en.wikipedia.org/wiki/Morgantown-Fairmont,_WV_Combined_Statistical_Area" TargetMode="External"/><Relationship Id="rId731" Type="http://schemas.openxmlformats.org/officeDocument/2006/relationships/hyperlink" Target="https://en.wikipedia.org/wiki/Danville,_IL_Metropolitan_Statistical_Area" TargetMode="External"/><Relationship Id="rId1154" Type="http://schemas.openxmlformats.org/officeDocument/2006/relationships/hyperlink" Target="https://en.wikipedia.org/wiki/Easton,_MD_Micropolitan_Statistical_Area" TargetMode="External"/><Relationship Id="rId1361" Type="http://schemas.openxmlformats.org/officeDocument/2006/relationships/hyperlink" Target="https://en.wikipedia.org/wiki/Maryville,_MO_Micropolitan_Statistical_Area" TargetMode="External"/><Relationship Id="rId98" Type="http://schemas.openxmlformats.org/officeDocument/2006/relationships/hyperlink" Target="https://en.wikipedia.org/wiki/Tucson,_AZ_Metropolitan_Statistical_Area" TargetMode="External"/><Relationship Id="rId829" Type="http://schemas.openxmlformats.org/officeDocument/2006/relationships/hyperlink" Target="https://en.wikipedia.org/wiki/Hutchinson,_KS_Micropolitan_Statistical_Area" TargetMode="External"/><Relationship Id="rId1014" Type="http://schemas.openxmlformats.org/officeDocument/2006/relationships/hyperlink" Target="https://en.wikipedia.org/wiki/Red_Wing,_MN_Micropolitan_Statistical_Area" TargetMode="External"/><Relationship Id="rId1221" Type="http://schemas.openxmlformats.org/officeDocument/2006/relationships/hyperlink" Target="https://en.wikipedia.org/wiki/Dodge_City,_KS_Micropolitan_Statistical_Area" TargetMode="External"/><Relationship Id="rId1319" Type="http://schemas.openxmlformats.org/officeDocument/2006/relationships/hyperlink" Target="https://en.wikipedia.org/wiki/Albuquerque-Santa_Fe-Las_Vegas,_NM_Combined_Statistical_Area" TargetMode="External"/><Relationship Id="rId25" Type="http://schemas.openxmlformats.org/officeDocument/2006/relationships/hyperlink" Target="https://en.wikipedia.org/wiki/Detroit-Warren-Dearborn,_MI_Metropolitan_Statistical_Area" TargetMode="External"/><Relationship Id="rId174" Type="http://schemas.openxmlformats.org/officeDocument/2006/relationships/hyperlink" Target="https://en.wikipedia.org/wiki/Youngstown-Warren-Boardman,_OH-PA_Metropolitan_Statistical_Area" TargetMode="External"/><Relationship Id="rId381" Type="http://schemas.openxmlformats.org/officeDocument/2006/relationships/hyperlink" Target="https://en.wikipedia.org/wiki/Daphne-Fairhope-Foley,_AL_Metropolitan_Statistical_Area" TargetMode="External"/><Relationship Id="rId241" Type="http://schemas.openxmlformats.org/officeDocument/2006/relationships/hyperlink" Target="https://en.wikipedia.org/wiki/Myrtle_Beach-Conway-North_Myrtle_Beach,_SC-NC_Metropolitan_Statistical_Area" TargetMode="External"/><Relationship Id="rId479" Type="http://schemas.openxmlformats.org/officeDocument/2006/relationships/hyperlink" Target="https://en.wikipedia.org/wiki/Auburn-Opelika,_AL_Metropolitan_Statistical_Area" TargetMode="External"/><Relationship Id="rId686" Type="http://schemas.openxmlformats.org/officeDocument/2006/relationships/hyperlink" Target="https://en.wikipedia.org/wiki/New_Castle,_PA_Micropolitan_Statistical_Area" TargetMode="External"/><Relationship Id="rId893" Type="http://schemas.openxmlformats.org/officeDocument/2006/relationships/hyperlink" Target="https://en.wikipedia.org/wiki/Morgantown-Fairmont,_WV_Combined_Statistical_Area" TargetMode="External"/><Relationship Id="rId339" Type="http://schemas.openxmlformats.org/officeDocument/2006/relationships/hyperlink" Target="https://en.wikipedia.org/wiki/Charleston-Huntington-Ashland,_WV-OH-KY_Combined_Statistical_Area" TargetMode="External"/><Relationship Id="rId546" Type="http://schemas.openxmlformats.org/officeDocument/2006/relationships/hyperlink" Target="https://en.wikipedia.org/wiki/Goldsboro,_NC_Metropolitan_Statistical_Area" TargetMode="External"/><Relationship Id="rId753" Type="http://schemas.openxmlformats.org/officeDocument/2006/relationships/hyperlink" Target="https://en.wikipedia.org/wiki/Columbus-Marion-Zanesville,_OH_Combined_Statistical_Area" TargetMode="External"/><Relationship Id="rId1176" Type="http://schemas.openxmlformats.org/officeDocument/2006/relationships/hyperlink" Target="https://en.wikipedia.org/wiki/Batesville,_AR_Micropolitan_Statistical_Area" TargetMode="External"/><Relationship Id="rId1383" Type="http://schemas.openxmlformats.org/officeDocument/2006/relationships/hyperlink" Target="https://en.wikipedia.org/wiki/Pierre,_SD_Micropolitan_Statistical_Area" TargetMode="External"/><Relationship Id="rId101" Type="http://schemas.openxmlformats.org/officeDocument/2006/relationships/hyperlink" Target="https://en.wikipedia.org/wiki/Tulsa,_OK_Metropolitan_Statistical_Area" TargetMode="External"/><Relationship Id="rId406" Type="http://schemas.openxmlformats.org/officeDocument/2006/relationships/hyperlink" Target="https://en.wikipedia.org/wiki/Greenville,_NC_Metropolitan_Statistical_Area" TargetMode="External"/><Relationship Id="rId960" Type="http://schemas.openxmlformats.org/officeDocument/2006/relationships/hyperlink" Target="https://en.wikipedia.org/wiki/Dothan-Enterprise-Ozark,_AL_Combined_Statistical_Area" TargetMode="External"/><Relationship Id="rId1036" Type="http://schemas.openxmlformats.org/officeDocument/2006/relationships/hyperlink" Target="https://en.wikipedia.org/wiki/Rock_Springs,_WY_Micropolitan_Statistical_Area" TargetMode="External"/><Relationship Id="rId1243" Type="http://schemas.openxmlformats.org/officeDocument/2006/relationships/hyperlink" Target="https://en.wikipedia.org/wiki/Hot_Springs-Malvern,_AR_Combined_Statistical_Area" TargetMode="External"/><Relationship Id="rId613" Type="http://schemas.openxmlformats.org/officeDocument/2006/relationships/hyperlink" Target="https://en.wikipedia.org/wiki/Milwaukee-Racine-Waukesha,_WI_Combined_Statistical_Area" TargetMode="External"/><Relationship Id="rId820" Type="http://schemas.openxmlformats.org/officeDocument/2006/relationships/hyperlink" Target="https://en.wikipedia.org/wiki/Nacogdoches,_TX_Micropolitan_Statistical_Area" TargetMode="External"/><Relationship Id="rId918" Type="http://schemas.openxmlformats.org/officeDocument/2006/relationships/hyperlink" Target="https://en.wikipedia.org/wiki/Morgan_City,_LA_Micropolitan_Statistical_Area" TargetMode="External"/><Relationship Id="rId1103" Type="http://schemas.openxmlformats.org/officeDocument/2006/relationships/hyperlink" Target="https://en.wikipedia.org/wiki/El_Dorado,_AR_Micropolitan_Statistical_Area" TargetMode="External"/><Relationship Id="rId1310" Type="http://schemas.openxmlformats.org/officeDocument/2006/relationships/hyperlink" Target="https://en.wikipedia.org/wiki/Watertown,_SD_Micropolitan_Statistical_Area" TargetMode="External"/><Relationship Id="rId1408" Type="http://schemas.openxmlformats.org/officeDocument/2006/relationships/hyperlink" Target="https://en.wikipedia.org/wiki/Fitzgerald,_GA_Micropolitan_Statistical_Area" TargetMode="External"/><Relationship Id="rId47" Type="http://schemas.openxmlformats.org/officeDocument/2006/relationships/hyperlink" Target="https://en.wikipedia.org/wiki/Orlando-Deltona-Daytona_Beach,_FL_Combined_Statistical_Area" TargetMode="External"/><Relationship Id="rId196" Type="http://schemas.openxmlformats.org/officeDocument/2006/relationships/hyperlink" Target="https://en.wikipedia.org/wiki/Fayetteville-Springdale-Rogers,_AR-MO_Metropolitan_Statistical_Area" TargetMode="External"/><Relationship Id="rId263" Type="http://schemas.openxmlformats.org/officeDocument/2006/relationships/hyperlink" Target="https://en.wikipedia.org/wiki/Eugene,_OR_Metropolitan_Statistical_Area" TargetMode="External"/><Relationship Id="rId470" Type="http://schemas.openxmlformats.org/officeDocument/2006/relationships/hyperlink" Target="https://en.wikipedia.org/wiki/Detroit-Warren-Ann_Arbor,_MI_Combined_Statistical_Area" TargetMode="External"/><Relationship Id="rId123" Type="http://schemas.openxmlformats.org/officeDocument/2006/relationships/hyperlink" Target="https://en.wikipedia.org/wiki/Los_Angeles-Long_Beach,_CA_Combined_Statistical_Area" TargetMode="External"/><Relationship Id="rId330" Type="http://schemas.openxmlformats.org/officeDocument/2006/relationships/hyperlink" Target="https://en.wikipedia.org/wiki/Topeka,_KS_Metropolitan_Statistical_Area" TargetMode="External"/><Relationship Id="rId568" Type="http://schemas.openxmlformats.org/officeDocument/2006/relationships/hyperlink" Target="https://en.wikipedia.org/wiki/Cleveland,_TN_Metropolitan_Statistical_Area" TargetMode="External"/><Relationship Id="rId775" Type="http://schemas.openxmlformats.org/officeDocument/2006/relationships/hyperlink" Target="https://en.wikipedia.org/wiki/Mount_Airy,_NC_Micropolitan_Statistical_Area" TargetMode="External"/><Relationship Id="rId982" Type="http://schemas.openxmlformats.org/officeDocument/2006/relationships/hyperlink" Target="https://en.wikipedia.org/wiki/Tahlequah,_OK_Micropolitan_Statistical_Area" TargetMode="External"/><Relationship Id="rId1198" Type="http://schemas.openxmlformats.org/officeDocument/2006/relationships/hyperlink" Target="https://en.wikipedia.org/wiki/Wichita-Arkansas_City-Winfield,_KS_Combined_Statistical_Area" TargetMode="External"/><Relationship Id="rId428" Type="http://schemas.openxmlformats.org/officeDocument/2006/relationships/hyperlink" Target="https://en.wikipedia.org/wiki/Punta_Gorda,_FL_Metropolitan_Statistical_Area" TargetMode="External"/><Relationship Id="rId635" Type="http://schemas.openxmlformats.org/officeDocument/2006/relationships/hyperlink" Target="https://en.wikipedia.org/wiki/Grand_Forks,_ND-MN_Metropolitan_Statistical_Area" TargetMode="External"/><Relationship Id="rId842" Type="http://schemas.openxmlformats.org/officeDocument/2006/relationships/hyperlink" Target="https://en.wikipedia.org/wiki/Madison-Janesville-Beloit,_WI_Combined_Statistical_Area" TargetMode="External"/><Relationship Id="rId1058" Type="http://schemas.openxmlformats.org/officeDocument/2006/relationships/hyperlink" Target="https://en.wikipedia.org/wiki/Big_Rapids,_MI_Micropolitan_Statistical_Area" TargetMode="External"/><Relationship Id="rId1265" Type="http://schemas.openxmlformats.org/officeDocument/2006/relationships/hyperlink" Target="https://en.wikipedia.org/wiki/Chattanooga-Cleveland-Dalton,_TN-GA-AL_Combined_Statistical_Area" TargetMode="External"/><Relationship Id="rId702" Type="http://schemas.openxmlformats.org/officeDocument/2006/relationships/hyperlink" Target="https://en.wikipedia.org/wiki/Columbus-Marion-Zanesville,_OH_Combined_Statistical_Area" TargetMode="External"/><Relationship Id="rId1125" Type="http://schemas.openxmlformats.org/officeDocument/2006/relationships/hyperlink" Target="https://en.wikipedia.org/wiki/Austin,_MN_Micropolitan_Statistical_Area" TargetMode="External"/><Relationship Id="rId1332" Type="http://schemas.openxmlformats.org/officeDocument/2006/relationships/hyperlink" Target="https://en.wikipedia.org/wiki/Indianapolis-Carmel-Muncie,_IN_Combined_Statistical_Area" TargetMode="External"/><Relationship Id="rId69" Type="http://schemas.openxmlformats.org/officeDocument/2006/relationships/hyperlink" Target="https://en.wikipedia.org/wiki/Providence-Warwick,_RI-MA_Metropolitan_Statistical_Area" TargetMode="External"/><Relationship Id="rId285" Type="http://schemas.openxmlformats.org/officeDocument/2006/relationships/hyperlink" Target="https://en.wikipedia.org/wiki/Roanoke,_VA_Metropolitan_Statistical_Area" TargetMode="External"/><Relationship Id="rId492" Type="http://schemas.openxmlformats.org/officeDocument/2006/relationships/hyperlink" Target="https://en.wikipedia.org/wiki/Odessa,_TX_Metropolitan_Statistical_Area" TargetMode="External"/><Relationship Id="rId797" Type="http://schemas.openxmlformats.org/officeDocument/2006/relationships/hyperlink" Target="https://en.wikipedia.org/wiki/Marion,_IN_Micropolitan_Statistical_Area" TargetMode="External"/><Relationship Id="rId145" Type="http://schemas.openxmlformats.org/officeDocument/2006/relationships/hyperlink" Target="https://en.wikipedia.org/wiki/Charleston-North_Charleston,_SC_Metropolitan_Statistical_Area" TargetMode="External"/><Relationship Id="rId352" Type="http://schemas.openxmlformats.org/officeDocument/2006/relationships/hyperlink" Target="https://en.wikipedia.org/wiki/El_Paso-Las_Cruces,_TX-NM_Combined_Statistical_Area" TargetMode="External"/><Relationship Id="rId1287" Type="http://schemas.openxmlformats.org/officeDocument/2006/relationships/hyperlink" Target="https://en.wikipedia.org/wiki/Las_Vegas,_NM_Micropolitan_Statistical_Area" TargetMode="External"/><Relationship Id="rId212" Type="http://schemas.openxmlformats.org/officeDocument/2006/relationships/hyperlink" Target="https://en.wikipedia.org/wiki/Reno-Carson_City-Fernley,_NV_Combined_Statistical_Area" TargetMode="External"/><Relationship Id="rId657" Type="http://schemas.openxmlformats.org/officeDocument/2006/relationships/hyperlink" Target="https://en.wikipedia.org/wiki/Rome,_GA_Metropolitan_Statistical_Area" TargetMode="External"/><Relationship Id="rId864" Type="http://schemas.openxmlformats.org/officeDocument/2006/relationships/hyperlink" Target="https://en.wikipedia.org/wiki/Charlotte-Concord,_NC-SC_Combined_Statistical_Area" TargetMode="External"/><Relationship Id="rId517" Type="http://schemas.openxmlformats.org/officeDocument/2006/relationships/hyperlink" Target="https://en.wikipedia.org/wiki/Harrisburg-York-Lebanon,_PA_Combined_Statistical_Area" TargetMode="External"/><Relationship Id="rId724" Type="http://schemas.openxmlformats.org/officeDocument/2006/relationships/hyperlink" Target="https://en.wikipedia.org/wiki/Rocky_Mount-Wilson-Roanoke_Rapids,_NC_Combined_Statistical_Area" TargetMode="External"/><Relationship Id="rId931" Type="http://schemas.openxmlformats.org/officeDocument/2006/relationships/hyperlink" Target="https://en.wikipedia.org/wiki/Rochelle,_IL_Micropolitan_Statistical_Area" TargetMode="External"/><Relationship Id="rId1147" Type="http://schemas.openxmlformats.org/officeDocument/2006/relationships/hyperlink" Target="https://en.wikipedia.org/wiki/Berlin,_NH-VT_Micropolitan_Statistical_Area" TargetMode="External"/><Relationship Id="rId1354" Type="http://schemas.openxmlformats.org/officeDocument/2006/relationships/hyperlink" Target="https://en.wikipedia.org/wiki/Spearfish,_SD_Micropolitan_Statistical_Area" TargetMode="External"/><Relationship Id="rId60" Type="http://schemas.openxmlformats.org/officeDocument/2006/relationships/hyperlink" Target="https://en.wikipedia.org/wiki/Indianapolis-Carmel-Anderson,_IN_Metropolitan_Statistical_Area" TargetMode="External"/><Relationship Id="rId1007" Type="http://schemas.openxmlformats.org/officeDocument/2006/relationships/hyperlink" Target="https://en.wikipedia.org/wiki/Cedar_City,_UT_Micropolitan_Statistical_Area" TargetMode="External"/><Relationship Id="rId1214" Type="http://schemas.openxmlformats.org/officeDocument/2006/relationships/hyperlink" Target="https://en.wikipedia.org/wiki/Rochester-Batavia-Seneca_Falls,_NY_Combined_Statistical_Area" TargetMode="External"/><Relationship Id="rId1421" Type="http://schemas.openxmlformats.org/officeDocument/2006/relationships/hyperlink" Target="https://en.wikipedia.org/wiki/Zapata,_TX_Micropolitan_Statistical_Area" TargetMode="External"/><Relationship Id="rId18" Type="http://schemas.openxmlformats.org/officeDocument/2006/relationships/hyperlink" Target="https://en.wikipedia.org/wiki/Boston-Cambridge-Newton,_MA-NH_Metropolitan_Statistical_Area" TargetMode="External"/><Relationship Id="rId167" Type="http://schemas.openxmlformats.org/officeDocument/2006/relationships/hyperlink" Target="https://en.wikipedia.org/wiki/Orlando-Deltona-Daytona_Beach,_FL_Combined_Statistical_Area" TargetMode="External"/><Relationship Id="rId374" Type="http://schemas.openxmlformats.org/officeDocument/2006/relationships/hyperlink" Target="https://en.wikipedia.org/wiki/Saginaw,_MI_Metropolitan_Statistical_Area" TargetMode="External"/><Relationship Id="rId581" Type="http://schemas.openxmlformats.org/officeDocument/2006/relationships/hyperlink" Target="https://en.wikipedia.org/wiki/Brunswick,_GA_Metropolitan_Statistical_Area" TargetMode="External"/><Relationship Id="rId234" Type="http://schemas.openxmlformats.org/officeDocument/2006/relationships/hyperlink" Target="https://en.wikipedia.org/wiki/Beaumont-Port_Arthur,_TX_Metropolitan_Statistical_Area" TargetMode="External"/><Relationship Id="rId679" Type="http://schemas.openxmlformats.org/officeDocument/2006/relationships/hyperlink" Target="https://en.wikipedia.org/wiki/Kalispell,_MT_Micropolitan_Statistical_Area" TargetMode="External"/><Relationship Id="rId886" Type="http://schemas.openxmlformats.org/officeDocument/2006/relationships/hyperlink" Target="https://en.wikipedia.org/wiki/Sterling,_IL_Micropolitan_Statistical_Area" TargetMode="External"/><Relationship Id="rId2" Type="http://schemas.openxmlformats.org/officeDocument/2006/relationships/hyperlink" Target="https://en.wikipedia.org/wiki/New_York-Newark,_NY-NJ-CT-PA_Combined_Statistical_Area" TargetMode="External"/><Relationship Id="rId441" Type="http://schemas.openxmlformats.org/officeDocument/2006/relationships/hyperlink" Target="https://en.wikipedia.org/wiki/Kahului-Wailuku-Lahaina,_HI_Metropolitan_Statistical_Area" TargetMode="External"/><Relationship Id="rId539" Type="http://schemas.openxmlformats.org/officeDocument/2006/relationships/hyperlink" Target="https://en.wikipedia.org/wiki/New_Bern-Morehead_City,_NC_Combined_Statistical_Area" TargetMode="External"/><Relationship Id="rId746" Type="http://schemas.openxmlformats.org/officeDocument/2006/relationships/hyperlink" Target="https://en.wikipedia.org/wiki/Searcy,_AR_Micropolitan_Statistical_Area" TargetMode="External"/><Relationship Id="rId1071" Type="http://schemas.openxmlformats.org/officeDocument/2006/relationships/hyperlink" Target="https://en.wikipedia.org/wiki/Davenport-Moline,_IA-IL_Combined_Statistical_Area" TargetMode="External"/><Relationship Id="rId1169" Type="http://schemas.openxmlformats.org/officeDocument/2006/relationships/hyperlink" Target="https://en.wikipedia.org/wiki/Clewiston,_FL_Micropolitan_Statistical_Area" TargetMode="External"/><Relationship Id="rId1376" Type="http://schemas.openxmlformats.org/officeDocument/2006/relationships/hyperlink" Target="https://en.wikipedia.org/wiki/Oskaloosa,_IA_Micropolitan_Statistical_Area" TargetMode="External"/><Relationship Id="rId301" Type="http://schemas.openxmlformats.org/officeDocument/2006/relationships/hyperlink" Target="https://en.wikipedia.org/wiki/Norwich-New_London,_CT_Metropolitan_Statistical_Area" TargetMode="External"/><Relationship Id="rId953" Type="http://schemas.openxmlformats.org/officeDocument/2006/relationships/hyperlink" Target="https://en.wikipedia.org/wiki/Mason_City,_IA_Micropolitan_Statistical_Area" TargetMode="External"/><Relationship Id="rId1029" Type="http://schemas.openxmlformats.org/officeDocument/2006/relationships/hyperlink" Target="https://en.wikipedia.org/wiki/Blytheville,_AR_Micropolitan_Statistical_Area" TargetMode="External"/><Relationship Id="rId1236" Type="http://schemas.openxmlformats.org/officeDocument/2006/relationships/hyperlink" Target="https://en.wikipedia.org/wiki/Valley,_AL_Micropolitan_Statistical_Area" TargetMode="External"/><Relationship Id="rId82" Type="http://schemas.openxmlformats.org/officeDocument/2006/relationships/hyperlink" Target="https://en.wikipedia.org/wiki/New_Orleans-Metairie,_LA_Metropolitan_Statistical_Area" TargetMode="External"/><Relationship Id="rId606" Type="http://schemas.openxmlformats.org/officeDocument/2006/relationships/hyperlink" Target="https://en.wikipedia.org/wiki/Salem,_OH_Micropolitan_Statistical_Area" TargetMode="External"/><Relationship Id="rId813" Type="http://schemas.openxmlformats.org/officeDocument/2006/relationships/hyperlink" Target="https://en.wikipedia.org/wiki/Longview-Marshall,_TX_Combined_Statistical_Area" TargetMode="External"/><Relationship Id="rId1303" Type="http://schemas.openxmlformats.org/officeDocument/2006/relationships/hyperlink" Target="https://en.wikipedia.org/wiki/Indianapolis-Carmel-Muncie,_IN_Combined_Statistical_Area" TargetMode="External"/><Relationship Id="rId189" Type="http://schemas.openxmlformats.org/officeDocument/2006/relationships/hyperlink" Target="https://en.wikipedia.org/wiki/Modesto-Merced,_CA_Combined_Statistical_Area" TargetMode="External"/><Relationship Id="rId396" Type="http://schemas.openxmlformats.org/officeDocument/2006/relationships/hyperlink" Target="https://en.wikipedia.org/wiki/Kingston,_NY_Metropolitan_Statistical_Area" TargetMode="External"/><Relationship Id="rId256" Type="http://schemas.openxmlformats.org/officeDocument/2006/relationships/hyperlink" Target="https://en.wikipedia.org/wiki/New_York-Newark,_NY-NJ-CT-PA_Combined_Statistical_Area" TargetMode="External"/><Relationship Id="rId463" Type="http://schemas.openxmlformats.org/officeDocument/2006/relationships/hyperlink" Target="https://en.wikipedia.org/wiki/Midland,_Texas_metropolitan_area" TargetMode="External"/><Relationship Id="rId670" Type="http://schemas.openxmlformats.org/officeDocument/2006/relationships/hyperlink" Target="https://en.wikipedia.org/wiki/Bozeman,_MT_Micropolitan_Statistical_Area" TargetMode="External"/><Relationship Id="rId1093" Type="http://schemas.openxmlformats.org/officeDocument/2006/relationships/hyperlink" Target="https://en.wikipedia.org/wiki/Houston-The_Woodlands,_TX_Combined_Statistical_Area" TargetMode="External"/><Relationship Id="rId116" Type="http://schemas.openxmlformats.org/officeDocument/2006/relationships/hyperlink" Target="https://en.wikipedia.org/wiki/New_York-Newark,_NY-NJ-CT-PA_Combined_Statistical_Area" TargetMode="External"/><Relationship Id="rId323" Type="http://schemas.openxmlformats.org/officeDocument/2006/relationships/hyperlink" Target="https://en.wikipedia.org/wiki/Lynchburg,_VA_Metropolitan_Statistical_Area" TargetMode="External"/><Relationship Id="rId530" Type="http://schemas.openxmlformats.org/officeDocument/2006/relationships/hyperlink" Target="https://en.wikipedia.org/wiki/Jackson,_TN_Metropolitan_Statistical_Area" TargetMode="External"/><Relationship Id="rId768" Type="http://schemas.openxmlformats.org/officeDocument/2006/relationships/hyperlink" Target="https://en.wikipedia.org/wiki/Key_West,_FL_Micropolitan_Statistical_Area" TargetMode="External"/><Relationship Id="rId975" Type="http://schemas.openxmlformats.org/officeDocument/2006/relationships/hyperlink" Target="https://en.wikipedia.org/wiki/Sidney,_OH_Micropolitan_Statistical_Area" TargetMode="External"/><Relationship Id="rId1160" Type="http://schemas.openxmlformats.org/officeDocument/2006/relationships/hyperlink" Target="https://en.wikipedia.org/wiki/Ada,_OK_Micropolitan_Statistical_Area" TargetMode="External"/><Relationship Id="rId1398" Type="http://schemas.openxmlformats.org/officeDocument/2006/relationships/hyperlink" Target="https://en.wikipedia.org/wiki/Storm_Lake,_IA_Micropolitan_Statistical_Area" TargetMode="External"/><Relationship Id="rId628" Type="http://schemas.openxmlformats.org/officeDocument/2006/relationships/hyperlink" Target="https://en.wikipedia.org/wiki/Cleveland-Akron-Canton,_OH_Combined_Statistical_Area" TargetMode="External"/><Relationship Id="rId835" Type="http://schemas.openxmlformats.org/officeDocument/2006/relationships/hyperlink" Target="https://en.wikipedia.org/wiki/Grand_Rapids-Wyoming-Muskegon,_MI_Combined_Statistical_Area" TargetMode="External"/><Relationship Id="rId1258" Type="http://schemas.openxmlformats.org/officeDocument/2006/relationships/hyperlink" Target="https://en.wikipedia.org/wiki/Macomb,_IL_Micropolitan_Statistical_Area" TargetMode="External"/><Relationship Id="rId1020" Type="http://schemas.openxmlformats.org/officeDocument/2006/relationships/hyperlink" Target="https://en.wikipedia.org/wiki/Bloomington-Bedford,_IN_Combined_Statistical_Area" TargetMode="External"/><Relationship Id="rId1118" Type="http://schemas.openxmlformats.org/officeDocument/2006/relationships/hyperlink" Target="https://en.wikipedia.org/wiki/Urbana,_OH_Micropolitan_Statistical_Area" TargetMode="External"/><Relationship Id="rId1325" Type="http://schemas.openxmlformats.org/officeDocument/2006/relationships/hyperlink" Target="https://en.wikipedia.org/wiki/Lexington,_NE_Micropolitan_Statistical_Area" TargetMode="External"/><Relationship Id="rId902" Type="http://schemas.openxmlformats.org/officeDocument/2006/relationships/hyperlink" Target="https://en.wikipedia.org/wiki/Picayune,_MS_Micropolitan_Statistical_Area" TargetMode="External"/><Relationship Id="rId31" Type="http://schemas.openxmlformats.org/officeDocument/2006/relationships/hyperlink" Target="https://en.wikipedia.org/wiki/San_Diego-Carlsbad,_CA_Metropolitan_Statistical_Area" TargetMode="External"/><Relationship Id="rId180" Type="http://schemas.openxmlformats.org/officeDocument/2006/relationships/hyperlink" Target="https://en.wikipedia.org/wiki/Palm_Bay-Melbourne-Titusville,_FL_Metropolitan_Statistical_Area" TargetMode="External"/><Relationship Id="rId278" Type="http://schemas.openxmlformats.org/officeDocument/2006/relationships/hyperlink" Target="https://en.wikipedia.org/wiki/Green_Bay,_WI_Metropolitan_Statistical_Area" TargetMode="External"/><Relationship Id="rId485" Type="http://schemas.openxmlformats.org/officeDocument/2006/relationships/hyperlink" Target="https://en.wikipedia.org/wiki/Boston-Worcester-Providence,_MA-RI-NH-CT_Combined_Statistical_Area" TargetMode="External"/><Relationship Id="rId692" Type="http://schemas.openxmlformats.org/officeDocument/2006/relationships/hyperlink" Target="https://en.wikipedia.org/wiki/Indiana,_PA_Micropolitan_Statistical_Area" TargetMode="External"/><Relationship Id="rId138" Type="http://schemas.openxmlformats.org/officeDocument/2006/relationships/hyperlink" Target="https://en.wikipedia.org/wiki/North_Port-Sarasota,_FL_Combined_Statistical_Area" TargetMode="External"/><Relationship Id="rId345" Type="http://schemas.openxmlformats.org/officeDocument/2006/relationships/hyperlink" Target="https://en.wikipedia.org/wiki/Fargo,_ND-MN_Metropolitan_Statistical_Area" TargetMode="External"/><Relationship Id="rId552" Type="http://schemas.openxmlformats.org/officeDocument/2006/relationships/hyperlink" Target="https://en.wikipedia.org/wiki/Mansfield-Ashland-Bucyrus,_OH_Combined_Statistical_Area" TargetMode="External"/><Relationship Id="rId997" Type="http://schemas.openxmlformats.org/officeDocument/2006/relationships/hyperlink" Target="https://en.wikipedia.org/wiki/South_Bend-Elkhart-Mishawaka,_IN-MI_Combined_Statistical_Area" TargetMode="External"/><Relationship Id="rId1182" Type="http://schemas.openxmlformats.org/officeDocument/2006/relationships/hyperlink" Target="https://en.wikipedia.org/wiki/Big_Spring,_TX_Micropolitan_Statistical_Area" TargetMode="External"/><Relationship Id="rId205" Type="http://schemas.openxmlformats.org/officeDocument/2006/relationships/hyperlink" Target="https://en.wikipedia.org/wiki/Springfield,_MO_Metropolitan_Statistical_Area" TargetMode="External"/><Relationship Id="rId412" Type="http://schemas.openxmlformats.org/officeDocument/2006/relationships/hyperlink" Target="https://en.wikipedia.org/wiki/Sioux_City-Vermillion,_IA-SD-NE_Combined_Statistical_Area" TargetMode="External"/><Relationship Id="rId857" Type="http://schemas.openxmlformats.org/officeDocument/2006/relationships/hyperlink" Target="https://en.wikipedia.org/wiki/Seattle-Tacoma,_WA_Combined_Statistical_Area" TargetMode="External"/><Relationship Id="rId1042" Type="http://schemas.openxmlformats.org/officeDocument/2006/relationships/hyperlink" Target="https://en.wikipedia.org/wiki/Rolla,_MO_Micropolitan_Statistical_Area" TargetMode="External"/><Relationship Id="rId717" Type="http://schemas.openxmlformats.org/officeDocument/2006/relationships/hyperlink" Target="https://en.wikipedia.org/wiki/Grants_Pass,_OR_Metropolitan_Statistical_Area" TargetMode="External"/><Relationship Id="rId924" Type="http://schemas.openxmlformats.org/officeDocument/2006/relationships/hyperlink" Target="https://en.wikipedia.org/wiki/Payson,_AZ_Micropolitan_Statistical_Area" TargetMode="External"/><Relationship Id="rId1347" Type="http://schemas.openxmlformats.org/officeDocument/2006/relationships/hyperlink" Target="https://en.wikipedia.org/wiki/Columbia-Moberly-Mexico,_MO_Combined_Statistical_Area" TargetMode="External"/><Relationship Id="rId53" Type="http://schemas.openxmlformats.org/officeDocument/2006/relationships/hyperlink" Target="https://en.wikipedia.org/wiki/Cleveland-Akron-Canton,_OH_Combined_Statistical_Area" TargetMode="External"/><Relationship Id="rId1207" Type="http://schemas.openxmlformats.org/officeDocument/2006/relationships/hyperlink" Target="https://en.wikipedia.org/wiki/Minneapolis-St._Paul,_MN-WI_Combined_Statistical_Area" TargetMode="External"/><Relationship Id="rId1414" Type="http://schemas.openxmlformats.org/officeDocument/2006/relationships/hyperlink" Target="https://en.wikipedia.org/wiki/Spirit_Lake,_IA_Micropolitan_Statistical_Area" TargetMode="External"/><Relationship Id="rId367" Type="http://schemas.openxmlformats.org/officeDocument/2006/relationships/hyperlink" Target="https://en.wikipedia.org/wiki/Las_Vegas-Henderson,_NV-AZ_Combined_Statistical_Area" TargetMode="External"/><Relationship Id="rId574" Type="http://schemas.openxmlformats.org/officeDocument/2006/relationships/hyperlink" Target="https://en.wikipedia.org/wiki/Williamsport-Lock_Haven,_PA_Combined_Statistical_Area" TargetMode="External"/><Relationship Id="rId227" Type="http://schemas.openxmlformats.org/officeDocument/2006/relationships/hyperlink" Target="https://en.wikipedia.org/wiki/Detroit-Warren-Ann_Arbor,_MI_Combined_Statistical_Area" TargetMode="External"/><Relationship Id="rId781" Type="http://schemas.openxmlformats.org/officeDocument/2006/relationships/hyperlink" Target="https://en.wikipedia.org/wiki/Statesboro,_GA_Micropolitan_Statistical_Area" TargetMode="External"/><Relationship Id="rId879" Type="http://schemas.openxmlformats.org/officeDocument/2006/relationships/hyperlink" Target="https://en.wikipedia.org/wiki/Barre,_VT_Micropolitan_Statistical_Area" TargetMode="External"/><Relationship Id="rId434" Type="http://schemas.openxmlformats.org/officeDocument/2006/relationships/hyperlink" Target="https://en.wikipedia.org/wiki/Bowling_Green,_KY_Metropolitan_Statistical_Area" TargetMode="External"/><Relationship Id="rId641" Type="http://schemas.openxmlformats.org/officeDocument/2006/relationships/hyperlink" Target="https://en.wikipedia.org/wiki/Mankato-North_Mankato,_MN_Metropolitan_Statistical_Area" TargetMode="External"/><Relationship Id="rId739" Type="http://schemas.openxmlformats.org/officeDocument/2006/relationships/hyperlink" Target="https://en.wikipedia.org/wiki/Oak_Harbor,_WA_Micropolitan_Statistical_Area" TargetMode="External"/><Relationship Id="rId1064" Type="http://schemas.openxmlformats.org/officeDocument/2006/relationships/hyperlink" Target="https://en.wikipedia.org/wiki/Bradford,_PA_Micropolitan_Statistical_Area" TargetMode="External"/><Relationship Id="rId1271" Type="http://schemas.openxmlformats.org/officeDocument/2006/relationships/hyperlink" Target="https://en.wikipedia.org/wiki/Hastings,_NE_Micropolitan_Statistical_Area" TargetMode="External"/><Relationship Id="rId1369" Type="http://schemas.openxmlformats.org/officeDocument/2006/relationships/hyperlink" Target="https://en.wikipedia.org/wiki/Pampa,_TX_Micropolitan_Statistical_Area" TargetMode="External"/><Relationship Id="rId501" Type="http://schemas.openxmlformats.org/officeDocument/2006/relationships/hyperlink" Target="https://en.wikipedia.org/wiki/Miami-Fort_Lauderdale-Port_St._Lucie,_FL_Combined_Statistical_Area" TargetMode="External"/><Relationship Id="rId946" Type="http://schemas.openxmlformats.org/officeDocument/2006/relationships/hyperlink" Target="https://en.wikipedia.org/wiki/Bartlesville,_OK_Micropolitan_Statistical_Area" TargetMode="External"/><Relationship Id="rId1131" Type="http://schemas.openxmlformats.org/officeDocument/2006/relationships/hyperlink" Target="https://en.wikipedia.org/wiki/Scottsbluff,_NE_Micropolitan_Statistical_Area" TargetMode="External"/><Relationship Id="rId1229" Type="http://schemas.openxmlformats.org/officeDocument/2006/relationships/hyperlink" Target="https://en.wikipedia.org/wiki/Decatur,_IN_Micropolitan_Statistical_Area" TargetMode="External"/><Relationship Id="rId75" Type="http://schemas.openxmlformats.org/officeDocument/2006/relationships/hyperlink" Target="https://en.wikipedia.org/wiki/Memphis,_TN-MS-AR_Metropolitan_Statistical_Area" TargetMode="External"/><Relationship Id="rId806" Type="http://schemas.openxmlformats.org/officeDocument/2006/relationships/hyperlink" Target="https://en.wikipedia.org/wiki/Richmond-Connersville,_IN_Combined_Statistical_Area" TargetMode="External"/><Relationship Id="rId291" Type="http://schemas.openxmlformats.org/officeDocument/2006/relationships/hyperlink" Target="https://en.wikipedia.org/wiki/Lubbock,_TX_Metropolitan_Statistical_Area" TargetMode="External"/><Relationship Id="rId151" Type="http://schemas.openxmlformats.org/officeDocument/2006/relationships/hyperlink" Target="https://en.wikipedia.org/wiki/Cape_Coral-Fort_Myers,_FL_Metropolitan_Statistical_Area" TargetMode="External"/><Relationship Id="rId389" Type="http://schemas.openxmlformats.org/officeDocument/2006/relationships/hyperlink" Target="https://en.wikipedia.org/wiki/Torrington,_CT_Micropolitan_Statistical_Area" TargetMode="External"/><Relationship Id="rId596" Type="http://schemas.openxmlformats.org/officeDocument/2006/relationships/hyperlink" Target="https://en.wikipedia.org/wiki/Sumter,_SC_Metropolitan_Statistical_Area" TargetMode="External"/><Relationship Id="rId249" Type="http://schemas.openxmlformats.org/officeDocument/2006/relationships/hyperlink" Target="https://en.wikipedia.org/wiki/Gulfport-Biloxi-Pascagoula,_MS_Metropolitan_Statistical_Area" TargetMode="External"/><Relationship Id="rId456" Type="http://schemas.openxmlformats.org/officeDocument/2006/relationships/hyperlink" Target="https://en.wikipedia.org/wiki/Bangor,_ME_Metropolitan_Statistical_Area" TargetMode="External"/><Relationship Id="rId663" Type="http://schemas.openxmlformats.org/officeDocument/2006/relationships/hyperlink" Target="https://en.wikipedia.org/wiki/Huntsville-Decatur-Albertville,_AL_Combined_Statistical_Area" TargetMode="External"/><Relationship Id="rId870" Type="http://schemas.openxmlformats.org/officeDocument/2006/relationships/hyperlink" Target="https://en.wikipedia.org/wiki/Laconia,_NH_Micropolitan_Statistical_Area" TargetMode="External"/><Relationship Id="rId1086" Type="http://schemas.openxmlformats.org/officeDocument/2006/relationships/hyperlink" Target="https://en.wikipedia.org/wiki/Corpus_Christi-Kingsville-Alice,_TX_Combined_Statistical_Area" TargetMode="External"/><Relationship Id="rId1293" Type="http://schemas.openxmlformats.org/officeDocument/2006/relationships/hyperlink" Target="https://en.wikipedia.org/wiki/Ludington,_MI_Micropolitan_Statistical_Area" TargetMode="External"/><Relationship Id="rId109" Type="http://schemas.openxmlformats.org/officeDocument/2006/relationships/hyperlink" Target="https://en.wikipedia.org/wiki/Albuquerque,_NM_Metropolitan_Statistical_Area" TargetMode="External"/><Relationship Id="rId316" Type="http://schemas.openxmlformats.org/officeDocument/2006/relationships/hyperlink" Target="https://en.wikipedia.org/wiki/Olympia-Tumwater,_WA_Metropolitan_Statistical_Area" TargetMode="External"/><Relationship Id="rId523" Type="http://schemas.openxmlformats.org/officeDocument/2006/relationships/hyperlink" Target="https://en.wikipedia.org/wiki/Morgantown,_WV_Metropolitan_Statistical_Area" TargetMode="External"/><Relationship Id="rId968" Type="http://schemas.openxmlformats.org/officeDocument/2006/relationships/hyperlink" Target="https://en.wikipedia.org/wiki/Kerrville,_TX_Micropolitan_Statistical_Area" TargetMode="External"/><Relationship Id="rId1153" Type="http://schemas.openxmlformats.org/officeDocument/2006/relationships/hyperlink" Target="https://en.wikipedia.org/wiki/Vincennes,_IN_Micropolitan_Statistical_Area" TargetMode="External"/><Relationship Id="rId97" Type="http://schemas.openxmlformats.org/officeDocument/2006/relationships/hyperlink" Target="https://en.wikipedia.org/wiki/Grand_Rapids-Wyoming-Muskegon,_MI_Combined_Statistical_Area" TargetMode="External"/><Relationship Id="rId730" Type="http://schemas.openxmlformats.org/officeDocument/2006/relationships/hyperlink" Target="https://en.wikipedia.org/wiki/State_College-DuBois,_PA_Combined_Statistical_Area" TargetMode="External"/><Relationship Id="rId828" Type="http://schemas.openxmlformats.org/officeDocument/2006/relationships/hyperlink" Target="https://en.wikipedia.org/wiki/Charleston-Mattoon,_IL_Micropolitan_Statistical_Area" TargetMode="External"/><Relationship Id="rId1013" Type="http://schemas.openxmlformats.org/officeDocument/2006/relationships/hyperlink" Target="https://en.wikipedia.org/wiki/Pullman-Moscow,_WA-ID_Combined_Statistical_Area" TargetMode="External"/><Relationship Id="rId1360" Type="http://schemas.openxmlformats.org/officeDocument/2006/relationships/hyperlink" Target="https://en.wikipedia.org/wiki/Liberal,_KS_Micropolitan_Statistical_Area" TargetMode="External"/><Relationship Id="rId1220" Type="http://schemas.openxmlformats.org/officeDocument/2006/relationships/hyperlink" Target="https://en.wikipedia.org/wiki/Martin-Union_City,_TN_Combined_Statistical_Area" TargetMode="External"/><Relationship Id="rId1318" Type="http://schemas.openxmlformats.org/officeDocument/2006/relationships/hyperlink" Target="https://en.wikipedia.org/wiki/Grants,_NM_Micropolitan_Statistical_Area" TargetMode="External"/><Relationship Id="rId24" Type="http://schemas.openxmlformats.org/officeDocument/2006/relationships/hyperlink" Target="https://en.wikipedia.org/wiki/Phoenix-Mesa-Scottsdale,_AZ_Metropolitan_Statistical_Area" TargetMode="External"/><Relationship Id="rId173" Type="http://schemas.openxmlformats.org/officeDocument/2006/relationships/hyperlink" Target="https://en.wikipedia.org/wiki/Scranton%E2%80%93Wilkes-Barre%E2%80%93Hazleton,_PA_Metropolitan_Statistical_Area" TargetMode="External"/><Relationship Id="rId380" Type="http://schemas.openxmlformats.org/officeDocument/2006/relationships/hyperlink" Target="https://en.wikipedia.org/wiki/Hilton_Head_Island-Bluffton-Beaufort,_SC_Metropolitan_Statistical_Area" TargetMode="External"/><Relationship Id="rId240" Type="http://schemas.openxmlformats.org/officeDocument/2006/relationships/hyperlink" Target="https://en.wikipedia.org/wiki/Portland-Vancouver-Salem,_OR-WA_Combined_Statistical_Area" TargetMode="External"/><Relationship Id="rId478" Type="http://schemas.openxmlformats.org/officeDocument/2006/relationships/hyperlink" Target="https://en.wikipedia.org/wiki/Dothan-Enterprise-Ozark,_AL_Combined_Statistical_Area" TargetMode="External"/><Relationship Id="rId685" Type="http://schemas.openxmlformats.org/officeDocument/2006/relationships/hyperlink" Target="https://en.wikipedia.org/wiki/Pinehurst-Southern_Pines,_NC_Micropolitan_Statistical_Area" TargetMode="External"/><Relationship Id="rId892" Type="http://schemas.openxmlformats.org/officeDocument/2006/relationships/hyperlink" Target="https://en.wikipedia.org/wiki/Fairmont,_WV_Micropolitan_Statistical_Area" TargetMode="External"/><Relationship Id="rId100" Type="http://schemas.openxmlformats.org/officeDocument/2006/relationships/hyperlink" Target="https://en.wikipedia.org/wiki/Urban_Honolulu,_HI_Metropolitan_Statistical_Area" TargetMode="External"/><Relationship Id="rId338" Type="http://schemas.openxmlformats.org/officeDocument/2006/relationships/hyperlink" Target="https://en.wikipedia.org/wiki/Charleston,_WV_Metropolitan_Statistical_Area" TargetMode="External"/><Relationship Id="rId545" Type="http://schemas.openxmlformats.org/officeDocument/2006/relationships/hyperlink" Target="https://en.wikipedia.org/wiki/Beckley,_WV_Metropolitan_Statistical_Area" TargetMode="External"/><Relationship Id="rId752" Type="http://schemas.openxmlformats.org/officeDocument/2006/relationships/hyperlink" Target="https://en.wikipedia.org/wiki/Chillicothe,_OH_Micropolitan_Statistical_Area" TargetMode="External"/><Relationship Id="rId1175" Type="http://schemas.openxmlformats.org/officeDocument/2006/relationships/hyperlink" Target="https://en.wikipedia.org/wiki/Corinth,_MS_Micropolitan_Statistical_Area" TargetMode="External"/><Relationship Id="rId1382" Type="http://schemas.openxmlformats.org/officeDocument/2006/relationships/hyperlink" Target="https://en.wikipedia.org/wiki/Amarillo-Borger,_TX_Combined_Statistical_Area" TargetMode="External"/><Relationship Id="rId405" Type="http://schemas.openxmlformats.org/officeDocument/2006/relationships/hyperlink" Target="https://en.wikipedia.org/wiki/Joplin-Miami,_MO-OK_Combined_Statistical_Area" TargetMode="External"/><Relationship Id="rId612" Type="http://schemas.openxmlformats.org/officeDocument/2006/relationships/hyperlink" Target="https://en.wikipedia.org/wiki/Whitewater-Elkhorn,_WI_Micropolitan_Statistical_Area" TargetMode="External"/><Relationship Id="rId1035" Type="http://schemas.openxmlformats.org/officeDocument/2006/relationships/hyperlink" Target="https://en.wikipedia.org/wiki/Bemidji,_MN_Micropolitan_Statistical_Area" TargetMode="External"/><Relationship Id="rId1242" Type="http://schemas.openxmlformats.org/officeDocument/2006/relationships/hyperlink" Target="https://en.wikipedia.org/wiki/Malvern,_AR_Micropolitan_Statistical_Area" TargetMode="External"/><Relationship Id="rId917" Type="http://schemas.openxmlformats.org/officeDocument/2006/relationships/hyperlink" Target="https://en.wikipedia.org/wiki/DeRidder-Fort_Polk_South,_LA_Combined_Statistical_Area" TargetMode="External"/><Relationship Id="rId1102" Type="http://schemas.openxmlformats.org/officeDocument/2006/relationships/hyperlink" Target="https://en.wikipedia.org/wiki/Lima-Van_Wert-Celina,_OH_Combined_Statistical_Area" TargetMode="External"/><Relationship Id="rId46" Type="http://schemas.openxmlformats.org/officeDocument/2006/relationships/hyperlink" Target="https://en.wikipedia.org/wiki/Orlando-Kissimmee-Sanford,_FL_Metropolitan_Statistical_Area" TargetMode="External"/><Relationship Id="rId1407" Type="http://schemas.openxmlformats.org/officeDocument/2006/relationships/hyperlink" Target="https://en.wikipedia.org/wiki/Huron,_SD_Micropolitan_Statistical_Area" TargetMode="External"/><Relationship Id="rId195" Type="http://schemas.openxmlformats.org/officeDocument/2006/relationships/hyperlink" Target="https://en.wikipedia.org/wiki/Lexington-Fayette%E2%80%93Richmond%E2%80%93Frankfort,_KY_Combined_Statistical_Area" TargetMode="External"/><Relationship Id="rId262" Type="http://schemas.openxmlformats.org/officeDocument/2006/relationships/hyperlink" Target="https://en.wikipedia.org/wiki/Savannah-Hinesville-Statesboro,_GA_Combined_Statistical_Area" TargetMode="External"/><Relationship Id="rId567" Type="http://schemas.openxmlformats.org/officeDocument/2006/relationships/hyperlink" Target="https://en.wikipedia.org/wiki/Seattle-Tacoma,_WA_Combined_Statistical_Area" TargetMode="External"/><Relationship Id="rId1197" Type="http://schemas.openxmlformats.org/officeDocument/2006/relationships/hyperlink" Target="https://en.wikipedia.org/wiki/Arkansas_City-Winfield,_KS_Micropolitan_Statistical_Area" TargetMode="External"/><Relationship Id="rId122" Type="http://schemas.openxmlformats.org/officeDocument/2006/relationships/hyperlink" Target="https://en.wikipedia.org/wiki/Oxnard-Thousand_Oaks-Ventura,_CA_Metropolitan_Statistical_Area" TargetMode="External"/><Relationship Id="rId774" Type="http://schemas.openxmlformats.org/officeDocument/2006/relationships/hyperlink" Target="https://en.wikipedia.org/wiki/Edwards-Glenwood_Springs,_CO_Combined_Statistical_Area" TargetMode="External"/><Relationship Id="rId981" Type="http://schemas.openxmlformats.org/officeDocument/2006/relationships/hyperlink" Target="https://en.wikipedia.org/wiki/Starkville,_MS_Micropolitan_Statistical_Area" TargetMode="External"/><Relationship Id="rId1057" Type="http://schemas.openxmlformats.org/officeDocument/2006/relationships/hyperlink" Target="https://en.wikipedia.org/wiki/Dallas-Fort_Worth,_TX-OK_Combined_Statistical_Area" TargetMode="External"/><Relationship Id="rId427" Type="http://schemas.openxmlformats.org/officeDocument/2006/relationships/hyperlink" Target="https://en.wikipedia.org/wiki/Billings,_MT_Metropolitan_Statistical_Area" TargetMode="External"/><Relationship Id="rId634" Type="http://schemas.openxmlformats.org/officeDocument/2006/relationships/hyperlink" Target="https://en.wikipedia.org/wiki/Detroit-Warren-Ann_Arbor,_MI_Combined_Statistical_Area" TargetMode="External"/><Relationship Id="rId841" Type="http://schemas.openxmlformats.org/officeDocument/2006/relationships/hyperlink" Target="https://en.wikipedia.org/wiki/Baraboo,_WI_Micropolitan_Statistical_Area" TargetMode="External"/><Relationship Id="rId1264" Type="http://schemas.openxmlformats.org/officeDocument/2006/relationships/hyperlink" Target="https://en.wikipedia.org/wiki/Dayton,_TN_Micropolitan_Statistical_Area" TargetMode="External"/><Relationship Id="rId701" Type="http://schemas.openxmlformats.org/officeDocument/2006/relationships/hyperlink" Target="https://en.wikipedia.org/wiki/Zanesville,_OH_Micropolitan_Statistical_Area" TargetMode="External"/><Relationship Id="rId939" Type="http://schemas.openxmlformats.org/officeDocument/2006/relationships/hyperlink" Target="https://en.wikipedia.org/wiki/Chattanooga-Cleveland-Dalton,_TN-GA-AL_Combined_Statistical_Area" TargetMode="External"/><Relationship Id="rId1124" Type="http://schemas.openxmlformats.org/officeDocument/2006/relationships/hyperlink" Target="https://en.wikipedia.org/wiki/Natchitoches,_LA_Micropolitan_Statistical_Area" TargetMode="External"/><Relationship Id="rId1331" Type="http://schemas.openxmlformats.org/officeDocument/2006/relationships/hyperlink" Target="https://en.wikipedia.org/wiki/Greensburg,_IN_Micropolitan_Statistical_Area" TargetMode="External"/><Relationship Id="rId68" Type="http://schemas.openxmlformats.org/officeDocument/2006/relationships/hyperlink" Target="https://en.wikipedia.org/wiki/Virginia_Beach-Norfolk,_VA-NC_Combined_Statistical_Area" TargetMode="External"/><Relationship Id="rId1429" Type="http://schemas.openxmlformats.org/officeDocument/2006/relationships/hyperlink" Target="https://en.wikipedia.org/wiki/Steamboat_Springs-Craig,_CO_Combined_Statistical_Area" TargetMode="External"/><Relationship Id="rId284" Type="http://schemas.openxmlformats.org/officeDocument/2006/relationships/hyperlink" Target="https://en.wikipedia.org/wiki/Lincoln,_Nebraska_metropolitan_area" TargetMode="External"/><Relationship Id="rId491" Type="http://schemas.openxmlformats.org/officeDocument/2006/relationships/hyperlink" Target="https://en.wikipedia.org/wiki/Valdosta,_GA_Metropolitan_Statistical_Area" TargetMode="External"/><Relationship Id="rId144" Type="http://schemas.openxmlformats.org/officeDocument/2006/relationships/hyperlink" Target="https://en.wikipedia.org/wiki/Cleveland-Akron-Canton,_OH_Combined_Statistical_Area" TargetMode="External"/><Relationship Id="rId589" Type="http://schemas.openxmlformats.org/officeDocument/2006/relationships/hyperlink" Target="https://en.wikipedia.org/wiki/Grand_Rapids-Wyoming-Muskegon,_MI_Combined_Statistical_Area" TargetMode="External"/><Relationship Id="rId796" Type="http://schemas.openxmlformats.org/officeDocument/2006/relationships/hyperlink" Target="https://en.wikipedia.org/wiki/Wausau-Stevens_Point-Wisconsin_Rapids,_WI_Combined_Statistical_Area" TargetMode="External"/><Relationship Id="rId351" Type="http://schemas.openxmlformats.org/officeDocument/2006/relationships/hyperlink" Target="https://en.wikipedia.org/wiki/Las_Cruces,_NM_Metropolitan_Statistical_Area" TargetMode="External"/><Relationship Id="rId449" Type="http://schemas.openxmlformats.org/officeDocument/2006/relationships/hyperlink" Target="https://en.wikipedia.org/wiki/State_College,_PA_Metropolitan_Statistical_Area" TargetMode="External"/><Relationship Id="rId656" Type="http://schemas.openxmlformats.org/officeDocument/2006/relationships/hyperlink" Target="https://en.wikipedia.org/wiki/Philadelphia-Reading-Camden,_PA-NJ-DE-MD_Combined_Statistical_Area" TargetMode="External"/><Relationship Id="rId863" Type="http://schemas.openxmlformats.org/officeDocument/2006/relationships/hyperlink" Target="https://en.wikipedia.org/wiki/Albemarle,_NC_Micropolitan_Statistical_Area" TargetMode="External"/><Relationship Id="rId1079" Type="http://schemas.openxmlformats.org/officeDocument/2006/relationships/hyperlink" Target="https://en.wikipedia.org/wiki/Lawrenceburg,_TN_Micropolitan_Statistical_Area" TargetMode="External"/><Relationship Id="rId1286" Type="http://schemas.openxmlformats.org/officeDocument/2006/relationships/hyperlink" Target="https://en.wikipedia.org/wiki/Hays,_KS_Micropolitan_Statistical_Are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F0B16-2B7F-AE42-857D-1BF2603C407F}">
  <sheetPr codeName="Sheet1"/>
  <dimension ref="B2:G58"/>
  <sheetViews>
    <sheetView workbookViewId="0">
      <selection activeCell="B2" sqref="B2:G58"/>
    </sheetView>
  </sheetViews>
  <sheetFormatPr baseColWidth="10" defaultRowHeight="16"/>
  <cols>
    <col min="5" max="5" width="13.1640625" customWidth="1"/>
    <col min="6" max="6" width="16" customWidth="1"/>
    <col min="7" max="7" width="18.33203125" customWidth="1"/>
  </cols>
  <sheetData>
    <row r="2" spans="2:7" ht="17">
      <c r="B2" s="1" t="s">
        <v>0</v>
      </c>
      <c r="C2" s="2">
        <v>10</v>
      </c>
      <c r="D2" s="3">
        <v>1235</v>
      </c>
      <c r="E2" s="3">
        <v>45209</v>
      </c>
      <c r="F2" s="3">
        <v>243272</v>
      </c>
      <c r="G2" s="4">
        <v>5374320</v>
      </c>
    </row>
    <row r="3" spans="2:7" ht="17">
      <c r="B3" s="1" t="s">
        <v>1</v>
      </c>
      <c r="C3" s="2">
        <v>89</v>
      </c>
      <c r="D3" s="3">
        <v>15330</v>
      </c>
      <c r="E3" s="3">
        <v>592368</v>
      </c>
      <c r="F3" s="3">
        <v>2818440</v>
      </c>
      <c r="G3" s="4">
        <v>60726101</v>
      </c>
    </row>
    <row r="4" spans="2:7" ht="17">
      <c r="B4" s="1" t="s">
        <v>2</v>
      </c>
      <c r="C4" s="2">
        <v>52</v>
      </c>
      <c r="D4" s="3">
        <v>7873</v>
      </c>
      <c r="E4" s="3">
        <v>315200</v>
      </c>
      <c r="F4" s="3">
        <v>1385087</v>
      </c>
      <c r="G4" s="4">
        <v>27777922</v>
      </c>
    </row>
    <row r="5" spans="2:7" ht="17">
      <c r="B5" s="1" t="s">
        <v>3</v>
      </c>
      <c r="C5" s="2">
        <v>1</v>
      </c>
      <c r="D5" s="2">
        <v>0</v>
      </c>
      <c r="E5" s="2">
        <v>0</v>
      </c>
      <c r="F5" s="2">
        <v>0</v>
      </c>
      <c r="G5" s="4">
        <v>0</v>
      </c>
    </row>
    <row r="6" spans="2:7" ht="17">
      <c r="B6" s="1" t="s">
        <v>4</v>
      </c>
      <c r="C6" s="2">
        <v>73</v>
      </c>
      <c r="D6" s="3">
        <v>13416</v>
      </c>
      <c r="E6" s="3">
        <v>610133</v>
      </c>
      <c r="F6" s="3">
        <v>2660941</v>
      </c>
      <c r="G6" s="4">
        <v>79447094</v>
      </c>
    </row>
    <row r="7" spans="2:7" ht="17">
      <c r="B7" s="1" t="s">
        <v>5</v>
      </c>
      <c r="C7" s="2">
        <v>343</v>
      </c>
      <c r="D7" s="3">
        <v>74624</v>
      </c>
      <c r="E7" s="3">
        <v>3084295</v>
      </c>
      <c r="F7" s="3">
        <v>14352052</v>
      </c>
      <c r="G7" s="4">
        <v>484959610</v>
      </c>
    </row>
    <row r="8" spans="2:7" ht="17">
      <c r="B8" s="1" t="s">
        <v>6</v>
      </c>
      <c r="C8" s="2">
        <v>55</v>
      </c>
      <c r="D8" s="3">
        <v>8189</v>
      </c>
      <c r="E8" s="3">
        <v>394733</v>
      </c>
      <c r="F8" s="3">
        <v>1755507</v>
      </c>
      <c r="G8" s="4">
        <v>67533414</v>
      </c>
    </row>
    <row r="9" spans="2:7" ht="17">
      <c r="B9" s="1" t="s">
        <v>7</v>
      </c>
      <c r="C9" s="2">
        <v>34</v>
      </c>
      <c r="D9" s="3">
        <v>8798</v>
      </c>
      <c r="E9" s="3">
        <v>368120</v>
      </c>
      <c r="F9" s="3">
        <v>1742965</v>
      </c>
      <c r="G9" s="4">
        <v>40204715</v>
      </c>
    </row>
    <row r="10" spans="2:7" ht="17">
      <c r="B10" s="1" t="s">
        <v>8</v>
      </c>
      <c r="C10" s="2">
        <v>7</v>
      </c>
      <c r="D10" s="3">
        <v>2117</v>
      </c>
      <c r="E10" s="3">
        <v>93225</v>
      </c>
      <c r="F10" s="3">
        <v>586450</v>
      </c>
      <c r="G10" s="4">
        <v>12585158</v>
      </c>
    </row>
    <row r="11" spans="2:7" ht="17">
      <c r="B11" s="1" t="s">
        <v>9</v>
      </c>
      <c r="C11" s="2">
        <v>8</v>
      </c>
      <c r="D11" s="3">
        <v>2072</v>
      </c>
      <c r="E11" s="3">
        <v>93905</v>
      </c>
      <c r="F11" s="3">
        <v>470640</v>
      </c>
      <c r="G11" s="4">
        <v>7927141</v>
      </c>
    </row>
    <row r="12" spans="2:7" ht="17">
      <c r="B12" s="1" t="s">
        <v>10</v>
      </c>
      <c r="C12" s="2">
        <v>215</v>
      </c>
      <c r="D12" s="3">
        <v>56074</v>
      </c>
      <c r="E12" s="3">
        <v>2567297</v>
      </c>
      <c r="F12" s="3">
        <v>11736973</v>
      </c>
      <c r="G12" s="4">
        <v>334412480</v>
      </c>
    </row>
    <row r="13" spans="2:7" ht="17">
      <c r="B13" s="1" t="s">
        <v>11</v>
      </c>
      <c r="C13" s="2">
        <v>112</v>
      </c>
      <c r="D13" s="3">
        <v>22521</v>
      </c>
      <c r="E13" s="3">
        <v>938605</v>
      </c>
      <c r="F13" s="3">
        <v>4721022</v>
      </c>
      <c r="G13" s="4">
        <v>109617058</v>
      </c>
    </row>
    <row r="14" spans="2:7" ht="17">
      <c r="B14" s="1" t="s">
        <v>12</v>
      </c>
      <c r="C14" s="2">
        <v>3</v>
      </c>
      <c r="D14" s="2">
        <v>306</v>
      </c>
      <c r="E14" s="3">
        <v>12300</v>
      </c>
      <c r="F14" s="3">
        <v>73681</v>
      </c>
      <c r="G14" s="4">
        <v>424341</v>
      </c>
    </row>
    <row r="15" spans="2:7" ht="17">
      <c r="B15" s="1" t="s">
        <v>13</v>
      </c>
      <c r="C15" s="2">
        <v>14</v>
      </c>
      <c r="D15" s="3">
        <v>2583</v>
      </c>
      <c r="E15" s="3">
        <v>88997</v>
      </c>
      <c r="F15" s="3">
        <v>520820</v>
      </c>
      <c r="G15" s="4">
        <v>8136372</v>
      </c>
    </row>
    <row r="16" spans="2:7" ht="17">
      <c r="B16" s="1" t="s">
        <v>14</v>
      </c>
      <c r="C16" s="2">
        <v>39</v>
      </c>
      <c r="D16" s="3">
        <v>6266</v>
      </c>
      <c r="E16" s="3">
        <v>261520</v>
      </c>
      <c r="F16" s="3">
        <v>1163810</v>
      </c>
      <c r="G16" s="4">
        <v>24910171</v>
      </c>
    </row>
    <row r="17" spans="2:7" ht="17">
      <c r="B17" s="1" t="s">
        <v>15</v>
      </c>
      <c r="C17" s="2">
        <v>18</v>
      </c>
      <c r="D17" s="3">
        <v>2455</v>
      </c>
      <c r="E17" s="3">
        <v>114029</v>
      </c>
      <c r="F17" s="3">
        <v>472270</v>
      </c>
      <c r="G17" s="4">
        <v>13095412</v>
      </c>
    </row>
    <row r="18" spans="2:7" ht="17">
      <c r="B18" s="1" t="s">
        <v>16</v>
      </c>
      <c r="C18" s="2">
        <v>142</v>
      </c>
      <c r="D18" s="3">
        <v>29156</v>
      </c>
      <c r="E18" s="3">
        <v>1238007</v>
      </c>
      <c r="F18" s="3">
        <v>5605904</v>
      </c>
      <c r="G18" s="4">
        <v>149805442</v>
      </c>
    </row>
    <row r="19" spans="2:7" ht="17">
      <c r="B19" s="1" t="s">
        <v>17</v>
      </c>
      <c r="C19" s="2">
        <v>101</v>
      </c>
      <c r="D19" s="3">
        <v>16055</v>
      </c>
      <c r="E19" s="3">
        <v>685644</v>
      </c>
      <c r="F19" s="3">
        <v>3108919</v>
      </c>
      <c r="G19" s="4">
        <v>81011375</v>
      </c>
    </row>
    <row r="20" spans="2:7" ht="17">
      <c r="B20" s="1" t="s">
        <v>18</v>
      </c>
      <c r="C20" s="2">
        <v>56</v>
      </c>
      <c r="D20" s="3">
        <v>6382</v>
      </c>
      <c r="E20" s="3">
        <v>273413</v>
      </c>
      <c r="F20" s="3">
        <v>1195139</v>
      </c>
      <c r="G20" s="4">
        <v>33804205</v>
      </c>
    </row>
    <row r="21" spans="2:7" ht="17">
      <c r="B21" s="1" t="s">
        <v>19</v>
      </c>
      <c r="C21" s="2">
        <v>74</v>
      </c>
      <c r="D21" s="3">
        <v>13618</v>
      </c>
      <c r="E21" s="3">
        <v>531922</v>
      </c>
      <c r="F21" s="3">
        <v>2498618</v>
      </c>
      <c r="G21" s="4">
        <v>59063468</v>
      </c>
    </row>
    <row r="22" spans="2:7" ht="17">
      <c r="B22" s="1" t="s">
        <v>20</v>
      </c>
      <c r="C22" s="2">
        <v>108</v>
      </c>
      <c r="D22" s="3">
        <v>15040</v>
      </c>
      <c r="E22" s="3">
        <v>512274</v>
      </c>
      <c r="F22" s="3">
        <v>2438175</v>
      </c>
      <c r="G22" s="4">
        <v>57971111</v>
      </c>
    </row>
    <row r="23" spans="2:7" ht="17">
      <c r="B23" s="1" t="s">
        <v>21</v>
      </c>
      <c r="C23" s="2">
        <v>73</v>
      </c>
      <c r="D23" s="3">
        <v>15192</v>
      </c>
      <c r="E23" s="3">
        <v>743119</v>
      </c>
      <c r="F23" s="3">
        <v>3618061</v>
      </c>
      <c r="G23" s="4">
        <v>71408802</v>
      </c>
    </row>
    <row r="24" spans="2:7" ht="17">
      <c r="B24" s="1" t="s">
        <v>22</v>
      </c>
      <c r="C24" s="2">
        <v>53</v>
      </c>
      <c r="D24" s="3">
        <v>10803</v>
      </c>
      <c r="E24" s="3">
        <v>557295</v>
      </c>
      <c r="F24" s="3">
        <v>2833407</v>
      </c>
      <c r="G24" s="4">
        <v>19333142</v>
      </c>
    </row>
    <row r="25" spans="2:7" ht="17">
      <c r="B25" s="1" t="s">
        <v>23</v>
      </c>
      <c r="C25" s="2">
        <v>19</v>
      </c>
      <c r="D25" s="3">
        <v>2887</v>
      </c>
      <c r="E25" s="3">
        <v>111879</v>
      </c>
      <c r="F25" s="3">
        <v>538476</v>
      </c>
      <c r="G25" s="4">
        <v>11321002</v>
      </c>
    </row>
    <row r="26" spans="2:7" ht="17">
      <c r="B26" s="1" t="s">
        <v>24</v>
      </c>
      <c r="C26" s="2">
        <v>105</v>
      </c>
      <c r="D26" s="3">
        <v>23722</v>
      </c>
      <c r="E26" s="3">
        <v>1127446</v>
      </c>
      <c r="F26" s="3">
        <v>4794188</v>
      </c>
      <c r="G26" s="4">
        <v>95622442</v>
      </c>
    </row>
    <row r="27" spans="2:7" ht="17">
      <c r="B27" s="1" t="s">
        <v>25</v>
      </c>
      <c r="C27" s="2">
        <v>55</v>
      </c>
      <c r="D27" s="3">
        <v>10504</v>
      </c>
      <c r="E27" s="3">
        <v>502871</v>
      </c>
      <c r="F27" s="3">
        <v>2253688</v>
      </c>
      <c r="G27" s="4">
        <v>44995234</v>
      </c>
    </row>
    <row r="28" spans="2:7" ht="17">
      <c r="B28" s="1" t="s">
        <v>26</v>
      </c>
      <c r="C28" s="2">
        <v>83</v>
      </c>
      <c r="D28" s="3">
        <v>16706</v>
      </c>
      <c r="E28" s="3">
        <v>710740</v>
      </c>
      <c r="F28" s="3">
        <v>3273493</v>
      </c>
      <c r="G28" s="4">
        <v>74225399</v>
      </c>
    </row>
    <row r="29" spans="2:7" ht="17">
      <c r="B29" s="1" t="s">
        <v>27</v>
      </c>
      <c r="C29" s="2">
        <v>1</v>
      </c>
      <c r="D29" s="2">
        <v>74</v>
      </c>
      <c r="E29" s="3">
        <v>3466</v>
      </c>
      <c r="F29" s="3">
        <v>15927</v>
      </c>
      <c r="G29" s="4">
        <v>0</v>
      </c>
    </row>
    <row r="30" spans="2:7" ht="17">
      <c r="B30" s="1" t="s">
        <v>28</v>
      </c>
      <c r="C30" s="2">
        <v>70</v>
      </c>
      <c r="D30" s="3">
        <v>10131</v>
      </c>
      <c r="E30" s="3">
        <v>325453</v>
      </c>
      <c r="F30" s="3">
        <v>1493536</v>
      </c>
      <c r="G30" s="4">
        <v>36172882</v>
      </c>
    </row>
    <row r="31" spans="2:7" ht="17">
      <c r="B31" s="1" t="s">
        <v>29</v>
      </c>
      <c r="C31" s="2">
        <v>17</v>
      </c>
      <c r="D31" s="3">
        <v>2202</v>
      </c>
      <c r="E31" s="3">
        <v>85975</v>
      </c>
      <c r="F31" s="3">
        <v>344348</v>
      </c>
      <c r="G31" s="4">
        <v>7493498</v>
      </c>
    </row>
    <row r="32" spans="2:7" ht="17">
      <c r="B32" s="1" t="s">
        <v>30</v>
      </c>
      <c r="C32" s="2">
        <v>108</v>
      </c>
      <c r="D32" s="3">
        <v>23289</v>
      </c>
      <c r="E32" s="3">
        <v>988598</v>
      </c>
      <c r="F32" s="3">
        <v>4862283</v>
      </c>
      <c r="G32" s="4">
        <v>103690769</v>
      </c>
    </row>
    <row r="33" spans="2:7" ht="17">
      <c r="B33" s="1" t="s">
        <v>31</v>
      </c>
      <c r="C33" s="2">
        <v>10</v>
      </c>
      <c r="D33" s="3">
        <v>2003</v>
      </c>
      <c r="E33" s="3">
        <v>75792</v>
      </c>
      <c r="F33" s="3">
        <v>350291</v>
      </c>
      <c r="G33" s="4">
        <v>8424459</v>
      </c>
    </row>
    <row r="34" spans="2:7" ht="17">
      <c r="B34" s="1" t="s">
        <v>32</v>
      </c>
      <c r="C34" s="2">
        <v>26</v>
      </c>
      <c r="D34" s="3">
        <v>4245</v>
      </c>
      <c r="E34" s="3">
        <v>179781</v>
      </c>
      <c r="F34" s="3">
        <v>826000</v>
      </c>
      <c r="G34" s="4">
        <v>15310364</v>
      </c>
    </row>
    <row r="35" spans="2:7" ht="17">
      <c r="B35" s="1" t="s">
        <v>33</v>
      </c>
      <c r="C35" s="2">
        <v>14</v>
      </c>
      <c r="D35" s="3">
        <v>2276</v>
      </c>
      <c r="E35" s="3">
        <v>104378</v>
      </c>
      <c r="F35" s="3">
        <v>513991</v>
      </c>
      <c r="G35" s="4">
        <v>13687853</v>
      </c>
    </row>
    <row r="36" spans="2:7" ht="17">
      <c r="B36" s="1" t="s">
        <v>34</v>
      </c>
      <c r="C36" s="2">
        <v>78</v>
      </c>
      <c r="D36" s="3">
        <v>20207</v>
      </c>
      <c r="E36" s="3">
        <v>880996</v>
      </c>
      <c r="F36" s="3">
        <v>4324343</v>
      </c>
      <c r="G36" s="4">
        <v>124668729</v>
      </c>
    </row>
    <row r="37" spans="2:7" ht="17">
      <c r="B37" s="1" t="s">
        <v>35</v>
      </c>
      <c r="C37" s="2">
        <v>37</v>
      </c>
      <c r="D37" s="3">
        <v>3891</v>
      </c>
      <c r="E37" s="3">
        <v>164917</v>
      </c>
      <c r="F37" s="3">
        <v>763020</v>
      </c>
      <c r="G37" s="4">
        <v>18377251</v>
      </c>
    </row>
    <row r="38" spans="2:7" ht="17">
      <c r="B38" s="1" t="s">
        <v>36</v>
      </c>
      <c r="C38" s="2">
        <v>31</v>
      </c>
      <c r="D38" s="3">
        <v>5726</v>
      </c>
      <c r="E38" s="3">
        <v>288188</v>
      </c>
      <c r="F38" s="3">
        <v>1414301</v>
      </c>
      <c r="G38" s="4">
        <v>44394789</v>
      </c>
    </row>
    <row r="39" spans="2:7" ht="17">
      <c r="B39" s="1" t="s">
        <v>37</v>
      </c>
      <c r="C39" s="2">
        <v>187</v>
      </c>
      <c r="D39" s="3">
        <v>57288</v>
      </c>
      <c r="E39" s="3">
        <v>2200010</v>
      </c>
      <c r="F39" s="3">
        <v>11802121</v>
      </c>
      <c r="G39" s="4">
        <v>249756045</v>
      </c>
    </row>
    <row r="40" spans="2:7" ht="17">
      <c r="B40" s="1" t="s">
        <v>38</v>
      </c>
      <c r="C40" s="2">
        <v>146</v>
      </c>
      <c r="D40" s="3">
        <v>27064</v>
      </c>
      <c r="E40" s="3">
        <v>1202710</v>
      </c>
      <c r="F40" s="3">
        <v>5429674</v>
      </c>
      <c r="G40" s="4">
        <v>144742436</v>
      </c>
    </row>
    <row r="41" spans="2:7" ht="17">
      <c r="B41" s="1" t="s">
        <v>39</v>
      </c>
      <c r="C41" s="2">
        <v>90</v>
      </c>
      <c r="D41" s="3">
        <v>10289</v>
      </c>
      <c r="E41" s="3">
        <v>406719</v>
      </c>
      <c r="F41" s="3">
        <v>1895322</v>
      </c>
      <c r="G41" s="4">
        <v>48108606</v>
      </c>
    </row>
    <row r="42" spans="2:7" ht="17">
      <c r="B42" s="1" t="s">
        <v>40</v>
      </c>
      <c r="C42" s="2">
        <v>37</v>
      </c>
      <c r="D42" s="3">
        <v>6111</v>
      </c>
      <c r="E42" s="3">
        <v>320118</v>
      </c>
      <c r="F42" s="3">
        <v>1397894</v>
      </c>
      <c r="G42" s="4">
        <v>28554145</v>
      </c>
    </row>
    <row r="43" spans="2:7" ht="17">
      <c r="B43" s="1" t="s">
        <v>41</v>
      </c>
      <c r="C43" s="2">
        <v>176</v>
      </c>
      <c r="D43" s="3">
        <v>34815</v>
      </c>
      <c r="E43" s="3">
        <v>1448049</v>
      </c>
      <c r="F43" s="3">
        <v>6779096</v>
      </c>
      <c r="G43" s="4">
        <v>209017774</v>
      </c>
    </row>
    <row r="44" spans="2:7" ht="17">
      <c r="B44" s="1" t="s">
        <v>42</v>
      </c>
      <c r="C44" s="2">
        <v>52</v>
      </c>
      <c r="D44" s="3">
        <v>8231</v>
      </c>
      <c r="E44" s="3">
        <v>303702</v>
      </c>
      <c r="F44" s="3">
        <v>1738530</v>
      </c>
      <c r="G44" s="4">
        <v>4705931</v>
      </c>
    </row>
    <row r="45" spans="2:7" ht="17">
      <c r="B45" s="1" t="s">
        <v>43</v>
      </c>
      <c r="C45" s="2">
        <v>11</v>
      </c>
      <c r="D45" s="3">
        <v>2440</v>
      </c>
      <c r="E45" s="3">
        <v>108782</v>
      </c>
      <c r="F45" s="3">
        <v>503639</v>
      </c>
      <c r="G45" s="4">
        <v>10458737</v>
      </c>
    </row>
    <row r="46" spans="2:7" ht="17">
      <c r="B46" s="1" t="s">
        <v>44</v>
      </c>
      <c r="C46" s="2">
        <v>66</v>
      </c>
      <c r="D46" s="3">
        <v>11674</v>
      </c>
      <c r="E46" s="3">
        <v>475491</v>
      </c>
      <c r="F46" s="3">
        <v>2371867</v>
      </c>
      <c r="G46" s="4">
        <v>61673524</v>
      </c>
    </row>
    <row r="47" spans="2:7" ht="17">
      <c r="B47" s="1" t="s">
        <v>45</v>
      </c>
      <c r="C47" s="2">
        <v>24</v>
      </c>
      <c r="D47" s="3">
        <v>2734</v>
      </c>
      <c r="E47" s="3">
        <v>95493</v>
      </c>
      <c r="F47" s="3">
        <v>400006</v>
      </c>
      <c r="G47" s="4">
        <v>11858256</v>
      </c>
    </row>
    <row r="48" spans="2:7" ht="17">
      <c r="B48" s="1" t="s">
        <v>46</v>
      </c>
      <c r="C48" s="2">
        <v>100</v>
      </c>
      <c r="D48" s="3">
        <v>18456</v>
      </c>
      <c r="E48" s="3">
        <v>779140</v>
      </c>
      <c r="F48" s="3">
        <v>3701522</v>
      </c>
      <c r="G48" s="4">
        <v>87392676</v>
      </c>
    </row>
    <row r="49" spans="2:7" ht="17">
      <c r="B49" s="1" t="s">
        <v>47</v>
      </c>
      <c r="C49" s="2">
        <v>365</v>
      </c>
      <c r="D49" s="3">
        <v>58328</v>
      </c>
      <c r="E49" s="3">
        <v>2633826</v>
      </c>
      <c r="F49" s="3">
        <v>12172205</v>
      </c>
      <c r="G49" s="4">
        <v>336725555</v>
      </c>
    </row>
    <row r="50" spans="2:7" ht="17">
      <c r="B50" s="1" t="s">
        <v>48</v>
      </c>
      <c r="C50" s="2">
        <v>35</v>
      </c>
      <c r="D50" s="3">
        <v>4621</v>
      </c>
      <c r="E50" s="3">
        <v>205860</v>
      </c>
      <c r="F50" s="3">
        <v>814305</v>
      </c>
      <c r="G50" s="4">
        <v>19499482</v>
      </c>
    </row>
    <row r="51" spans="2:7" ht="17">
      <c r="B51" s="1" t="s">
        <v>49</v>
      </c>
      <c r="C51" s="2">
        <v>90</v>
      </c>
      <c r="D51" s="3">
        <v>17706</v>
      </c>
      <c r="E51" s="3">
        <v>728607</v>
      </c>
      <c r="F51" s="3">
        <v>3487217</v>
      </c>
      <c r="G51" s="4">
        <v>84246314</v>
      </c>
    </row>
    <row r="52" spans="2:7" ht="17">
      <c r="B52" s="1" t="s">
        <v>50</v>
      </c>
      <c r="C52" s="2">
        <v>2</v>
      </c>
      <c r="D52" s="2">
        <v>184</v>
      </c>
      <c r="E52" s="3">
        <v>4132</v>
      </c>
      <c r="F52" s="3">
        <v>24718</v>
      </c>
      <c r="G52" s="4">
        <v>194050</v>
      </c>
    </row>
    <row r="53" spans="2:7" ht="17">
      <c r="B53" s="1" t="s">
        <v>51</v>
      </c>
      <c r="C53" s="2">
        <v>7</v>
      </c>
      <c r="D53" s="2">
        <v>835</v>
      </c>
      <c r="E53" s="3">
        <v>38540</v>
      </c>
      <c r="F53" s="3">
        <v>198496</v>
      </c>
      <c r="G53" s="4">
        <v>4617302</v>
      </c>
    </row>
    <row r="54" spans="2:7" ht="17">
      <c r="B54" s="1" t="s">
        <v>52</v>
      </c>
      <c r="C54" s="2">
        <v>62</v>
      </c>
      <c r="D54" s="3">
        <v>10259</v>
      </c>
      <c r="E54" s="3">
        <v>540898</v>
      </c>
      <c r="F54" s="3">
        <v>2495246</v>
      </c>
      <c r="G54" s="4">
        <v>65490845</v>
      </c>
    </row>
    <row r="55" spans="2:7" ht="17">
      <c r="B55" s="1" t="s">
        <v>53</v>
      </c>
      <c r="C55" s="2">
        <v>76</v>
      </c>
      <c r="D55" s="3">
        <v>11066</v>
      </c>
      <c r="E55" s="3">
        <v>495855</v>
      </c>
      <c r="F55" s="3">
        <v>2210554</v>
      </c>
      <c r="G55" s="4">
        <v>58035043</v>
      </c>
    </row>
    <row r="56" spans="2:7" ht="17">
      <c r="B56" s="1" t="s">
        <v>54</v>
      </c>
      <c r="C56" s="2">
        <v>35</v>
      </c>
      <c r="D56" s="3">
        <v>5509</v>
      </c>
      <c r="E56" s="3">
        <v>207141</v>
      </c>
      <c r="F56" s="3">
        <v>1046375</v>
      </c>
      <c r="G56" s="4">
        <v>19010151</v>
      </c>
    </row>
    <row r="57" spans="2:7" ht="17">
      <c r="B57" s="1" t="s">
        <v>55</v>
      </c>
      <c r="C57" s="2">
        <v>14</v>
      </c>
      <c r="D57" s="3">
        <v>1261</v>
      </c>
      <c r="E57" s="3">
        <v>32221</v>
      </c>
      <c r="F57" s="3">
        <v>116147</v>
      </c>
      <c r="G57" s="4">
        <v>3070645</v>
      </c>
    </row>
    <row r="58" spans="2:7" ht="17">
      <c r="B58" s="2" t="s">
        <v>56</v>
      </c>
      <c r="C58" s="3">
        <v>3909</v>
      </c>
      <c r="D58" s="3">
        <v>746839</v>
      </c>
      <c r="E58" s="3">
        <v>31899384</v>
      </c>
      <c r="F58" s="3">
        <v>150354972</v>
      </c>
      <c r="G58" s="4">
        <v>3795071042</v>
      </c>
    </row>
  </sheetData>
  <hyperlinks>
    <hyperlink ref="B2" r:id="rId1" display="https://www.ahd.com/states/hospital_AK.html" xr:uid="{4297F52A-64DF-D44B-8C10-DD075A068AB1}"/>
    <hyperlink ref="B3" r:id="rId2" display="https://www.ahd.com/states/hospital_AL.html" xr:uid="{AB748E03-45A2-2D4A-A7C5-BA2E757EFBF6}"/>
    <hyperlink ref="B4" r:id="rId3" display="https://www.ahd.com/states/hospital_AR.html" xr:uid="{414BB559-A3FF-B845-9415-2E621646DEB6}"/>
    <hyperlink ref="B5" r:id="rId4" display="https://www.ahd.com/states/hospital_AS.html" xr:uid="{34F9CAB6-F2DD-A742-994F-C7869B198F4D}"/>
    <hyperlink ref="B6" r:id="rId5" display="https://www.ahd.com/states/hospital_AZ.html" xr:uid="{30AEB998-B627-5D4A-912C-E1C9F39743A2}"/>
    <hyperlink ref="B7" r:id="rId6" display="https://www.ahd.com/states/hospital_CA.html" xr:uid="{07DD8B9C-0DCA-1748-A481-196016E68695}"/>
    <hyperlink ref="B8" r:id="rId7" display="https://www.ahd.com/states/hospital_CO.html" xr:uid="{4D06E69D-C7E6-FA46-BD8A-C8978B501D59}"/>
    <hyperlink ref="B9" r:id="rId8" display="https://www.ahd.com/states/hospital_CT.html" xr:uid="{05F0254B-5CBC-BE4C-B1CD-EFD845E32626}"/>
    <hyperlink ref="B10" r:id="rId9" display="https://www.ahd.com/states/hospital_DC.html" xr:uid="{9EF75C33-00E2-2140-827A-7E48E65ACE27}"/>
    <hyperlink ref="B11" r:id="rId10" display="https://www.ahd.com/states/hospital_DE.html" xr:uid="{04098539-0F8E-814E-8941-9A60D0B74B25}"/>
    <hyperlink ref="B12" r:id="rId11" display="https://www.ahd.com/states/hospital_FL.html" xr:uid="{097C30B3-41B3-8146-A223-441BE7EECE00}"/>
    <hyperlink ref="B13" r:id="rId12" display="https://www.ahd.com/states/hospital_GA.html" xr:uid="{FA7A6DAF-BE55-D84F-B41D-DF624EDAD6B8}"/>
    <hyperlink ref="B14" r:id="rId13" display="https://www.ahd.com/states/hospital_GU.html" xr:uid="{A3701F0F-87CC-434F-BF0C-120D640D25E9}"/>
    <hyperlink ref="B15" r:id="rId14" display="https://www.ahd.com/states/hospital_HI.html" xr:uid="{DACEDD0F-6E28-BA49-99BC-FFE0564313A3}"/>
    <hyperlink ref="B16" r:id="rId15" display="https://www.ahd.com/states/hospital_IA.html" xr:uid="{66339EAA-B4BC-3E4C-921B-ECECC65CF8C2}"/>
    <hyperlink ref="B17" r:id="rId16" display="https://www.ahd.com/states/hospital_ID.html" xr:uid="{C9749905-9ADF-4C41-A66B-0C9C76C9E08B}"/>
    <hyperlink ref="B18" r:id="rId17" display="https://www.ahd.com/states/hospital_IL.html" xr:uid="{14C468F0-141F-8F44-8E27-9AF4050949AA}"/>
    <hyperlink ref="B19" r:id="rId18" display="https://www.ahd.com/states/hospital_IN.html" xr:uid="{3B618EAB-9759-5741-A7A1-3F10D591AA17}"/>
    <hyperlink ref="B20" r:id="rId19" display="https://www.ahd.com/states/hospital_KS.html" xr:uid="{B10DC37F-45EF-DD4A-91B3-4632DA62FD22}"/>
    <hyperlink ref="B21" r:id="rId20" display="https://www.ahd.com/states/hospital_KY.html" xr:uid="{5AC70285-9015-6148-A170-2FE8FBE022FA}"/>
    <hyperlink ref="B22" r:id="rId21" display="https://www.ahd.com/states/hospital_LA.html" xr:uid="{A8B49775-F805-6E48-BC13-4B52B59CEBDF}"/>
    <hyperlink ref="B23" r:id="rId22" display="https://www.ahd.com/states/hospital_MA.html" xr:uid="{5A7D448A-18DE-3748-BE41-C2D4E738E0ED}"/>
    <hyperlink ref="B24" r:id="rId23" display="https://www.ahd.com/states/hospital_MD.html" xr:uid="{64595CDA-BCB6-B24E-957B-DA641ABE1FC1}"/>
    <hyperlink ref="B25" r:id="rId24" display="https://www.ahd.com/states/hospital_ME.html" xr:uid="{97AF5D0D-33DF-AD4B-8FC6-9120805FCA2C}"/>
    <hyperlink ref="B26" r:id="rId25" display="https://www.ahd.com/states/hospital_MI.html" xr:uid="{6D70E2C5-8AC7-CB4F-A072-3BE44BDCC03A}"/>
    <hyperlink ref="B27" r:id="rId26" display="https://www.ahd.com/states/hospital_MN.html" xr:uid="{2F7D083A-7321-6E48-9859-DC95299A562C}"/>
    <hyperlink ref="B28" r:id="rId27" display="https://www.ahd.com/states/hospital_MO.html" xr:uid="{830FA99E-AE5C-4645-A5F2-1471A11B0306}"/>
    <hyperlink ref="B29" r:id="rId28" display="https://www.ahd.com/states/hospital_MP.html" xr:uid="{CC998D53-F519-4A43-BEA0-BFA2A11B654E}"/>
    <hyperlink ref="B30" r:id="rId29" display="https://www.ahd.com/states/hospital_MS.html" xr:uid="{6DB09A22-C7F8-F347-9B13-1A7E77333FA1}"/>
    <hyperlink ref="B31" r:id="rId30" display="https://www.ahd.com/states/hospital_MT.html" xr:uid="{470BC7AE-DDD8-FA4F-AF9E-B00DAB9E2505}"/>
    <hyperlink ref="B32" r:id="rId31" display="https://www.ahd.com/states/hospital_NC.html" xr:uid="{25F8BC32-92E0-5847-8BEA-53ECB9E7A682}"/>
    <hyperlink ref="B33" r:id="rId32" display="https://www.ahd.com/states/hospital_ND.html" xr:uid="{CBE7B3D6-2BA5-F541-BCA5-C21E0C479522}"/>
    <hyperlink ref="B34" r:id="rId33" display="https://www.ahd.com/states/hospital_NE.html" xr:uid="{36917C8C-41FF-0848-884E-D658399A173B}"/>
    <hyperlink ref="B35" r:id="rId34" display="https://www.ahd.com/states/hospital_NH.html" xr:uid="{BB9B6F89-6390-DC45-B837-437DA15389FC}"/>
    <hyperlink ref="B36" r:id="rId35" display="https://www.ahd.com/states/hospital_NJ.html" xr:uid="{1995A3B7-ECE7-AD40-AD68-E40FD13FDBDE}"/>
    <hyperlink ref="B37" r:id="rId36" display="https://www.ahd.com/states/hospital_NM.html" xr:uid="{FDC43976-797E-0748-9209-561B4EE0BA1F}"/>
    <hyperlink ref="B38" r:id="rId37" display="https://www.ahd.com/states/hospital_NV.html" xr:uid="{74AEC85B-6C68-1B44-8DBD-65707FD64C69}"/>
    <hyperlink ref="B39" r:id="rId38" display="https://www.ahd.com/states/hospital_NY.html" xr:uid="{D2C5C94A-F1AA-4B43-B938-44016E4D91F1}"/>
    <hyperlink ref="B40" r:id="rId39" display="https://www.ahd.com/states/hospital_OH.html" xr:uid="{39C08A20-DE35-2144-A868-8C40ABE5422D}"/>
    <hyperlink ref="B41" r:id="rId40" display="https://www.ahd.com/states/hospital_OK.html" xr:uid="{1E424803-68BA-9045-BC2D-C3FC6FCA393D}"/>
    <hyperlink ref="B42" r:id="rId41" display="https://www.ahd.com/states/hospital_OR.html" xr:uid="{93AEB3A5-4C47-5C44-AAD1-28EC4919DE8B}"/>
    <hyperlink ref="B43" r:id="rId42" display="https://www.ahd.com/states/hospital_PA.html" xr:uid="{5E6925E9-9814-8843-8ACE-9B3A0E3FC957}"/>
    <hyperlink ref="B44" r:id="rId43" display="https://www.ahd.com/states/hospital_PR.html" xr:uid="{A1000A14-4E3D-FD48-9663-25F2A7E68CD6}"/>
    <hyperlink ref="B45" r:id="rId44" display="https://www.ahd.com/states/hospital_RI.html" xr:uid="{56E6D4F0-9101-9649-9686-C2221EF7D297}"/>
    <hyperlink ref="B46" r:id="rId45" display="https://www.ahd.com/states/hospital_SC.html" xr:uid="{6107230F-4670-3645-88B9-A1F4260FCB1C}"/>
    <hyperlink ref="B47" r:id="rId46" display="https://www.ahd.com/states/hospital_SD.html" xr:uid="{1FA1DCC2-35F4-D646-8081-ECADECED008D}"/>
    <hyperlink ref="B48" r:id="rId47" display="https://www.ahd.com/states/hospital_TN.html" xr:uid="{7EAA2BC5-4B6C-2F45-AA62-8BF93F9CD4DB}"/>
    <hyperlink ref="B49" r:id="rId48" display="https://www.ahd.com/states/hospital_TX.html" xr:uid="{671391F1-39A3-A844-81F4-AE420CF7B45B}"/>
    <hyperlink ref="B50" r:id="rId49" display="https://www.ahd.com/states/hospital_UT.html" xr:uid="{145EC0FD-47AE-EC4D-8185-481D6DAFAAEF}"/>
    <hyperlink ref="B51" r:id="rId50" display="https://www.ahd.com/states/hospital_VA.html" xr:uid="{BB3F392E-23AE-4A4B-A3F7-2CCDE7EE4B87}"/>
    <hyperlink ref="B52" r:id="rId51" display="https://www.ahd.com/states/hospital_VI.html" xr:uid="{B7F4BAB2-6AE3-294D-A161-9A52474BBFBA}"/>
    <hyperlink ref="B53" r:id="rId52" display="https://www.ahd.com/states/hospital_VT.html" xr:uid="{EDB86857-ABB3-394B-A70E-3207ED803CC1}"/>
    <hyperlink ref="B54" r:id="rId53" display="https://www.ahd.com/states/hospital_WA.html" xr:uid="{4A59F118-CBB6-824A-BA13-F5C8D5196A4D}"/>
    <hyperlink ref="B55" r:id="rId54" display="https://www.ahd.com/states/hospital_WI.html" xr:uid="{B492C3A3-10A8-E247-8988-420049CB3A78}"/>
    <hyperlink ref="B56" r:id="rId55" display="https://www.ahd.com/states/hospital_WV.html" xr:uid="{53611EAF-633B-7C41-96F1-89D42C7A1701}"/>
    <hyperlink ref="B57" r:id="rId56" display="https://www.ahd.com/states/hospital_WY.html" xr:uid="{A21467C4-1E20-6643-A426-420DDC84E927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50693-CA2C-4549-96F7-017B964BF000}">
  <sheetPr codeName="Sheet2"/>
  <dimension ref="A1:G12"/>
  <sheetViews>
    <sheetView workbookViewId="0">
      <selection activeCell="G2" sqref="G2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59</v>
      </c>
      <c r="B2" s="2" t="s">
        <v>60</v>
      </c>
      <c r="C2" s="2">
        <v>174</v>
      </c>
      <c r="D2" s="3">
        <v>8376</v>
      </c>
      <c r="E2" s="3">
        <v>38396</v>
      </c>
      <c r="F2" s="4">
        <v>0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"*",CHOOSE({1,2}, Super_CBSA!$E$2:$E$1917, Super_CBSA!$A$2:$A$1917), 2,FALSE), ""))</f>
        <v>11260</v>
      </c>
    </row>
    <row r="3" spans="1:7" ht="17">
      <c r="A3" s="1" t="s">
        <v>61</v>
      </c>
      <c r="B3" s="2" t="s">
        <v>60</v>
      </c>
      <c r="C3" s="2">
        <v>174</v>
      </c>
      <c r="D3" s="3">
        <v>6388</v>
      </c>
      <c r="E3" s="3">
        <v>34726</v>
      </c>
      <c r="F3" s="4">
        <v>1135761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"*",CHOOSE({1,2}, Super_CBSA!$E$2:$E$1917, Super_CBSA!$A$2:$A$1917), 2,FALSE), ""))</f>
        <v>11260</v>
      </c>
    </row>
    <row r="4" spans="1:7" ht="17">
      <c r="A4" s="1" t="s">
        <v>62</v>
      </c>
      <c r="B4" s="2" t="s">
        <v>63</v>
      </c>
      <c r="C4" s="2">
        <v>57</v>
      </c>
      <c r="D4" s="3">
        <v>1647</v>
      </c>
      <c r="E4" s="3">
        <v>6733</v>
      </c>
      <c r="F4" s="4">
        <v>175008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"*",CHOOSE({1,2}, Super_CBSA!$E$2:$E$1917, Super_CBSA!$A$2:$A$1917), 2,FALSE), ""))</f>
        <v>27940</v>
      </c>
    </row>
    <row r="5" spans="1:7" ht="17">
      <c r="A5" s="1" t="s">
        <v>64</v>
      </c>
      <c r="B5" s="2" t="s">
        <v>65</v>
      </c>
      <c r="C5" s="2">
        <v>109</v>
      </c>
      <c r="D5" s="3">
        <v>2525</v>
      </c>
      <c r="E5" s="3">
        <v>9823</v>
      </c>
      <c r="F5" s="4">
        <v>377680</v>
      </c>
      <c r="G5" s="11" t="str" cm="1">
        <f t="array" aca="1" ref="G5" ca="1">IFERROR(VLOOKUP("*" &amp; B5  &amp; "*" &amp; (MID(CELL("filename",A4),FIND("]",CELL("filename",A4))+1,31)) &amp; "*",CHOOSE({1,2}, Super_CBSA!$B$2:$B$1917, Super_CBSA!$A$2:$A$1917), 2,FALSE), IFERROR(VLOOKUP(B5  &amp; "*",CHOOSE({1,2}, Super_CBSA!$E$2:$E$1917, Super_CBSA!$A$2:$A$1917), 2,FALSE), ""))</f>
        <v/>
      </c>
    </row>
    <row r="6" spans="1:7" ht="17">
      <c r="A6" s="1" t="s">
        <v>66</v>
      </c>
      <c r="B6" s="2" t="s">
        <v>67</v>
      </c>
      <c r="C6" s="2">
        <v>212</v>
      </c>
      <c r="D6" s="3">
        <v>4467</v>
      </c>
      <c r="E6" s="3">
        <v>20829</v>
      </c>
      <c r="F6" s="4">
        <v>501562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"*",CHOOSE({1,2}, Super_CBSA!$E$2:$E$1917, Super_CBSA!$A$2:$A$1917), 2,FALSE), ""))</f>
        <v>21820</v>
      </c>
    </row>
    <row r="7" spans="1:7" ht="17">
      <c r="A7" s="1" t="s">
        <v>68</v>
      </c>
      <c r="B7" s="2" t="s">
        <v>69</v>
      </c>
      <c r="C7" s="2">
        <v>0</v>
      </c>
      <c r="D7" s="2">
        <v>0</v>
      </c>
      <c r="E7" s="2">
        <v>0</v>
      </c>
      <c r="F7" s="4">
        <v>0</v>
      </c>
      <c r="G7" s="11" t="str" cm="1">
        <f t="array" aca="1" ref="G7" ca="1">IFERROR(VLOOKUP("*" &amp; B7  &amp; "*" &amp; (MID(CELL("filename",A6),FIND("]",CELL("filename",A6))+1,31)) &amp; "*",CHOOSE({1,2}, Super_CBSA!$B$2:$B$1917, Super_CBSA!$A$2:$A$1917), 2,FALSE), IFERROR(VLOOKUP(B7  &amp; "*",CHOOSE({1,2}, Super_CBSA!$E$2:$E$1917, Super_CBSA!$A$2:$A$1917), 2,FALSE), ""))</f>
        <v/>
      </c>
    </row>
    <row r="8" spans="1:7" ht="17">
      <c r="A8" s="1" t="s">
        <v>70</v>
      </c>
      <c r="B8" s="2" t="s">
        <v>71</v>
      </c>
      <c r="C8" s="2">
        <v>74</v>
      </c>
      <c r="D8" s="3">
        <v>4324</v>
      </c>
      <c r="E8" s="3">
        <v>17811</v>
      </c>
      <c r="F8" s="4">
        <v>744062</v>
      </c>
      <c r="G8" s="11" t="str" cm="1">
        <f t="array" aca="1" ref="G8" ca="1">IFERROR(VLOOKUP("*" &amp; B8  &amp; "*" &amp; (MID(CELL("filename",A7),FIND("]",CELL("filename",A7))+1,31)) &amp; "*",CHOOSE({1,2}, Super_CBSA!$B$2:$B$1917, Super_CBSA!$A$2:$A$1917), 2,FALSE), IFERROR(VLOOKUP(B8  &amp; "*",CHOOSE({1,2}, Super_CBSA!$E$2:$E$1917, Super_CBSA!$A$2:$A$1917), 2,FALSE), ""))</f>
        <v/>
      </c>
    </row>
    <row r="9" spans="1:7" ht="17">
      <c r="A9" s="1" t="s">
        <v>72</v>
      </c>
      <c r="B9" s="2" t="s">
        <v>60</v>
      </c>
      <c r="C9" s="2">
        <v>401</v>
      </c>
      <c r="D9" s="3">
        <v>15660</v>
      </c>
      <c r="E9" s="3">
        <v>109991</v>
      </c>
      <c r="F9" s="4">
        <v>2440247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"*",CHOOSE({1,2}, Super_CBSA!$E$2:$E$1917, Super_CBSA!$A$2:$A$1917), 2,FALSE), ""))</f>
        <v>11260</v>
      </c>
    </row>
    <row r="10" spans="1:7" ht="17">
      <c r="A10" s="1" t="s">
        <v>73</v>
      </c>
      <c r="B10" s="2" t="s">
        <v>60</v>
      </c>
      <c r="C10" s="2">
        <v>0</v>
      </c>
      <c r="D10" s="2">
        <v>0</v>
      </c>
      <c r="E10" s="2">
        <v>0</v>
      </c>
      <c r="F10" s="4">
        <v>0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"*",CHOOSE({1,2}, Super_CBSA!$E$2:$E$1917, Super_CBSA!$A$2:$A$1917), 2,FALSE), ""))</f>
        <v>11260</v>
      </c>
    </row>
    <row r="11" spans="1:7" ht="17">
      <c r="A11" s="1" t="s">
        <v>74</v>
      </c>
      <c r="B11" s="2" t="s">
        <v>75</v>
      </c>
      <c r="C11" s="2">
        <v>34</v>
      </c>
      <c r="D11" s="3">
        <v>1822</v>
      </c>
      <c r="E11" s="3">
        <v>4963</v>
      </c>
      <c r="F11" s="4">
        <v>0</v>
      </c>
      <c r="G11" s="11" t="str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"*",CHOOSE({1,2}, Super_CBSA!$E$2:$E$1917, Super_CBSA!$A$2:$A$1917), 2,FALSE), ""))</f>
        <v/>
      </c>
    </row>
    <row r="12" spans="1:7" ht="17">
      <c r="A12" s="2" t="s">
        <v>56</v>
      </c>
      <c r="B12" s="2"/>
      <c r="C12" s="3">
        <v>1235</v>
      </c>
      <c r="D12" s="3">
        <v>45209</v>
      </c>
      <c r="E12" s="3">
        <v>243272</v>
      </c>
      <c r="F12" s="4">
        <v>5374320</v>
      </c>
    </row>
  </sheetData>
  <hyperlinks>
    <hyperlink ref="A2" r:id="rId1" display="https://www.ahd.com/free_profile/020026/Alaska_Native_Medical_Center/Anchorage/Alaska/" xr:uid="{0CB846E7-E5AF-E745-AE67-F36F6384A8DB}"/>
    <hyperlink ref="A3" r:id="rId2" display="https://www.ahd.com/free_profile/020017/Alaska_Regional_Hospital/Anchorage/Alaska/" xr:uid="{6AD33FF3-85D4-9D46-ACE8-8EC799D90F63}"/>
    <hyperlink ref="A4" r:id="rId3" display="https://www.ahd.com/free_profile/020008/Bartlett_Regional_Hospital/Juneau/Alaska/" xr:uid="{26F204B6-F529-164E-89FA-5703EB36A72F}"/>
    <hyperlink ref="A5" r:id="rId4" display="https://www.ahd.com/free_profile/020024/Central_Peninsula_General_Hospital/Soldotna/Alaska/" xr:uid="{2FF9F7F5-06AB-7F41-B15B-03E5D57E6155}"/>
    <hyperlink ref="A6" r:id="rId5" display="https://www.ahd.com/free_profile/020012/Foundation_Health_Partners_Fairbanks_Memorial_Hospital/Fairbanks/Alaska/" xr:uid="{8478FEE8-64A2-A64E-8484-BB00DCE78B99}"/>
    <hyperlink ref="A7" r:id="rId6" display="https://www.ahd.com/free_profile/I07814/JBER_Elmendorf__Air_Force__Base_Hospital/Elmendorf_Air_Force_Base/Alaska/" xr:uid="{243114DC-A06A-034C-BB14-1E1F947422A5}"/>
    <hyperlink ref="A8" r:id="rId7" display="https://www.ahd.com/free_profile/020006/Mat-Su_Regional_Medical_Center/Palmer/Alaska/" xr:uid="{0A243E9D-4939-7649-AE36-33B84F7D93EB}"/>
    <hyperlink ref="A9" r:id="rId8" display="https://www.ahd.com/free_profile/020001/Providence_Alaska_Medical_Center/Anchorage/Alaska/" xr:uid="{9FA0E4CF-91B0-724E-8CC8-DFAD26AC184A}"/>
    <hyperlink ref="A10" r:id="rId9" display="https://www.ahd.com/free_profile/I42087/The_Children%27s_Hospital_at_Providence/Anchorage/Alaska/" xr:uid="{3F6A22FC-69D4-784E-B61E-34BA4772FFC7}"/>
    <hyperlink ref="A11" r:id="rId10" display="https://www.ahd.com/free_profile/020018/Yukon-Kuskokwim_Delta_Regional_Hospital/Bethel/Alaska/" xr:uid="{0E6294CC-7867-3D4F-ABB3-A1F2DECB2E7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93AE6-C10B-D44F-9208-37766768CAC5}">
  <sheetPr codeName="Sheet3"/>
  <dimension ref="A1:G91"/>
  <sheetViews>
    <sheetView topLeftCell="A50" zoomScaleNormal="100" workbookViewId="0">
      <selection activeCell="G63" sqref="G63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76</v>
      </c>
      <c r="B2" s="2" t="s">
        <v>77</v>
      </c>
      <c r="C2" s="2">
        <v>45</v>
      </c>
      <c r="D2" s="2">
        <v>604</v>
      </c>
      <c r="E2" s="3">
        <v>2457</v>
      </c>
      <c r="F2" s="4">
        <v>77393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"*",CHOOSE({1,2}, Super_CBSA!$E$2:$E$1917, Super_CBSA!$A$2:$A$1917), 2,FALSE), ""))</f>
        <v>44300</v>
      </c>
    </row>
    <row r="3" spans="1:7" ht="17">
      <c r="A3" s="1" t="s">
        <v>78</v>
      </c>
      <c r="B3" s="2" t="s">
        <v>79</v>
      </c>
      <c r="C3" s="2">
        <v>125</v>
      </c>
      <c r="D3" s="3">
        <v>2716</v>
      </c>
      <c r="E3" s="3">
        <v>11821</v>
      </c>
      <c r="F3" s="4">
        <v>455439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"*",CHOOSE({1,2}, Super_CBSA!$E$2:$E$1917, Super_CBSA!$A$2:$A$1917), 2,FALSE), ""))</f>
        <v>11500</v>
      </c>
    </row>
    <row r="4" spans="1:7" ht="17">
      <c r="A4" s="1" t="s">
        <v>80</v>
      </c>
      <c r="B4" s="2" t="s">
        <v>81</v>
      </c>
      <c r="C4" s="2">
        <v>83</v>
      </c>
      <c r="D4" s="3">
        <v>2882</v>
      </c>
      <c r="E4" s="3">
        <v>10810</v>
      </c>
      <c r="F4" s="4">
        <v>274420</v>
      </c>
      <c r="G4" s="11" t="str" cm="1">
        <f t="array" aca="1" ref="G4" ca="1">IFERROR(VLOOKUP("*" &amp; B4  &amp; "*" &amp; (MID(CELL("filename",A3),FIND("]",CELL("filename",A3))+1,31)) &amp; "*",CHOOSE({1,2}, Super_CBSA!$B$2:$B$1917, Super_CBSA!$A$2:$A$1917), 2,FALSE), IFERROR(VLOOKUP(B4  &amp; "*",CHOOSE({1,2}, Super_CBSA!$E$2:$E$1917, Super_CBSA!$A$2:$A$1917), 2,FALSE), ""))</f>
        <v/>
      </c>
    </row>
    <row r="5" spans="1:7" ht="17">
      <c r="A5" s="1" t="s">
        <v>82</v>
      </c>
      <c r="B5" s="2" t="s">
        <v>83</v>
      </c>
      <c r="C5" s="2">
        <v>66</v>
      </c>
      <c r="D5" s="3">
        <v>4144</v>
      </c>
      <c r="E5" s="3">
        <v>13306</v>
      </c>
      <c r="F5" s="4">
        <v>287915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"*",CHOOSE({1,2}, Super_CBSA!$E$2:$E$1917, Super_CBSA!$A$2:$A$1917), 2,FALSE), ""))</f>
        <v>11900</v>
      </c>
    </row>
    <row r="6" spans="1:7" ht="17">
      <c r="A6" s="1" t="s">
        <v>84</v>
      </c>
      <c r="B6" s="2" t="s">
        <v>85</v>
      </c>
      <c r="C6" s="2">
        <v>49</v>
      </c>
      <c r="D6" s="3">
        <v>1333</v>
      </c>
      <c r="E6" s="3">
        <v>4932</v>
      </c>
      <c r="F6" s="4">
        <v>75898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"*",CHOOSE({1,2}, Super_CBSA!$E$2:$E$1917, Super_CBSA!$A$2:$A$1917), 2,FALSE), ""))</f>
        <v>12120</v>
      </c>
    </row>
    <row r="7" spans="1:7" ht="17">
      <c r="A7" s="1" t="s">
        <v>86</v>
      </c>
      <c r="B7" s="2" t="s">
        <v>87</v>
      </c>
      <c r="C7" s="2">
        <v>207</v>
      </c>
      <c r="D7" s="3">
        <v>14510</v>
      </c>
      <c r="E7" s="3">
        <v>53341</v>
      </c>
      <c r="F7" s="4">
        <v>546969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"*",CHOOSE({1,2}, Super_CBSA!$E$2:$E$1917, Super_CBSA!$A$2:$A$1917), 2,FALSE), ""))</f>
        <v>33860</v>
      </c>
    </row>
    <row r="8" spans="1:7" ht="17">
      <c r="A8" s="1" t="s">
        <v>88</v>
      </c>
      <c r="B8" s="2" t="s">
        <v>87</v>
      </c>
      <c r="C8" s="2">
        <v>380</v>
      </c>
      <c r="D8" s="3">
        <v>17309</v>
      </c>
      <c r="E8" s="3">
        <v>84119</v>
      </c>
      <c r="F8" s="4">
        <v>1515367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"*",CHOOSE({1,2}, Super_CBSA!$E$2:$E$1917, Super_CBSA!$A$2:$A$1917), 2,FALSE), ""))</f>
        <v>33860</v>
      </c>
    </row>
    <row r="9" spans="1:7" ht="17">
      <c r="A9" s="1" t="s">
        <v>89</v>
      </c>
      <c r="B9" s="2" t="s">
        <v>90</v>
      </c>
      <c r="C9" s="2">
        <v>156</v>
      </c>
      <c r="D9" s="2">
        <v>385</v>
      </c>
      <c r="E9" s="3">
        <v>1446</v>
      </c>
      <c r="F9" s="4">
        <v>31783</v>
      </c>
      <c r="G9" s="11" t="str" cm="1">
        <f t="array" aca="1" ref="G9" ca="1">IFERROR(VLOOKUP("*" &amp; B9  &amp; "*" &amp; (MID(CELL("filename",A8),FIND("]",CELL("filename",A8))+1,31)) &amp; "*",CHOOSE({1,2}, Super_CBSA!$B$2:$B$1917, Super_CBSA!$A$2:$A$1917), 2,FALSE), IFERROR(VLOOKUP(B9  &amp; "*",CHOOSE({1,2}, Super_CBSA!$E$2:$E$1917, Super_CBSA!$A$2:$A$1917), 2,FALSE), ""))</f>
        <v/>
      </c>
    </row>
    <row r="10" spans="1:7" ht="17">
      <c r="A10" s="1" t="s">
        <v>91</v>
      </c>
      <c r="B10" s="2" t="s">
        <v>92</v>
      </c>
      <c r="C10" s="2">
        <v>0</v>
      </c>
      <c r="D10" s="2">
        <v>0</v>
      </c>
      <c r="E10" s="2">
        <v>0</v>
      </c>
      <c r="F10" s="4">
        <v>0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"*",CHOOSE({1,2}, Super_CBSA!$E$2:$E$1917, Super_CBSA!$A$2:$A$1917), 2,FALSE), ""))</f>
        <v>13820</v>
      </c>
    </row>
    <row r="11" spans="1:7" ht="17">
      <c r="A11" s="1" t="s">
        <v>93</v>
      </c>
      <c r="B11" s="2" t="s">
        <v>92</v>
      </c>
      <c r="C11" s="2">
        <v>595</v>
      </c>
      <c r="D11" s="3">
        <v>15775</v>
      </c>
      <c r="E11" s="3">
        <v>76452</v>
      </c>
      <c r="F11" s="4">
        <v>3338482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"*",CHOOSE({1,2}, Super_CBSA!$E$2:$E$1917, Super_CBSA!$A$2:$A$1917), 2,FALSE), ""))</f>
        <v>13820</v>
      </c>
    </row>
    <row r="12" spans="1:7" ht="17">
      <c r="A12" s="1" t="s">
        <v>94</v>
      </c>
      <c r="B12" s="2" t="s">
        <v>95</v>
      </c>
      <c r="C12" s="2">
        <v>57</v>
      </c>
      <c r="D12" s="3">
        <v>1028</v>
      </c>
      <c r="E12" s="3">
        <v>3535</v>
      </c>
      <c r="F12" s="4">
        <v>67123</v>
      </c>
      <c r="G12" s="11" t="str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"*",CHOOSE({1,2}, Super_CBSA!$E$2:$E$1917, Super_CBSA!$A$2:$A$1917), 2,FALSE), ""))</f>
        <v/>
      </c>
    </row>
    <row r="13" spans="1:7" ht="17">
      <c r="A13" s="1" t="s">
        <v>96</v>
      </c>
      <c r="B13" s="2" t="s">
        <v>97</v>
      </c>
      <c r="C13" s="2">
        <v>54</v>
      </c>
      <c r="D13" s="2">
        <v>473</v>
      </c>
      <c r="E13" s="3">
        <v>2331</v>
      </c>
      <c r="F13" s="4">
        <v>44064</v>
      </c>
      <c r="G13" s="11" t="str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"*",CHOOSE({1,2}, Super_CBSA!$E$2:$E$1917, Super_CBSA!$A$2:$A$1917), 2,FALSE), ""))</f>
        <v/>
      </c>
    </row>
    <row r="14" spans="1:7" ht="17">
      <c r="A14" s="1" t="s">
        <v>98</v>
      </c>
      <c r="B14" s="2" t="s">
        <v>99</v>
      </c>
      <c r="C14" s="2">
        <v>0</v>
      </c>
      <c r="D14" s="2">
        <v>0</v>
      </c>
      <c r="E14" s="2">
        <v>0</v>
      </c>
      <c r="F14" s="4">
        <v>0</v>
      </c>
      <c r="G14" s="11" t="str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"*",CHOOSE({1,2}, Super_CBSA!$E$2:$E$1917, Super_CBSA!$A$2:$A$1917), 2,FALSE), ""))</f>
        <v/>
      </c>
    </row>
    <row r="15" spans="1:7" ht="17">
      <c r="A15" s="1" t="s">
        <v>100</v>
      </c>
      <c r="B15" s="2" t="s">
        <v>87</v>
      </c>
      <c r="C15" s="2">
        <v>0</v>
      </c>
      <c r="D15" s="2">
        <v>0</v>
      </c>
      <c r="E15" s="2">
        <v>0</v>
      </c>
      <c r="F15" s="4">
        <v>0</v>
      </c>
      <c r="G15" s="11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"*",CHOOSE({1,2}, Super_CBSA!$E$2:$E$1917, Super_CBSA!$A$2:$A$1917), 2,FALSE), ""))</f>
        <v>33860</v>
      </c>
    </row>
    <row r="16" spans="1:7" ht="17">
      <c r="A16" s="1" t="s">
        <v>101</v>
      </c>
      <c r="B16" s="2" t="s">
        <v>102</v>
      </c>
      <c r="C16" s="2">
        <v>98</v>
      </c>
      <c r="D16" s="3">
        <v>1916</v>
      </c>
      <c r="E16" s="3">
        <v>6564</v>
      </c>
      <c r="F16" s="4">
        <v>252096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"*",CHOOSE({1,2}, Super_CBSA!$E$2:$E$1917, Super_CBSA!$A$2:$A$1917), 2,FALSE), ""))</f>
        <v>45180</v>
      </c>
    </row>
    <row r="17" spans="1:7" ht="17">
      <c r="A17" s="1" t="s">
        <v>103</v>
      </c>
      <c r="B17" s="2" t="s">
        <v>104</v>
      </c>
      <c r="C17" s="2">
        <v>129</v>
      </c>
      <c r="D17" s="2">
        <v>927</v>
      </c>
      <c r="E17" s="3">
        <v>3991</v>
      </c>
      <c r="F17" s="4">
        <v>37286</v>
      </c>
      <c r="G17" s="11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"*",CHOOSE({1,2}, Super_CBSA!$E$2:$E$1917, Super_CBSA!$A$2:$A$1917), 2,FALSE), ""))</f>
        <v>11740</v>
      </c>
    </row>
    <row r="18" spans="1:7" ht="17">
      <c r="A18" s="1" t="s">
        <v>105</v>
      </c>
      <c r="B18" s="2" t="s">
        <v>106</v>
      </c>
      <c r="C18" s="2">
        <v>47</v>
      </c>
      <c r="D18" s="2">
        <v>694</v>
      </c>
      <c r="E18" s="3">
        <v>2864</v>
      </c>
      <c r="F18" s="4">
        <v>36827</v>
      </c>
      <c r="G18" s="11" t="str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"*",CHOOSE({1,2}, Super_CBSA!$E$2:$E$1917, Super_CBSA!$A$2:$A$1917), 2,FALSE), ""))</f>
        <v/>
      </c>
    </row>
    <row r="19" spans="1:7" ht="17">
      <c r="A19" s="1" t="s">
        <v>107</v>
      </c>
      <c r="B19" s="2" t="s">
        <v>108</v>
      </c>
      <c r="C19" s="2">
        <v>222</v>
      </c>
      <c r="D19" s="3">
        <v>3011</v>
      </c>
      <c r="E19" s="3">
        <v>12704</v>
      </c>
      <c r="F19" s="4">
        <v>311037</v>
      </c>
      <c r="G19" s="11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"*",CHOOSE({1,2}, Super_CBSA!$E$2:$E$1917, Super_CBSA!$A$2:$A$1917), 2,FALSE), ""))</f>
        <v>45180</v>
      </c>
    </row>
    <row r="20" spans="1:7" ht="17">
      <c r="A20" s="1" t="s">
        <v>109</v>
      </c>
      <c r="B20" s="2" t="s">
        <v>110</v>
      </c>
      <c r="C20" s="2">
        <v>49</v>
      </c>
      <c r="D20" s="2">
        <v>314</v>
      </c>
      <c r="E20" s="3">
        <v>1323</v>
      </c>
      <c r="F20" s="4">
        <v>37017</v>
      </c>
      <c r="G20" s="11" t="str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"*",CHOOSE({1,2}, Super_CBSA!$E$2:$E$1917, Super_CBSA!$A$2:$A$1917), 2,FALSE), ""))</f>
        <v/>
      </c>
    </row>
    <row r="21" spans="1:7" ht="17">
      <c r="A21" s="1" t="s">
        <v>111</v>
      </c>
      <c r="B21" s="2" t="s">
        <v>112</v>
      </c>
      <c r="C21" s="2">
        <v>183</v>
      </c>
      <c r="D21" s="3">
        <v>10985</v>
      </c>
      <c r="E21" s="3">
        <v>40916</v>
      </c>
      <c r="F21" s="4">
        <v>2671118</v>
      </c>
      <c r="G21" s="11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"*",CHOOSE({1,2}, Super_CBSA!$E$2:$E$1917, Super_CBSA!$A$2:$A$1917), 2,FALSE), ""))</f>
        <v>26620</v>
      </c>
    </row>
    <row r="22" spans="1:7" ht="17">
      <c r="A22" s="1" t="s">
        <v>113</v>
      </c>
      <c r="B22" s="2" t="s">
        <v>114</v>
      </c>
      <c r="C22" s="2">
        <v>145</v>
      </c>
      <c r="D22" s="3">
        <v>7771</v>
      </c>
      <c r="E22" s="3">
        <v>26895</v>
      </c>
      <c r="F22" s="4">
        <v>535354</v>
      </c>
      <c r="G22" s="11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"*",CHOOSE({1,2}, Super_CBSA!$E$2:$E$1917, Super_CBSA!$A$2:$A$1917), 2,FALSE), ""))</f>
        <v>18980</v>
      </c>
    </row>
    <row r="23" spans="1:7" ht="17">
      <c r="A23" s="1" t="s">
        <v>115</v>
      </c>
      <c r="B23" s="2" t="s">
        <v>116</v>
      </c>
      <c r="C23" s="2">
        <v>46</v>
      </c>
      <c r="D23" s="3">
        <v>1586</v>
      </c>
      <c r="E23" s="3">
        <v>6328</v>
      </c>
      <c r="F23" s="4">
        <v>78915</v>
      </c>
      <c r="G23" s="11" t="str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"*",CHOOSE({1,2}, Super_CBSA!$E$2:$E$1917, Super_CBSA!$A$2:$A$1917), 2,FALSE), ""))</f>
        <v/>
      </c>
    </row>
    <row r="24" spans="1:7" ht="17">
      <c r="A24" s="1" t="s">
        <v>117</v>
      </c>
      <c r="B24" s="2" t="s">
        <v>118</v>
      </c>
      <c r="C24" s="2">
        <v>89</v>
      </c>
      <c r="D24" s="3">
        <v>1132</v>
      </c>
      <c r="E24" s="3">
        <v>7315</v>
      </c>
      <c r="F24" s="4">
        <v>92502</v>
      </c>
      <c r="G24" s="11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"*",CHOOSE({1,2}, Super_CBSA!$E$2:$E$1917, Super_CBSA!$A$2:$A$1917), 2,FALSE), ""))</f>
        <v>37120</v>
      </c>
    </row>
    <row r="25" spans="1:7" ht="17">
      <c r="A25" s="1" t="s">
        <v>119</v>
      </c>
      <c r="B25" s="2" t="s">
        <v>120</v>
      </c>
      <c r="C25" s="2">
        <v>620</v>
      </c>
      <c r="D25" s="3">
        <v>31491</v>
      </c>
      <c r="E25" s="3">
        <v>146852</v>
      </c>
      <c r="F25" s="4">
        <v>0</v>
      </c>
      <c r="G25" s="11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"*",CHOOSE({1,2}, Super_CBSA!$E$2:$E$1917, Super_CBSA!$A$2:$A$1917), 2,FALSE), ""))</f>
        <v>46220</v>
      </c>
    </row>
    <row r="26" spans="1:7" ht="17">
      <c r="A26" s="1" t="s">
        <v>121</v>
      </c>
      <c r="B26" s="2" t="s">
        <v>122</v>
      </c>
      <c r="C26" s="2">
        <v>286</v>
      </c>
      <c r="D26" s="3">
        <v>8787</v>
      </c>
      <c r="E26" s="3">
        <v>41331</v>
      </c>
      <c r="F26" s="4">
        <v>465539</v>
      </c>
      <c r="G26" s="11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"*",CHOOSE({1,2}, Super_CBSA!$E$2:$E$1917, Super_CBSA!$A$2:$A$1917), 2,FALSE), ""))</f>
        <v>19460</v>
      </c>
    </row>
    <row r="27" spans="1:7" ht="17">
      <c r="A27" s="1" t="s">
        <v>123</v>
      </c>
      <c r="B27" s="2" t="s">
        <v>122</v>
      </c>
      <c r="C27" s="2">
        <v>120</v>
      </c>
      <c r="D27" s="3">
        <v>1560</v>
      </c>
      <c r="E27" s="3">
        <v>5928</v>
      </c>
      <c r="F27" s="4">
        <v>186633</v>
      </c>
      <c r="G27" s="11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"*",CHOOSE({1,2}, Super_CBSA!$E$2:$E$1917, Super_CBSA!$A$2:$A$1917), 2,FALSE), ""))</f>
        <v>19460</v>
      </c>
    </row>
    <row r="28" spans="1:7" ht="17">
      <c r="A28" s="1" t="s">
        <v>124</v>
      </c>
      <c r="B28" s="2" t="s">
        <v>125</v>
      </c>
      <c r="C28" s="2">
        <v>115</v>
      </c>
      <c r="D28" s="3">
        <v>3207</v>
      </c>
      <c r="E28" s="3">
        <v>11591</v>
      </c>
      <c r="F28" s="4">
        <v>456842</v>
      </c>
      <c r="G28" s="11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"*",CHOOSE({1,2}, Super_CBSA!$E$2:$E$1917, Super_CBSA!$A$2:$A$1917), 2,FALSE), ""))</f>
        <v>22840</v>
      </c>
    </row>
    <row r="29" spans="1:7" ht="17">
      <c r="A29" s="1" t="s">
        <v>126</v>
      </c>
      <c r="B29" s="2" t="s">
        <v>127</v>
      </c>
      <c r="C29" s="2">
        <v>339</v>
      </c>
      <c r="D29" s="3">
        <v>17291</v>
      </c>
      <c r="E29" s="3">
        <v>78863</v>
      </c>
      <c r="F29" s="4">
        <v>851279</v>
      </c>
      <c r="G29" s="11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"*",CHOOSE({1,2}, Super_CBSA!$E$2:$E$1917, Super_CBSA!$A$2:$A$1917), 2,FALSE), ""))</f>
        <v>12220</v>
      </c>
    </row>
    <row r="30" spans="1:7" ht="17">
      <c r="A30" s="1" t="s">
        <v>128</v>
      </c>
      <c r="B30" s="2" t="s">
        <v>129</v>
      </c>
      <c r="C30" s="2">
        <v>187</v>
      </c>
      <c r="D30" s="3">
        <v>2532</v>
      </c>
      <c r="E30" s="3">
        <v>11600</v>
      </c>
      <c r="F30" s="4">
        <v>77366</v>
      </c>
      <c r="G30" s="11" t="str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"*",CHOOSE({1,2}, Super_CBSA!$E$2:$E$1917, Super_CBSA!$A$2:$A$1917), 2,FALSE), ""))</f>
        <v/>
      </c>
    </row>
    <row r="31" spans="1:7" ht="17">
      <c r="A31" s="1" t="s">
        <v>130</v>
      </c>
      <c r="B31" s="2" t="s">
        <v>131</v>
      </c>
      <c r="C31" s="2">
        <v>33</v>
      </c>
      <c r="D31" s="2">
        <v>789</v>
      </c>
      <c r="E31" s="3">
        <v>3590</v>
      </c>
      <c r="F31" s="4">
        <v>42042</v>
      </c>
      <c r="G31" s="11" t="str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"*",CHOOSE({1,2}, Super_CBSA!$E$2:$E$1917, Super_CBSA!$A$2:$A$1917), 2,FALSE), ""))</f>
        <v/>
      </c>
    </row>
    <row r="32" spans="1:7" ht="17">
      <c r="A32" s="1" t="s">
        <v>132</v>
      </c>
      <c r="B32" s="2" t="s">
        <v>133</v>
      </c>
      <c r="C32" s="2">
        <v>44</v>
      </c>
      <c r="D32" s="3">
        <v>1543</v>
      </c>
      <c r="E32" s="3">
        <v>4719</v>
      </c>
      <c r="F32" s="4">
        <v>35605</v>
      </c>
      <c r="G32" s="11" t="str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"*",CHOOSE({1,2}, Super_CBSA!$E$2:$E$1917, Super_CBSA!$A$2:$A$1917), 2,FALSE), ""))</f>
        <v/>
      </c>
    </row>
    <row r="33" spans="1:7" ht="17">
      <c r="A33" s="1" t="s">
        <v>134</v>
      </c>
      <c r="B33" s="2" t="s">
        <v>135</v>
      </c>
      <c r="C33" s="2">
        <v>167</v>
      </c>
      <c r="D33" s="2">
        <v>693</v>
      </c>
      <c r="E33" s="3">
        <v>1821</v>
      </c>
      <c r="F33" s="4">
        <v>76134</v>
      </c>
      <c r="G33" s="11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"*",CHOOSE({1,2}, Super_CBSA!$E$2:$E$1917, Super_CBSA!$A$2:$A$1917), 2,FALSE), ""))</f>
        <v>22220</v>
      </c>
    </row>
    <row r="34" spans="1:7" ht="17">
      <c r="A34" s="1" t="s">
        <v>136</v>
      </c>
      <c r="B34" s="2" t="s">
        <v>137</v>
      </c>
      <c r="C34" s="2">
        <v>235</v>
      </c>
      <c r="D34" s="3">
        <v>12538</v>
      </c>
      <c r="E34" s="3">
        <v>57206</v>
      </c>
      <c r="F34" s="4">
        <v>2234675</v>
      </c>
      <c r="G34" s="11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"*",CHOOSE({1,2}, Super_CBSA!$E$2:$E$1917, Super_CBSA!$A$2:$A$1917), 2,FALSE), ""))</f>
        <v>20020</v>
      </c>
    </row>
    <row r="35" spans="1:7" ht="17">
      <c r="A35" s="1" t="s">
        <v>138</v>
      </c>
      <c r="B35" s="2" t="s">
        <v>139</v>
      </c>
      <c r="C35" s="2">
        <v>271</v>
      </c>
      <c r="D35" s="3">
        <v>12898</v>
      </c>
      <c r="E35" s="3">
        <v>61618</v>
      </c>
      <c r="F35" s="4">
        <v>2707818</v>
      </c>
      <c r="G35" s="11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"*",CHOOSE({1,2}, Super_CBSA!$E$2:$E$1917, Super_CBSA!$A$2:$A$1917), 2,FALSE), ""))</f>
        <v>23460</v>
      </c>
    </row>
    <row r="36" spans="1:7" ht="17">
      <c r="A36" s="1" t="s">
        <v>140</v>
      </c>
      <c r="B36" s="2" t="s">
        <v>92</v>
      </c>
      <c r="C36" s="2">
        <v>402</v>
      </c>
      <c r="D36" s="3">
        <v>21858</v>
      </c>
      <c r="E36" s="3">
        <v>105337</v>
      </c>
      <c r="F36" s="4">
        <v>4853473</v>
      </c>
      <c r="G36" s="11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"*",CHOOSE({1,2}, Super_CBSA!$E$2:$E$1917, Super_CBSA!$A$2:$A$1917), 2,FALSE), ""))</f>
        <v>13820</v>
      </c>
    </row>
    <row r="37" spans="1:7" ht="17">
      <c r="A37" s="1" t="s">
        <v>141</v>
      </c>
      <c r="B37" s="2" t="s">
        <v>142</v>
      </c>
      <c r="C37" s="2">
        <v>92</v>
      </c>
      <c r="D37" s="2">
        <v>355</v>
      </c>
      <c r="E37" s="3">
        <v>1764</v>
      </c>
      <c r="F37" s="4">
        <v>13140</v>
      </c>
      <c r="G37" s="11" t="str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"*",CHOOSE({1,2}, Super_CBSA!$E$2:$E$1917, Super_CBSA!$A$2:$A$1917), 2,FALSE), ""))</f>
        <v/>
      </c>
    </row>
    <row r="38" spans="1:7" ht="17">
      <c r="A38" s="1" t="s">
        <v>143</v>
      </c>
      <c r="B38" s="2" t="s">
        <v>144</v>
      </c>
      <c r="C38" s="2">
        <v>30</v>
      </c>
      <c r="D38" s="2">
        <v>840</v>
      </c>
      <c r="E38" s="3">
        <v>2895</v>
      </c>
      <c r="F38" s="4">
        <v>49251</v>
      </c>
      <c r="G38" s="11" t="str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"*",CHOOSE({1,2}, Super_CBSA!$E$2:$E$1917, Super_CBSA!$A$2:$A$1917), 2,FALSE), ""))</f>
        <v/>
      </c>
    </row>
    <row r="39" spans="1:7" ht="17">
      <c r="A39" s="1" t="s">
        <v>145</v>
      </c>
      <c r="B39" s="2" t="s">
        <v>146</v>
      </c>
      <c r="C39" s="2">
        <v>28</v>
      </c>
      <c r="D39" s="2">
        <v>380</v>
      </c>
      <c r="E39" s="3">
        <v>1183</v>
      </c>
      <c r="F39" s="4">
        <v>18234</v>
      </c>
      <c r="G39" s="11" t="str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"*",CHOOSE({1,2}, Super_CBSA!$E$2:$E$1917, Super_CBSA!$A$2:$A$1917), 2,FALSE), ""))</f>
        <v/>
      </c>
    </row>
    <row r="40" spans="1:7" ht="17">
      <c r="A40" s="1" t="s">
        <v>147</v>
      </c>
      <c r="B40" s="2" t="s">
        <v>148</v>
      </c>
      <c r="C40" s="2">
        <v>178</v>
      </c>
      <c r="D40" s="3">
        <v>6996</v>
      </c>
      <c r="E40" s="3">
        <v>27602</v>
      </c>
      <c r="F40" s="4">
        <v>484066</v>
      </c>
      <c r="G40" s="11" t="str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"*",CHOOSE({1,2}, Super_CBSA!$E$2:$E$1917, Super_CBSA!$A$2:$A$1917), 2,FALSE), ""))</f>
        <v/>
      </c>
    </row>
    <row r="41" spans="1:7" ht="17">
      <c r="A41" s="1" t="s">
        <v>149</v>
      </c>
      <c r="B41" s="2" t="s">
        <v>150</v>
      </c>
      <c r="C41" s="2">
        <v>95</v>
      </c>
      <c r="D41" s="3">
        <v>2622</v>
      </c>
      <c r="E41" s="3">
        <v>10784</v>
      </c>
      <c r="F41" s="4">
        <v>122308</v>
      </c>
      <c r="G41" s="11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"*",CHOOSE({1,2}, Super_CBSA!$E$2:$E$1917, Super_CBSA!$A$2:$A$1917), 2,FALSE), ""))</f>
        <v>42460</v>
      </c>
    </row>
    <row r="42" spans="1:7" ht="17">
      <c r="A42" s="1" t="s">
        <v>151</v>
      </c>
      <c r="B42" s="2" t="s">
        <v>152</v>
      </c>
      <c r="C42" s="2">
        <v>33</v>
      </c>
      <c r="D42" s="2">
        <v>435</v>
      </c>
      <c r="E42" s="3">
        <v>5460</v>
      </c>
      <c r="F42" s="4">
        <v>10012</v>
      </c>
      <c r="G42" s="11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"*",CHOOSE({1,2}, Super_CBSA!$E$2:$E$1917, Super_CBSA!$A$2:$A$1917), 2,FALSE), ""))</f>
        <v>16740</v>
      </c>
    </row>
    <row r="43" spans="1:7" ht="17">
      <c r="A43" s="1" t="s">
        <v>153</v>
      </c>
      <c r="B43" s="2" t="s">
        <v>112</v>
      </c>
      <c r="C43" s="2">
        <v>912</v>
      </c>
      <c r="D43" s="3">
        <v>49884</v>
      </c>
      <c r="E43" s="3">
        <v>239808</v>
      </c>
      <c r="F43" s="4">
        <v>5113560</v>
      </c>
      <c r="G43" s="11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"*",CHOOSE({1,2}, Super_CBSA!$E$2:$E$1917, Super_CBSA!$A$2:$A$1917), 2,FALSE), ""))</f>
        <v>26620</v>
      </c>
    </row>
    <row r="44" spans="1:7" ht="17">
      <c r="A44" s="1" t="s">
        <v>154</v>
      </c>
      <c r="B44" s="2" t="s">
        <v>155</v>
      </c>
      <c r="C44" s="2">
        <v>47</v>
      </c>
      <c r="D44" s="3">
        <v>2926</v>
      </c>
      <c r="E44" s="3">
        <v>6679</v>
      </c>
      <c r="F44" s="4">
        <v>181864</v>
      </c>
      <c r="G44" s="11" t="str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"*",CHOOSE({1,2}, Super_CBSA!$E$2:$E$1917, Super_CBSA!$A$2:$A$1917), 2,FALSE), ""))</f>
        <v/>
      </c>
    </row>
    <row r="45" spans="1:7" ht="17">
      <c r="A45" s="1" t="s">
        <v>156</v>
      </c>
      <c r="B45" s="2" t="s">
        <v>87</v>
      </c>
      <c r="C45" s="2">
        <v>270</v>
      </c>
      <c r="D45" s="3">
        <v>15439</v>
      </c>
      <c r="E45" s="3">
        <v>74145</v>
      </c>
      <c r="F45" s="4">
        <v>1166903</v>
      </c>
      <c r="G45" s="11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"*",CHOOSE({1,2}, Super_CBSA!$E$2:$E$1917, Super_CBSA!$A$2:$A$1917), 2,FALSE), ""))</f>
        <v>33860</v>
      </c>
    </row>
    <row r="46" spans="1:7" ht="17">
      <c r="A46" s="1" t="s">
        <v>157</v>
      </c>
      <c r="B46" s="2" t="s">
        <v>158</v>
      </c>
      <c r="C46" s="2">
        <v>35</v>
      </c>
      <c r="D46" s="2">
        <v>746</v>
      </c>
      <c r="E46" s="3">
        <v>2653</v>
      </c>
      <c r="F46" s="4">
        <v>33280</v>
      </c>
      <c r="G46" s="11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"*",CHOOSE({1,2}, Super_CBSA!$E$2:$E$1917, Super_CBSA!$A$2:$A$1917), 2,FALSE), ""))</f>
        <v>11060</v>
      </c>
    </row>
    <row r="47" spans="1:7" ht="17">
      <c r="A47" s="1" t="s">
        <v>159</v>
      </c>
      <c r="B47" s="2" t="s">
        <v>160</v>
      </c>
      <c r="C47" s="2">
        <v>21</v>
      </c>
      <c r="D47" s="2">
        <v>180</v>
      </c>
      <c r="E47" s="2">
        <v>504</v>
      </c>
      <c r="F47" s="4">
        <v>8761</v>
      </c>
      <c r="G47" s="11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"*",CHOOSE({1,2}, Super_CBSA!$E$2:$E$1917, Super_CBSA!$A$2:$A$1917), 2,FALSE), ""))</f>
        <v>37980</v>
      </c>
    </row>
    <row r="48" spans="1:7" ht="17">
      <c r="A48" s="1" t="s">
        <v>161</v>
      </c>
      <c r="B48" s="2" t="s">
        <v>162</v>
      </c>
      <c r="C48" s="2">
        <v>46</v>
      </c>
      <c r="D48" s="2">
        <v>574</v>
      </c>
      <c r="E48" s="3">
        <v>1595</v>
      </c>
      <c r="F48" s="4">
        <v>20456</v>
      </c>
      <c r="G48" s="11" t="str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"*",CHOOSE({1,2}, Super_CBSA!$E$2:$E$1917, Super_CBSA!$A$2:$A$1917), 2,FALSE), ""))</f>
        <v/>
      </c>
    </row>
    <row r="49" spans="1:7" ht="17">
      <c r="A49" s="1" t="s">
        <v>163</v>
      </c>
      <c r="B49" s="2" t="s">
        <v>164</v>
      </c>
      <c r="C49" s="2">
        <v>58</v>
      </c>
      <c r="D49" s="3">
        <v>1258</v>
      </c>
      <c r="E49" s="3">
        <v>4583</v>
      </c>
      <c r="F49" s="4">
        <v>52605</v>
      </c>
      <c r="G49" s="11" t="str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"*",CHOOSE({1,2}, Super_CBSA!$E$2:$E$1917, Super_CBSA!$A$2:$A$1917), 2,FALSE), ""))</f>
        <v/>
      </c>
    </row>
    <row r="50" spans="1:7" ht="17">
      <c r="A50" s="1" t="s">
        <v>165</v>
      </c>
      <c r="B50" s="2" t="s">
        <v>166</v>
      </c>
      <c r="C50" s="2">
        <v>43</v>
      </c>
      <c r="D50" s="2">
        <v>573</v>
      </c>
      <c r="E50" s="3">
        <v>1513</v>
      </c>
      <c r="F50" s="4">
        <v>31607</v>
      </c>
      <c r="G50" s="11" t="str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"*",CHOOSE({1,2}, Super_CBSA!$E$2:$E$1917, Super_CBSA!$A$2:$A$1917), 2,FALSE), ""))</f>
        <v/>
      </c>
    </row>
    <row r="51" spans="1:7" ht="17">
      <c r="A51" s="1" t="s">
        <v>167</v>
      </c>
      <c r="B51" s="2" t="s">
        <v>168</v>
      </c>
      <c r="C51" s="2">
        <v>0</v>
      </c>
      <c r="D51" s="2">
        <v>0</v>
      </c>
      <c r="E51" s="2">
        <v>0</v>
      </c>
      <c r="F51" s="4">
        <v>0</v>
      </c>
      <c r="G51" s="11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"*",CHOOSE({1,2}, Super_CBSA!$E$2:$E$1917, Super_CBSA!$A$2:$A$1917), 2,FALSE), ""))</f>
        <v>11700</v>
      </c>
    </row>
    <row r="52" spans="1:7" ht="17">
      <c r="A52" s="1" t="s">
        <v>169</v>
      </c>
      <c r="B52" s="2" t="s">
        <v>170</v>
      </c>
      <c r="C52" s="2">
        <v>90</v>
      </c>
      <c r="D52" s="3">
        <v>4712</v>
      </c>
      <c r="E52" s="3">
        <v>18949</v>
      </c>
      <c r="F52" s="4">
        <v>170481</v>
      </c>
      <c r="G52" s="11" t="str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"*",CHOOSE({1,2}, Super_CBSA!$E$2:$E$1917, Super_CBSA!$A$2:$A$1917), 2,FALSE), ""))</f>
        <v/>
      </c>
    </row>
    <row r="53" spans="1:7" ht="17">
      <c r="A53" s="1" t="s">
        <v>171</v>
      </c>
      <c r="B53" s="2" t="s">
        <v>172</v>
      </c>
      <c r="C53" s="2">
        <v>204</v>
      </c>
      <c r="D53" s="3">
        <v>7640</v>
      </c>
      <c r="E53" s="3">
        <v>34745</v>
      </c>
      <c r="F53" s="4">
        <v>466279</v>
      </c>
      <c r="G53" s="11" t="str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"*",CHOOSE({1,2}, Super_CBSA!$E$2:$E$1917, Super_CBSA!$A$2:$A$1917), 2,FALSE), ""))</f>
        <v/>
      </c>
    </row>
    <row r="54" spans="1:7" ht="17">
      <c r="A54" s="1" t="s">
        <v>173</v>
      </c>
      <c r="B54" s="2" t="s">
        <v>174</v>
      </c>
      <c r="C54" s="2">
        <v>47</v>
      </c>
      <c r="D54" s="3">
        <v>1005</v>
      </c>
      <c r="E54" s="3">
        <v>3931</v>
      </c>
      <c r="F54" s="4">
        <v>63367</v>
      </c>
      <c r="G54" s="11" cm="1">
        <f t="array" aca="1" ref="G54" ca="1">IFERROR(VLOOKUP("*" &amp; B54  &amp; "*" &amp; (MID(CELL("filename",A53),FIND("]",CELL("filename",A53))+1,31)) &amp; "*",CHOOSE({1,2}, Super_CBSA!$B$2:$B$1917, Super_CBSA!$A$2:$A$1917), 2,FALSE), IFERROR(VLOOKUP(B54  &amp; "*",CHOOSE({1,2}, Super_CBSA!$E$2:$E$1917, Super_CBSA!$A$2:$A$1917), 2,FALSE), ""))</f>
        <v>21640</v>
      </c>
    </row>
    <row r="55" spans="1:7" ht="17">
      <c r="A55" s="1" t="s">
        <v>175</v>
      </c>
      <c r="B55" s="2" t="s">
        <v>176</v>
      </c>
      <c r="C55" s="2">
        <v>99</v>
      </c>
      <c r="D55" s="3">
        <v>3392</v>
      </c>
      <c r="E55" s="3">
        <v>10114</v>
      </c>
      <c r="F55" s="4">
        <v>616502</v>
      </c>
      <c r="G55" s="11" cm="1">
        <f t="array" aca="1" ref="G55" ca="1">IFERROR(VLOOKUP("*" &amp; B55  &amp; "*" &amp; (MID(CELL("filename",A54),FIND("]",CELL("filename",A54))+1,31)) &amp; "*",CHOOSE({1,2}, Super_CBSA!$B$2:$B$1917, Super_CBSA!$A$2:$A$1917), 2,FALSE), IFERROR(VLOOKUP(B55  &amp; "*",CHOOSE({1,2}, Super_CBSA!$E$2:$E$1917, Super_CBSA!$A$2:$A$1917), 2,FALSE), ""))</f>
        <v>21460</v>
      </c>
    </row>
    <row r="56" spans="1:7" ht="17">
      <c r="A56" s="1" t="s">
        <v>177</v>
      </c>
      <c r="B56" s="2" t="s">
        <v>178</v>
      </c>
      <c r="C56" s="2">
        <v>231</v>
      </c>
      <c r="D56" s="3">
        <v>6652</v>
      </c>
      <c r="E56" s="3">
        <v>32107</v>
      </c>
      <c r="F56" s="4">
        <v>618111</v>
      </c>
      <c r="G56" s="11" t="str" cm="1">
        <f t="array" aca="1" ref="G56" ca="1">IFERROR(VLOOKUP("*" &amp; B56  &amp; "*" &amp; (MID(CELL("filename",A55),FIND("]",CELL("filename",A55))+1,31)) &amp; "*",CHOOSE({1,2}, Super_CBSA!$B$2:$B$1917, Super_CBSA!$A$2:$A$1917), 2,FALSE), IFERROR(VLOOKUP(B56  &amp; "*",CHOOSE({1,2}, Super_CBSA!$E$2:$E$1917, Super_CBSA!$A$2:$A$1917), 2,FALSE), ""))</f>
        <v/>
      </c>
    </row>
    <row r="57" spans="1:7" ht="17">
      <c r="A57" s="1" t="s">
        <v>179</v>
      </c>
      <c r="B57" s="2" t="s">
        <v>180</v>
      </c>
      <c r="C57" s="2">
        <v>59</v>
      </c>
      <c r="D57" s="3">
        <v>1077</v>
      </c>
      <c r="E57" s="3">
        <v>4247</v>
      </c>
      <c r="F57" s="4">
        <v>48938</v>
      </c>
      <c r="G57" s="11" t="str" cm="1">
        <f t="array" aca="1" ref="G57" ca="1">IFERROR(VLOOKUP("*" &amp; B57  &amp; "*" &amp; (MID(CELL("filename",A56),FIND("]",CELL("filename",A56))+1,31)) &amp; "*",CHOOSE({1,2}, Super_CBSA!$B$2:$B$1917, Super_CBSA!$A$2:$A$1917), 2,FALSE), IFERROR(VLOOKUP(B57  &amp; "*",CHOOSE({1,2}, Super_CBSA!$E$2:$E$1917, Super_CBSA!$A$2:$A$1917), 2,FALSE), ""))</f>
        <v/>
      </c>
    </row>
    <row r="58" spans="1:7" ht="17">
      <c r="A58" s="1" t="s">
        <v>181</v>
      </c>
      <c r="B58" s="2" t="s">
        <v>182</v>
      </c>
      <c r="C58" s="2">
        <v>669</v>
      </c>
      <c r="D58" s="3">
        <v>24926</v>
      </c>
      <c r="E58" s="3">
        <v>146711</v>
      </c>
      <c r="F58" s="4">
        <v>1256284</v>
      </c>
      <c r="G58" s="11" cm="1">
        <f t="array" aca="1" ref="G58" ca="1">IFERROR(VLOOKUP("*" &amp; B58  &amp; "*" &amp; (MID(CELL("filename",A57),FIND("]",CELL("filename",A57))+1,31)) &amp; "*",CHOOSE({1,2}, Super_CBSA!$B$2:$B$1917, Super_CBSA!$A$2:$A$1917), 2,FALSE), IFERROR(VLOOKUP(B58  &amp; "*",CHOOSE({1,2}, Super_CBSA!$E$2:$E$1917, Super_CBSA!$A$2:$A$1917), 2,FALSE), ""))</f>
        <v>33660</v>
      </c>
    </row>
    <row r="59" spans="1:7" ht="17">
      <c r="A59" s="1" t="s">
        <v>183</v>
      </c>
      <c r="B59" s="2" t="s">
        <v>184</v>
      </c>
      <c r="C59" s="2">
        <v>49</v>
      </c>
      <c r="D59" s="2">
        <v>712</v>
      </c>
      <c r="E59" s="3">
        <v>2557</v>
      </c>
      <c r="F59" s="4">
        <v>82928</v>
      </c>
      <c r="G59" s="11" t="str" cm="1">
        <f t="array" aca="1" ref="G59" ca="1">IFERROR(VLOOKUP("*" &amp; B59  &amp; "*" &amp; (MID(CELL("filename",A58),FIND("]",CELL("filename",A58))+1,31)) &amp; "*",CHOOSE({1,2}, Super_CBSA!$B$2:$B$1917, Super_CBSA!$A$2:$A$1917), 2,FALSE), IFERROR(VLOOKUP(B59  &amp; "*",CHOOSE({1,2}, Super_CBSA!$E$2:$E$1917, Super_CBSA!$A$2:$A$1917), 2,FALSE), ""))</f>
        <v/>
      </c>
    </row>
    <row r="60" spans="1:7" ht="17">
      <c r="A60" s="1" t="s">
        <v>185</v>
      </c>
      <c r="B60" s="2" t="s">
        <v>186</v>
      </c>
      <c r="C60" s="2">
        <v>233</v>
      </c>
      <c r="D60" s="3">
        <v>12472</v>
      </c>
      <c r="E60" s="3">
        <v>61969</v>
      </c>
      <c r="F60" s="4">
        <v>890905</v>
      </c>
      <c r="G60" s="11" cm="1">
        <f t="array" aca="1" ref="G60" ca="1">IFERROR(VLOOKUP("*" &amp; B60  &amp; "*" &amp; (MID(CELL("filename",A59),FIND("]",CELL("filename",A59))+1,31)) &amp; "*",CHOOSE({1,2}, Super_CBSA!$B$2:$B$1917, Super_CBSA!$A$2:$A$1917), 2,FALSE), IFERROR(VLOOKUP(B60  &amp; "*",CHOOSE({1,2}, Super_CBSA!$E$2:$E$1917, Super_CBSA!$A$2:$A$1917), 2,FALSE), ""))</f>
        <v>22520</v>
      </c>
    </row>
    <row r="61" spans="1:7" ht="17">
      <c r="A61" s="1" t="s">
        <v>187</v>
      </c>
      <c r="B61" s="2" t="s">
        <v>188</v>
      </c>
      <c r="C61" s="2">
        <v>70</v>
      </c>
      <c r="D61" s="3">
        <v>1922</v>
      </c>
      <c r="E61" s="3">
        <v>6207</v>
      </c>
      <c r="F61" s="4">
        <v>90949</v>
      </c>
      <c r="G61" s="11" t="str" cm="1">
        <f t="array" aca="1" ref="G61" ca="1">IFERROR(VLOOKUP("*" &amp; B61  &amp; "*" &amp; (MID(CELL("filename",A60),FIND("]",CELL("filename",A60))+1,31)) &amp; "*",CHOOSE({1,2}, Super_CBSA!$B$2:$B$1917, Super_CBSA!$A$2:$A$1917), 2,FALSE), IFERROR(VLOOKUP(B61  &amp; "*",CHOOSE({1,2}, Super_CBSA!$E$2:$E$1917, Super_CBSA!$A$2:$A$1917), 2,FALSE), ""))</f>
        <v/>
      </c>
    </row>
    <row r="62" spans="1:7" ht="17">
      <c r="A62" s="1" t="s">
        <v>189</v>
      </c>
      <c r="B62" s="2" t="s">
        <v>190</v>
      </c>
      <c r="C62" s="2">
        <v>115</v>
      </c>
      <c r="D62" s="2">
        <v>479</v>
      </c>
      <c r="E62" s="3">
        <v>1280</v>
      </c>
      <c r="F62" s="4">
        <v>65893</v>
      </c>
      <c r="G62" s="11" cm="1">
        <f t="array" aca="1" ref="G62" ca="1">IFERROR(VLOOKUP("*" &amp; B62  &amp; "*" &amp; (MID(CELL("filename",A61),FIND("]",CELL("filename",A61))+1,31)) &amp; "*",CHOOSE({1,2}, Super_CBSA!$B$2:$B$1917, Super_CBSA!$A$2:$A$1917), 2,FALSE), IFERROR(VLOOKUP(B62  &amp; "*",CHOOSE({1,2}, Super_CBSA!$E$2:$E$1917, Super_CBSA!$A$2:$A$1917), 2,FALSE), ""))</f>
        <v>16860</v>
      </c>
    </row>
    <row r="63" spans="1:7" ht="17">
      <c r="A63" s="1" t="s">
        <v>191</v>
      </c>
      <c r="B63" s="2" t="s">
        <v>192</v>
      </c>
      <c r="C63" s="2">
        <v>207</v>
      </c>
      <c r="D63" s="3">
        <v>5073</v>
      </c>
      <c r="E63" s="3">
        <v>26754</v>
      </c>
      <c r="F63" s="4">
        <v>0</v>
      </c>
      <c r="G63" s="11" t="str" cm="1">
        <f t="array" aca="1" ref="G63" ca="1">IFERROR(VLOOKUP("*" &amp; B63  &amp; "*" &amp; (MID(CELL("filename",A62),FIND("]",CELL("filename",A62))+1,31)) &amp; "*",CHOOSE({1,2}, Super_CBSA!$B$2:$B$1917, Super_CBSA!$A$2:$A$1917), 2,FALSE), IFERROR(VLOOKUP(B63  &amp; " city",CHOOSE({1,2}, Super_CBSA!$E$2:$E$1917, Super_CBSA!$A$2:$A$1917), 2,FALSE), ""))</f>
        <v/>
      </c>
    </row>
    <row r="64" spans="1:7" ht="17">
      <c r="A64" s="1" t="s">
        <v>193</v>
      </c>
      <c r="B64" s="2" t="s">
        <v>194</v>
      </c>
      <c r="C64" s="2">
        <v>71</v>
      </c>
      <c r="D64" s="2">
        <v>914</v>
      </c>
      <c r="E64" s="3">
        <v>2977</v>
      </c>
      <c r="F64" s="4">
        <v>109596</v>
      </c>
      <c r="G64" s="11" t="str" cm="1">
        <f t="array" aca="1" ref="G64" ca="1">IFERROR(VLOOKUP("*" &amp; B64  &amp; "*" &amp; (MID(CELL("filename",A63),FIND("]",CELL("filename",A63))+1,31)) &amp; "*",CHOOSE({1,2}, Super_CBSA!$B$2:$B$1917, Super_CBSA!$A$2:$A$1917), 2,FALSE), IFERROR(VLOOKUP(B64  &amp; "*",CHOOSE({1,2}, Super_CBSA!$E$2:$E$1917, Super_CBSA!$A$2:$A$1917), 2,FALSE), ""))</f>
        <v/>
      </c>
    </row>
    <row r="65" spans="1:7" ht="17">
      <c r="A65" s="1" t="s">
        <v>195</v>
      </c>
      <c r="B65" s="2" t="s">
        <v>196</v>
      </c>
      <c r="C65" s="2">
        <v>55</v>
      </c>
      <c r="D65" s="3">
        <v>2887</v>
      </c>
      <c r="E65" s="3">
        <v>12509</v>
      </c>
      <c r="F65" s="4">
        <v>197961</v>
      </c>
      <c r="G65" s="11" t="str" cm="1">
        <f t="array" aca="1" ref="G65" ca="1">IFERROR(VLOOKUP("*" &amp; B65  &amp; "*" &amp; (MID(CELL("filename",A64),FIND("]",CELL("filename",A64))+1,31)) &amp; "*",CHOOSE({1,2}, Super_CBSA!$B$2:$B$1917, Super_CBSA!$A$2:$A$1917), 2,FALSE), IFERROR(VLOOKUP(B65  &amp; "*",CHOOSE({1,2}, Super_CBSA!$E$2:$E$1917, Super_CBSA!$A$2:$A$1917), 2,FALSE), ""))</f>
        <v/>
      </c>
    </row>
    <row r="66" spans="1:7" ht="17">
      <c r="A66" s="1" t="s">
        <v>197</v>
      </c>
      <c r="B66" s="2" t="s">
        <v>92</v>
      </c>
      <c r="C66" s="2">
        <v>309</v>
      </c>
      <c r="D66" s="3">
        <v>13790</v>
      </c>
      <c r="E66" s="3">
        <v>70611</v>
      </c>
      <c r="F66" s="4">
        <v>2038892</v>
      </c>
      <c r="G66" s="11" cm="1">
        <f t="array" aca="1" ref="G66" ca="1">IFERROR(VLOOKUP("*" &amp; B66  &amp; "*" &amp; (MID(CELL("filename",A65),FIND("]",CELL("filename",A65))+1,31)) &amp; "*",CHOOSE({1,2}, Super_CBSA!$B$2:$B$1917, Super_CBSA!$A$2:$A$1917), 2,FALSE), IFERROR(VLOOKUP(B66  &amp; "*",CHOOSE({1,2}, Super_CBSA!$E$2:$E$1917, Super_CBSA!$A$2:$A$1917), 2,FALSE), ""))</f>
        <v>13820</v>
      </c>
    </row>
    <row r="67" spans="1:7" ht="17">
      <c r="A67" s="1" t="s">
        <v>198</v>
      </c>
      <c r="B67" s="2" t="s">
        <v>182</v>
      </c>
      <c r="C67" s="2">
        <v>349</v>
      </c>
      <c r="D67" s="3">
        <v>13968</v>
      </c>
      <c r="E67" s="3">
        <v>71743</v>
      </c>
      <c r="F67" s="4">
        <v>836356</v>
      </c>
      <c r="G67" s="11" cm="1">
        <f t="array" aca="1" ref="G67" ca="1">IFERROR(VLOOKUP("*" &amp; B67  &amp; "*" &amp; (MID(CELL("filename",A66),FIND("]",CELL("filename",A66))+1,31)) &amp; "*",CHOOSE({1,2}, Super_CBSA!$B$2:$B$1917, Super_CBSA!$A$2:$A$1917), 2,FALSE), IFERROR(VLOOKUP(B67  &amp; "*",CHOOSE({1,2}, Super_CBSA!$E$2:$E$1917, Super_CBSA!$A$2:$A$1917), 2,FALSE), ""))</f>
        <v>33660</v>
      </c>
    </row>
    <row r="68" spans="1:7" ht="17">
      <c r="A68" s="1" t="s">
        <v>199</v>
      </c>
      <c r="B68" s="2" t="s">
        <v>200</v>
      </c>
      <c r="C68" s="2">
        <v>57</v>
      </c>
      <c r="D68" s="2">
        <v>790</v>
      </c>
      <c r="E68" s="3">
        <v>2988</v>
      </c>
      <c r="F68" s="4">
        <v>167060</v>
      </c>
      <c r="G68" s="11" cm="1">
        <f t="array" aca="1" ref="G68" ca="1">IFERROR(VLOOKUP("*" &amp; B68  &amp; "*" &amp; (MID(CELL("filename",A67),FIND("]",CELL("filename",A67))+1,31)) &amp; "*",CHOOSE({1,2}, Super_CBSA!$B$2:$B$1917, Super_CBSA!$A$2:$A$1917), 2,FALSE), IFERROR(VLOOKUP(B68  &amp; "*",CHOOSE({1,2}, Super_CBSA!$E$2:$E$1917, Super_CBSA!$A$2:$A$1917), 2,FALSE), ""))</f>
        <v>24860</v>
      </c>
    </row>
    <row r="69" spans="1:7" ht="17">
      <c r="A69" s="1" t="s">
        <v>201</v>
      </c>
      <c r="B69" s="2" t="s">
        <v>139</v>
      </c>
      <c r="C69" s="2">
        <v>281</v>
      </c>
      <c r="D69" s="3">
        <v>6497</v>
      </c>
      <c r="E69" s="3">
        <v>24619</v>
      </c>
      <c r="F69" s="4">
        <v>868860</v>
      </c>
      <c r="G69" s="11" cm="1">
        <f t="array" aca="1" ref="G69" ca="1">IFERROR(VLOOKUP("*" &amp; B69  &amp; "*" &amp; (MID(CELL("filename",A68),FIND("]",CELL("filename",A68))+1,31)) &amp; "*",CHOOSE({1,2}, Super_CBSA!$B$2:$B$1917, Super_CBSA!$A$2:$A$1917), 2,FALSE), IFERROR(VLOOKUP(B69  &amp; "*",CHOOSE({1,2}, Super_CBSA!$E$2:$E$1917, Super_CBSA!$A$2:$A$1917), 2,FALSE), ""))</f>
        <v>23460</v>
      </c>
    </row>
    <row r="70" spans="1:7" ht="17">
      <c r="A70" s="1" t="s">
        <v>202</v>
      </c>
      <c r="B70" s="2" t="s">
        <v>79</v>
      </c>
      <c r="C70" s="2">
        <v>287</v>
      </c>
      <c r="D70" s="3">
        <v>13011</v>
      </c>
      <c r="E70" s="3">
        <v>55893</v>
      </c>
      <c r="F70" s="4">
        <v>1351911</v>
      </c>
      <c r="G70" s="11" cm="1">
        <f t="array" aca="1" ref="G70" ca="1">IFERROR(VLOOKUP("*" &amp; B70  &amp; "*" &amp; (MID(CELL("filename",A69),FIND("]",CELL("filename",A69))+1,31)) &amp; "*",CHOOSE({1,2}, Super_CBSA!$B$2:$B$1917, Super_CBSA!$A$2:$A$1917), 2,FALSE), IFERROR(VLOOKUP(B70  &amp; "*",CHOOSE({1,2}, Super_CBSA!$E$2:$E$1917, Super_CBSA!$A$2:$A$1917), 2,FALSE), ""))</f>
        <v>11500</v>
      </c>
    </row>
    <row r="71" spans="1:7" ht="17">
      <c r="A71" s="1" t="s">
        <v>203</v>
      </c>
      <c r="B71" s="2" t="s">
        <v>204</v>
      </c>
      <c r="C71" s="2">
        <v>34</v>
      </c>
      <c r="D71" s="3">
        <v>2380</v>
      </c>
      <c r="E71" s="3">
        <v>8115</v>
      </c>
      <c r="F71" s="4">
        <v>217951</v>
      </c>
      <c r="G71" s="11" cm="1">
        <f t="array" aca="1" ref="G71" ca="1">IFERROR(VLOOKUP("*" &amp; B71  &amp; "*" &amp; (MID(CELL("filename",A70),FIND("]",CELL("filename",A70))+1,31)) &amp; "*",CHOOSE({1,2}, Super_CBSA!$B$2:$B$1917, Super_CBSA!$A$2:$A$1917), 2,FALSE), IFERROR(VLOOKUP(B71  &amp; "*",CHOOSE({1,2}, Super_CBSA!$E$2:$E$1917, Super_CBSA!$A$2:$A$1917), 2,FALSE), ""))</f>
        <v>10760</v>
      </c>
    </row>
    <row r="72" spans="1:7" ht="17">
      <c r="A72" s="1" t="s">
        <v>205</v>
      </c>
      <c r="B72" s="2" t="s">
        <v>206</v>
      </c>
      <c r="C72" s="2">
        <v>49</v>
      </c>
      <c r="D72" s="3">
        <v>1699</v>
      </c>
      <c r="E72" s="3">
        <v>5958</v>
      </c>
      <c r="F72" s="4">
        <v>124297</v>
      </c>
      <c r="G72" s="11" t="str" cm="1">
        <f t="array" aca="1" ref="G72" ca="1">IFERROR(VLOOKUP("*" &amp; B72  &amp; "*" &amp; (MID(CELL("filename",A71),FIND("]",CELL("filename",A71))+1,31)) &amp; "*",CHOOSE({1,2}, Super_CBSA!$B$2:$B$1917, Super_CBSA!$A$2:$A$1917), 2,FALSE), IFERROR(VLOOKUP(B72  &amp; "*",CHOOSE({1,2}, Super_CBSA!$E$2:$E$1917, Super_CBSA!$A$2:$A$1917), 2,FALSE), ""))</f>
        <v/>
      </c>
    </row>
    <row r="73" spans="1:7" ht="17">
      <c r="A73" s="1" t="s">
        <v>207</v>
      </c>
      <c r="B73" s="2" t="s">
        <v>92</v>
      </c>
      <c r="C73" s="2">
        <v>400</v>
      </c>
      <c r="D73" s="3">
        <v>21302</v>
      </c>
      <c r="E73" s="3">
        <v>103744</v>
      </c>
      <c r="F73" s="4">
        <v>2295347</v>
      </c>
      <c r="G73" s="11" cm="1">
        <f t="array" aca="1" ref="G73" ca="1">IFERROR(VLOOKUP("*" &amp; B73  &amp; "*" &amp; (MID(CELL("filename",A72),FIND("]",CELL("filename",A72))+1,31)) &amp; "*",CHOOSE({1,2}, Super_CBSA!$B$2:$B$1917, Super_CBSA!$A$2:$A$1917), 2,FALSE), IFERROR(VLOOKUP(B73  &amp; "*",CHOOSE({1,2}, Super_CBSA!$E$2:$E$1917, Super_CBSA!$A$2:$A$1917), 2,FALSE), ""))</f>
        <v>13820</v>
      </c>
    </row>
    <row r="74" spans="1:7" ht="17">
      <c r="A74" s="1" t="s">
        <v>208</v>
      </c>
      <c r="B74" s="2" t="s">
        <v>209</v>
      </c>
      <c r="C74" s="2">
        <v>26</v>
      </c>
      <c r="D74" s="2">
        <v>723</v>
      </c>
      <c r="E74" s="3">
        <v>2335</v>
      </c>
      <c r="F74" s="4">
        <v>150254</v>
      </c>
      <c r="G74" s="11" t="str" cm="1">
        <f t="array" aca="1" ref="G74" ca="1">IFERROR(VLOOKUP("*" &amp; B74  &amp; "*" &amp; (MID(CELL("filename",A73),FIND("]",CELL("filename",A73))+1,31)) &amp; "*",CHOOSE({1,2}, Super_CBSA!$B$2:$B$1917, Super_CBSA!$A$2:$A$1917), 2,FALSE), IFERROR(VLOOKUP(B74  &amp; "*",CHOOSE({1,2}, Super_CBSA!$E$2:$E$1917, Super_CBSA!$A$2:$A$1917), 2,FALSE), ""))</f>
        <v/>
      </c>
    </row>
    <row r="75" spans="1:7" ht="17">
      <c r="A75" s="1" t="s">
        <v>210</v>
      </c>
      <c r="B75" s="2" t="s">
        <v>92</v>
      </c>
      <c r="C75" s="2">
        <v>349</v>
      </c>
      <c r="D75" s="3">
        <v>14059</v>
      </c>
      <c r="E75" s="3">
        <v>82556</v>
      </c>
      <c r="F75" s="4">
        <v>1195134</v>
      </c>
      <c r="G75" s="11" cm="1">
        <f t="array" aca="1" ref="G75" ca="1">IFERROR(VLOOKUP("*" &amp; B75  &amp; "*" &amp; (MID(CELL("filename",A74),FIND("]",CELL("filename",A74))+1,31)) &amp; "*",CHOOSE({1,2}, Super_CBSA!$B$2:$B$1917, Super_CBSA!$A$2:$A$1917), 2,FALSE), IFERROR(VLOOKUP(B75  &amp; "*",CHOOSE({1,2}, Super_CBSA!$E$2:$E$1917, Super_CBSA!$A$2:$A$1917), 2,FALSE), ""))</f>
        <v>13820</v>
      </c>
    </row>
    <row r="76" spans="1:7" ht="17">
      <c r="A76" s="1" t="s">
        <v>211</v>
      </c>
      <c r="B76" s="2" t="s">
        <v>212</v>
      </c>
      <c r="C76" s="2">
        <v>40</v>
      </c>
      <c r="D76" s="3">
        <v>1850</v>
      </c>
      <c r="E76" s="3">
        <v>8561</v>
      </c>
      <c r="F76" s="4">
        <v>246639</v>
      </c>
      <c r="G76" s="11" t="str" cm="1">
        <f t="array" aca="1" ref="G76" ca="1">IFERROR(VLOOKUP("*" &amp; B76  &amp; "*" &amp; (MID(CELL("filename",A75),FIND("]",CELL("filename",A75))+1,31)) &amp; "*",CHOOSE({1,2}, Super_CBSA!$B$2:$B$1917, Super_CBSA!$A$2:$A$1917), 2,FALSE), IFERROR(VLOOKUP(B76  &amp; "*",CHOOSE({1,2}, Super_CBSA!$E$2:$E$1917, Super_CBSA!$A$2:$A$1917), 2,FALSE), ""))</f>
        <v/>
      </c>
    </row>
    <row r="77" spans="1:7" ht="17">
      <c r="A77" s="1" t="s">
        <v>213</v>
      </c>
      <c r="B77" s="2" t="s">
        <v>214</v>
      </c>
      <c r="C77" s="2">
        <v>252</v>
      </c>
      <c r="D77" s="3">
        <v>10376</v>
      </c>
      <c r="E77" s="3">
        <v>46061</v>
      </c>
      <c r="F77" s="4">
        <v>1260234</v>
      </c>
      <c r="G77" s="11" t="str" cm="1">
        <f t="array" aca="1" ref="G77" ca="1">IFERROR(VLOOKUP("*" &amp; B77  &amp; "*" &amp; (MID(CELL("filename",A76),FIND("]",CELL("filename",A76))+1,31)) &amp; "*",CHOOSE({1,2}, Super_CBSA!$B$2:$B$1917, Super_CBSA!$A$2:$A$1917), 2,FALSE), IFERROR(VLOOKUP(B77  &amp; "*",CHOOSE({1,2}, Super_CBSA!$E$2:$E$1917, Super_CBSA!$A$2:$A$1917), 2,FALSE), ""))</f>
        <v/>
      </c>
    </row>
    <row r="78" spans="1:7" ht="17">
      <c r="A78" s="1" t="s">
        <v>215</v>
      </c>
      <c r="B78" s="2" t="s">
        <v>216</v>
      </c>
      <c r="C78" s="2">
        <v>184</v>
      </c>
      <c r="D78" s="3">
        <v>1194</v>
      </c>
      <c r="E78" s="3">
        <v>5448</v>
      </c>
      <c r="F78" s="4">
        <v>113123</v>
      </c>
      <c r="G78" s="11" cm="1">
        <f t="array" aca="1" ref="G78" ca="1">IFERROR(VLOOKUP("*" &amp; B78  &amp; "*" &amp; (MID(CELL("filename",A77),FIND("]",CELL("filename",A77))+1,31)) &amp; "*",CHOOSE({1,2}, Super_CBSA!$B$2:$B$1917, Super_CBSA!$A$2:$A$1917), 2,FALSE), IFERROR(VLOOKUP(B78  &amp; "*",CHOOSE({1,2}, Super_CBSA!$E$2:$E$1917, Super_CBSA!$A$2:$A$1917), 2,FALSE), ""))</f>
        <v>22520</v>
      </c>
    </row>
    <row r="79" spans="1:7" ht="17">
      <c r="A79" s="1" t="s">
        <v>217</v>
      </c>
      <c r="B79" s="2" t="s">
        <v>218</v>
      </c>
      <c r="C79" s="2">
        <v>112</v>
      </c>
      <c r="D79" s="3">
        <v>5246</v>
      </c>
      <c r="E79" s="3">
        <v>25994</v>
      </c>
      <c r="F79" s="4">
        <v>1258679</v>
      </c>
      <c r="G79" s="11" cm="1">
        <f t="array" aca="1" ref="G79" ca="1">IFERROR(VLOOKUP("*" &amp; B79  &amp; "*" &amp; (MID(CELL("filename",A78),FIND("]",CELL("filename",A78))+1,31)) &amp; "*",CHOOSE({1,2}, Super_CBSA!$B$2:$B$1917, Super_CBSA!$A$2:$A$1917), 2,FALSE), IFERROR(VLOOKUP(B79  &amp; "*",CHOOSE({1,2}, Super_CBSA!$E$2:$E$1917, Super_CBSA!$A$2:$A$1917), 2,FALSE), ""))</f>
        <v>19300</v>
      </c>
    </row>
    <row r="80" spans="1:7" ht="17">
      <c r="A80" s="1" t="s">
        <v>219</v>
      </c>
      <c r="B80" s="2" t="s">
        <v>137</v>
      </c>
      <c r="C80" s="2">
        <v>342</v>
      </c>
      <c r="D80" s="3">
        <v>20694</v>
      </c>
      <c r="E80" s="3">
        <v>99283</v>
      </c>
      <c r="F80" s="4">
        <v>2029254</v>
      </c>
      <c r="G80" s="11" cm="1">
        <f t="array" aca="1" ref="G80" ca="1">IFERROR(VLOOKUP("*" &amp; B80  &amp; "*" &amp; (MID(CELL("filename",A79),FIND("]",CELL("filename",A79))+1,31)) &amp; "*",CHOOSE({1,2}, Super_CBSA!$B$2:$B$1917, Super_CBSA!$A$2:$A$1917), 2,FALSE), IFERROR(VLOOKUP(B80  &amp; "*",CHOOSE({1,2}, Super_CBSA!$E$2:$E$1917, Super_CBSA!$A$2:$A$1917), 2,FALSE), ""))</f>
        <v>20020</v>
      </c>
    </row>
    <row r="81" spans="1:7" ht="17">
      <c r="A81" s="1" t="s">
        <v>220</v>
      </c>
      <c r="B81" s="2" t="s">
        <v>182</v>
      </c>
      <c r="C81" s="2">
        <v>209</v>
      </c>
      <c r="D81" s="3">
        <v>11527</v>
      </c>
      <c r="E81" s="3">
        <v>59522</v>
      </c>
      <c r="F81" s="4">
        <v>689050</v>
      </c>
      <c r="G81" s="11" cm="1">
        <f t="array" aca="1" ref="G81" ca="1">IFERROR(VLOOKUP("*" &amp; B81  &amp; "*" &amp; (MID(CELL("filename",A80),FIND("]",CELL("filename",A80))+1,31)) &amp; "*",CHOOSE({1,2}, Super_CBSA!$B$2:$B$1917, Super_CBSA!$A$2:$A$1917), 2,FALSE), IFERROR(VLOOKUP(B81  &amp; "*",CHOOSE({1,2}, Super_CBSA!$E$2:$E$1917, Super_CBSA!$A$2:$A$1917), 2,FALSE), ""))</f>
        <v>33660</v>
      </c>
    </row>
    <row r="82" spans="1:7" ht="17">
      <c r="A82" s="1" t="s">
        <v>221</v>
      </c>
      <c r="B82" s="2" t="s">
        <v>222</v>
      </c>
      <c r="C82" s="2">
        <v>141</v>
      </c>
      <c r="D82" s="3">
        <v>10337</v>
      </c>
      <c r="E82" s="3">
        <v>38655</v>
      </c>
      <c r="F82" s="4">
        <v>605660</v>
      </c>
      <c r="G82" s="11" cm="1">
        <f t="array" aca="1" ref="G82" ca="1">IFERROR(VLOOKUP("*" &amp; B82  &amp; "*" &amp; (MID(CELL("filename",A81),FIND("]",CELL("filename",A81))+1,31)) &amp; "*",CHOOSE({1,2}, Super_CBSA!$B$2:$B$1917, Super_CBSA!$A$2:$A$1917), 2,FALSE), IFERROR(VLOOKUP(B82  &amp; "*",CHOOSE({1,2}, Super_CBSA!$E$2:$E$1917, Super_CBSA!$A$2:$A$1917), 2,FALSE), ""))</f>
        <v>19300</v>
      </c>
    </row>
    <row r="83" spans="1:7" ht="17">
      <c r="A83" s="1" t="s">
        <v>223</v>
      </c>
      <c r="B83" s="2" t="s">
        <v>224</v>
      </c>
      <c r="C83" s="2">
        <v>115</v>
      </c>
      <c r="D83" s="3">
        <v>1736</v>
      </c>
      <c r="E83" s="3">
        <v>5794</v>
      </c>
      <c r="F83" s="4">
        <v>149673</v>
      </c>
      <c r="G83" s="11" cm="1">
        <f t="array" aca="1" ref="G83" ca="1">IFERROR(VLOOKUP("*" &amp; B83  &amp; "*" &amp; (MID(CELL("filename",A82),FIND("]",CELL("filename",A82))+1,31)) &amp; "*",CHOOSE({1,2}, Super_CBSA!$B$2:$B$1917, Super_CBSA!$A$2:$A$1917), 2,FALSE), IFERROR(VLOOKUP(B83  &amp; "*",CHOOSE({1,2}, Super_CBSA!$E$2:$E$1917, Super_CBSA!$A$2:$A$1917), 2,FALSE), ""))</f>
        <v>45980</v>
      </c>
    </row>
    <row r="84" spans="1:7" ht="17">
      <c r="A84" s="1" t="s">
        <v>225</v>
      </c>
      <c r="B84" s="2" t="s">
        <v>92</v>
      </c>
      <c r="C84" s="2">
        <v>12</v>
      </c>
      <c r="D84" s="2">
        <v>110</v>
      </c>
      <c r="E84" s="2">
        <v>259</v>
      </c>
      <c r="F84" s="4">
        <v>240752</v>
      </c>
      <c r="G84" s="11" cm="1">
        <f t="array" aca="1" ref="G84" ca="1">IFERROR(VLOOKUP("*" &amp; B84  &amp; "*" &amp; (MID(CELL("filename",A83),FIND("]",CELL("filename",A83))+1,31)) &amp; "*",CHOOSE({1,2}, Super_CBSA!$B$2:$B$1917, Super_CBSA!$A$2:$A$1917), 2,FALSE), IFERROR(VLOOKUP(B84  &amp; "*",CHOOSE({1,2}, Super_CBSA!$E$2:$E$1917, Super_CBSA!$A$2:$A$1917), 2,FALSE), ""))</f>
        <v>13820</v>
      </c>
    </row>
    <row r="85" spans="1:7" ht="17">
      <c r="A85" s="1" t="s">
        <v>226</v>
      </c>
      <c r="B85" s="2" t="s">
        <v>92</v>
      </c>
      <c r="C85" s="3">
        <v>1242</v>
      </c>
      <c r="D85" s="3">
        <v>53894</v>
      </c>
      <c r="E85" s="3">
        <v>334853</v>
      </c>
      <c r="F85" s="4">
        <v>7839366</v>
      </c>
      <c r="G85" s="11" cm="1">
        <f t="array" aca="1" ref="G85" ca="1">IFERROR(VLOOKUP("*" &amp; B85  &amp; "*" &amp; (MID(CELL("filename",A84),FIND("]",CELL("filename",A84))+1,31)) &amp; "*",CHOOSE({1,2}, Super_CBSA!$B$2:$B$1917, Super_CBSA!$A$2:$A$1917), 2,FALSE), IFERROR(VLOOKUP(B85  &amp; "*",CHOOSE({1,2}, Super_CBSA!$E$2:$E$1917, Super_CBSA!$A$2:$A$1917), 2,FALSE), ""))</f>
        <v>13820</v>
      </c>
    </row>
    <row r="86" spans="1:7" ht="17">
      <c r="A86" s="1" t="s">
        <v>227</v>
      </c>
      <c r="B86" s="2" t="s">
        <v>92</v>
      </c>
      <c r="C86" s="2">
        <v>73</v>
      </c>
      <c r="D86" s="3">
        <v>3641</v>
      </c>
      <c r="E86" s="3">
        <v>12477</v>
      </c>
      <c r="F86" s="4">
        <v>288780</v>
      </c>
      <c r="G86" s="11" cm="1">
        <f t="array" aca="1" ref="G86" ca="1">IFERROR(VLOOKUP("*" &amp; B86  &amp; "*" &amp; (MID(CELL("filename",A85),FIND("]",CELL("filename",A85))+1,31)) &amp; "*",CHOOSE({1,2}, Super_CBSA!$B$2:$B$1917, Super_CBSA!$A$2:$A$1917), 2,FALSE), IFERROR(VLOOKUP(B86  &amp; "*",CHOOSE({1,2}, Super_CBSA!$E$2:$E$1917, Super_CBSA!$A$2:$A$1917), 2,FALSE), ""))</f>
        <v>13820</v>
      </c>
    </row>
    <row r="87" spans="1:7" ht="17">
      <c r="A87" s="1" t="s">
        <v>228</v>
      </c>
      <c r="B87" s="2" t="s">
        <v>182</v>
      </c>
      <c r="C87" s="2">
        <v>183</v>
      </c>
      <c r="D87" s="3">
        <v>9928</v>
      </c>
      <c r="E87" s="3">
        <v>58210</v>
      </c>
      <c r="F87" s="4">
        <v>614302</v>
      </c>
      <c r="G87" s="11" cm="1">
        <f t="array" aca="1" ref="G87" ca="1">IFERROR(VLOOKUP("*" &amp; B87  &amp; "*" &amp; (MID(CELL("filename",A86),FIND("]",CELL("filename",A86))+1,31)) &amp; "*",CHOOSE({1,2}, Super_CBSA!$B$2:$B$1917, Super_CBSA!$A$2:$A$1917), 2,FALSE), IFERROR(VLOOKUP(B87  &amp; "*",CHOOSE({1,2}, Super_CBSA!$E$2:$E$1917, Super_CBSA!$A$2:$A$1917), 2,FALSE), ""))</f>
        <v>33660</v>
      </c>
    </row>
    <row r="88" spans="1:7" ht="17">
      <c r="A88" s="1" t="s">
        <v>229</v>
      </c>
      <c r="B88" s="2" t="s">
        <v>230</v>
      </c>
      <c r="C88" s="2">
        <v>109</v>
      </c>
      <c r="D88" s="3">
        <v>5216</v>
      </c>
      <c r="E88" s="3">
        <v>17242</v>
      </c>
      <c r="F88" s="4">
        <v>571054</v>
      </c>
      <c r="G88" s="11" cm="1">
        <f t="array" aca="1" ref="G88" ca="1">IFERROR(VLOOKUP("*" &amp; B88  &amp; "*" &amp; (MID(CELL("filename",A87),FIND("]",CELL("filename",A87))+1,31)) &amp; "*",CHOOSE({1,2}, Super_CBSA!$B$2:$B$1917, Super_CBSA!$A$2:$A$1917), 2,FALSE), IFERROR(VLOOKUP(B88  &amp; "*",CHOOSE({1,2}, Super_CBSA!$E$2:$E$1917, Super_CBSA!$A$2:$A$1917), 2,FALSE), ""))</f>
        <v>42820</v>
      </c>
    </row>
    <row r="89" spans="1:7" ht="17">
      <c r="A89" s="1" t="s">
        <v>231</v>
      </c>
      <c r="B89" s="2" t="s">
        <v>232</v>
      </c>
      <c r="C89" s="2">
        <v>259</v>
      </c>
      <c r="D89" s="3">
        <v>5842</v>
      </c>
      <c r="E89" s="3">
        <v>23886</v>
      </c>
      <c r="F89" s="4">
        <v>797564</v>
      </c>
      <c r="G89" s="11" cm="1">
        <f t="array" aca="1" ref="G89" ca="1">IFERROR(VLOOKUP("*" &amp; B89  &amp; "*" &amp; (MID(CELL("filename",A88),FIND("]",CELL("filename",A88))+1,31)) &amp; "*",CHOOSE({1,2}, Super_CBSA!$B$2:$B$1917, Super_CBSA!$A$2:$A$1917), 2,FALSE), IFERROR(VLOOKUP(B89  &amp; "*",CHOOSE({1,2}, Super_CBSA!$E$2:$E$1917, Super_CBSA!$A$2:$A$1917), 2,FALSE), ""))</f>
        <v>27530</v>
      </c>
    </row>
    <row r="90" spans="1:7" ht="17">
      <c r="A90" s="1" t="s">
        <v>233</v>
      </c>
      <c r="B90" s="2" t="s">
        <v>234</v>
      </c>
      <c r="C90" s="2">
        <v>185</v>
      </c>
      <c r="D90" s="2">
        <v>805</v>
      </c>
      <c r="E90" s="3">
        <v>3502</v>
      </c>
      <c r="F90" s="4">
        <v>37259</v>
      </c>
      <c r="G90" s="11" cm="1">
        <f t="array" aca="1" ref="G90" ca="1">IFERROR(VLOOKUP("*" &amp; B90  &amp; "*" &amp; (MID(CELL("filename",A89),FIND("]",CELL("filename",A89))+1,31)) &amp; "*",CHOOSE({1,2}, Super_CBSA!$B$2:$B$1917, Super_CBSA!$A$2:$A$1917), 2,FALSE), IFERROR(VLOOKUP(B90  &amp; "*",CHOOSE({1,2}, Super_CBSA!$E$2:$E$1917, Super_CBSA!$A$2:$A$1917), 2,FALSE), ""))</f>
        <v>20020</v>
      </c>
    </row>
    <row r="91" spans="1:7" ht="17">
      <c r="A91" s="2" t="s">
        <v>56</v>
      </c>
      <c r="B91" s="2"/>
      <c r="C91" s="3">
        <v>15330</v>
      </c>
      <c r="D91" s="3">
        <v>592368</v>
      </c>
      <c r="E91" s="3">
        <v>2818440</v>
      </c>
      <c r="F91" s="4">
        <v>60726101</v>
      </c>
    </row>
  </sheetData>
  <hyperlinks>
    <hyperlink ref="A2" r:id="rId1" display="https://www.ahd.com/free_profile/010022/_Floyd_Cherokee_Medical_Center/Centre/Alabama/" xr:uid="{5AB18A0F-B481-3548-85B3-BB51ED19EA38}"/>
    <hyperlink ref="A3" r:id="rId2" display="https://www.ahd.com/free_profile/010038/_RMC_Stringfellow_Memorial_Hospital_/Anniston/Alabama/" xr:uid="{BEDF6D6F-7710-F74B-8B0C-80857219EC1B}"/>
    <hyperlink ref="A4" r:id="rId3" display="https://www.ahd.com/free_profile/010036/Andalusia_Health/Andalusia/Alabama/" xr:uid="{29E44B59-CF57-BE49-BB04-3B4EA71959EE}"/>
    <hyperlink ref="A5" r:id="rId4" display="https://www.ahd.com/free_profile/010079/Athens-Limestone_Hospital/Athens/Alabama/" xr:uid="{019FF320-91CF-2A4B-8847-C39229CFA5DA}"/>
    <hyperlink ref="A6" r:id="rId5" display="https://www.ahd.com/free_profile/010169/Atmore_Community_Hospital/Atmore/Alabama/" xr:uid="{1BE47DFE-06A7-3F43-98E6-F2BC171C5AD3}"/>
    <hyperlink ref="A7" r:id="rId6" display="https://www.ahd.com/free_profile/010149/Baptist_Medical_Center_East/Montgomery/Alabama/" xr:uid="{A833F822-2DED-894C-8A07-7EA050F6D99F}"/>
    <hyperlink ref="A8" r:id="rId7" display="https://www.ahd.com/free_profile/010023/Baptist_Medical_Center_South/Montgomery/Alabama/" xr:uid="{4C56C10F-E066-6D4A-9F97-875447EE5B08}"/>
    <hyperlink ref="A9" r:id="rId8" display="https://www.ahd.com/free_profile/010058/Bibb_Medical_Center/Centreville/Alabama/" xr:uid="{9E8FE6EF-2CCA-5F42-9EE1-B18C35333E95}"/>
    <hyperlink ref="A10" r:id="rId9" display="https://www.ahd.com/free_profile/01014F/Birmingham_VA_Medical_Center/Birmingham/Alabama/" xr:uid="{931666E6-DAA3-7B4E-94FA-BDBF31A5BA82}"/>
    <hyperlink ref="A11" r:id="rId10" display="https://www.ahd.com/free_profile/010139/Brookwood_Baptist__Medical_Center/Birmingham/Alabama/" xr:uid="{45442F7A-3650-2742-8340-40D361D6809C}"/>
    <hyperlink ref="A12" r:id="rId11" display="https://www.ahd.com/free_profile/010112/Bryan_W_Whitfield_Memorial_Hospital/Demopolis/Alabama/" xr:uid="{EC201F1F-9AA2-1D45-82F0-769CFBC068AF}"/>
    <hyperlink ref="A13" r:id="rId12" display="https://www.ahd.com/free_profile/010110/Bullock_County_Hospital/Union_Springs/Alabama/" xr:uid="{CCC770F9-97FF-1A49-8B7B-74C56A2B8BFF}"/>
    <hyperlink ref="A14" r:id="rId13" display="https://www.ahd.com/free_profile/01022F/Central_Alabama_Veterans_Health_Care_System_-_East_Campus/Tuskegee/Alabama/" xr:uid="{E529FF87-CE2A-084D-9165-380FE0FD10EE}"/>
    <hyperlink ref="A15" r:id="rId14" display="https://www.ahd.com/free_profile/01019F/Central_Alabama_Veterans_Health_Care_System_-_West_Campus/Montgomery/Alabama/" xr:uid="{F29444CE-1CA1-D14C-8B56-27F50F478BBA}"/>
    <hyperlink ref="A16" r:id="rId15" display="https://www.ahd.com/free_profile/010101/Citizens_Baptist_Medical_Center/Talladega/Alabama/" xr:uid="{16CA0FB9-C233-5142-95FD-70E429CC3A75}"/>
    <hyperlink ref="A17" r:id="rId16" display="https://www.ahd.com/free_profile/010073/Clay_County_Hospital/Ashland/Alabama/" xr:uid="{EB49B5BC-7032-5A4C-843E-27F2C2917F4B}"/>
    <hyperlink ref="A18" r:id="rId17" display="https://www.ahd.com/free_profile/010034/Community_Hospital/Tallassee/Alabama/" xr:uid="{95ED3253-6C9F-A242-9053-2A0338078F19}"/>
    <hyperlink ref="A19" r:id="rId18" display="https://www.ahd.com/free_profile/010164/Coosa_Valley_Medical_Center/Sylacauga/Alabama/" xr:uid="{943FF250-6B57-2243-8997-988103C65903}"/>
    <hyperlink ref="A20" r:id="rId19" display="https://www.ahd.com/free_profile/010008/Crenshaw_Community_Hospital/Luverne/Alabama/" xr:uid="{4D2A8C58-33F8-1142-AF50-F6E169C42E11}"/>
    <hyperlink ref="A21" r:id="rId20" display="https://www.ahd.com/free_profile/010131/Crestwood_Medical_Center/Huntsville/Alabama/" xr:uid="{7531A634-8E26-1A4C-A470-EE8A3E792B42}"/>
    <hyperlink ref="A22" r:id="rId21" display="https://www.ahd.com/free_profile/010035/Cullman_Regional_Medical_Center/Cullman/Alabama/" xr:uid="{13DBE2C6-C419-CF4C-941E-BBECD1CB4249}"/>
    <hyperlink ref="A23" r:id="rId22" display="https://www.ahd.com/free_profile/010099/DW_McMillan_Memorial_Hospital/Brewton/Alabama/" xr:uid="{2B89B5B5-D9D0-F540-8791-F340775F9BDE}"/>
    <hyperlink ref="A24" r:id="rId23" display="https://www.ahd.com/free_profile/010021/Dale_Medical_Center/Ozark/Alabama/" xr:uid="{249EC1CB-7FBD-DC49-A830-F03368271E6A}"/>
    <hyperlink ref="A25" r:id="rId24" display="https://www.ahd.com/free_profile/010092/DCH_Regional_Medical_Center/Tuscaloosa/Alabama/" xr:uid="{0560BE05-C925-E346-BBA5-DADD68BEA44F}"/>
    <hyperlink ref="A26" r:id="rId25" display="https://www.ahd.com/free_profile/010085/Decatur_Morgan_Hospital/Decatur/Alabama/" xr:uid="{CCDD8E0A-F805-8740-96C1-ED26991C8BC3}"/>
    <hyperlink ref="A27" r:id="rId26" display="https://www.ahd.com/free_profile/010054/Decatur_Morgan_Hospital-Parkway_Campus/Decatur/Alabama/" xr:uid="{E9396877-645D-5D4A-93AF-4EDEC1CA269A}"/>
    <hyperlink ref="A28" r:id="rId27" display="https://www.ahd.com/free_profile/010012/DeKalb_Regional_Medical_Center/Fort_Payne/Alabama/" xr:uid="{771EF88A-155A-9A4F-BB80-A4EAEAB1776F}"/>
    <hyperlink ref="A29" r:id="rId28" display="https://www.ahd.com/free_profile/010029/East_Alabama_Medical_Center/Opelika/Alabama/" xr:uid="{9B1EAFCC-4A0D-194E-ABC8-572A64EC249A}"/>
    <hyperlink ref="A30" r:id="rId29" display="https://www.ahd.com/free_profile/010025/East_Alabama_Medical_Center_-_Lanier/Valley/Alabama/" xr:uid="{BFD08484-CF13-2343-A455-A3803E8A1C81}"/>
    <hyperlink ref="A31" r:id="rId30" display="https://www.ahd.com/free_profile/010097/Elmore_Community_Hospital/Wetumpka/Alabama/" xr:uid="{EE0A30FF-E595-6F48-AFF3-B1CA0A649560}"/>
    <hyperlink ref="A32" r:id="rId31" display="https://www.ahd.com/free_profile/010148/Evergreen_Medical_Center/Evergreen/Alabama/" xr:uid="{334E95AE-246A-F644-AC0B-9EFDE7325058}"/>
    <hyperlink ref="A33" r:id="rId32" display="https://www.ahd.com/free_profile/010045/Fayette_Medical_Center/Fayette/Alabama/" xr:uid="{99E441DF-EAE4-BA42-ADBC-CF75EF124BA5}"/>
    <hyperlink ref="A34" r:id="rId33" display="https://www.ahd.com/free_profile/010055/Flowers_Hospital/Dothan/Alabama/" xr:uid="{05A47339-48F2-CA48-8EDB-9F86A1652893}"/>
    <hyperlink ref="A35" r:id="rId34" display="https://www.ahd.com/free_profile/010040/Gadsden_Regional_Medical_Center/Gadsden/Alabama/" xr:uid="{13972249-D22D-8542-AD7B-B34E24C81526}"/>
    <hyperlink ref="A36" r:id="rId35" display="https://www.ahd.com/free_profile/010104/Grandview_Medical_Center/Birmingham/Alabama/" xr:uid="{AA1924B7-40CB-B24A-8E30-4CEACDD5327B}"/>
    <hyperlink ref="A37" r:id="rId36" display="https://www.ahd.com/free_profile/010051/Greene_County_Health_System/Eutaw/Alabama/" xr:uid="{2A9D9302-12EE-B14A-A157-113442191647}"/>
    <hyperlink ref="A38" r:id="rId37" display="https://www.ahd.com/free_profile/010091/Grove_Hill_Memorial_Hospital/Grove_Hill/Alabama/" xr:uid="{6534858C-DA96-1140-9328-15AACE4F6481}"/>
    <hyperlink ref="A39" r:id="rId38" display="https://www.ahd.com/free_profile/010095/Hale_County_Hospital/Greensboro/Alabama/" xr:uid="{83F2B6D7-661E-AD43-8469-7096CCE6C937}"/>
    <hyperlink ref="A40" r:id="rId39" display="https://www.ahd.com/free_profile/010019/Helen_Keller_Hospital/Sheffield/Alabama/" xr:uid="{C0D552A2-2AD5-7C4F-8FA2-D7FF9C9724A3}"/>
    <hyperlink ref="A41" r:id="rId40" display="https://www.ahd.com/free_profile/010061/Highlands_Medical_Center/Scottsboro/Alabama/" xr:uid="{29DD4FED-B514-4744-9F2B-9709DAD593E3}"/>
    <hyperlink ref="A42" r:id="rId41" display="https://www.ahd.com/free_profile/010138/Hill_Hospital_Of_Sumter_County/York/Alabama/" xr:uid="{7D6F23AC-1728-BD48-91D7-563D6F2F1951}"/>
    <hyperlink ref="A43" r:id="rId42" display="https://www.ahd.com/free_profile/010039/Huntsville_Hospital/Huntsville/Alabama/" xr:uid="{C2E10984-07E9-FA4D-9609-DED97D90A399}"/>
    <hyperlink ref="A44" r:id="rId43" display="https://www.ahd.com/free_profile/010168/Jack_Hughston_Memorial_Hospital/Phenix_City/Alabama/" xr:uid="{BE1B0FF1-3A6A-0846-BDDF-B31D5832EA44}"/>
    <hyperlink ref="A45" r:id="rId44" display="https://www.ahd.com/free_profile/010024/Jackson_Hospital/Montgomery/Alabama/" xr:uid="{59F2FCFA-77E8-9E47-8530-7A6BFDE26A12}"/>
    <hyperlink ref="A46" r:id="rId45" display="https://www.ahd.com/free_profile/010128/Jackson_Medical_Center/Jackson/Alabama/" xr:uid="{D3B3C535-D82C-A643-8DE4-D561ED44F6F3}"/>
    <hyperlink ref="A47" r:id="rId46" display="https://www.ahd.com/free_profile/010102/John_Paul_Jones_Hospital/Camden/Alabama/" xr:uid="{6C2A216F-2D1E-9944-830C-AF936E03E1F4}"/>
    <hyperlink ref="A48" r:id="rId47" display="https://www.ahd.com/free_profile/010052/Lake_Martin_Community_Hospital/Dadeville/Alabama/" xr:uid="{21CEC235-36D5-B844-A205-535A364C8907}"/>
    <hyperlink ref="A49" r:id="rId48" display="https://www.ahd.com/free_profile/010125/Lakeland_Community_Hospital/Haleyville/Alabama/" xr:uid="{669EF1B0-1D46-8C4E-AED3-A4CCC2A5586F}"/>
    <hyperlink ref="A50" r:id="rId49" display="https://www.ahd.com/free_profile/010059/Lawrence_Medical_Center/Moulton/Alabama/" xr:uid="{ECF0D6EF-7763-9142-A31D-719ED282FCE9}"/>
    <hyperlink ref="A51" r:id="rId50" display="https://www.ahd.com/free_profile/I41851/Madison_Hospital/Madison/Alabama/" xr:uid="{9DBDFA91-88B0-5842-810E-FA60C80AD6A2}"/>
    <hyperlink ref="A52" r:id="rId51" display="https://www.ahd.com/free_profile/010010/Marshall_Medical_Center_North/Guntersville/Alabama/" xr:uid="{05717A26-E29C-DD4F-A9C0-7B19A825A89A}"/>
    <hyperlink ref="A53" r:id="rId52" display="https://www.ahd.com/free_profile/010005/Marshall_Medical_Center_South/Boaz/Alabama/" xr:uid="{482B26A0-454A-9449-8D1A-F6388C8986B6}"/>
    <hyperlink ref="A54" r:id="rId53" display="https://www.ahd.com/free_profile/010069/Medical_Center_Barbour/Eufaula/Alabama/" xr:uid="{B10DFFF2-4F45-B643-A1C1-4DA829E53ECC}"/>
    <hyperlink ref="A55" r:id="rId54" display="https://www.ahd.com/free_profile/010049/Medical_Center_Enterprise/Enterprise/Alabama/" xr:uid="{51AC1DE3-A807-FE4D-AEED-7D753EA1AB10}"/>
    <hyperlink ref="A56" r:id="rId55" display="https://www.ahd.com/free_profile/010114/Medical_West_/Bessemer/Alabama/" xr:uid="{C5BEFBA3-65E7-564C-9EE0-AECF80B34D62}"/>
    <hyperlink ref="A57" r:id="rId56" display="https://www.ahd.com/free_profile/010007/Mizell_Memorial_Hospital/Opp/Alabama/" xr:uid="{37D2B9FC-B867-904E-BA5F-8E1726D0CD3F}"/>
    <hyperlink ref="A58" r:id="rId57" display="https://www.ahd.com/free_profile/010113/Mobile_Infirmary_Medical_Center/Mobile/Alabama/" xr:uid="{FE882E6E-AE57-594E-A334-936CF85F8E1A}"/>
    <hyperlink ref="A59" r:id="rId58" display="https://www.ahd.com/free_profile/010120/Monroe_County_Hospital/Monroeville/Alabama/" xr:uid="{DB2DA8A5-1046-CE41-BBED-3CD45EA7D545}"/>
    <hyperlink ref="A60" r:id="rId59" display="https://www.ahd.com/free_profile/010006/North_Alabama_Medical_Center/Florence/Alabama/" xr:uid="{CDD31138-25CA-5D42-866B-9599039803D2}"/>
    <hyperlink ref="A61" r:id="rId60" display="https://www.ahd.com/free_profile/010129/North_Baldwin_Infirmary/Bay_Minette/Alabama/" xr:uid="{4D1A4C69-5BE7-F44B-879C-DF2A316EBE2E}"/>
    <hyperlink ref="A62" r:id="rId61" display="https://www.ahd.com/free_profile/010044/North_Mississippi_Medical_Center_-_Hamilton/Hamilton/Alabama/" xr:uid="{76237DEC-FAA4-6D46-B6EF-98FBEB95E8C8}"/>
    <hyperlink ref="A63" r:id="rId62" display="https://www.ahd.com/free_profile/010145/Northport_Medical_Center/Northport/Alabama/" xr:uid="{DBE228E3-2E8A-4F47-86A6-24421694725C}"/>
    <hyperlink ref="A64" r:id="rId63" display="https://www.ahd.com/free_profile/010086/Northwest_Medical_Center/Winfield/Alabama/" xr:uid="{2E9998E3-D95D-9C44-A5E0-14B8BE16815B}"/>
    <hyperlink ref="A65" r:id="rId64" display="https://www.ahd.com/free_profile/010108/Prattville_Baptist_Hospital/Prattville/Alabama/" xr:uid="{2654588A-0BED-FA4F-AAF4-9D92A87FB135}"/>
    <hyperlink ref="A66" r:id="rId65" display="https://www.ahd.com/free_profile/010103/Princeton_Baptist_Medical_Center/Birmingham/Alabama/" xr:uid="{4F51DA06-A7DA-8F41-AF0C-F1B1D2B4DF34}"/>
    <hyperlink ref="A67" r:id="rId66" display="https://www.ahd.com/free_profile/010090/Providence_Hospital/Mobile/Alabama/" xr:uid="{F4597294-1E7B-F049-BA85-1C706AE04943}"/>
    <hyperlink ref="A68" r:id="rId67" display="https://www.ahd.com/free_profile/010150/Regional_Medical_Center_of_Central_Alabama/Greenville/Alabama/" xr:uid="{3B1831C8-0D3B-0049-A0C3-CCEA69D5312E}"/>
    <hyperlink ref="A69" r:id="rId68" display="https://www.ahd.com/free_profile/010046/Riverview_Regional_Medical_Center/Gadsden/Alabama/" xr:uid="{806C061F-2257-B94C-ACEC-8DB368E508DF}"/>
    <hyperlink ref="A70" r:id="rId69" display="https://www.ahd.com/free_profile/010078/RMC_Anniston/Anniston/Alabama/" xr:uid="{789A85CF-B898-1043-BF6A-23C920C7AEB1}"/>
    <hyperlink ref="A71" r:id="rId70" display="https://www.ahd.com/free_profile/010065/Russell_Medical_Center/Alexander_City/Alabama/" xr:uid="{8B854645-3FCE-CD40-B363-410456370958}"/>
    <hyperlink ref="A72" r:id="rId71" display="https://www.ahd.com/free_profile/010158/Russellville_Hospital/Russellville/Alabama/" xr:uid="{67569D65-9E79-9944-A19D-442B44367FC9}"/>
    <hyperlink ref="A73" r:id="rId72" display="https://www.ahd.com/free_profile/010056/Saint_Vincent%27s_Birmingham/Birmingham/Alabama/" xr:uid="{C0541119-C0AC-064E-9022-1E3A82E7EF48}"/>
    <hyperlink ref="A74" r:id="rId73" display="https://www.ahd.com/free_profile/010173/Saint_Vincent%27s_Chilton_/Clanton/Alabama/" xr:uid="{2DE11361-1933-544C-AAC6-11C8A40F43A0}"/>
    <hyperlink ref="A75" r:id="rId74" display="https://www.ahd.com/free_profile/010011/Saint_Vincent%27s_East/Birmingham/Alabama/" xr:uid="{B07E3E3D-F929-894B-A4B7-2206971A58E8}"/>
    <hyperlink ref="A76" r:id="rId75" display="https://www.ahd.com/free_profile/010130/Saint_Vincent%27s_Saint_Clair/Pell_City/Alabama/" xr:uid="{C3C2DE8F-0D9B-FF43-BCF4-11E5685FB5DF}"/>
    <hyperlink ref="A77" r:id="rId76" display="https://www.ahd.com/free_profile/010016/Shelby_Baptist_Medical_Center/Alabaster/Alabama/" xr:uid="{A704451C-99B8-FA4D-8EF2-1323C9A858BF}"/>
    <hyperlink ref="A78" r:id="rId77" display="https://www.ahd.com/free_profile/010157/Shoals_Hospital/Muscle_Shoals/Alabama/" xr:uid="{D4159DE5-61F8-064B-B374-5D836D7B106C}"/>
    <hyperlink ref="A79" r:id="rId78" display="https://www.ahd.com/free_profile/010083/South_Baldwin_Regional_Medical_Center/Foley/Alabama/" xr:uid="{86A73F40-3558-654B-8E3C-72A836081334}"/>
    <hyperlink ref="A80" r:id="rId79" display="https://www.ahd.com/free_profile/010001/Southeast_Health_Medical_Center/Dothan/Alabama/" xr:uid="{59D97166-A8D0-214B-BFF0-A0824437261A}"/>
    <hyperlink ref="A81" r:id="rId80" display="https://www.ahd.com/free_profile/010144/Springhill_Medical_Center/Mobile/Alabama/" xr:uid="{6FA34AB0-C134-B845-BB12-AB62AB98932B}"/>
    <hyperlink ref="A82" r:id="rId81" display="https://www.ahd.com/free_profile/010100/Thomas_Hospital/Fairhope/Alabama/" xr:uid="{69B3DDDC-7F8F-B649-9AE7-F068986E5C74}"/>
    <hyperlink ref="A83" r:id="rId82" display="https://www.ahd.com/free_profile/010126/Troy_Regional_Medical_Center/Troy/Alabama/" xr:uid="{A563E779-6EB6-B94C-846F-391B674C8596}"/>
    <hyperlink ref="A84" r:id="rId83" display="https://www.ahd.com/free_profile/010018/UAB_Callahan_Eye_Hospital/Birmingham/Alabama/" xr:uid="{379F7605-7367-7B4E-B20A-14BFA407C6DC}"/>
    <hyperlink ref="A85" r:id="rId84" display="https://www.ahd.com/free_profile/010033/UAB_Hospital/Birmingham/Alabama/" xr:uid="{149D4D1C-2E52-2046-90C1-6B6F47037BFC}"/>
    <hyperlink ref="A86" r:id="rId85" display="https://www.ahd.com/free_profile/010167/UAB_Hospital_Highlands/Birmingham/Alabama/" xr:uid="{F44C205F-013E-7947-9FC9-A7A3293F1C22}"/>
    <hyperlink ref="A87" r:id="rId86" display="https://www.ahd.com/free_profile/010087/USA_Health_University_Hospital_/Mobile/Alabama/" xr:uid="{FF3CD57E-231D-F14E-87FD-06927DD75F86}"/>
    <hyperlink ref="A88" r:id="rId87" display="https://www.ahd.com/free_profile/010118/Vaughan_Regional_Medical_Center/Selma/Alabama/" xr:uid="{D315E3C2-1AC3-1345-B8BE-FC72223D30C1}"/>
    <hyperlink ref="A89" r:id="rId88" display="https://www.ahd.com/free_profile/010089/Walker_Baptist_Medical_Center/Jasper/Alabama/" xr:uid="{AD175B01-1B22-C540-8DEF-541E88C305C6}"/>
    <hyperlink ref="A90" r:id="rId89" display="https://www.ahd.com/free_profile/010062/Wiregrass_Medical_Center/Geneva/Alabama/" xr:uid="{822E393F-DD60-B744-AB09-4114B974664D}"/>
  </hyperlinks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65666-BBF4-014D-BD73-5C3204CE5EE7}">
  <sheetPr codeName="Sheet4"/>
  <dimension ref="A1:G54"/>
  <sheetViews>
    <sheetView workbookViewId="0">
      <selection activeCell="G2" sqref="G2:G53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235</v>
      </c>
      <c r="B2" s="2" t="s">
        <v>236</v>
      </c>
      <c r="C2" s="2">
        <v>20</v>
      </c>
      <c r="D2" s="3">
        <v>1319</v>
      </c>
      <c r="E2" s="3">
        <v>2088</v>
      </c>
      <c r="F2" s="4">
        <v>172182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"*",CHOOSE({1,2}, Super_CBSA!$E$2:$E$1917, Super_CBSA!$A$2:$A$1917), 2,FALSE), ""))</f>
        <v>22220</v>
      </c>
    </row>
    <row r="3" spans="1:7" ht="17">
      <c r="A3" s="1" t="s">
        <v>237</v>
      </c>
      <c r="B3" s="2" t="s">
        <v>238</v>
      </c>
      <c r="C3" s="2">
        <v>121</v>
      </c>
      <c r="D3" s="3">
        <v>1589</v>
      </c>
      <c r="E3" s="3">
        <v>4078</v>
      </c>
      <c r="F3" s="4">
        <v>57855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"*",CHOOSE({1,2}, Super_CBSA!$E$2:$E$1917, Super_CBSA!$A$2:$A$1917), 2,FALSE), ""))</f>
        <v>39300</v>
      </c>
    </row>
    <row r="4" spans="1:7" ht="17">
      <c r="A4" s="1" t="s">
        <v>239</v>
      </c>
      <c r="B4" s="2" t="s">
        <v>240</v>
      </c>
      <c r="C4" s="2">
        <v>44</v>
      </c>
      <c r="D4" s="2">
        <v>73</v>
      </c>
      <c r="E4" s="3">
        <v>2042</v>
      </c>
      <c r="F4" s="4">
        <v>14613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"*",CHOOSE({1,2}, Super_CBSA!$E$2:$E$1917, Super_CBSA!$A$2:$A$1917), 2,FALSE), ""))</f>
        <v>27860</v>
      </c>
    </row>
    <row r="5" spans="1:7" ht="17">
      <c r="A5" s="1" t="s">
        <v>241</v>
      </c>
      <c r="B5" s="2" t="s">
        <v>242</v>
      </c>
      <c r="C5" s="2">
        <v>112</v>
      </c>
      <c r="D5" s="3">
        <v>6501</v>
      </c>
      <c r="E5" s="3">
        <v>25825</v>
      </c>
      <c r="F5" s="4">
        <v>726034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"*",CHOOSE({1,2}, Super_CBSA!$E$2:$E$1917, Super_CBSA!$A$2:$A$1917), 2,FALSE), ""))</f>
        <v>30780</v>
      </c>
    </row>
    <row r="6" spans="1:7" ht="17">
      <c r="A6" s="1" t="s">
        <v>243</v>
      </c>
      <c r="B6" s="2" t="s">
        <v>244</v>
      </c>
      <c r="C6" s="2">
        <v>129</v>
      </c>
      <c r="D6" s="3">
        <v>3693</v>
      </c>
      <c r="E6" s="3">
        <v>12305</v>
      </c>
      <c r="F6" s="4">
        <v>171739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"*",CHOOSE({1,2}, Super_CBSA!$E$2:$E$1917, Super_CBSA!$A$2:$A$1917), 2,FALSE), ""))</f>
        <v>37500</v>
      </c>
    </row>
    <row r="7" spans="1:7" ht="17">
      <c r="A7" s="1" t="s">
        <v>245</v>
      </c>
      <c r="B7" s="2" t="s">
        <v>246</v>
      </c>
      <c r="C7" s="2">
        <v>49</v>
      </c>
      <c r="D7" s="3">
        <v>3497</v>
      </c>
      <c r="E7" s="3">
        <v>6925</v>
      </c>
      <c r="F7" s="4">
        <v>219282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"*",CHOOSE({1,2}, Super_CBSA!$E$2:$E$1917, Super_CBSA!$A$2:$A$1917), 2,FALSE), ""))</f>
        <v>30780</v>
      </c>
    </row>
    <row r="8" spans="1:7" ht="17">
      <c r="A8" s="1" t="s">
        <v>247</v>
      </c>
      <c r="B8" s="2" t="s">
        <v>242</v>
      </c>
      <c r="C8" s="2">
        <v>734</v>
      </c>
      <c r="D8" s="3">
        <v>28081</v>
      </c>
      <c r="E8" s="3">
        <v>155026</v>
      </c>
      <c r="F8" s="4">
        <v>2054543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"*",CHOOSE({1,2}, Super_CBSA!$E$2:$E$1917, Super_CBSA!$A$2:$A$1917), 2,FALSE), ""))</f>
        <v>30780</v>
      </c>
    </row>
    <row r="9" spans="1:7" ht="17">
      <c r="A9" s="1" t="s">
        <v>248</v>
      </c>
      <c r="B9" s="2" t="s">
        <v>246</v>
      </c>
      <c r="C9" s="2">
        <v>205</v>
      </c>
      <c r="D9" s="3">
        <v>10202</v>
      </c>
      <c r="E9" s="3">
        <v>41757</v>
      </c>
      <c r="F9" s="4">
        <v>798116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"*",CHOOSE({1,2}, Super_CBSA!$E$2:$E$1917, Super_CBSA!$A$2:$A$1917), 2,FALSE), ""))</f>
        <v>30780</v>
      </c>
    </row>
    <row r="10" spans="1:7" ht="17">
      <c r="A10" s="1" t="s">
        <v>249</v>
      </c>
      <c r="B10" s="2" t="s">
        <v>250</v>
      </c>
      <c r="C10" s="2">
        <v>49</v>
      </c>
      <c r="D10" s="2">
        <v>981</v>
      </c>
      <c r="E10" s="3">
        <v>3326</v>
      </c>
      <c r="F10" s="4">
        <v>67528</v>
      </c>
      <c r="G10" s="11" t="str" cm="1">
        <f t="array" aca="1" ref="G10" ca="1">IFERROR(VLOOKUP("*" &amp; B10  &amp; "*" &amp; (MID(CELL("filename",A9),FIND("]",CELL("filename",A9))+1,31)) &amp; "*",CHOOSE({1,2}, Super_CBSA!$B$2:$B$1917, Super_CBSA!$A$2:$A$1917), 2,FALSE), IFERROR(VLOOKUP(B10  &amp; "*",CHOOSE({1,2}, Super_CBSA!$E$2:$E$1917, Super_CBSA!$A$2:$A$1917), 2,FALSE), ""))</f>
        <v/>
      </c>
    </row>
    <row r="11" spans="1:7" ht="17">
      <c r="A11" s="1" t="s">
        <v>251</v>
      </c>
      <c r="B11" s="2" t="s">
        <v>252</v>
      </c>
      <c r="C11" s="2">
        <v>110</v>
      </c>
      <c r="D11" s="3">
        <v>3029</v>
      </c>
      <c r="E11" s="3">
        <v>9890</v>
      </c>
      <c r="F11" s="4">
        <v>257866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"*",CHOOSE({1,2}, Super_CBSA!$E$2:$E$1917, Super_CBSA!$A$2:$A$1917), 2,FALSE), ""))</f>
        <v>30780</v>
      </c>
    </row>
    <row r="12" spans="1:7" ht="17">
      <c r="A12" s="1" t="s">
        <v>253</v>
      </c>
      <c r="B12" s="2" t="s">
        <v>254</v>
      </c>
      <c r="C12" s="2">
        <v>64</v>
      </c>
      <c r="D12" s="3">
        <v>2248</v>
      </c>
      <c r="E12" s="3">
        <v>9215</v>
      </c>
      <c r="F12" s="4">
        <v>64656</v>
      </c>
      <c r="G12" s="11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"*",CHOOSE({1,2}, Super_CBSA!$E$2:$E$1917, Super_CBSA!$A$2:$A$1917), 2,FALSE), ""))</f>
        <v>31680</v>
      </c>
    </row>
    <row r="13" spans="1:7" ht="17">
      <c r="A13" s="1" t="s">
        <v>255</v>
      </c>
      <c r="B13" s="2" t="s">
        <v>256</v>
      </c>
      <c r="C13" s="2">
        <v>343</v>
      </c>
      <c r="D13" s="3">
        <v>12427</v>
      </c>
      <c r="E13" s="3">
        <v>58267</v>
      </c>
      <c r="F13" s="4">
        <v>1469283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"*",CHOOSE({1,2}, Super_CBSA!$E$2:$E$1917, Super_CBSA!$A$2:$A$1917), 2,FALSE), ""))</f>
        <v>22900</v>
      </c>
    </row>
    <row r="14" spans="1:7" ht="17">
      <c r="A14" s="1" t="s">
        <v>257</v>
      </c>
      <c r="B14" s="2" t="s">
        <v>258</v>
      </c>
      <c r="C14" s="2">
        <v>39</v>
      </c>
      <c r="D14" s="3">
        <v>1005</v>
      </c>
      <c r="E14" s="3">
        <v>2877</v>
      </c>
      <c r="F14" s="4">
        <v>163400</v>
      </c>
      <c r="G14" s="11" t="str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"*",CHOOSE({1,2}, Super_CBSA!$E$2:$E$1917, Super_CBSA!$A$2:$A$1917), 2,FALSE), ""))</f>
        <v/>
      </c>
    </row>
    <row r="15" spans="1:7" ht="17">
      <c r="A15" s="1" t="s">
        <v>259</v>
      </c>
      <c r="B15" s="2" t="s">
        <v>260</v>
      </c>
      <c r="C15" s="2">
        <v>11</v>
      </c>
      <c r="D15" s="2">
        <v>544</v>
      </c>
      <c r="E15" s="3">
        <v>1217</v>
      </c>
      <c r="F15" s="4">
        <v>124583</v>
      </c>
      <c r="G15" s="11" t="str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"*",CHOOSE({1,2}, Super_CBSA!$E$2:$E$1917, Super_CBSA!$A$2:$A$1917), 2,FALSE), ""))</f>
        <v/>
      </c>
    </row>
    <row r="16" spans="1:7" ht="17">
      <c r="A16" s="1" t="s">
        <v>261</v>
      </c>
      <c r="B16" s="2" t="s">
        <v>262</v>
      </c>
      <c r="C16" s="2">
        <v>212</v>
      </c>
      <c r="D16" s="3">
        <v>9167</v>
      </c>
      <c r="E16" s="3">
        <v>32384</v>
      </c>
      <c r="F16" s="4">
        <v>669694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"*",CHOOSE({1,2}, Super_CBSA!$E$2:$E$1917, Super_CBSA!$A$2:$A$1917), 2,FALSE), ""))</f>
        <v>34260</v>
      </c>
    </row>
    <row r="17" spans="1:7" ht="17">
      <c r="A17" s="1" t="s">
        <v>263</v>
      </c>
      <c r="B17" s="2" t="s">
        <v>264</v>
      </c>
      <c r="C17" s="2">
        <v>42</v>
      </c>
      <c r="D17" s="3">
        <v>1318</v>
      </c>
      <c r="E17" s="3">
        <v>4142</v>
      </c>
      <c r="F17" s="4">
        <v>48089</v>
      </c>
      <c r="G17" s="11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"*",CHOOSE({1,2}, Super_CBSA!$E$2:$E$1917, Super_CBSA!$A$2:$A$1917), 2,FALSE), ""))</f>
        <v>19260</v>
      </c>
    </row>
    <row r="18" spans="1:7" ht="17">
      <c r="A18" s="1" t="s">
        <v>265</v>
      </c>
      <c r="B18" s="2" t="s">
        <v>266</v>
      </c>
      <c r="C18" s="2">
        <v>229</v>
      </c>
      <c r="D18" s="3">
        <v>11605</v>
      </c>
      <c r="E18" s="3">
        <v>51792</v>
      </c>
      <c r="F18" s="4">
        <v>952631</v>
      </c>
      <c r="G18" s="11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"*",CHOOSE({1,2}, Super_CBSA!$E$2:$E$1917, Super_CBSA!$A$2:$A$1917), 2,FALSE), ""))</f>
        <v>26300</v>
      </c>
    </row>
    <row r="19" spans="1:7" ht="17">
      <c r="A19" s="1" t="s">
        <v>267</v>
      </c>
      <c r="B19" s="2" t="s">
        <v>242</v>
      </c>
      <c r="C19" s="2">
        <v>393</v>
      </c>
      <c r="D19" s="3">
        <v>17643</v>
      </c>
      <c r="E19" s="3">
        <v>94504</v>
      </c>
      <c r="F19" s="4">
        <v>1769767</v>
      </c>
      <c r="G19" s="11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"*",CHOOSE({1,2}, Super_CBSA!$E$2:$E$1917, Super_CBSA!$A$2:$A$1917), 2,FALSE), ""))</f>
        <v>30780</v>
      </c>
    </row>
    <row r="20" spans="1:7" ht="17">
      <c r="A20" s="1" t="s">
        <v>268</v>
      </c>
      <c r="B20" s="2" t="s">
        <v>269</v>
      </c>
      <c r="C20" s="2">
        <v>59</v>
      </c>
      <c r="D20" s="3">
        <v>2235</v>
      </c>
      <c r="E20" s="3">
        <v>8851</v>
      </c>
      <c r="F20" s="4">
        <v>237414</v>
      </c>
      <c r="G20" s="11" t="str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"*",CHOOSE({1,2}, Super_CBSA!$E$2:$E$1917, Super_CBSA!$A$2:$A$1917), 2,FALSE), ""))</f>
        <v/>
      </c>
    </row>
    <row r="21" spans="1:7" ht="17">
      <c r="A21" s="1" t="s">
        <v>270</v>
      </c>
      <c r="B21" s="2" t="s">
        <v>252</v>
      </c>
      <c r="C21" s="2">
        <v>150</v>
      </c>
      <c r="D21" s="3">
        <v>7607</v>
      </c>
      <c r="E21" s="3">
        <v>31383</v>
      </c>
      <c r="F21" s="4">
        <v>570069</v>
      </c>
      <c r="G21" s="11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"*",CHOOSE({1,2}, Super_CBSA!$E$2:$E$1917, Super_CBSA!$A$2:$A$1917), 2,FALSE), ""))</f>
        <v>30780</v>
      </c>
    </row>
    <row r="22" spans="1:7" ht="17">
      <c r="A22" s="1" t="s">
        <v>271</v>
      </c>
      <c r="B22" s="2" t="s">
        <v>272</v>
      </c>
      <c r="C22" s="2">
        <v>49</v>
      </c>
      <c r="D22" s="3">
        <v>2249</v>
      </c>
      <c r="E22" s="3">
        <v>7095</v>
      </c>
      <c r="F22" s="4">
        <v>84649</v>
      </c>
      <c r="G22" s="11" t="str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"*",CHOOSE({1,2}, Super_CBSA!$E$2:$E$1917, Super_CBSA!$A$2:$A$1917), 2,FALSE), ""))</f>
        <v/>
      </c>
    </row>
    <row r="23" spans="1:7" ht="17">
      <c r="A23" s="1" t="s">
        <v>273</v>
      </c>
      <c r="B23" s="2" t="s">
        <v>274</v>
      </c>
      <c r="C23" s="2">
        <v>44</v>
      </c>
      <c r="D23" s="2">
        <v>613</v>
      </c>
      <c r="E23" s="3">
        <v>1869</v>
      </c>
      <c r="F23" s="4">
        <v>46155</v>
      </c>
      <c r="G23" s="11" t="str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"*",CHOOSE({1,2}, Super_CBSA!$E$2:$E$1917, Super_CBSA!$A$2:$A$1917), 2,FALSE), ""))</f>
        <v/>
      </c>
    </row>
    <row r="24" spans="1:7" ht="17">
      <c r="A24" s="1" t="s">
        <v>275</v>
      </c>
      <c r="B24" s="2" t="s">
        <v>276</v>
      </c>
      <c r="C24" s="2">
        <v>70</v>
      </c>
      <c r="D24" s="3">
        <v>2168</v>
      </c>
      <c r="E24" s="3">
        <v>7434</v>
      </c>
      <c r="F24" s="4">
        <v>188554</v>
      </c>
      <c r="G24" s="11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"*",CHOOSE({1,2}, Super_CBSA!$E$2:$E$1917, Super_CBSA!$A$2:$A$1917), 2,FALSE), ""))</f>
        <v>22620</v>
      </c>
    </row>
    <row r="25" spans="1:7" ht="17">
      <c r="A25" s="1" t="s">
        <v>277</v>
      </c>
      <c r="B25" s="2" t="s">
        <v>278</v>
      </c>
      <c r="C25" s="2">
        <v>33</v>
      </c>
      <c r="D25" s="3">
        <v>1423</v>
      </c>
      <c r="E25" s="3">
        <v>4442</v>
      </c>
      <c r="F25" s="4">
        <v>72252</v>
      </c>
      <c r="G25" s="11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"*",CHOOSE({1,2}, Super_CBSA!$E$2:$E$1917, Super_CBSA!$A$2:$A$1917), 2,FALSE), ""))</f>
        <v>14180</v>
      </c>
    </row>
    <row r="26" spans="1:7" ht="17">
      <c r="A26" s="1" t="s">
        <v>279</v>
      </c>
      <c r="B26" s="2" t="s">
        <v>280</v>
      </c>
      <c r="C26" s="2">
        <v>127</v>
      </c>
      <c r="D26" s="3">
        <v>1540</v>
      </c>
      <c r="E26" s="3">
        <v>4791</v>
      </c>
      <c r="F26" s="4">
        <v>138975</v>
      </c>
      <c r="G26" s="11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"*",CHOOSE({1,2}, Super_CBSA!$E$2:$E$1917, Super_CBSA!$A$2:$A$1917), 2,FALSE), ""))</f>
        <v>25760</v>
      </c>
    </row>
    <row r="27" spans="1:7" ht="17">
      <c r="A27" s="1" t="s">
        <v>281</v>
      </c>
      <c r="B27" s="2" t="s">
        <v>282</v>
      </c>
      <c r="C27" s="2">
        <v>316</v>
      </c>
      <c r="D27" s="3">
        <v>8873</v>
      </c>
      <c r="E27" s="3">
        <v>44226</v>
      </c>
      <c r="F27" s="4">
        <v>881501</v>
      </c>
      <c r="G27" s="11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"*",CHOOSE({1,2}, Super_CBSA!$E$2:$E$1917, Super_CBSA!$A$2:$A$1917), 2,FALSE), ""))</f>
        <v>38220</v>
      </c>
    </row>
    <row r="28" spans="1:7" ht="17">
      <c r="A28" s="1" t="s">
        <v>283</v>
      </c>
      <c r="B28" s="2" t="s">
        <v>242</v>
      </c>
      <c r="C28" s="2">
        <v>0</v>
      </c>
      <c r="D28" s="2">
        <v>0</v>
      </c>
      <c r="E28" s="2">
        <v>0</v>
      </c>
      <c r="F28" s="4">
        <v>0</v>
      </c>
      <c r="G28" s="11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"*",CHOOSE({1,2}, Super_CBSA!$E$2:$E$1917, Super_CBSA!$A$2:$A$1917), 2,FALSE), ""))</f>
        <v>30780</v>
      </c>
    </row>
    <row r="29" spans="1:7" ht="17">
      <c r="A29" s="1" t="s">
        <v>284</v>
      </c>
      <c r="B29" s="2" t="s">
        <v>285</v>
      </c>
      <c r="C29" s="2">
        <v>89</v>
      </c>
      <c r="D29" s="3">
        <v>1873</v>
      </c>
      <c r="E29" s="3">
        <v>4933</v>
      </c>
      <c r="F29" s="4">
        <v>82018</v>
      </c>
      <c r="G29" s="11" t="str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"*",CHOOSE({1,2}, Super_CBSA!$E$2:$E$1917, Super_CBSA!$A$2:$A$1917), 2,FALSE), ""))</f>
        <v/>
      </c>
    </row>
    <row r="30" spans="1:7" ht="17">
      <c r="A30" s="1" t="s">
        <v>286</v>
      </c>
      <c r="B30" s="2" t="s">
        <v>287</v>
      </c>
      <c r="C30" s="2">
        <v>53</v>
      </c>
      <c r="D30" s="2">
        <v>1</v>
      </c>
      <c r="E30" s="2">
        <v>1</v>
      </c>
      <c r="F30" s="4">
        <v>8880</v>
      </c>
      <c r="G30" s="11" t="str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"*",CHOOSE({1,2}, Super_CBSA!$E$2:$E$1917, Super_CBSA!$A$2:$A$1917), 2,FALSE), ""))</f>
        <v/>
      </c>
    </row>
    <row r="31" spans="1:7" ht="17">
      <c r="A31" s="1" t="s">
        <v>288</v>
      </c>
      <c r="B31" s="2" t="s">
        <v>289</v>
      </c>
      <c r="C31" s="2">
        <v>30</v>
      </c>
      <c r="D31" s="2">
        <v>979</v>
      </c>
      <c r="E31" s="3">
        <v>2887</v>
      </c>
      <c r="F31" s="4">
        <v>46969</v>
      </c>
      <c r="G31" s="11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"*",CHOOSE({1,2}, Super_CBSA!$E$2:$E$1917, Super_CBSA!$A$2:$A$1917), 2,FALSE), ""))</f>
        <v>31620</v>
      </c>
    </row>
    <row r="32" spans="1:7" ht="17">
      <c r="A32" s="1" t="s">
        <v>290</v>
      </c>
      <c r="B32" s="2" t="s">
        <v>291</v>
      </c>
      <c r="C32" s="2">
        <v>131</v>
      </c>
      <c r="D32" s="3">
        <v>3366</v>
      </c>
      <c r="E32" s="3">
        <v>12823</v>
      </c>
      <c r="F32" s="4">
        <v>445966</v>
      </c>
      <c r="G32" s="11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"*",CHOOSE({1,2}, Super_CBSA!$E$2:$E$1917, Super_CBSA!$A$2:$A$1917), 2,FALSE), ""))</f>
        <v>20980</v>
      </c>
    </row>
    <row r="33" spans="1:7" ht="17">
      <c r="A33" s="1" t="s">
        <v>292</v>
      </c>
      <c r="B33" s="2" t="s">
        <v>293</v>
      </c>
      <c r="C33" s="2">
        <v>65</v>
      </c>
      <c r="D33" s="3">
        <v>1174</v>
      </c>
      <c r="E33" s="3">
        <v>4712</v>
      </c>
      <c r="F33" s="4">
        <v>75542</v>
      </c>
      <c r="G33" s="11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"*",CHOOSE({1,2}, Super_CBSA!$E$2:$E$1917, Super_CBSA!$A$2:$A$1917), 2,FALSE), ""))</f>
        <v>44100</v>
      </c>
    </row>
    <row r="34" spans="1:7" ht="17">
      <c r="A34" s="1" t="s">
        <v>294</v>
      </c>
      <c r="B34" s="2" t="s">
        <v>256</v>
      </c>
      <c r="C34" s="2">
        <v>385</v>
      </c>
      <c r="D34" s="3">
        <v>16332</v>
      </c>
      <c r="E34" s="3">
        <v>69263</v>
      </c>
      <c r="F34" s="4">
        <v>1253838</v>
      </c>
      <c r="G34" s="11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"*",CHOOSE({1,2}, Super_CBSA!$E$2:$E$1917, Super_CBSA!$A$2:$A$1917), 2,FALSE), ""))</f>
        <v>22900</v>
      </c>
    </row>
    <row r="35" spans="1:7" ht="17">
      <c r="A35" s="1" t="s">
        <v>295</v>
      </c>
      <c r="B35" s="2" t="s">
        <v>296</v>
      </c>
      <c r="C35" s="2">
        <v>206</v>
      </c>
      <c r="D35" s="3">
        <v>12636</v>
      </c>
      <c r="E35" s="3">
        <v>43112</v>
      </c>
      <c r="F35" s="4">
        <v>1102729</v>
      </c>
      <c r="G35" s="11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"*",CHOOSE({1,2}, Super_CBSA!$E$2:$E$1917, Super_CBSA!$A$2:$A$1917), 2,FALSE), ""))</f>
        <v>22220</v>
      </c>
    </row>
    <row r="36" spans="1:7" ht="17">
      <c r="A36" s="1" t="s">
        <v>297</v>
      </c>
      <c r="B36" s="2" t="s">
        <v>256</v>
      </c>
      <c r="C36" s="2">
        <v>0</v>
      </c>
      <c r="D36" s="2">
        <v>0</v>
      </c>
      <c r="E36" s="2">
        <v>0</v>
      </c>
      <c r="F36" s="4">
        <v>0</v>
      </c>
      <c r="G36" s="11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"*",CHOOSE({1,2}, Super_CBSA!$E$2:$E$1917, Super_CBSA!$A$2:$A$1917), 2,FALSE), ""))</f>
        <v>22900</v>
      </c>
    </row>
    <row r="37" spans="1:7" ht="17">
      <c r="A37" s="1" t="s">
        <v>298</v>
      </c>
      <c r="B37" s="2" t="s">
        <v>266</v>
      </c>
      <c r="C37" s="2">
        <v>163</v>
      </c>
      <c r="D37" s="3">
        <v>6332</v>
      </c>
      <c r="E37" s="3">
        <v>31019</v>
      </c>
      <c r="F37" s="4">
        <v>1182513</v>
      </c>
      <c r="G37" s="11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"*",CHOOSE({1,2}, Super_CBSA!$E$2:$E$1917, Super_CBSA!$A$2:$A$1917), 2,FALSE), ""))</f>
        <v>26300</v>
      </c>
    </row>
    <row r="38" spans="1:7" ht="17">
      <c r="A38" s="1" t="s">
        <v>299</v>
      </c>
      <c r="B38" s="2" t="s">
        <v>240</v>
      </c>
      <c r="C38" s="2">
        <v>204</v>
      </c>
      <c r="D38" s="3">
        <v>11786</v>
      </c>
      <c r="E38" s="3">
        <v>49492</v>
      </c>
      <c r="F38" s="4">
        <v>1127971</v>
      </c>
      <c r="G38" s="11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"*",CHOOSE({1,2}, Super_CBSA!$E$2:$E$1917, Super_CBSA!$A$2:$A$1917), 2,FALSE), ""))</f>
        <v>27860</v>
      </c>
    </row>
    <row r="39" spans="1:7" ht="17">
      <c r="A39" s="1" t="s">
        <v>300</v>
      </c>
      <c r="B39" s="2" t="s">
        <v>301</v>
      </c>
      <c r="C39" s="2">
        <v>134</v>
      </c>
      <c r="D39" s="3">
        <v>3091</v>
      </c>
      <c r="E39" s="3">
        <v>9382</v>
      </c>
      <c r="F39" s="4">
        <v>264338</v>
      </c>
      <c r="G39" s="11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"*",CHOOSE({1,2}, Super_CBSA!$E$2:$E$1917, Super_CBSA!$A$2:$A$1917), 2,FALSE), ""))</f>
        <v>25460</v>
      </c>
    </row>
    <row r="40" spans="1:7" ht="17">
      <c r="A40" s="1" t="s">
        <v>302</v>
      </c>
      <c r="B40" s="2" t="s">
        <v>303</v>
      </c>
      <c r="C40" s="2">
        <v>121</v>
      </c>
      <c r="D40" s="3">
        <v>5192</v>
      </c>
      <c r="E40" s="3">
        <v>22923</v>
      </c>
      <c r="F40" s="4">
        <v>238959</v>
      </c>
      <c r="G40" s="11" t="str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"*",CHOOSE({1,2}, Super_CBSA!$E$2:$E$1917, Super_CBSA!$A$2:$A$1917), 2,FALSE), ""))</f>
        <v/>
      </c>
    </row>
    <row r="41" spans="1:7" ht="17">
      <c r="A41" s="1" t="s">
        <v>304</v>
      </c>
      <c r="B41" s="2" t="s">
        <v>305</v>
      </c>
      <c r="C41" s="2">
        <v>300</v>
      </c>
      <c r="D41" s="3">
        <v>11582</v>
      </c>
      <c r="E41" s="3">
        <v>57735</v>
      </c>
      <c r="F41" s="4">
        <v>1987301</v>
      </c>
      <c r="G41" s="11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"*",CHOOSE({1,2}, Super_CBSA!$E$2:$E$1917, Super_CBSA!$A$2:$A$1917), 2,FALSE), ""))</f>
        <v>22220</v>
      </c>
    </row>
    <row r="42" spans="1:7" ht="17">
      <c r="A42" s="1" t="s">
        <v>306</v>
      </c>
      <c r="B42" s="2" t="s">
        <v>160</v>
      </c>
      <c r="C42" s="2">
        <v>87</v>
      </c>
      <c r="D42" s="3">
        <v>1459</v>
      </c>
      <c r="E42" s="3">
        <v>5026</v>
      </c>
      <c r="F42" s="4">
        <v>125768</v>
      </c>
      <c r="G42" s="11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"*",CHOOSE({1,2}, Super_CBSA!$E$2:$E$1917, Super_CBSA!$A$2:$A$1917), 2,FALSE), ""))</f>
        <v>15780</v>
      </c>
    </row>
    <row r="43" spans="1:7" ht="17">
      <c r="A43" s="1" t="s">
        <v>307</v>
      </c>
      <c r="B43" s="2" t="s">
        <v>206</v>
      </c>
      <c r="C43" s="2">
        <v>157</v>
      </c>
      <c r="D43" s="3">
        <v>5246</v>
      </c>
      <c r="E43" s="3">
        <v>22254</v>
      </c>
      <c r="F43" s="4">
        <v>775211</v>
      </c>
      <c r="G43" s="11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"*",CHOOSE({1,2}, Super_CBSA!$E$2:$E$1917, Super_CBSA!$A$2:$A$1917), 2,FALSE), ""))</f>
        <v>40780</v>
      </c>
    </row>
    <row r="44" spans="1:7" ht="17">
      <c r="A44" s="1" t="s">
        <v>308</v>
      </c>
      <c r="B44" s="2" t="s">
        <v>309</v>
      </c>
      <c r="C44" s="2">
        <v>161</v>
      </c>
      <c r="D44" s="3">
        <v>5394</v>
      </c>
      <c r="E44" s="3">
        <v>18862</v>
      </c>
      <c r="F44" s="4">
        <v>371006</v>
      </c>
      <c r="G44" s="11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"*",CHOOSE({1,2}, Super_CBSA!$E$2:$E$1917, Super_CBSA!$A$2:$A$1917), 2,FALSE), ""))</f>
        <v>16300</v>
      </c>
    </row>
    <row r="45" spans="1:7" ht="17">
      <c r="A45" s="1" t="s">
        <v>310</v>
      </c>
      <c r="B45" s="2" t="s">
        <v>311</v>
      </c>
      <c r="C45" s="2">
        <v>44</v>
      </c>
      <c r="D45" s="3">
        <v>1733</v>
      </c>
      <c r="E45" s="3">
        <v>4830</v>
      </c>
      <c r="F45" s="4">
        <v>188578</v>
      </c>
      <c r="G45" s="11" t="str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"*",CHOOSE({1,2}, Super_CBSA!$E$2:$E$1917, Super_CBSA!$A$2:$A$1917), 2,FALSE), ""))</f>
        <v/>
      </c>
    </row>
    <row r="46" spans="1:7" ht="17">
      <c r="A46" s="1" t="s">
        <v>312</v>
      </c>
      <c r="B46" s="2" t="s">
        <v>240</v>
      </c>
      <c r="C46" s="2">
        <v>351</v>
      </c>
      <c r="D46" s="3">
        <v>17965</v>
      </c>
      <c r="E46" s="3">
        <v>83767</v>
      </c>
      <c r="F46" s="4">
        <v>1097759</v>
      </c>
      <c r="G46" s="11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"*",CHOOSE({1,2}, Super_CBSA!$E$2:$E$1917, Super_CBSA!$A$2:$A$1917), 2,FALSE), ""))</f>
        <v>27860</v>
      </c>
    </row>
    <row r="47" spans="1:7" ht="17">
      <c r="A47" s="1" t="s">
        <v>313</v>
      </c>
      <c r="B47" s="2" t="s">
        <v>314</v>
      </c>
      <c r="C47" s="2">
        <v>283</v>
      </c>
      <c r="D47" s="3">
        <v>11215</v>
      </c>
      <c r="E47" s="3">
        <v>47745</v>
      </c>
      <c r="F47" s="4">
        <v>785110</v>
      </c>
      <c r="G47" s="11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"*",CHOOSE({1,2}, Super_CBSA!$E$2:$E$1917, Super_CBSA!$A$2:$A$1917), 2,FALSE), ""))</f>
        <v>42620</v>
      </c>
    </row>
    <row r="48" spans="1:7" ht="17">
      <c r="A48" s="1" t="s">
        <v>315</v>
      </c>
      <c r="B48" s="2" t="s">
        <v>242</v>
      </c>
      <c r="C48" s="2">
        <v>505</v>
      </c>
      <c r="D48" s="3">
        <v>28215</v>
      </c>
      <c r="E48" s="3">
        <v>152000</v>
      </c>
      <c r="F48" s="4">
        <v>2443548</v>
      </c>
      <c r="G48" s="11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"*",CHOOSE({1,2}, Super_CBSA!$E$2:$E$1917, Super_CBSA!$A$2:$A$1917), 2,FALSE), ""))</f>
        <v>30780</v>
      </c>
    </row>
    <row r="49" spans="1:7" ht="17">
      <c r="A49" s="1" t="s">
        <v>316</v>
      </c>
      <c r="B49" s="2" t="s">
        <v>236</v>
      </c>
      <c r="C49" s="2">
        <v>0</v>
      </c>
      <c r="D49" s="2">
        <v>0</v>
      </c>
      <c r="E49" s="2">
        <v>0</v>
      </c>
      <c r="F49" s="4">
        <v>0</v>
      </c>
      <c r="G49" s="11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"*",CHOOSE({1,2}, Super_CBSA!$E$2:$E$1917, Super_CBSA!$A$2:$A$1917), 2,FALSE), ""))</f>
        <v>22220</v>
      </c>
    </row>
    <row r="50" spans="1:7" ht="17">
      <c r="A50" s="1" t="s">
        <v>317</v>
      </c>
      <c r="B50" s="2" t="s">
        <v>318</v>
      </c>
      <c r="C50" s="2">
        <v>79</v>
      </c>
      <c r="D50" s="2">
        <v>691</v>
      </c>
      <c r="E50" s="3">
        <v>2262</v>
      </c>
      <c r="F50" s="4">
        <v>72113</v>
      </c>
      <c r="G50" s="11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"*",CHOOSE({1,2}, Super_CBSA!$E$2:$E$1917, Super_CBSA!$A$2:$A$1917), 2,FALSE), ""))</f>
        <v>26260</v>
      </c>
    </row>
    <row r="51" spans="1:7" ht="17">
      <c r="A51" s="1" t="s">
        <v>319</v>
      </c>
      <c r="B51" s="2" t="s">
        <v>236</v>
      </c>
      <c r="C51" s="2">
        <v>320</v>
      </c>
      <c r="D51" s="3">
        <v>16340</v>
      </c>
      <c r="E51" s="3">
        <v>70156</v>
      </c>
      <c r="F51" s="4">
        <v>1463611</v>
      </c>
      <c r="G51" s="11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"*",CHOOSE({1,2}, Super_CBSA!$E$2:$E$1917, Super_CBSA!$A$2:$A$1917), 2,FALSE), ""))</f>
        <v>22220</v>
      </c>
    </row>
    <row r="52" spans="1:7" ht="17">
      <c r="A52" s="1" t="s">
        <v>320</v>
      </c>
      <c r="B52" s="2" t="s">
        <v>321</v>
      </c>
      <c r="C52" s="2">
        <v>221</v>
      </c>
      <c r="D52" s="3">
        <v>7611</v>
      </c>
      <c r="E52" s="3">
        <v>30581</v>
      </c>
      <c r="F52" s="4">
        <v>578523</v>
      </c>
      <c r="G52" s="11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"*",CHOOSE({1,2}, Super_CBSA!$E$2:$E$1917, Super_CBSA!$A$2:$A$1917), 2,FALSE), ""))</f>
        <v>12900</v>
      </c>
    </row>
    <row r="53" spans="1:7" ht="17">
      <c r="A53" s="1" t="s">
        <v>322</v>
      </c>
      <c r="B53" s="2" t="s">
        <v>323</v>
      </c>
      <c r="C53" s="2">
        <v>30</v>
      </c>
      <c r="D53" s="3">
        <v>3357</v>
      </c>
      <c r="E53" s="3">
        <v>11571</v>
      </c>
      <c r="F53" s="4">
        <v>38243</v>
      </c>
      <c r="G53" s="11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"*",CHOOSE({1,2}, Super_CBSA!$E$2:$E$1917, Super_CBSA!$A$2:$A$1917), 2,FALSE), ""))</f>
        <v>16060</v>
      </c>
    </row>
    <row r="54" spans="1:7" ht="17">
      <c r="A54" s="2" t="s">
        <v>56</v>
      </c>
      <c r="B54" s="2"/>
      <c r="C54" s="3">
        <v>7873</v>
      </c>
      <c r="D54" s="3">
        <v>315200</v>
      </c>
      <c r="E54" s="3">
        <v>1385087</v>
      </c>
      <c r="F54" s="4">
        <v>27777922</v>
      </c>
    </row>
  </sheetData>
  <hyperlinks>
    <hyperlink ref="A2" r:id="rId1" display="https://www.ahd.com/free_profile/040152/_Northwest_Health_Physicians%27_Specialty_Hospital/Fayetteville/Arkansas/" xr:uid="{13677042-6D3D-6F4A-95A3-3531F652E0DC}"/>
    <hyperlink ref="A3" r:id="rId2" display="https://www.ahd.com/free_profile/040080/_Unity_Health_-_Harris_Medical_Center/Newport/Arkansas/" xr:uid="{698AC653-C5A3-C740-B116-820FD4A74A54}"/>
    <hyperlink ref="A4" r:id="rId3" display="https://www.ahd.com/free_profile/040155/Arkansas_Continued_Care_Hospital_of_Jonesboro/Jonesboro/Arkansas/" xr:uid="{5780EABC-14C8-7840-AB7D-2DACB11F39D2}"/>
    <hyperlink ref="A5" r:id="rId4" display="https://www.ahd.com/free_profile/040134/Arkansas_Heart_Hospital/Little_Rock/Arkansas/" xr:uid="{0B907628-90B8-BB45-B799-87C3622F5D6F}"/>
    <hyperlink ref="A6" r:id="rId5" display="https://www.ahd.com/free_profile/040039/Arkansas_Methodist_Medical_Center/Paragould/Arkansas/" xr:uid="{8468E9BB-5C87-024A-B6AF-63BA7CE81502}"/>
    <hyperlink ref="A7" r:id="rId6" display="https://www.ahd.com/free_profile/040147/Arkansas_Surgical_Hospital/North_Little_Rock/Arkansas/" xr:uid="{58CE0F84-8CC3-6340-9BED-AC1688090880}"/>
    <hyperlink ref="A8" r:id="rId7" display="https://www.ahd.com/free_profile/040114/Baptist_Health_-_Little_Rock/Little_Rock/Arkansas/" xr:uid="{1763F2F5-2855-C54D-AA70-B4CCDE171D7C}"/>
    <hyperlink ref="A9" r:id="rId8" display="https://www.ahd.com/free_profile/040036/Baptist_Health_-_North_Little_Rock/North_Little_Rock/Arkansas/" xr:uid="{7F95E9E1-043A-4A4F-8C4A-FCCB63A38A86}"/>
    <hyperlink ref="A10" r:id="rId9" display="https://www.ahd.com/free_profile/040072/Baptist_Health_-_Stuttgart/Stuttgart/Arkansas/" xr:uid="{6F11E8BA-4ED0-AD42-ACF5-F5AB2A55BAE5}"/>
    <hyperlink ref="A11" r:id="rId10" display="https://www.ahd.com/free_profile/040154/Baptist_Health_Medical_Center_Conway_/Conway/Arkansas/" xr:uid="{70F72FCD-A3AF-D943-9FF8-890E0ADE46B4}"/>
    <hyperlink ref="A12" r:id="rId11" display="https://www.ahd.com/free_profile/040076/Baptist_Health_Medical_Center-Hot_Spring_County_/Malvern/Arkansas/" xr:uid="{B6715471-BBDB-8449-ACEC-C833F31FC47F}"/>
    <hyperlink ref="A13" r:id="rId12" display="https://www.ahd.com/free_profile/040055/Baptist_Health-Fort_Smith/Fort_Smith/Arkansas/" xr:uid="{FD1B931C-724B-D049-BCF3-CC2C9A5451ED}"/>
    <hyperlink ref="A14" r:id="rId13" display="https://www.ahd.com/free_profile/040018/Baptist_Health-Van_Buren/Van_Buren/Arkansas/" xr:uid="{9BA4E4BC-511D-9D44-A1DA-F1DE18B1542B}"/>
    <hyperlink ref="A15" r:id="rId14" display="https://www.ahd.com/free_profile/040156/Baptist_Memorial_Hospital-Crittenden/West_Memphis/Arkansas/" xr:uid="{2B621071-BF32-784A-A331-A53910ED3795}"/>
    <hyperlink ref="A16" r:id="rId15" display="https://www.ahd.com/free_profile/040027/Baxter_Regional_Medical_Center/Mountain_Home/Arkansas/" xr:uid="{361943EE-560C-0047-AD04-D51ED85DE6AB}"/>
    <hyperlink ref="A17" r:id="rId16" display="https://www.ahd.com/free_profile/040011/Chambers_Memorial_Hospital/Danville/Arkansas/" xr:uid="{6297DBE8-6BA4-0148-BB84-C7590F7AFC21}"/>
    <hyperlink ref="A18" r:id="rId17" display="https://www.ahd.com/free_profile/040026/CHI_St_Vincent_Hot_Springs/Hot_Springs/Arkansas/" xr:uid="{B3C373F4-5CB8-114B-9FC4-57DE2A805EA5}"/>
    <hyperlink ref="A19" r:id="rId18" display="https://www.ahd.com/free_profile/040007/CHI_St_Vincent_Infirmary/Little_Rock/Arkansas/" xr:uid="{73C4F62F-6E3B-2D47-B1B0-EC335471DB7E}"/>
    <hyperlink ref="A20" r:id="rId19" display="https://www.ahd.com/free_profile/040137/CHI_St_Vincent_North/Sherwood/Arkansas/" xr:uid="{B893476D-2BBA-194E-A3C4-B47B4111FB4A}"/>
    <hyperlink ref="A21" r:id="rId20" display="https://www.ahd.com/free_profile/040029/Conway_Regional_Medical_Center/Conway/Arkansas/" xr:uid="{08D4164E-B8BF-A44B-B0CC-C97ED2248173}"/>
    <hyperlink ref="A22" r:id="rId21" display="https://www.ahd.com/free_profile/040051/Drew_Memorial_Hospital/Monticello/Arkansas/" xr:uid="{95EE4359-6CE3-834B-8032-FE7E598DF868}"/>
    <hyperlink ref="A23" r:id="rId22" display="https://www.ahd.com/free_profile/040047/Five_Rivers_Medical_Center/Pocahontas/Arkansas/" xr:uid="{C7AEAF8C-E62E-1C46-A05D-F582DF5500ED}"/>
    <hyperlink ref="A24" r:id="rId23" display="https://www.ahd.com/free_profile/040019/Forrest_City_Medical_Center/Forrest_City/Arkansas/" xr:uid="{93C2305D-6A9C-0A46-970C-247D18661D58}"/>
    <hyperlink ref="A25" r:id="rId24" display="https://www.ahd.com/free_profile/040069/Great_River_Medical_Center/Blytheville/Arkansas/" xr:uid="{364064CB-28F9-C24F-8C29-BEDC4179B36C}"/>
    <hyperlink ref="A26" r:id="rId25" display="https://www.ahd.com/free_profile/040085/Helena_Regional_Medical_Center/Helena/Arkansas/" xr:uid="{6579667D-F025-F74E-930D-3EB2DDD27E9C}"/>
    <hyperlink ref="A27" r:id="rId26" display="https://www.ahd.com/free_profile/040071/Jefferson_Regional_Medical_Center/Pine_Bluff/Arkansas/" xr:uid="{820BF382-5641-E942-AA33-4A6C03432648}"/>
    <hyperlink ref="A28" r:id="rId27" display="https://www.ahd.com/free_profile/I07838/John_L_McClellan_Memorial_Veterans_Hospital/Little_Rock/Arkansas/" xr:uid="{220A1CFA-1087-874C-980A-6DAFBF65F52E}"/>
    <hyperlink ref="A29" r:id="rId28" display="https://www.ahd.com/free_profile/040002/Johnson_Regional_Medical_Center/Clarksville/Arkansas/" xr:uid="{9E7F3BCA-5066-8448-85D6-8F8A83457498}"/>
    <hyperlink ref="A30" r:id="rId29" display="https://www.ahd.com/free_profile/040132/Levi_Hospital/Hot_Springs_National_Park/Arkansas/" xr:uid="{FDD81B82-8DD5-4B4E-A060-1E17261B3B29}"/>
    <hyperlink ref="A31" r:id="rId30" display="https://www.ahd.com/free_profile/040067/Magnolia_Regional_Medical_Center/Magnolia/Arkansas/" xr:uid="{5B30253A-B83F-3948-A76C-0B946F5CA265}"/>
    <hyperlink ref="A32" r:id="rId31" display="https://www.ahd.com/free_profile/040088/Medical_Center_of_South_Arkansas/El_Dorado/Arkansas/" xr:uid="{CC9C01A0-B8E2-194B-86BC-A11712BBB868}"/>
    <hyperlink ref="A33" r:id="rId32" display="https://www.ahd.com/free_profile/040015/Mena_Regional_Health_System/Mena/Arkansas/" xr:uid="{D1653A1E-BA4A-F248-8535-24EA947A06F7}"/>
    <hyperlink ref="A34" r:id="rId33" display="https://www.ahd.com/free_profile/040062/Mercy_Hospital_Fort_Smith/Fort_Smith/Arkansas/" xr:uid="{6FA587A3-73F1-5441-804C-D692CE43ACE2}"/>
    <hyperlink ref="A35" r:id="rId34" display="https://www.ahd.com/free_profile/040010/Mercy_Hospital_Northwest_Arkansas/Rogers/Arkansas/" xr:uid="{F7B01EE9-322A-2146-8EDA-04A7B6982E79}"/>
    <hyperlink ref="A36" r:id="rId35" display="https://www.ahd.com/free_profile/I42094/Mercy_Orthopedic_Hospital_Fort_Smith/Fort_Smith/Arkansas/" xr:uid="{49E5AEB3-519A-7E4E-9C8A-C6D163719B93}"/>
    <hyperlink ref="A37" r:id="rId36" display="https://www.ahd.com/free_profile/040078/National_Park_Medical_Center/Hot_Springs/Arkansas/" xr:uid="{100240A9-772E-1F41-BAF3-D416D6D0E5D0}"/>
    <hyperlink ref="A38" r:id="rId37" display="https://www.ahd.com/free_profile/040118/NEA_Baptist_Memorial_Hospital/Jonesboro/Arkansas/" xr:uid="{C07CDA59-070A-1F47-9271-0DFD6F9FE4D9}"/>
    <hyperlink ref="A39" r:id="rId38" display="https://www.ahd.com/free_profile/040017/North_Arkansas_Regional_Medical_Center/Harrison/Arkansas/" xr:uid="{28C20E3C-4681-D44B-BB2A-CCDA46966744}"/>
    <hyperlink ref="A40" r:id="rId39" display="https://www.ahd.com/free_profile/040138/Northwest_Medical_Center_-_Bentonville/Bentonville/Arkansas/" xr:uid="{2FFABE6A-94A7-4C42-AAE0-AE53766516E9}"/>
    <hyperlink ref="A41" r:id="rId40" display="https://www.ahd.com/free_profile/040022/Northwest_Medical_Center_-_Springdale/Springdale/Arkansas/" xr:uid="{39A551F5-26FA-8743-984B-3F05F10F76BA}"/>
    <hyperlink ref="A42" r:id="rId41" display="https://www.ahd.com/free_profile/040050/Ouachita_County_Medical_Center/Camden/Arkansas/" xr:uid="{A540FB6F-7311-184B-83E7-2F1C6DCBB6EA}"/>
    <hyperlink ref="A43" r:id="rId42" display="https://www.ahd.com/free_profile/040041/Saint_Mary%27s_Regional_Health_System/Russellville/Arkansas/" xr:uid="{22873CA7-B301-A346-9578-E8C8271B5AFF}"/>
    <hyperlink ref="A44" r:id="rId43" display="https://www.ahd.com/free_profile/040084/Saline_Memorial_Hospital/Benton/Arkansas/" xr:uid="{26CE4C06-507C-204A-BE2C-DBA1D1663C04}"/>
    <hyperlink ref="A45" r:id="rId44" display="https://www.ahd.com/free_profile/040001/Siloam_Springs_Regional_Hospital/Siloam_Springs/Arkansas/" xr:uid="{ABB45DD6-E8B6-D249-97D7-1732C3F6C7BA}"/>
    <hyperlink ref="A46" r:id="rId45" display="https://www.ahd.com/free_profile/040020/St_Bernards_Medical_Center/Jonesboro/Arkansas/" xr:uid="{043E7946-41BA-B747-836E-117465C438BE}"/>
    <hyperlink ref="A47" r:id="rId46" display="https://www.ahd.com/free_profile/040014/Unity_Health_White_County_Medical_Center_/Searcy/Arkansas/" xr:uid="{1AFB81D6-00D0-FE4A-9E47-E16FED72A6F9}"/>
    <hyperlink ref="A48" r:id="rId47" display="https://www.ahd.com/free_profile/040016/University_of_Arkansas_for_Medical_Sciences_%28UAMS%29_Medical_Center/Little_Rock/Arkansas/" xr:uid="{1E0E75D9-FC22-8F4B-B284-298E20BE91A9}"/>
    <hyperlink ref="A49" r:id="rId48" display="https://www.ahd.com/free_profile/04009F/Veterans_Health_Care_System_of_the_Ozarks/Fayetteville/Arkansas/" xr:uid="{131813DA-D41C-A64B-A202-31CE5D09C232}"/>
    <hyperlink ref="A50" r:id="rId49" display="https://www.ahd.com/free_profile/040153/Wadley_Regional_Medical_Center_at_Hope/Hope/Arkansas/" xr:uid="{069251F3-3E3B-954C-8BA6-E6566A9BEFF4}"/>
    <hyperlink ref="A51" r:id="rId50" display="https://www.ahd.com/free_profile/040004/Washington_Regional_Medical_Center/Fayetteville/Arkansas/" xr:uid="{0AB0E365-D30B-9C4D-9151-624A4691263F}"/>
    <hyperlink ref="A52" r:id="rId51" display="https://www.ahd.com/free_profile/040119/White_River_Medical_Center/Batesville/Arkansas/" xr:uid="{06A01A91-9FEF-9E4B-9645-FDB09EE82BAD}"/>
    <hyperlink ref="A53" r:id="rId52" display="https://www.ahd.com/free_profile/040141/Willow_Creek_Women%27s_Hospital/Johnson/Arkansas/" xr:uid="{0A56179F-D148-6445-8FDA-5DAEBBE9AC4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01E60-3F3F-D642-885F-4335A861C42B}">
  <sheetPr codeName="Sheet5"/>
  <dimension ref="A1:G75"/>
  <sheetViews>
    <sheetView topLeftCell="A50" workbookViewId="0">
      <selection activeCell="G63" sqref="G63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324</v>
      </c>
      <c r="B2" s="2" t="s">
        <v>325</v>
      </c>
      <c r="C2" s="2">
        <v>0</v>
      </c>
      <c r="D2" s="2">
        <v>0</v>
      </c>
      <c r="E2" s="2">
        <v>0</v>
      </c>
      <c r="F2" s="4">
        <v>0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"*",CHOOSE({1,2}, Super_CBSA!$E$2:$E$1917, Super_CBSA!$A$2:$A$1917), 2,FALSE), ""))</f>
        <v>38060</v>
      </c>
    </row>
    <row r="3" spans="1:7" ht="17">
      <c r="A3" s="1" t="s">
        <v>326</v>
      </c>
      <c r="B3" s="2" t="s">
        <v>327</v>
      </c>
      <c r="C3" s="2">
        <v>262</v>
      </c>
      <c r="D3" s="3">
        <v>15927</v>
      </c>
      <c r="E3" s="3">
        <v>63445</v>
      </c>
      <c r="F3" s="4">
        <v>2539675</v>
      </c>
      <c r="G3" s="11" t="str" cm="1">
        <f t="array" aca="1" ref="G3" ca="1">IFERROR(VLOOKUP("*" &amp; B3  &amp; "*" &amp; (MID(CELL("filename",A2),FIND("]",CELL("filename",A2))+1,31)) &amp; "*",CHOOSE({1,2}, Super_CBSA!$B$2:$B$1917, Super_CBSA!$A$2:$A$1917), 2,FALSE), IFERROR(VLOOKUP(B3  &amp; "*",CHOOSE({1,2}, Super_CBSA!$E$2:$E$1917, Super_CBSA!$A$2:$A$1917), 2,FALSE), ""))</f>
        <v/>
      </c>
    </row>
    <row r="4" spans="1:7" ht="17">
      <c r="A4" s="1" t="s">
        <v>328</v>
      </c>
      <c r="B4" s="2" t="s">
        <v>325</v>
      </c>
      <c r="C4" s="2">
        <v>160</v>
      </c>
      <c r="D4" s="3">
        <v>7687</v>
      </c>
      <c r="E4" s="3">
        <v>32962</v>
      </c>
      <c r="F4" s="4">
        <v>1078116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"*",CHOOSE({1,2}, Super_CBSA!$E$2:$E$1917, Super_CBSA!$A$2:$A$1917), 2,FALSE), ""))</f>
        <v>38060</v>
      </c>
    </row>
    <row r="5" spans="1:7" ht="17">
      <c r="A5" s="1" t="s">
        <v>329</v>
      </c>
      <c r="B5" s="2" t="s">
        <v>330</v>
      </c>
      <c r="C5" s="2">
        <v>0</v>
      </c>
      <c r="D5" s="2">
        <v>0</v>
      </c>
      <c r="E5" s="2">
        <v>0</v>
      </c>
      <c r="F5" s="4">
        <v>0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"*",CHOOSE({1,2}, Super_CBSA!$E$2:$E$1917, Super_CBSA!$A$2:$A$1917), 2,FALSE), ""))</f>
        <v>38060</v>
      </c>
    </row>
    <row r="6" spans="1:7" ht="17">
      <c r="A6" s="1" t="s">
        <v>331</v>
      </c>
      <c r="B6" s="2" t="s">
        <v>325</v>
      </c>
      <c r="C6" s="2">
        <v>120</v>
      </c>
      <c r="D6" s="3">
        <v>5653</v>
      </c>
      <c r="E6" s="3">
        <v>19065</v>
      </c>
      <c r="F6" s="4">
        <v>848959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"*",CHOOSE({1,2}, Super_CBSA!$E$2:$E$1917, Super_CBSA!$A$2:$A$1917), 2,FALSE), ""))</f>
        <v>38060</v>
      </c>
    </row>
    <row r="7" spans="1:7" ht="17">
      <c r="A7" s="1" t="s">
        <v>332</v>
      </c>
      <c r="B7" s="2" t="s">
        <v>333</v>
      </c>
      <c r="C7" s="2">
        <v>179</v>
      </c>
      <c r="D7" s="3">
        <v>12134</v>
      </c>
      <c r="E7" s="3">
        <v>51137</v>
      </c>
      <c r="F7" s="4">
        <v>1862460</v>
      </c>
      <c r="G7" s="11" t="str" cm="1">
        <f t="array" aca="1" ref="G7" ca="1">IFERROR(VLOOKUP("*" &amp; B7  &amp; "*" &amp; (MID(CELL("filename",A6),FIND("]",CELL("filename",A6))+1,31)) &amp; "*",CHOOSE({1,2}, Super_CBSA!$B$2:$B$1917, Super_CBSA!$A$2:$A$1917), 2,FALSE), IFERROR(VLOOKUP(B7  &amp; "*",CHOOSE({1,2}, Super_CBSA!$E$2:$E$1917, Super_CBSA!$A$2:$A$1917), 2,FALSE), ""))</f>
        <v/>
      </c>
    </row>
    <row r="8" spans="1:7" ht="17">
      <c r="A8" s="1" t="s">
        <v>334</v>
      </c>
      <c r="B8" s="2" t="s">
        <v>335</v>
      </c>
      <c r="C8" s="2">
        <v>24</v>
      </c>
      <c r="D8" s="2">
        <v>980</v>
      </c>
      <c r="E8" s="3">
        <v>2013</v>
      </c>
      <c r="F8" s="4">
        <v>154379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"*",CHOOSE({1,2}, Super_CBSA!$E$2:$E$1917, Super_CBSA!$A$2:$A$1917), 2,FALSE), ""))</f>
        <v>38060</v>
      </c>
    </row>
    <row r="9" spans="1:7" ht="17">
      <c r="A9" s="1" t="s">
        <v>336</v>
      </c>
      <c r="B9" s="2" t="s">
        <v>330</v>
      </c>
      <c r="C9" s="2">
        <v>23</v>
      </c>
      <c r="D9" s="3">
        <v>1460</v>
      </c>
      <c r="E9" s="3">
        <v>2064</v>
      </c>
      <c r="F9" s="4">
        <v>191416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"*",CHOOSE({1,2}, Super_CBSA!$E$2:$E$1917, Super_CBSA!$A$2:$A$1917), 2,FALSE), ""))</f>
        <v>38060</v>
      </c>
    </row>
    <row r="10" spans="1:7" ht="17">
      <c r="A10" s="1" t="s">
        <v>337</v>
      </c>
      <c r="B10" s="2" t="s">
        <v>338</v>
      </c>
      <c r="C10" s="2">
        <v>479</v>
      </c>
      <c r="D10" s="3">
        <v>20951</v>
      </c>
      <c r="E10" s="3">
        <v>127160</v>
      </c>
      <c r="F10" s="4">
        <v>3062136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"*",CHOOSE({1,2}, Super_CBSA!$E$2:$E$1917, Super_CBSA!$A$2:$A$1917), 2,FALSE), ""))</f>
        <v>46060</v>
      </c>
    </row>
    <row r="11" spans="1:7" ht="17">
      <c r="A11" s="1" t="s">
        <v>339</v>
      </c>
      <c r="B11" s="2" t="s">
        <v>325</v>
      </c>
      <c r="C11" s="2">
        <v>712</v>
      </c>
      <c r="D11" s="3">
        <v>30170</v>
      </c>
      <c r="E11" s="3">
        <v>173066</v>
      </c>
      <c r="F11" s="4">
        <v>3899425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"*",CHOOSE({1,2}, Super_CBSA!$E$2:$E$1917, Super_CBSA!$A$2:$A$1917), 2,FALSE), ""))</f>
        <v>38060</v>
      </c>
    </row>
    <row r="12" spans="1:7" ht="17">
      <c r="A12" s="1" t="s">
        <v>340</v>
      </c>
      <c r="B12" s="2" t="s">
        <v>338</v>
      </c>
      <c r="C12" s="2">
        <v>150</v>
      </c>
      <c r="D12" s="3">
        <v>7383</v>
      </c>
      <c r="E12" s="3">
        <v>34017</v>
      </c>
      <c r="F12" s="4">
        <v>687601</v>
      </c>
      <c r="G12" s="11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"*",CHOOSE({1,2}, Super_CBSA!$E$2:$E$1917, Super_CBSA!$A$2:$A$1917), 2,FALSE), ""))</f>
        <v>46060</v>
      </c>
    </row>
    <row r="13" spans="1:7" ht="17">
      <c r="A13" s="1" t="s">
        <v>341</v>
      </c>
      <c r="B13" s="2" t="s">
        <v>330</v>
      </c>
      <c r="C13" s="2">
        <v>340</v>
      </c>
      <c r="D13" s="3">
        <v>14601</v>
      </c>
      <c r="E13" s="3">
        <v>68249</v>
      </c>
      <c r="F13" s="4">
        <v>1615139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"*",CHOOSE({1,2}, Super_CBSA!$E$2:$E$1917, Super_CBSA!$A$2:$A$1917), 2,FALSE), ""))</f>
        <v>38060</v>
      </c>
    </row>
    <row r="14" spans="1:7" ht="17">
      <c r="A14" s="1" t="s">
        <v>342</v>
      </c>
      <c r="B14" s="2" t="s">
        <v>343</v>
      </c>
      <c r="C14" s="2">
        <v>525</v>
      </c>
      <c r="D14" s="3">
        <v>13678</v>
      </c>
      <c r="E14" s="3">
        <v>63622</v>
      </c>
      <c r="F14" s="4">
        <v>1716033</v>
      </c>
      <c r="G14" s="11" t="str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"*",CHOOSE({1,2}, Super_CBSA!$E$2:$E$1917, Super_CBSA!$A$2:$A$1917), 2,FALSE), ""))</f>
        <v/>
      </c>
    </row>
    <row r="15" spans="1:7" ht="17">
      <c r="A15" s="1" t="s">
        <v>344</v>
      </c>
      <c r="B15" s="2" t="s">
        <v>345</v>
      </c>
      <c r="C15" s="2">
        <v>141</v>
      </c>
      <c r="D15" s="3">
        <v>6087</v>
      </c>
      <c r="E15" s="3">
        <v>22609</v>
      </c>
      <c r="F15" s="4">
        <v>784407</v>
      </c>
      <c r="G15" s="11" t="str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"*",CHOOSE({1,2}, Super_CBSA!$E$2:$E$1917, Super_CBSA!$A$2:$A$1917), 2,FALSE), ""))</f>
        <v/>
      </c>
    </row>
    <row r="16" spans="1:7" ht="17">
      <c r="A16" s="1" t="s">
        <v>346</v>
      </c>
      <c r="B16" s="2" t="s">
        <v>347</v>
      </c>
      <c r="C16" s="2">
        <v>394</v>
      </c>
      <c r="D16" s="3">
        <v>15239</v>
      </c>
      <c r="E16" s="3">
        <v>64208</v>
      </c>
      <c r="F16" s="4">
        <v>1822721</v>
      </c>
      <c r="G16" s="11" t="str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"*",CHOOSE({1,2}, Super_CBSA!$E$2:$E$1917, Super_CBSA!$A$2:$A$1917), 2,FALSE), ""))</f>
        <v/>
      </c>
    </row>
    <row r="17" spans="1:7" ht="17">
      <c r="A17" s="1" t="s">
        <v>348</v>
      </c>
      <c r="B17" s="2" t="s">
        <v>330</v>
      </c>
      <c r="C17" s="2">
        <v>615</v>
      </c>
      <c r="D17" s="3">
        <v>37223</v>
      </c>
      <c r="E17" s="3">
        <v>166017</v>
      </c>
      <c r="F17" s="4">
        <v>3496179</v>
      </c>
      <c r="G17" s="11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"*",CHOOSE({1,2}, Super_CBSA!$E$2:$E$1917, Super_CBSA!$A$2:$A$1917), 2,FALSE), ""))</f>
        <v>38060</v>
      </c>
    </row>
    <row r="18" spans="1:7" ht="17">
      <c r="A18" s="1" t="s">
        <v>349</v>
      </c>
      <c r="B18" s="2" t="s">
        <v>325</v>
      </c>
      <c r="C18" s="2">
        <v>317</v>
      </c>
      <c r="D18" s="3">
        <v>18088</v>
      </c>
      <c r="E18" s="3">
        <v>77742</v>
      </c>
      <c r="F18" s="4">
        <v>1963852</v>
      </c>
      <c r="G18" s="11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"*",CHOOSE({1,2}, Super_CBSA!$E$2:$E$1917, Super_CBSA!$A$2:$A$1917), 2,FALSE), ""))</f>
        <v>38060</v>
      </c>
    </row>
    <row r="19" spans="1:7" ht="17">
      <c r="A19" s="1" t="s">
        <v>350</v>
      </c>
      <c r="B19" s="2" t="s">
        <v>351</v>
      </c>
      <c r="C19" s="2">
        <v>165</v>
      </c>
      <c r="D19" s="3">
        <v>13162</v>
      </c>
      <c r="E19" s="3">
        <v>57196</v>
      </c>
      <c r="F19" s="4">
        <v>1995692</v>
      </c>
      <c r="G19" s="11" t="str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"*",CHOOSE({1,2}, Super_CBSA!$E$2:$E$1917, Super_CBSA!$A$2:$A$1917), 2,FALSE), ""))</f>
        <v/>
      </c>
    </row>
    <row r="20" spans="1:7" ht="17">
      <c r="A20" s="1" t="s">
        <v>352</v>
      </c>
      <c r="B20" s="2" t="s">
        <v>353</v>
      </c>
      <c r="C20" s="2">
        <v>20</v>
      </c>
      <c r="D20" s="2">
        <v>772</v>
      </c>
      <c r="E20" s="3">
        <v>2062</v>
      </c>
      <c r="F20" s="4">
        <v>138637</v>
      </c>
      <c r="G20" s="11" t="str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"*",CHOOSE({1,2}, Super_CBSA!$E$2:$E$1917, Super_CBSA!$A$2:$A$1917), 2,FALSE), ""))</f>
        <v/>
      </c>
    </row>
    <row r="21" spans="1:7" ht="17">
      <c r="A21" s="1" t="s">
        <v>354</v>
      </c>
      <c r="B21" s="2" t="s">
        <v>330</v>
      </c>
      <c r="C21" s="2">
        <v>111</v>
      </c>
      <c r="D21" s="3">
        <v>4708</v>
      </c>
      <c r="E21" s="3">
        <v>19807</v>
      </c>
      <c r="F21" s="4">
        <v>907977</v>
      </c>
      <c r="G21" s="11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"*",CHOOSE({1,2}, Super_CBSA!$E$2:$E$1917, Super_CBSA!$A$2:$A$1917), 2,FALSE), ""))</f>
        <v>38060</v>
      </c>
    </row>
    <row r="22" spans="1:7" ht="17">
      <c r="A22" s="1" t="s">
        <v>355</v>
      </c>
      <c r="B22" s="2" t="s">
        <v>356</v>
      </c>
      <c r="C22" s="2">
        <v>53</v>
      </c>
      <c r="D22" s="3">
        <v>3361</v>
      </c>
      <c r="E22" s="3">
        <v>11561</v>
      </c>
      <c r="F22" s="4">
        <v>455939</v>
      </c>
      <c r="G22" s="11" t="str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"*",CHOOSE({1,2}, Super_CBSA!$E$2:$E$1917, Super_CBSA!$A$2:$A$1917), 2,FALSE), ""))</f>
        <v/>
      </c>
    </row>
    <row r="23" spans="1:7" ht="17">
      <c r="A23" s="1" t="s">
        <v>357</v>
      </c>
      <c r="B23" s="2" t="s">
        <v>327</v>
      </c>
      <c r="C23" s="2">
        <v>555</v>
      </c>
      <c r="D23" s="3">
        <v>27882</v>
      </c>
      <c r="E23" s="3">
        <v>118529</v>
      </c>
      <c r="F23" s="4">
        <v>2626070</v>
      </c>
      <c r="G23" s="11" t="str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"*",CHOOSE({1,2}, Super_CBSA!$E$2:$E$1917, Super_CBSA!$A$2:$A$1917), 2,FALSE), ""))</f>
        <v/>
      </c>
    </row>
    <row r="24" spans="1:7" ht="17">
      <c r="A24" s="1" t="s">
        <v>358</v>
      </c>
      <c r="B24" s="2" t="s">
        <v>333</v>
      </c>
      <c r="C24" s="2">
        <v>0</v>
      </c>
      <c r="D24" s="2">
        <v>0</v>
      </c>
      <c r="E24" s="2">
        <v>0</v>
      </c>
      <c r="F24" s="4">
        <v>0</v>
      </c>
      <c r="G24" s="11" t="str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"*",CHOOSE({1,2}, Super_CBSA!$E$2:$E$1917, Super_CBSA!$A$2:$A$1917), 2,FALSE), ""))</f>
        <v/>
      </c>
    </row>
    <row r="25" spans="1:7" ht="17">
      <c r="A25" s="1" t="s">
        <v>359</v>
      </c>
      <c r="B25" s="2" t="s">
        <v>333</v>
      </c>
      <c r="C25" s="2">
        <v>38</v>
      </c>
      <c r="D25" s="2">
        <v>633</v>
      </c>
      <c r="E25" s="3">
        <v>2652</v>
      </c>
      <c r="F25" s="4">
        <v>0</v>
      </c>
      <c r="G25" s="11" t="str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"*",CHOOSE({1,2}, Super_CBSA!$E$2:$E$1917, Super_CBSA!$A$2:$A$1917), 2,FALSE), ""))</f>
        <v/>
      </c>
    </row>
    <row r="26" spans="1:7" ht="17">
      <c r="A26" s="1" t="s">
        <v>360</v>
      </c>
      <c r="B26" s="2" t="s">
        <v>361</v>
      </c>
      <c r="C26" s="2">
        <v>94</v>
      </c>
      <c r="D26" s="3">
        <v>4879</v>
      </c>
      <c r="E26" s="3">
        <v>14471</v>
      </c>
      <c r="F26" s="4">
        <v>466773</v>
      </c>
      <c r="G26" s="11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"*",CHOOSE({1,2}, Super_CBSA!$E$2:$E$1917, Super_CBSA!$A$2:$A$1917), 2,FALSE), ""))</f>
        <v>43420</v>
      </c>
    </row>
    <row r="27" spans="1:7" ht="17">
      <c r="A27" s="1" t="s">
        <v>362</v>
      </c>
      <c r="B27" s="2" t="s">
        <v>338</v>
      </c>
      <c r="C27" s="2">
        <v>60</v>
      </c>
      <c r="D27" s="3">
        <v>1162</v>
      </c>
      <c r="E27" s="3">
        <v>4175</v>
      </c>
      <c r="F27" s="4">
        <v>128262</v>
      </c>
      <c r="G27" s="11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"*",CHOOSE({1,2}, Super_CBSA!$E$2:$E$1917, Super_CBSA!$A$2:$A$1917), 2,FALSE), ""))</f>
        <v>46060</v>
      </c>
    </row>
    <row r="28" spans="1:7" ht="17">
      <c r="A28" s="1" t="s">
        <v>363</v>
      </c>
      <c r="B28" s="2" t="s">
        <v>335</v>
      </c>
      <c r="C28" s="2">
        <v>338</v>
      </c>
      <c r="D28" s="3">
        <v>21409</v>
      </c>
      <c r="E28" s="3">
        <v>103310</v>
      </c>
      <c r="F28" s="4">
        <v>3371223</v>
      </c>
      <c r="G28" s="11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"*",CHOOSE({1,2}, Super_CBSA!$E$2:$E$1917, Super_CBSA!$A$2:$A$1917), 2,FALSE), ""))</f>
        <v>38060</v>
      </c>
    </row>
    <row r="29" spans="1:7" ht="17">
      <c r="A29" s="1" t="s">
        <v>364</v>
      </c>
      <c r="B29" s="2" t="s">
        <v>365</v>
      </c>
      <c r="C29" s="2">
        <v>60</v>
      </c>
      <c r="D29" s="3">
        <v>1534</v>
      </c>
      <c r="E29" s="3">
        <v>4737</v>
      </c>
      <c r="F29" s="4">
        <v>0</v>
      </c>
      <c r="G29" s="11" t="str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"*",CHOOSE({1,2}, Super_CBSA!$E$2:$E$1917, Super_CBSA!$A$2:$A$1917), 2,FALSE), ""))</f>
        <v/>
      </c>
    </row>
    <row r="30" spans="1:7" ht="17">
      <c r="A30" s="1" t="s">
        <v>366</v>
      </c>
      <c r="B30" s="2" t="s">
        <v>367</v>
      </c>
      <c r="C30" s="2">
        <v>16</v>
      </c>
      <c r="D30" s="2">
        <v>417</v>
      </c>
      <c r="E30" s="3">
        <v>1095</v>
      </c>
      <c r="F30" s="4">
        <v>643107</v>
      </c>
      <c r="G30" s="11" t="str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"*",CHOOSE({1,2}, Super_CBSA!$E$2:$E$1917, Super_CBSA!$A$2:$A$1917), 2,FALSE), ""))</f>
        <v/>
      </c>
    </row>
    <row r="31" spans="1:7" ht="17">
      <c r="A31" s="1" t="s">
        <v>368</v>
      </c>
      <c r="B31" s="2" t="s">
        <v>330</v>
      </c>
      <c r="C31" s="2">
        <v>0</v>
      </c>
      <c r="D31" s="2">
        <v>0</v>
      </c>
      <c r="E31" s="2">
        <v>0</v>
      </c>
      <c r="F31" s="4">
        <v>0</v>
      </c>
      <c r="G31" s="11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"*",CHOOSE({1,2}, Super_CBSA!$E$2:$E$1917, Super_CBSA!$A$2:$A$1917), 2,FALSE), ""))</f>
        <v>38060</v>
      </c>
    </row>
    <row r="32" spans="1:7" ht="17">
      <c r="A32" s="1" t="s">
        <v>369</v>
      </c>
      <c r="B32" s="2" t="s">
        <v>370</v>
      </c>
      <c r="C32" s="2">
        <v>264</v>
      </c>
      <c r="D32" s="3">
        <v>12442</v>
      </c>
      <c r="E32" s="3">
        <v>54432</v>
      </c>
      <c r="F32" s="4">
        <v>1269899</v>
      </c>
      <c r="G32" s="11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"*",CHOOSE({1,2}, Super_CBSA!$E$2:$E$1917, Super_CBSA!$A$2:$A$1917), 2,FALSE), ""))</f>
        <v>22380</v>
      </c>
    </row>
    <row r="33" spans="1:7" ht="17">
      <c r="A33" s="1" t="s">
        <v>371</v>
      </c>
      <c r="B33" s="2" t="s">
        <v>186</v>
      </c>
      <c r="C33" s="2">
        <v>0</v>
      </c>
      <c r="D33" s="2">
        <v>0</v>
      </c>
      <c r="E33" s="2">
        <v>0</v>
      </c>
      <c r="F33" s="4">
        <v>0</v>
      </c>
      <c r="G33" s="11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"*",CHOOSE({1,2}, Super_CBSA!$E$2:$E$1917, Super_CBSA!$A$2:$A$1917), 2,FALSE), ""))</f>
        <v>22500</v>
      </c>
    </row>
    <row r="34" spans="1:7" ht="17">
      <c r="A34" s="1" t="s">
        <v>372</v>
      </c>
      <c r="B34" s="2" t="s">
        <v>373</v>
      </c>
      <c r="C34" s="2">
        <v>163</v>
      </c>
      <c r="D34" s="3">
        <v>6429</v>
      </c>
      <c r="E34" s="3">
        <v>25108</v>
      </c>
      <c r="F34" s="4">
        <v>1190324</v>
      </c>
      <c r="G34" s="11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"*",CHOOSE({1,2}, Super_CBSA!$E$2:$E$1917, Super_CBSA!$A$2:$A$1917), 2,FALSE), ""))</f>
        <v>29420</v>
      </c>
    </row>
    <row r="35" spans="1:7" ht="17">
      <c r="A35" s="1" t="s">
        <v>374</v>
      </c>
      <c r="B35" s="2" t="s">
        <v>325</v>
      </c>
      <c r="C35" s="2">
        <v>204</v>
      </c>
      <c r="D35" s="3">
        <v>11940</v>
      </c>
      <c r="E35" s="3">
        <v>53172</v>
      </c>
      <c r="F35" s="4">
        <v>1934985</v>
      </c>
      <c r="G35" s="11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"*",CHOOSE({1,2}, Super_CBSA!$E$2:$E$1917, Super_CBSA!$A$2:$A$1917), 2,FALSE), ""))</f>
        <v>38060</v>
      </c>
    </row>
    <row r="36" spans="1:7" ht="17">
      <c r="A36" s="1" t="s">
        <v>375</v>
      </c>
      <c r="B36" s="2" t="s">
        <v>325</v>
      </c>
      <c r="C36" s="2">
        <v>262</v>
      </c>
      <c r="D36" s="3">
        <v>11618</v>
      </c>
      <c r="E36" s="3">
        <v>56331</v>
      </c>
      <c r="F36" s="4">
        <v>2319078</v>
      </c>
      <c r="G36" s="11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"*",CHOOSE({1,2}, Super_CBSA!$E$2:$E$1917, Super_CBSA!$A$2:$A$1917), 2,FALSE), ""))</f>
        <v>38060</v>
      </c>
    </row>
    <row r="37" spans="1:7" ht="17">
      <c r="A37" s="1" t="s">
        <v>376</v>
      </c>
      <c r="B37" s="2" t="s">
        <v>377</v>
      </c>
      <c r="C37" s="2">
        <v>341</v>
      </c>
      <c r="D37" s="3">
        <v>12857</v>
      </c>
      <c r="E37" s="3">
        <v>57457</v>
      </c>
      <c r="F37" s="4">
        <v>2068268</v>
      </c>
      <c r="G37" s="11" t="str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"*",CHOOSE({1,2}, Super_CBSA!$E$2:$E$1917, Super_CBSA!$A$2:$A$1917), 2,FALSE), ""))</f>
        <v/>
      </c>
    </row>
    <row r="38" spans="1:7" ht="17">
      <c r="A38" s="1" t="s">
        <v>378</v>
      </c>
      <c r="B38" s="2" t="s">
        <v>377</v>
      </c>
      <c r="C38" s="2">
        <v>427</v>
      </c>
      <c r="D38" s="3">
        <v>15336</v>
      </c>
      <c r="E38" s="3">
        <v>89916</v>
      </c>
      <c r="F38" s="4">
        <v>2802159</v>
      </c>
      <c r="G38" s="11" t="str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"*",CHOOSE({1,2}, Super_CBSA!$E$2:$E$1917, Super_CBSA!$A$2:$A$1917), 2,FALSE), ""))</f>
        <v/>
      </c>
    </row>
    <row r="39" spans="1:7" ht="17">
      <c r="A39" s="1" t="s">
        <v>379</v>
      </c>
      <c r="B39" s="2" t="s">
        <v>377</v>
      </c>
      <c r="C39" s="2">
        <v>120</v>
      </c>
      <c r="D39" s="3">
        <v>6799</v>
      </c>
      <c r="E39" s="3">
        <v>23016</v>
      </c>
      <c r="F39" s="4">
        <v>887060</v>
      </c>
      <c r="G39" s="11" t="str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"*",CHOOSE({1,2}, Super_CBSA!$E$2:$E$1917, Super_CBSA!$A$2:$A$1917), 2,FALSE), ""))</f>
        <v/>
      </c>
    </row>
    <row r="40" spans="1:7" ht="17">
      <c r="A40" s="1" t="s">
        <v>380</v>
      </c>
      <c r="B40" s="2" t="s">
        <v>381</v>
      </c>
      <c r="C40" s="2">
        <v>214</v>
      </c>
      <c r="D40" s="3">
        <v>7254</v>
      </c>
      <c r="E40" s="3">
        <v>33686</v>
      </c>
      <c r="F40" s="4">
        <v>1491980</v>
      </c>
      <c r="G40" s="11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"*",CHOOSE({1,2}, Super_CBSA!$E$2:$E$1917, Super_CBSA!$A$2:$A$1917), 2,FALSE), ""))</f>
        <v>29420</v>
      </c>
    </row>
    <row r="41" spans="1:7" ht="17">
      <c r="A41" s="1" t="s">
        <v>382</v>
      </c>
      <c r="B41" s="2" t="s">
        <v>325</v>
      </c>
      <c r="C41" s="2">
        <v>273</v>
      </c>
      <c r="D41" s="3">
        <v>16363</v>
      </c>
      <c r="E41" s="3">
        <v>75387</v>
      </c>
      <c r="F41" s="4">
        <v>2936090</v>
      </c>
      <c r="G41" s="11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"*",CHOOSE({1,2}, Super_CBSA!$E$2:$E$1917, Super_CBSA!$A$2:$A$1917), 2,FALSE), ""))</f>
        <v>38060</v>
      </c>
    </row>
    <row r="42" spans="1:7" ht="17">
      <c r="A42" s="1" t="s">
        <v>383</v>
      </c>
      <c r="B42" s="2" t="s">
        <v>351</v>
      </c>
      <c r="C42" s="2">
        <v>198</v>
      </c>
      <c r="D42" s="3">
        <v>15178</v>
      </c>
      <c r="E42" s="3">
        <v>60125</v>
      </c>
      <c r="F42" s="4">
        <v>1831378</v>
      </c>
      <c r="G42" s="11" t="str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"*",CHOOSE({1,2}, Super_CBSA!$E$2:$E$1917, Super_CBSA!$A$2:$A$1917), 2,FALSE), ""))</f>
        <v/>
      </c>
    </row>
    <row r="43" spans="1:7" ht="17">
      <c r="A43" s="1" t="s">
        <v>384</v>
      </c>
      <c r="B43" s="2" t="s">
        <v>385</v>
      </c>
      <c r="C43" s="2">
        <v>49</v>
      </c>
      <c r="D43" s="3">
        <v>1806</v>
      </c>
      <c r="E43" s="3">
        <v>4592</v>
      </c>
      <c r="F43" s="4">
        <v>141694</v>
      </c>
      <c r="G43" s="11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"*",CHOOSE({1,2}, Super_CBSA!$E$2:$E$1917, Super_CBSA!$A$2:$A$1917), 2,FALSE), ""))</f>
        <v>40940</v>
      </c>
    </row>
    <row r="44" spans="1:7" ht="17">
      <c r="A44" s="1" t="s">
        <v>386</v>
      </c>
      <c r="B44" s="2" t="s">
        <v>330</v>
      </c>
      <c r="C44" s="2">
        <v>162</v>
      </c>
      <c r="D44" s="3">
        <v>6418</v>
      </c>
      <c r="E44" s="3">
        <v>26359</v>
      </c>
      <c r="F44" s="4">
        <v>867362</v>
      </c>
      <c r="G44" s="11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"*",CHOOSE({1,2}, Super_CBSA!$E$2:$E$1917, Super_CBSA!$A$2:$A$1917), 2,FALSE), ""))</f>
        <v>38060</v>
      </c>
    </row>
    <row r="45" spans="1:7" ht="17">
      <c r="A45" s="1" t="s">
        <v>387</v>
      </c>
      <c r="B45" s="2" t="s">
        <v>388</v>
      </c>
      <c r="C45" s="2">
        <v>0</v>
      </c>
      <c r="D45" s="2">
        <v>0</v>
      </c>
      <c r="E45" s="2">
        <v>0</v>
      </c>
      <c r="F45" s="4">
        <v>0</v>
      </c>
      <c r="G45" s="11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"*",CHOOSE({1,2}, Super_CBSA!$E$2:$E$1917, Super_CBSA!$A$2:$A$1917), 2,FALSE), ""))</f>
        <v>39150</v>
      </c>
    </row>
    <row r="46" spans="1:7" ht="17">
      <c r="A46" s="1" t="s">
        <v>193</v>
      </c>
      <c r="B46" s="2" t="s">
        <v>338</v>
      </c>
      <c r="C46" s="2">
        <v>294</v>
      </c>
      <c r="D46" s="3">
        <v>15284</v>
      </c>
      <c r="E46" s="3">
        <v>57517</v>
      </c>
      <c r="F46" s="4">
        <v>2571194</v>
      </c>
      <c r="G46" s="11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"*",CHOOSE({1,2}, Super_CBSA!$E$2:$E$1917, Super_CBSA!$A$2:$A$1917), 2,FALSE), ""))</f>
        <v>46060</v>
      </c>
    </row>
    <row r="47" spans="1:7" ht="17">
      <c r="A47" s="1" t="s">
        <v>389</v>
      </c>
      <c r="B47" s="2" t="s">
        <v>325</v>
      </c>
      <c r="C47" s="2">
        <v>64</v>
      </c>
      <c r="D47" s="3">
        <v>4171</v>
      </c>
      <c r="E47" s="3">
        <v>8383</v>
      </c>
      <c r="F47" s="4">
        <v>251634</v>
      </c>
      <c r="G47" s="11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"*",CHOOSE({1,2}, Super_CBSA!$E$2:$E$1917, Super_CBSA!$A$2:$A$1917), 2,FALSE), ""))</f>
        <v>38060</v>
      </c>
    </row>
    <row r="48" spans="1:7" ht="17">
      <c r="A48" s="1" t="s">
        <v>390</v>
      </c>
      <c r="B48" s="2" t="s">
        <v>338</v>
      </c>
      <c r="C48" s="2">
        <v>146</v>
      </c>
      <c r="D48" s="3">
        <v>5421</v>
      </c>
      <c r="E48" s="3">
        <v>16686</v>
      </c>
      <c r="F48" s="4">
        <v>958846</v>
      </c>
      <c r="G48" s="11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"*",CHOOSE({1,2}, Super_CBSA!$E$2:$E$1917, Super_CBSA!$A$2:$A$1917), 2,FALSE), ""))</f>
        <v>46060</v>
      </c>
    </row>
    <row r="49" spans="1:7" ht="17">
      <c r="A49" s="1" t="s">
        <v>391</v>
      </c>
      <c r="B49" s="2" t="s">
        <v>325</v>
      </c>
      <c r="C49" s="2">
        <v>133</v>
      </c>
      <c r="D49" s="3">
        <v>2428</v>
      </c>
      <c r="E49" s="3">
        <v>7608</v>
      </c>
      <c r="F49" s="4">
        <v>0</v>
      </c>
      <c r="G49" s="11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"*",CHOOSE({1,2}, Super_CBSA!$E$2:$E$1917, Super_CBSA!$A$2:$A$1917), 2,FALSE), ""))</f>
        <v>38060</v>
      </c>
    </row>
    <row r="50" spans="1:7" ht="17">
      <c r="A50" s="1" t="s">
        <v>392</v>
      </c>
      <c r="B50" s="2" t="s">
        <v>325</v>
      </c>
      <c r="C50" s="2">
        <v>0</v>
      </c>
      <c r="D50" s="2">
        <v>0</v>
      </c>
      <c r="E50" s="2">
        <v>0</v>
      </c>
      <c r="F50" s="4">
        <v>0</v>
      </c>
      <c r="G50" s="11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"*",CHOOSE({1,2}, Super_CBSA!$E$2:$E$1917, Super_CBSA!$A$2:$A$1917), 2,FALSE), ""))</f>
        <v>38060</v>
      </c>
    </row>
    <row r="51" spans="1:7" ht="17">
      <c r="A51" s="1" t="s">
        <v>393</v>
      </c>
      <c r="B51" s="2" t="s">
        <v>338</v>
      </c>
      <c r="C51" s="2">
        <v>486</v>
      </c>
      <c r="D51" s="3">
        <v>14590</v>
      </c>
      <c r="E51" s="3">
        <v>60288</v>
      </c>
      <c r="F51" s="4">
        <v>1775967</v>
      </c>
      <c r="G51" s="11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"*",CHOOSE({1,2}, Super_CBSA!$E$2:$E$1917, Super_CBSA!$A$2:$A$1917), 2,FALSE), ""))</f>
        <v>46060</v>
      </c>
    </row>
    <row r="52" spans="1:7" ht="17">
      <c r="A52" s="1" t="s">
        <v>394</v>
      </c>
      <c r="B52" s="2" t="s">
        <v>325</v>
      </c>
      <c r="C52" s="2">
        <v>553</v>
      </c>
      <c r="D52" s="3">
        <v>35216</v>
      </c>
      <c r="E52" s="3">
        <v>154665</v>
      </c>
      <c r="F52" s="4">
        <v>4475284</v>
      </c>
      <c r="G52" s="11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"*",CHOOSE({1,2}, Super_CBSA!$E$2:$E$1917, Super_CBSA!$A$2:$A$1917), 2,FALSE), ""))</f>
        <v>38060</v>
      </c>
    </row>
    <row r="53" spans="1:7" ht="17">
      <c r="A53" s="1" t="s">
        <v>395</v>
      </c>
      <c r="B53" s="2" t="s">
        <v>327</v>
      </c>
      <c r="C53" s="2">
        <v>0</v>
      </c>
      <c r="D53" s="2">
        <v>0</v>
      </c>
      <c r="E53" s="2">
        <v>0</v>
      </c>
      <c r="F53" s="4">
        <v>0</v>
      </c>
      <c r="G53" s="11" t="str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"*",CHOOSE({1,2}, Super_CBSA!$E$2:$E$1917, Super_CBSA!$A$2:$A$1917), 2,FALSE), ""))</f>
        <v/>
      </c>
    </row>
    <row r="54" spans="1:7" ht="17">
      <c r="A54" s="1" t="s">
        <v>396</v>
      </c>
      <c r="B54" s="2" t="s">
        <v>338</v>
      </c>
      <c r="C54" s="2">
        <v>400</v>
      </c>
      <c r="D54" s="3">
        <v>10790</v>
      </c>
      <c r="E54" s="3">
        <v>44783</v>
      </c>
      <c r="F54" s="4">
        <v>1477410</v>
      </c>
      <c r="G54" s="11" cm="1">
        <f t="array" aca="1" ref="G54" ca="1">IFERROR(VLOOKUP("*" &amp; B54  &amp; "*" &amp; (MID(CELL("filename",A53),FIND("]",CELL("filename",A53))+1,31)) &amp; "*",CHOOSE({1,2}, Super_CBSA!$B$2:$B$1917, Super_CBSA!$A$2:$A$1917), 2,FALSE), IFERROR(VLOOKUP(B54  &amp; "*",CHOOSE({1,2}, Super_CBSA!$E$2:$E$1917, Super_CBSA!$A$2:$A$1917), 2,FALSE), ""))</f>
        <v>46060</v>
      </c>
    </row>
    <row r="55" spans="1:7" ht="17">
      <c r="A55" s="1" t="s">
        <v>397</v>
      </c>
      <c r="B55" s="2" t="s">
        <v>398</v>
      </c>
      <c r="C55" s="2">
        <v>8</v>
      </c>
      <c r="D55" s="2">
        <v>338</v>
      </c>
      <c r="E55" s="3">
        <v>1171</v>
      </c>
      <c r="F55" s="4">
        <v>0</v>
      </c>
      <c r="G55" s="11" t="str" cm="1">
        <f t="array" aca="1" ref="G55" ca="1">IFERROR(VLOOKUP("*" &amp; B55  &amp; "*" &amp; (MID(CELL("filename",A54),FIND("]",CELL("filename",A54))+1,31)) &amp; "*",CHOOSE({1,2}, Super_CBSA!$B$2:$B$1917, Super_CBSA!$A$2:$A$1917), 2,FALSE), IFERROR(VLOOKUP(B55  &amp; "*",CHOOSE({1,2}, Super_CBSA!$E$2:$E$1917, Super_CBSA!$A$2:$A$1917), 2,FALSE), ""))</f>
        <v/>
      </c>
    </row>
    <row r="56" spans="1:7" ht="17">
      <c r="A56" s="1" t="s">
        <v>399</v>
      </c>
      <c r="B56" s="2" t="s">
        <v>400</v>
      </c>
      <c r="C56" s="2">
        <v>49</v>
      </c>
      <c r="D56" s="3">
        <v>1421</v>
      </c>
      <c r="E56" s="3">
        <v>4488</v>
      </c>
      <c r="F56" s="4">
        <v>88756</v>
      </c>
      <c r="G56" s="11" t="str" cm="1">
        <f t="array" aca="1" ref="G56" ca="1">IFERROR(VLOOKUP("*" &amp; B56  &amp; "*" &amp; (MID(CELL("filename",A55),FIND("]",CELL("filename",A55))+1,31)) &amp; "*",CHOOSE({1,2}, Super_CBSA!$B$2:$B$1917, Super_CBSA!$A$2:$A$1917), 2,FALSE), IFERROR(VLOOKUP(B56  &amp; "*",CHOOSE({1,2}, Super_CBSA!$E$2:$E$1917, Super_CBSA!$A$2:$A$1917), 2,FALSE), ""))</f>
        <v/>
      </c>
    </row>
    <row r="57" spans="1:7" ht="17">
      <c r="A57" s="1" t="s">
        <v>401</v>
      </c>
      <c r="B57" s="2" t="s">
        <v>402</v>
      </c>
      <c r="C57" s="2">
        <v>14</v>
      </c>
      <c r="D57" s="2">
        <v>262</v>
      </c>
      <c r="E57" s="2">
        <v>981</v>
      </c>
      <c r="F57" s="4">
        <v>0</v>
      </c>
      <c r="G57" s="11" t="str" cm="1">
        <f t="array" aca="1" ref="G57" ca="1">IFERROR(VLOOKUP("*" &amp; B57  &amp; "*" &amp; (MID(CELL("filename",A56),FIND("]",CELL("filename",A56))+1,31)) &amp; "*",CHOOSE({1,2}, Super_CBSA!$B$2:$B$1917, Super_CBSA!$A$2:$A$1917), 2,FALSE), IFERROR(VLOOKUP(B57  &amp; "*",CHOOSE({1,2}, Super_CBSA!$E$2:$E$1917, Super_CBSA!$A$2:$A$1917), 2,FALSE), ""))</f>
        <v/>
      </c>
    </row>
    <row r="58" spans="1:7" ht="17">
      <c r="A58" s="1" t="s">
        <v>403</v>
      </c>
      <c r="B58" s="2" t="s">
        <v>338</v>
      </c>
      <c r="C58" s="2">
        <v>0</v>
      </c>
      <c r="D58" s="2">
        <v>0</v>
      </c>
      <c r="E58" s="2">
        <v>0</v>
      </c>
      <c r="F58" s="4">
        <v>0</v>
      </c>
      <c r="G58" s="11" cm="1">
        <f t="array" aca="1" ref="G58" ca="1">IFERROR(VLOOKUP("*" &amp; B58  &amp; "*" &amp; (MID(CELL("filename",A57),FIND("]",CELL("filename",A57))+1,31)) &amp; "*",CHOOSE({1,2}, Super_CBSA!$B$2:$B$1917, Super_CBSA!$A$2:$A$1917), 2,FALSE), IFERROR(VLOOKUP(B58  &amp; "*",CHOOSE({1,2}, Super_CBSA!$E$2:$E$1917, Super_CBSA!$A$2:$A$1917), 2,FALSE), ""))</f>
        <v>46060</v>
      </c>
    </row>
    <row r="59" spans="1:7" ht="17">
      <c r="A59" s="1" t="s">
        <v>404</v>
      </c>
      <c r="B59" s="2" t="s">
        <v>405</v>
      </c>
      <c r="C59" s="2">
        <v>89</v>
      </c>
      <c r="D59" s="3">
        <v>4674</v>
      </c>
      <c r="E59" s="3">
        <v>15854</v>
      </c>
      <c r="F59" s="4">
        <v>660333</v>
      </c>
      <c r="G59" s="11" cm="1">
        <f t="array" aca="1" ref="G59" ca="1">IFERROR(VLOOKUP("*" &amp; B59  &amp; "*" &amp; (MID(CELL("filename",A58),FIND("]",CELL("filename",A58))+1,31)) &amp; "*",CHOOSE({1,2}, Super_CBSA!$B$2:$B$1917, Super_CBSA!$A$2:$A$1917), 2,FALSE), IFERROR(VLOOKUP(B59  &amp; "*",CHOOSE({1,2}, Super_CBSA!$E$2:$E$1917, Super_CBSA!$A$2:$A$1917), 2,FALSE), ""))</f>
        <v>43320</v>
      </c>
    </row>
    <row r="60" spans="1:7" ht="17">
      <c r="A60" s="1" t="s">
        <v>406</v>
      </c>
      <c r="B60" s="2" t="s">
        <v>407</v>
      </c>
      <c r="C60" s="2">
        <v>65</v>
      </c>
      <c r="D60" s="3">
        <v>3320</v>
      </c>
      <c r="E60" s="3">
        <v>10215</v>
      </c>
      <c r="F60" s="4">
        <v>153689</v>
      </c>
      <c r="G60" s="11" t="str" cm="1">
        <f t="array" aca="1" ref="G60" ca="1">IFERROR(VLOOKUP("*" &amp; B60  &amp; "*" &amp; (MID(CELL("filename",A59),FIND("]",CELL("filename",A59))+1,31)) &amp; "*",CHOOSE({1,2}, Super_CBSA!$B$2:$B$1917, Super_CBSA!$A$2:$A$1917), 2,FALSE), IFERROR(VLOOKUP(B60  &amp; "*",CHOOSE({1,2}, Super_CBSA!$E$2:$E$1917, Super_CBSA!$A$2:$A$1917), 2,FALSE), ""))</f>
        <v/>
      </c>
    </row>
    <row r="61" spans="1:7" ht="17">
      <c r="A61" s="1" t="s">
        <v>408</v>
      </c>
      <c r="B61" s="2" t="s">
        <v>325</v>
      </c>
      <c r="C61" s="2">
        <v>32</v>
      </c>
      <c r="D61" s="3">
        <v>2147</v>
      </c>
      <c r="E61" s="3">
        <v>2481</v>
      </c>
      <c r="F61" s="4">
        <v>146632</v>
      </c>
      <c r="G61" s="11" cm="1">
        <f t="array" aca="1" ref="G61" ca="1">IFERROR(VLOOKUP("*" &amp; B61  &amp; "*" &amp; (MID(CELL("filename",A60),FIND("]",CELL("filename",A60))+1,31)) &amp; "*",CHOOSE({1,2}, Super_CBSA!$B$2:$B$1917, Super_CBSA!$A$2:$A$1917), 2,FALSE), IFERROR(VLOOKUP(B61  &amp; "*",CHOOSE({1,2}, Super_CBSA!$E$2:$E$1917, Super_CBSA!$A$2:$A$1917), 2,FALSE), ""))</f>
        <v>38060</v>
      </c>
    </row>
    <row r="62" spans="1:7" ht="17">
      <c r="A62" s="1" t="s">
        <v>409</v>
      </c>
      <c r="B62" s="2" t="s">
        <v>410</v>
      </c>
      <c r="C62" s="2">
        <v>56</v>
      </c>
      <c r="D62" s="3">
        <v>2555</v>
      </c>
      <c r="E62" s="3">
        <v>9583</v>
      </c>
      <c r="F62" s="4">
        <v>0</v>
      </c>
      <c r="G62" s="11" t="str" cm="1">
        <f t="array" aca="1" ref="G62" ca="1">IFERROR(VLOOKUP("*" &amp; B62  &amp; "*" &amp; (MID(CELL("filename",A61),FIND("]",CELL("filename",A61))+1,31)) &amp; "*",CHOOSE({1,2}, Super_CBSA!$B$2:$B$1917, Super_CBSA!$A$2:$A$1917), 2,FALSE), IFERROR(VLOOKUP(B62  &amp; "*",CHOOSE({1,2}, Super_CBSA!$E$2:$E$1917, Super_CBSA!$A$2:$A$1917), 2,FALSE), ""))</f>
        <v/>
      </c>
    </row>
    <row r="63" spans="1:7" ht="17">
      <c r="A63" s="1" t="s">
        <v>411</v>
      </c>
      <c r="B63" s="2" t="s">
        <v>412</v>
      </c>
      <c r="C63" s="2">
        <v>73</v>
      </c>
      <c r="D63" s="3">
        <v>2226</v>
      </c>
      <c r="E63" s="3">
        <v>10542</v>
      </c>
      <c r="F63" s="4">
        <v>0</v>
      </c>
      <c r="G63" s="11" t="str" cm="1">
        <f t="array" aca="1" ref="G63" ca="1">IFERROR(VLOOKUP("*" &amp; B63  &amp; "*" &amp; (MID(CELL("filename",A62),FIND("]",CELL("filename",A62))+1,31)) &amp; "*",CHOOSE({1,2}, Super_CBSA!$B$2:$B$1917, Super_CBSA!$A$2:$A$1917), 2,FALSE), IFERROR(VLOOKUP(B63  &amp; " city",CHOOSE({1,2}, Super_CBSA!$E$2:$E$1917, Super_CBSA!$A$2:$A$1917), 2,FALSE), ""))</f>
        <v/>
      </c>
    </row>
    <row r="64" spans="1:7" ht="17">
      <c r="A64" s="1" t="s">
        <v>413</v>
      </c>
      <c r="B64" s="2" t="s">
        <v>338</v>
      </c>
      <c r="C64" s="2">
        <v>457</v>
      </c>
      <c r="D64" s="3">
        <v>33653</v>
      </c>
      <c r="E64" s="3">
        <v>146087</v>
      </c>
      <c r="F64" s="4">
        <v>2230909</v>
      </c>
      <c r="G64" s="11" cm="1">
        <f t="array" aca="1" ref="G64" ca="1">IFERROR(VLOOKUP("*" &amp; B64  &amp; "*" &amp; (MID(CELL("filename",A63),FIND("]",CELL("filename",A63))+1,31)) &amp; "*",CHOOSE({1,2}, Super_CBSA!$B$2:$B$1917, Super_CBSA!$A$2:$A$1917), 2,FALSE), IFERROR(VLOOKUP(B64  &amp; "*",CHOOSE({1,2}, Super_CBSA!$E$2:$E$1917, Super_CBSA!$A$2:$A$1917), 2,FALSE), ""))</f>
        <v>46060</v>
      </c>
    </row>
    <row r="65" spans="1:7" ht="17">
      <c r="A65" s="1" t="s">
        <v>414</v>
      </c>
      <c r="B65" s="2" t="s">
        <v>415</v>
      </c>
      <c r="C65" s="2">
        <v>84</v>
      </c>
      <c r="D65" s="3">
        <v>2147</v>
      </c>
      <c r="E65" s="3">
        <v>7439</v>
      </c>
      <c r="F65" s="4">
        <v>443397</v>
      </c>
      <c r="G65" s="11" t="str" cm="1">
        <f t="array" aca="1" ref="G65" ca="1">IFERROR(VLOOKUP("*" &amp; B65  &amp; "*" &amp; (MID(CELL("filename",A64),FIND("]",CELL("filename",A64))+1,31)) &amp; "*",CHOOSE({1,2}, Super_CBSA!$B$2:$B$1917, Super_CBSA!$A$2:$A$1917), 2,FALSE), IFERROR(VLOOKUP(B65  &amp; "*",CHOOSE({1,2}, Super_CBSA!$E$2:$E$1917, Super_CBSA!$A$2:$A$1917), 2,FALSE), ""))</f>
        <v/>
      </c>
    </row>
    <row r="66" spans="1:7" ht="17">
      <c r="A66" s="1" t="s">
        <v>416</v>
      </c>
      <c r="B66" s="2" t="s">
        <v>325</v>
      </c>
      <c r="C66" s="2">
        <v>228</v>
      </c>
      <c r="D66" s="3">
        <v>3640</v>
      </c>
      <c r="E66" s="3">
        <v>15153</v>
      </c>
      <c r="F66" s="4">
        <v>337726</v>
      </c>
      <c r="G66" s="11" cm="1">
        <f t="array" aca="1" ref="G66" ca="1">IFERROR(VLOOKUP("*" &amp; B66  &amp; "*" &amp; (MID(CELL("filename",A65),FIND("]",CELL("filename",A65))+1,31)) &amp; "*",CHOOSE({1,2}, Super_CBSA!$B$2:$B$1917, Super_CBSA!$A$2:$A$1917), 2,FALSE), IFERROR(VLOOKUP(B66  &amp; "*",CHOOSE({1,2}, Super_CBSA!$E$2:$E$1917, Super_CBSA!$A$2:$A$1917), 2,FALSE), ""))</f>
        <v>38060</v>
      </c>
    </row>
    <row r="67" spans="1:7" ht="17">
      <c r="A67" s="1" t="s">
        <v>417</v>
      </c>
      <c r="B67" s="2" t="s">
        <v>325</v>
      </c>
      <c r="C67" s="2">
        <v>612</v>
      </c>
      <c r="D67" s="3">
        <v>12471</v>
      </c>
      <c r="E67" s="3">
        <v>56808</v>
      </c>
      <c r="F67" s="4">
        <v>2163260</v>
      </c>
      <c r="G67" s="11" cm="1">
        <f t="array" aca="1" ref="G67" ca="1">IFERROR(VLOOKUP("*" &amp; B67  &amp; "*" &amp; (MID(CELL("filename",A66),FIND("]",CELL("filename",A66))+1,31)) &amp; "*",CHOOSE({1,2}, Super_CBSA!$B$2:$B$1917, Super_CBSA!$A$2:$A$1917), 2,FALSE), IFERROR(VLOOKUP(B67  &amp; "*",CHOOSE({1,2}, Super_CBSA!$E$2:$E$1917, Super_CBSA!$A$2:$A$1917), 2,FALSE), ""))</f>
        <v>38060</v>
      </c>
    </row>
    <row r="68" spans="1:7" ht="17">
      <c r="A68" s="1" t="s">
        <v>418</v>
      </c>
      <c r="B68" s="2" t="s">
        <v>419</v>
      </c>
      <c r="C68" s="2">
        <v>98</v>
      </c>
      <c r="D68" s="3">
        <v>4581</v>
      </c>
      <c r="E68" s="3">
        <v>17025</v>
      </c>
      <c r="F68" s="4">
        <v>613417</v>
      </c>
      <c r="G68" s="11" t="str" cm="1">
        <f t="array" aca="1" ref="G68" ca="1">IFERROR(VLOOKUP("*" &amp; B68  &amp; "*" &amp; (MID(CELL("filename",A67),FIND("]",CELL("filename",A67))+1,31)) &amp; "*",CHOOSE({1,2}, Super_CBSA!$B$2:$B$1917, Super_CBSA!$A$2:$A$1917), 2,FALSE), IFERROR(VLOOKUP(B68  &amp; "*",CHOOSE({1,2}, Super_CBSA!$E$2:$E$1917, Super_CBSA!$A$2:$A$1917), 2,FALSE), ""))</f>
        <v/>
      </c>
    </row>
    <row r="69" spans="1:7" ht="17">
      <c r="A69" s="1" t="s">
        <v>420</v>
      </c>
      <c r="B69" s="2" t="s">
        <v>421</v>
      </c>
      <c r="C69" s="2">
        <v>0</v>
      </c>
      <c r="D69" s="2">
        <v>0</v>
      </c>
      <c r="E69" s="2">
        <v>0</v>
      </c>
      <c r="F69" s="4">
        <v>0</v>
      </c>
      <c r="G69" s="11" t="str" cm="1">
        <f t="array" aca="1" ref="G69" ca="1">IFERROR(VLOOKUP("*" &amp; B69  &amp; "*" &amp; (MID(CELL("filename",A68),FIND("]",CELL("filename",A68))+1,31)) &amp; "*",CHOOSE({1,2}, Super_CBSA!$B$2:$B$1917, Super_CBSA!$A$2:$A$1917), 2,FALSE), IFERROR(VLOOKUP(B69  &amp; "*",CHOOSE({1,2}, Super_CBSA!$E$2:$E$1917, Super_CBSA!$A$2:$A$1917), 2,FALSE), ""))</f>
        <v/>
      </c>
    </row>
    <row r="70" spans="1:7" ht="17">
      <c r="A70" s="1" t="s">
        <v>422</v>
      </c>
      <c r="B70" s="2" t="s">
        <v>423</v>
      </c>
      <c r="C70" s="2">
        <v>139</v>
      </c>
      <c r="D70" s="3">
        <v>4983</v>
      </c>
      <c r="E70" s="3">
        <v>21247</v>
      </c>
      <c r="F70" s="4">
        <v>1214995</v>
      </c>
      <c r="G70" s="11" t="str" cm="1">
        <f t="array" aca="1" ref="G70" ca="1">IFERROR(VLOOKUP("*" &amp; B70  &amp; "*" &amp; (MID(CELL("filename",A69),FIND("]",CELL("filename",A69))+1,31)) &amp; "*",CHOOSE({1,2}, Super_CBSA!$B$2:$B$1917, Super_CBSA!$A$2:$A$1917), 2,FALSE), IFERROR(VLOOKUP(B70  &amp; "*",CHOOSE({1,2}, Super_CBSA!$E$2:$E$1917, Super_CBSA!$A$2:$A$1917), 2,FALSE), ""))</f>
        <v/>
      </c>
    </row>
    <row r="71" spans="1:7" ht="17">
      <c r="A71" s="1" t="s">
        <v>424</v>
      </c>
      <c r="B71" s="2" t="s">
        <v>425</v>
      </c>
      <c r="C71" s="2">
        <v>40</v>
      </c>
      <c r="D71" s="2">
        <v>973</v>
      </c>
      <c r="E71" s="3">
        <v>3767</v>
      </c>
      <c r="F71" s="4">
        <v>0</v>
      </c>
      <c r="G71" s="11" t="str" cm="1">
        <f t="array" aca="1" ref="G71" ca="1">IFERROR(VLOOKUP("*" &amp; B71  &amp; "*" &amp; (MID(CELL("filename",A70),FIND("]",CELL("filename",A70))+1,31)) &amp; "*",CHOOSE({1,2}, Super_CBSA!$B$2:$B$1917, Super_CBSA!$A$2:$A$1917), 2,FALSE), IFERROR(VLOOKUP(B71  &amp; "*",CHOOSE({1,2}, Super_CBSA!$E$2:$E$1917, Super_CBSA!$A$2:$A$1917), 2,FALSE), ""))</f>
        <v/>
      </c>
    </row>
    <row r="72" spans="1:7" ht="17">
      <c r="A72" s="1" t="s">
        <v>426</v>
      </c>
      <c r="B72" s="2" t="s">
        <v>427</v>
      </c>
      <c r="C72" s="2">
        <v>56</v>
      </c>
      <c r="D72" s="3">
        <v>4182</v>
      </c>
      <c r="E72" s="3">
        <v>14511</v>
      </c>
      <c r="F72" s="4">
        <v>374590</v>
      </c>
      <c r="G72" s="11" cm="1">
        <f t="array" aca="1" ref="G72" ca="1">IFERROR(VLOOKUP("*" &amp; B72  &amp; "*" &amp; (MID(CELL("filename",A71),FIND("]",CELL("filename",A71))+1,31)) &amp; "*",CHOOSE({1,2}, Super_CBSA!$B$2:$B$1917, Super_CBSA!$A$2:$A$1917), 2,FALSE), IFERROR(VLOOKUP(B72  &amp; "*",CHOOSE({1,2}, Super_CBSA!$E$2:$E$1917, Super_CBSA!$A$2:$A$1917), 2,FALSE), ""))</f>
        <v>39150</v>
      </c>
    </row>
    <row r="73" spans="1:7" ht="17">
      <c r="A73" s="1" t="s">
        <v>428</v>
      </c>
      <c r="B73" s="2" t="s">
        <v>388</v>
      </c>
      <c r="C73" s="2">
        <v>206</v>
      </c>
      <c r="D73" s="3">
        <v>11528</v>
      </c>
      <c r="E73" s="3">
        <v>41763</v>
      </c>
      <c r="F73" s="4">
        <v>1268151</v>
      </c>
      <c r="G73" s="11" cm="1">
        <f t="array" aca="1" ref="G73" ca="1">IFERROR(VLOOKUP("*" &amp; B73  &amp; "*" &amp; (MID(CELL("filename",A72),FIND("]",CELL("filename",A72))+1,31)) &amp; "*",CHOOSE({1,2}, Super_CBSA!$B$2:$B$1917, Super_CBSA!$A$2:$A$1917), 2,FALSE), IFERROR(VLOOKUP(B73  &amp; "*",CHOOSE({1,2}, Super_CBSA!$E$2:$E$1917, Super_CBSA!$A$2:$A$1917), 2,FALSE), ""))</f>
        <v>39150</v>
      </c>
    </row>
    <row r="74" spans="1:7" ht="17">
      <c r="A74" s="1" t="s">
        <v>429</v>
      </c>
      <c r="B74" s="2" t="s">
        <v>430</v>
      </c>
      <c r="C74" s="2">
        <v>406</v>
      </c>
      <c r="D74" s="3">
        <v>15512</v>
      </c>
      <c r="E74" s="3">
        <v>65344</v>
      </c>
      <c r="F74" s="4">
        <v>2044450</v>
      </c>
      <c r="G74" s="11" cm="1">
        <f t="array" aca="1" ref="G74" ca="1">IFERROR(VLOOKUP("*" &amp; B74  &amp; "*" &amp; (MID(CELL("filename",A73),FIND("]",CELL("filename",A73))+1,31)) &amp; "*",CHOOSE({1,2}, Super_CBSA!$B$2:$B$1917, Super_CBSA!$A$2:$A$1917), 2,FALSE), IFERROR(VLOOKUP(B74  &amp; "*",CHOOSE({1,2}, Super_CBSA!$E$2:$E$1917, Super_CBSA!$A$2:$A$1917), 2,FALSE), ""))</f>
        <v>49740</v>
      </c>
    </row>
    <row r="75" spans="1:7" ht="17">
      <c r="A75" s="2" t="s">
        <v>56</v>
      </c>
      <c r="B75" s="2"/>
      <c r="C75" s="3">
        <v>13416</v>
      </c>
      <c r="D75" s="3">
        <v>610133</v>
      </c>
      <c r="E75" s="3">
        <v>2660941</v>
      </c>
      <c r="F75" s="4">
        <v>79447094</v>
      </c>
    </row>
  </sheetData>
  <hyperlinks>
    <hyperlink ref="A2" r:id="rId1" display="https://www.ahd.com/free_profile/I41927/Abrazo_Arizona_Heart_Hospital/Phoenix/Arizona/" xr:uid="{6BDB414C-2162-2149-ADFF-8855A1583344}"/>
    <hyperlink ref="A3" r:id="rId2" display="https://www.ahd.com/free_profile/030094/Abrazo_Arrowhead_Hospital/Glendale/Arizona/" xr:uid="{F518186D-AA53-6A40-BAEB-8EF7187C2EC5}"/>
    <hyperlink ref="A4" r:id="rId3" display="https://www.ahd.com/free_profile/030030/Abrazo_Central_Campus/Phoenix/Arizona/" xr:uid="{DF3A72F8-C8DB-604E-802D-07D54C99BE08}"/>
    <hyperlink ref="A5" r:id="rId4" display="https://www.ahd.com/free_profile/I42281/Abrazo_Mesa_Hospital_/Mesa/Arizona/" xr:uid="{50854EC5-EED8-FC40-8D62-0D9BAA1F7559}"/>
    <hyperlink ref="A6" r:id="rId5" display="https://www.ahd.com/free_profile/030083/Abrazo_Scottsdale_Campus/Phoenix/Arizona/" xr:uid="{5DC6A4EB-E98F-F14E-BAE9-35F0DFCFFAB5}"/>
    <hyperlink ref="A7" r:id="rId6" display="https://www.ahd.com/free_profile/030110/Abrazo_West_Campus/Goodyear/Arizona/" xr:uid="{07407772-3150-504B-ACBE-B54C2CE9E6C6}"/>
    <hyperlink ref="A8" r:id="rId7" display="https://www.ahd.com/free_profile/030112/Arizona_Specialty_Hospital_/Chandler/Arizona/" xr:uid="{6B0A4AA7-48EB-374C-89EA-034E878E7CD5}"/>
    <hyperlink ref="A9" r:id="rId8" display="https://www.ahd.com/free_profile/030107/Arizona_Spine_and_Joint_Hospital/Mesa/Arizona/" xr:uid="{E33AC866-B79C-5049-B5C8-5C7BA09F9E89}"/>
    <hyperlink ref="A10" r:id="rId9" display="https://www.ahd.com/free_profile/030064/Banner_-__University_Medical_Center_Tucson_/Tucson/Arizona/" xr:uid="{00F87173-A9A8-3344-AD00-B5687B19EEC9}"/>
    <hyperlink ref="A11" r:id="rId10" display="https://www.ahd.com/free_profile/030002/Banner_-_University_Medical_Center_Phoenix/Phoenix/Arizona/" xr:uid="{140E46A4-AFE3-5D43-8FE1-C247C16865A9}"/>
    <hyperlink ref="A12" r:id="rId11" display="https://www.ahd.com/free_profile/030111/Banner_-_University_Medical_Center_South_Campus/Tucson/Arizona/" xr:uid="{F530EEB1-3177-384A-9D31-36475BE12FBA}"/>
    <hyperlink ref="A13" r:id="rId12" display="https://www.ahd.com/free_profile/030088/Banner_Baywood_Medical_Center/Mesa/Arizona/" xr:uid="{C8E8C17D-5A06-344C-B5DE-1B71BDC081E6}"/>
    <hyperlink ref="A14" r:id="rId13" display="https://www.ahd.com/free_profile/030061/Banner_Boswell_Medical_Center/Sun_City/Arizona/" xr:uid="{4E51CFD3-32D4-3F4D-9B13-DA2A40FD7360}"/>
    <hyperlink ref="A15" r:id="rId14" display="https://www.ahd.com/free_profile/030016/Banner_Casa_Grande_Medical_Center/Casa_Grande/Arizona/" xr:uid="{58E372EA-75EA-A64A-BC8F-834AD8EA867C}"/>
    <hyperlink ref="A16" r:id="rId15" display="https://www.ahd.com/free_profile/030093/Banner_Del_E_Webb_Medical_Center/Sun_City_West/Arizona/" xr:uid="{1B9068A0-22C3-B64E-81E0-C523BC2E44E4}"/>
    <hyperlink ref="A17" r:id="rId16" display="https://www.ahd.com/free_profile/030065/Banner_Desert_Medical_Center/Mesa/Arizona/" xr:uid="{79EC1013-8D29-0547-AC93-BF1F88DC48A2}"/>
    <hyperlink ref="A18" r:id="rId17" display="https://www.ahd.com/free_profile/030115/Banner_Estrella_Medical_Center/Phoenix/Arizona/" xr:uid="{71229938-3A72-694C-91C3-F96C35BFED92}"/>
    <hyperlink ref="A19" r:id="rId18" display="https://www.ahd.com/free_profile/030122/Banner_Gateway_Medical_Center/Gilbert/Arizona/" xr:uid="{EC71DF6C-2A9D-D04B-946A-6BD361CA7411}"/>
    <hyperlink ref="A20" r:id="rId19" display="https://www.ahd.com/free_profile/030134/Banner_Goldfield_Medical_Center__/Apache_Junction/Arizona/" xr:uid="{EC15D0F9-4C35-DB4D-8867-9E5CD96BE83B}"/>
    <hyperlink ref="A21" r:id="rId20" display="https://www.ahd.com/free_profile/030105/Banner_Heart_Hospital/Mesa/Arizona/" xr:uid="{079CBFE4-AD68-E648-A09A-8A6B6DDEF2FF}"/>
    <hyperlink ref="A22" r:id="rId21" display="https://www.ahd.com/free_profile/030130/Banner_Ironwood_Medical_Center/Queen_Creek/Arizona/" xr:uid="{6E3A6199-E206-F044-9876-21B0B4F00F7C}"/>
    <hyperlink ref="A23" r:id="rId22" display="https://www.ahd.com/free_profile/030089/Banner_Thunderbird_Medical_Center/Glendale/Arizona/" xr:uid="{9098C44B-32F9-7942-B6F3-045747D10EF0}"/>
    <hyperlink ref="A24" r:id="rId23" display="https://www.ahd.com/free_profile/I41569/Cancer_Treatment_Centers_of_America_-_Western_Regional_Medical_Center/Goodyear/Arizona/" xr:uid="{9623E320-D31C-F345-801F-3C62B0A880D9}"/>
    <hyperlink ref="A25" r:id="rId24" display="https://www.ahd.com/free_profile/030138/Cancer_Treatment_Centers_of_America_Phoenix/Goodyear/Arizona/" xr:uid="{C22BEE34-1F70-C248-8480-614BC6D6D92B}"/>
    <hyperlink ref="A26" r:id="rId25" display="https://www.ahd.com/free_profile/030043/Canyon_Vista_Medical_Center/Sierra_Vista/Arizona/" xr:uid="{0BF589E1-A785-9947-9C8E-D174A629BD32}"/>
    <hyperlink ref="A27" r:id="rId26" display="https://www.ahd.com/free_profile/030100/Carondelet_Heart_%26_Vascular_Institute/Tucson/Arizona/" xr:uid="{B48F42E7-AA25-9B4E-BD96-0C93AC102BD8}"/>
    <hyperlink ref="A28" r:id="rId27" display="https://www.ahd.com/free_profile/030036/Chandler_Regional_Medical_Center/Chandler/Arizona/" xr:uid="{891309B8-F33E-6C40-80C8-DDC946585FAF}"/>
    <hyperlink ref="A29" r:id="rId28" display="https://www.ahd.com/free_profile/030084/Chinle_Comprehensive_Health_Care_Facility/Chinle/Arizona/" xr:uid="{8653B76A-7495-4A4F-AA6C-2C7EE60FD47A}"/>
    <hyperlink ref="A30" r:id="rId29" display="https://www.ahd.com/free_profile/030136/Dignity_Health_Arizona_General_Hospital_Laveen/Laveen/Arizona/" xr:uid="{9B0DABC4-73F7-194B-8161-A4D9D1EEBF0D}"/>
    <hyperlink ref="A31" r:id="rId30" display="https://www.ahd.com/free_profile/030139/Dignity_Health_Arizona_General_Hospital_Mesa/Mesa/Arizona/" xr:uid="{F5E99EEA-49D6-3C45-A181-A4376935A947}"/>
    <hyperlink ref="A32" r:id="rId31" display="https://www.ahd.com/free_profile/030023/Flagstaff_Medical_Center/Flagstaff/Arizona/" xr:uid="{6F652800-E59D-7E47-B4E7-A0B16A255C4C}"/>
    <hyperlink ref="A33" r:id="rId32" display="https://www.ahd.com/free_profile/I42370/Florence_Hospital/Florence/Arizona/" xr:uid="{224A3C66-DED7-EE44-BB69-43202DD6F9CF}"/>
    <hyperlink ref="A34" r:id="rId33" display="https://www.ahd.com/free_profile/030069/Havasu_Regional_Medical_Center/Lake_Havasu_City/Arizona/" xr:uid="{ED72E5A9-CC14-0C41-95AD-788A86F366F0}"/>
    <hyperlink ref="A35" r:id="rId34" display="https://www.ahd.com/free_profile/030092/HonorHealth_Deer_Valley_Medical_Center/Phoenix/Arizona/" xr:uid="{8B559CEC-80D4-8846-B463-62FCFC459C16}"/>
    <hyperlink ref="A36" r:id="rId35" display="https://www.ahd.com/free_profile/030014/HonorHealth_John_C_Lincoln_Medical_Center/Phoenix/Arizona/" xr:uid="{FD12E0A9-66E4-2D4C-8FAE-D7126F7AA4AE}"/>
    <hyperlink ref="A37" r:id="rId36" display="https://www.ahd.com/free_profile/030038/HonorHealth_Scottsdale_Osborn_Medical_Center/Scottsdale/Arizona/" xr:uid="{D7C39D93-C8ED-CD49-9CEE-D3E39FB42B73}"/>
    <hyperlink ref="A38" r:id="rId37" display="https://www.ahd.com/free_profile/030087/HonorHealth_Scottsdale_Shea_Medical_Center/Scottsdale/Arizona/" xr:uid="{602F3B15-63DA-044D-ADE8-8E51B52BD556}"/>
    <hyperlink ref="A39" r:id="rId38" display="https://www.ahd.com/free_profile/030123/HonorHealth_Scottsdale_Thompson_Peak_Medical_Center/Scottsdale/Arizona/" xr:uid="{D33DE527-7241-9D4F-ADED-0643681F8380}"/>
    <hyperlink ref="A40" r:id="rId39" display="https://www.ahd.com/free_profile/030055/Kingman_Regional_Medical_Center/Kingman/Arizona/" xr:uid="{D41CCE9D-4DB8-0D4C-AEE3-0B6520A70176}"/>
    <hyperlink ref="A41" r:id="rId40" display="https://www.ahd.com/free_profile/030103/Mayo_Clinic_Hospital/Phoenix/Arizona/" xr:uid="{2EFA308D-CE07-FF46-8787-FF39D8F4849A}"/>
    <hyperlink ref="A42" r:id="rId41" display="https://www.ahd.com/free_profile/030119/Mercy_Gilbert_Medical_Center/Gilbert/Arizona/" xr:uid="{62F608A1-FB54-C649-BAB3-14B16D090703}"/>
    <hyperlink ref="A43" r:id="rId42" display="https://www.ahd.com/free_profile/030068/Mount_Graham_Regional__Medical_Center/Safford/Arizona/" xr:uid="{5B2A233F-DB10-724A-A0E9-6188D55DDE8D}"/>
    <hyperlink ref="A44" r:id="rId43" display="https://www.ahd.com/free_profile/030121/Mountain_Vista_Medical_Center/Mesa/Arizona/" xr:uid="{49B9CB11-0B8F-9E4C-8B57-000135850464}"/>
    <hyperlink ref="A45" r:id="rId44" display="https://www.ahd.com/free_profile/03033F/Northern_Arizona_VA_Health_Care_System/Prescott/Arizona/" xr:uid="{F2E9263A-58D1-E44A-B1D1-FB0AE3F557EF}"/>
    <hyperlink ref="A46" r:id="rId45" display="https://www.ahd.com/free_profile/030085/Northwest_Medical_Center/Tucson/Arizona/" xr:uid="{5368F2B1-4229-FA45-8B89-1E8671CD92A7}"/>
    <hyperlink ref="A47" r:id="rId46" display="https://www.ahd.com/free_profile/030131/OASIS_Hospital/Phoenix/Arizona/" xr:uid="{5B7A24F2-B118-3741-890C-B14ED785794E}"/>
    <hyperlink ref="A48" r:id="rId47" display="https://www.ahd.com/free_profile/030114/Oro_Valley_Hospital/Tucson/Arizona/" xr:uid="{A1171380-68B1-6E4F-8147-BBBDEFC66FB2}"/>
    <hyperlink ref="A49" r:id="rId48" display="https://www.ahd.com/free_profile/030078/Phoenix_Indian_Medical_Center/Phoenix/Arizona/" xr:uid="{E40D688F-89E5-0840-B19E-EBDD2B28090C}"/>
    <hyperlink ref="A50" r:id="rId49" display="https://www.ahd.com/free_profile/03012F/Phoenix_VA_Health_Care_System/Phoenix/Arizona/" xr:uid="{D01F0C43-3907-A345-B1C2-E3198B68F5DB}"/>
    <hyperlink ref="A51" r:id="rId50" display="https://www.ahd.com/free_profile/030011/Saint_Joseph%27s_Hospital/Tucson/Arizona/" xr:uid="{3CADD85A-E668-B84D-8797-6D4475B6B9EB}"/>
    <hyperlink ref="A52" r:id="rId51" display="https://www.ahd.com/free_profile/030024/Saint_Joseph%27s_Hospital_and_Medical_Center/Phoenix/Arizona/" xr:uid="{65364E76-C5D6-274A-B742-9DA55C955D54}"/>
    <hyperlink ref="A53" r:id="rId52" display="https://www.ahd.com/free_profile/I42038/Saint_Joseph%27s_Westgate_Medical_Center/Glendale/Arizona/" xr:uid="{DA17CFFC-0757-C64B-A69F-ACD48F944ECC}"/>
    <hyperlink ref="A54" r:id="rId53" display="https://www.ahd.com/free_profile/030010/Saint_Mary%27s_Hospital_/Tucson/Arizona/" xr:uid="{03D3A165-6649-644F-877E-C0EF18D3D435}"/>
    <hyperlink ref="A55" r:id="rId54" display="https://www.ahd.com/free_profile/030077/San_Carlos_Apache_Healthcare/Peridot/Arizona/" xr:uid="{9E6652C2-FE89-7A4E-BB5E-F209A6F6EEA8}"/>
    <hyperlink ref="A56" r:id="rId55" display="https://www.ahd.com/free_profile/030137/Santa_Cruz_Valley_Regional_Hospital/Green_Valley/Arizona/" xr:uid="{F25A5AC2-2C3A-8145-BAB9-25A42C0A0656}"/>
    <hyperlink ref="A57" r:id="rId56" display="https://www.ahd.com/free_profile/030074/Sells_Indian_Hospital/Sells/Arizona/" xr:uid="{87BCF8F5-3D95-5747-B189-89DA0107E4F4}"/>
    <hyperlink ref="A58" r:id="rId57" display="https://www.ahd.com/free_profile/03013F/Southern_Arizona_VA_Health_Care_System/Tucson/Arizona/" xr:uid="{9EE6F702-798A-6044-B449-C14425CC6DB7}"/>
    <hyperlink ref="A59" r:id="rId58" display="https://www.ahd.com/free_profile/030062/Summit_Healthcare_Regional_Medical_Center/Show_Low/Arizona/" xr:uid="{289D1631-1FB5-3B45-B089-E6C569340681}"/>
    <hyperlink ref="A60" r:id="rId59" display="https://www.ahd.com/free_profile/030019/Tempe_Saint_Luke%27s_Hospital/Tempe/Arizona/" xr:uid="{FA1E9B2D-63A8-C142-82C3-DB4B6BFD1E11}"/>
    <hyperlink ref="A61" r:id="rId60" display="https://www.ahd.com/free_profile/030108/The_CORE_Institute_Specialty_Hospital/Phoenix/Arizona/" xr:uid="{0DD2B48D-2A9E-B54A-89E0-F06291E39C32}"/>
    <hyperlink ref="A62" r:id="rId61" display="https://www.ahd.com/free_profile/030071/Tsehootsooi_Medical_Center_/Fort_Defiance/Arizona/" xr:uid="{1CDF2834-B0EE-3F47-B55C-B0F5A5634FBF}"/>
    <hyperlink ref="A63" r:id="rId62" display="https://www.ahd.com/free_profile/030073/Tuba_City_Indian_Medical_Center/Tuba_City/Arizona/" xr:uid="{DAF26163-CDA4-E74A-995D-0F26C574D111}"/>
    <hyperlink ref="A64" r:id="rId63" display="https://www.ahd.com/free_profile/030006/Tucson_Medical_Center/Tucson/Arizona/" xr:uid="{8B23FB82-7AE1-8C4B-841D-87B9D430ED86}"/>
    <hyperlink ref="A65" r:id="rId64" display="https://www.ahd.com/free_profile/030117/Valley_View_Medical_Center/Fort_Mohave/Arizona/" xr:uid="{8CF995E1-4DA0-5946-BF73-49FB9E205488}"/>
    <hyperlink ref="A66" r:id="rId65" display="https://www.ahd.com/free_profile/030001/Valleywise_Behavioral_Health_Center-Maryvale/Phoenix/Arizona/" xr:uid="{220D26C8-A3C2-3648-A783-613577B26B26}"/>
    <hyperlink ref="A67" r:id="rId66" display="https://www.ahd.com/free_profile/030022/Valleywise_Health_Medical_Center/Phoenix/Arizona/" xr:uid="{06E208B9-8CE5-CA4C-9ED4-AF0DE024FC8B}"/>
    <hyperlink ref="A68" r:id="rId67" display="https://www.ahd.com/free_profile/030007/Verde_Valley_Medical_Center/Cottonwood/Arizona/" xr:uid="{8E546079-0A5C-D94F-8256-6CFAF5D61393}"/>
    <hyperlink ref="A69" r:id="rId68" display="https://www.ahd.com/free_profile/I42354/Verde_Valley_Medical_Center-Sedona_Campus/Sedona/Arizona/" xr:uid="{938FA4C6-2538-8D46-B9F0-DE8D107A31DB}"/>
    <hyperlink ref="A70" r:id="rId69" display="https://www.ahd.com/free_profile/030101/Western_Arizona_Regional_Medical_Center/Bullhead_City/Arizona/" xr:uid="{6EE56BF8-E24D-2041-A562-050D8A20DE14}"/>
    <hyperlink ref="A71" r:id="rId70" display="https://www.ahd.com/free_profile/030113/Whiteriver_Indian_Hospital/Whiteriver/Arizona/" xr:uid="{C7369651-E641-2D48-B2F4-7A4F4F2979FF}"/>
    <hyperlink ref="A72" r:id="rId71" display="https://www.ahd.com/free_profile/030118/Yavapai_Regional_Medical_Center_-_East_/Prescott_Valley/Arizona/" xr:uid="{CBF751C5-AA9A-BD4B-8B2E-0EDBD5D04272}"/>
    <hyperlink ref="A73" r:id="rId72" display="https://www.ahd.com/free_profile/030012/Yavapai_Regional_Medical_Center_-_West/Prescott/Arizona/" xr:uid="{0F82F85D-74CA-494C-A2F2-55A78F6E164D}"/>
    <hyperlink ref="A74" r:id="rId73" display="https://www.ahd.com/free_profile/030013/Yuma_Regional_Medical_Center/Yuma/Arizona/" xr:uid="{04694F8A-BF22-584D-8392-310E717453AF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FF7A1-C7F1-084E-9E20-C9BBFA4427CB}">
  <sheetPr codeName="Sheet6"/>
  <dimension ref="A1:G346"/>
  <sheetViews>
    <sheetView topLeftCell="A50" workbookViewId="0">
      <selection activeCell="G63" sqref="G63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431</v>
      </c>
      <c r="B2" s="2" t="s">
        <v>432</v>
      </c>
      <c r="C2" s="2">
        <v>144</v>
      </c>
      <c r="D2" s="3">
        <v>6574</v>
      </c>
      <c r="E2" s="3">
        <v>26847</v>
      </c>
      <c r="F2" s="4">
        <v>666423</v>
      </c>
      <c r="G2" s="11" t="str" cm="1">
        <f t="array" aca="1" ref="G2" ca="1">IFERROR(VLOOKUP("*" &amp; B2  &amp; "*" &amp; (MID(CELL("filename",A1),FIND("]",CELL("filename",A1))+1,31)) &amp; "*",CHOOSE({1,2}, Super_CBSA!$B$2:$B$1917, Super_CBSA!$A$2:$A$1917), 2,FALSE), IFERROR(VLOOKUP(B2  &amp; "*",CHOOSE({1,2}, Super_CBSA!$E$2:$E$1917, Super_CBSA!$A$2:$A$1917), 2,FALSE), ""))</f>
        <v/>
      </c>
    </row>
    <row r="3" spans="1:7" ht="17">
      <c r="A3" s="1" t="s">
        <v>433</v>
      </c>
      <c r="B3" s="2" t="s">
        <v>434</v>
      </c>
      <c r="C3" s="2">
        <v>50</v>
      </c>
      <c r="D3" s="3">
        <v>3451</v>
      </c>
      <c r="E3" s="3">
        <v>12747</v>
      </c>
      <c r="F3" s="4">
        <v>529977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"*",CHOOSE({1,2}, Super_CBSA!$E$2:$E$1917, Super_CBSA!$A$2:$A$1917), 2,FALSE), ""))</f>
        <v>46380</v>
      </c>
    </row>
    <row r="4" spans="1:7" ht="17">
      <c r="A4" s="1" t="s">
        <v>435</v>
      </c>
      <c r="B4" s="2" t="s">
        <v>436</v>
      </c>
      <c r="C4" s="2">
        <v>352</v>
      </c>
      <c r="D4" s="3">
        <v>15856</v>
      </c>
      <c r="E4" s="3">
        <v>70158</v>
      </c>
      <c r="F4" s="4">
        <v>2411332</v>
      </c>
      <c r="G4" s="11" t="str" cm="1">
        <f t="array" aca="1" ref="G4" ca="1">IFERROR(VLOOKUP("*" &amp; B4  &amp; "*" &amp; (MID(CELL("filename",A3),FIND("]",CELL("filename",A3))+1,31)) &amp; "*",CHOOSE({1,2}, Super_CBSA!$B$2:$B$1917, Super_CBSA!$A$2:$A$1917), 2,FALSE), IFERROR(VLOOKUP(B4  &amp; "*",CHOOSE({1,2}, Super_CBSA!$E$2:$E$1917, Super_CBSA!$A$2:$A$1917), 2,FALSE), ""))</f>
        <v/>
      </c>
    </row>
    <row r="5" spans="1:7" ht="17">
      <c r="A5" s="1" t="s">
        <v>437</v>
      </c>
      <c r="B5" s="2" t="s">
        <v>438</v>
      </c>
      <c r="C5" s="2">
        <v>235</v>
      </c>
      <c r="D5" s="3">
        <v>9248</v>
      </c>
      <c r="E5" s="3">
        <v>39395</v>
      </c>
      <c r="F5" s="4">
        <v>2216874</v>
      </c>
      <c r="G5" s="11" t="str" cm="1">
        <f t="array" aca="1" ref="G5" ca="1">IFERROR(VLOOKUP("*" &amp; B5  &amp; "*" &amp; (MID(CELL("filename",A4),FIND("]",CELL("filename",A4))+1,31)) &amp; "*",CHOOSE({1,2}, Super_CBSA!$B$2:$B$1917, Super_CBSA!$A$2:$A$1917), 2,FALSE), IFERROR(VLOOKUP(B5  &amp; "*",CHOOSE({1,2}, Super_CBSA!$E$2:$E$1917, Super_CBSA!$A$2:$A$1917), 2,FALSE), ""))</f>
        <v/>
      </c>
    </row>
    <row r="6" spans="1:7" ht="17">
      <c r="A6" s="1" t="s">
        <v>439</v>
      </c>
      <c r="B6" s="2" t="s">
        <v>440</v>
      </c>
      <c r="C6" s="2">
        <v>266</v>
      </c>
      <c r="D6" s="3">
        <v>12400</v>
      </c>
      <c r="E6" s="3">
        <v>57959</v>
      </c>
      <c r="F6" s="4">
        <v>1259366</v>
      </c>
      <c r="G6" s="11" t="str" cm="1">
        <f t="array" aca="1" ref="G6" ca="1">IFERROR(VLOOKUP("*" &amp; B6  &amp; "*" &amp; (MID(CELL("filename",A5),FIND("]",CELL("filename",A5))+1,31)) &amp; "*",CHOOSE({1,2}, Super_CBSA!$B$2:$B$1917, Super_CBSA!$A$2:$A$1917), 2,FALSE), IFERROR(VLOOKUP(B6  &amp; "*",CHOOSE({1,2}, Super_CBSA!$E$2:$E$1917, Super_CBSA!$A$2:$A$1917), 2,FALSE), ""))</f>
        <v/>
      </c>
    </row>
    <row r="7" spans="1:7" ht="17">
      <c r="A7" s="1" t="s">
        <v>441</v>
      </c>
      <c r="B7" s="2" t="s">
        <v>442</v>
      </c>
      <c r="C7" s="2">
        <v>252</v>
      </c>
      <c r="D7" s="3">
        <v>8564</v>
      </c>
      <c r="E7" s="3">
        <v>33082</v>
      </c>
      <c r="F7" s="4">
        <v>1304544</v>
      </c>
      <c r="G7" s="11" t="str" cm="1">
        <f t="array" aca="1" ref="G7" ca="1">IFERROR(VLOOKUP("*" &amp; B7  &amp; "*" &amp; (MID(CELL("filename",A6),FIND("]",CELL("filename",A6))+1,31)) &amp; "*",CHOOSE({1,2}, Super_CBSA!$B$2:$B$1917, Super_CBSA!$A$2:$A$1917), 2,FALSE), IFERROR(VLOOKUP(B7  &amp; "*",CHOOSE({1,2}, Super_CBSA!$E$2:$E$1917, Super_CBSA!$A$2:$A$1917), 2,FALSE), ""))</f>
        <v/>
      </c>
    </row>
    <row r="8" spans="1:7" ht="17">
      <c r="A8" s="1" t="s">
        <v>443</v>
      </c>
      <c r="B8" s="2" t="s">
        <v>444</v>
      </c>
      <c r="C8" s="2">
        <v>0</v>
      </c>
      <c r="D8" s="2">
        <v>0</v>
      </c>
      <c r="E8" s="2">
        <v>0</v>
      </c>
      <c r="F8" s="4">
        <v>0</v>
      </c>
      <c r="G8" s="11" t="str" cm="1">
        <f t="array" aca="1" ref="G8" ca="1">IFERROR(VLOOKUP("*" &amp; B8  &amp; "*" &amp; (MID(CELL("filename",A7),FIND("]",CELL("filename",A7))+1,31)) &amp; "*",CHOOSE({1,2}, Super_CBSA!$B$2:$B$1917, Super_CBSA!$A$2:$A$1917), 2,FALSE), IFERROR(VLOOKUP(B8  &amp; "*",CHOOSE({1,2}, Super_CBSA!$E$2:$E$1917, Super_CBSA!$A$2:$A$1917), 2,FALSE), ""))</f>
        <v/>
      </c>
    </row>
    <row r="9" spans="1:7" ht="17">
      <c r="A9" s="1" t="s">
        <v>445</v>
      </c>
      <c r="B9" s="2" t="s">
        <v>446</v>
      </c>
      <c r="C9" s="2">
        <v>209</v>
      </c>
      <c r="D9" s="3">
        <v>11677</v>
      </c>
      <c r="E9" s="3">
        <v>56930</v>
      </c>
      <c r="F9" s="4">
        <v>1452858</v>
      </c>
      <c r="G9" s="11" t="str" cm="1">
        <f t="array" aca="1" ref="G9" ca="1">IFERROR(VLOOKUP("*" &amp; B9  &amp; "*" &amp; (MID(CELL("filename",A8),FIND("]",CELL("filename",A8))+1,31)) &amp; "*",CHOOSE({1,2}, Super_CBSA!$B$2:$B$1917, Super_CBSA!$A$2:$A$1917), 2,FALSE), IFERROR(VLOOKUP(B9  &amp; "*",CHOOSE({1,2}, Super_CBSA!$E$2:$E$1917, Super_CBSA!$A$2:$A$1917), 2,FALSE), ""))</f>
        <v/>
      </c>
    </row>
    <row r="10" spans="1:7" ht="17">
      <c r="A10" s="1" t="s">
        <v>447</v>
      </c>
      <c r="B10" s="2" t="s">
        <v>448</v>
      </c>
      <c r="C10" s="2">
        <v>254</v>
      </c>
      <c r="D10" s="3">
        <v>17389</v>
      </c>
      <c r="E10" s="3">
        <v>67655</v>
      </c>
      <c r="F10" s="4">
        <v>2036693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"*",CHOOSE({1,2}, Super_CBSA!$E$2:$E$1917, Super_CBSA!$A$2:$A$1917), 2,FALSE), ""))</f>
        <v>12540</v>
      </c>
    </row>
    <row r="11" spans="1:7" ht="17">
      <c r="A11" s="1" t="s">
        <v>449</v>
      </c>
      <c r="B11" s="2" t="s">
        <v>327</v>
      </c>
      <c r="C11" s="2">
        <v>451</v>
      </c>
      <c r="D11" s="3">
        <v>17633</v>
      </c>
      <c r="E11" s="3">
        <v>78905</v>
      </c>
      <c r="F11" s="4">
        <v>2544517</v>
      </c>
      <c r="G11" s="11" t="str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"*",CHOOSE({1,2}, Super_CBSA!$E$2:$E$1917, Super_CBSA!$A$2:$A$1917), 2,FALSE), ""))</f>
        <v/>
      </c>
    </row>
    <row r="12" spans="1:7" ht="17">
      <c r="A12" s="1" t="s">
        <v>450</v>
      </c>
      <c r="B12" s="2" t="s">
        <v>451</v>
      </c>
      <c r="C12" s="2">
        <v>230</v>
      </c>
      <c r="D12" s="3">
        <v>9455</v>
      </c>
      <c r="E12" s="3">
        <v>47221</v>
      </c>
      <c r="F12" s="4">
        <v>1143207</v>
      </c>
      <c r="G12" s="11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"*",CHOOSE({1,2}, Super_CBSA!$E$2:$E$1917, Super_CBSA!$A$2:$A$1917), 2,FALSE), ""))</f>
        <v>25260</v>
      </c>
    </row>
    <row r="13" spans="1:7" ht="17">
      <c r="A13" s="1" t="s">
        <v>452</v>
      </c>
      <c r="B13" s="2" t="s">
        <v>453</v>
      </c>
      <c r="C13" s="2">
        <v>190</v>
      </c>
      <c r="D13" s="3">
        <v>8990</v>
      </c>
      <c r="E13" s="3">
        <v>34259</v>
      </c>
      <c r="F13" s="4">
        <v>1456557</v>
      </c>
      <c r="G13" s="11" t="str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"*",CHOOSE({1,2}, Super_CBSA!$E$2:$E$1917, Super_CBSA!$A$2:$A$1917), 2,FALSE), ""))</f>
        <v/>
      </c>
    </row>
    <row r="14" spans="1:7" ht="17">
      <c r="A14" s="1" t="s">
        <v>454</v>
      </c>
      <c r="B14" s="2" t="s">
        <v>455</v>
      </c>
      <c r="C14" s="2">
        <v>49</v>
      </c>
      <c r="D14" s="3">
        <v>1838</v>
      </c>
      <c r="E14" s="3">
        <v>6199</v>
      </c>
      <c r="F14" s="4">
        <v>301523</v>
      </c>
      <c r="G14" s="11" t="str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"*",CHOOSE({1,2}, Super_CBSA!$E$2:$E$1917, Super_CBSA!$A$2:$A$1917), 2,FALSE), ""))</f>
        <v/>
      </c>
    </row>
    <row r="15" spans="1:7" ht="17">
      <c r="A15" s="1" t="s">
        <v>456</v>
      </c>
      <c r="B15" s="2" t="s">
        <v>457</v>
      </c>
      <c r="C15" s="2">
        <v>130</v>
      </c>
      <c r="D15" s="3">
        <v>3690</v>
      </c>
      <c r="E15" s="3">
        <v>22828</v>
      </c>
      <c r="F15" s="4">
        <v>1127609</v>
      </c>
      <c r="G15" s="11" t="str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"*",CHOOSE({1,2}, Super_CBSA!$E$2:$E$1917, Super_CBSA!$A$2:$A$1917), 2,FALSE), ""))</f>
        <v/>
      </c>
    </row>
    <row r="16" spans="1:7" ht="17">
      <c r="A16" s="1" t="s">
        <v>458</v>
      </c>
      <c r="B16" s="2" t="s">
        <v>230</v>
      </c>
      <c r="C16" s="2">
        <v>0</v>
      </c>
      <c r="D16" s="2">
        <v>0</v>
      </c>
      <c r="E16" s="2">
        <v>0</v>
      </c>
      <c r="F16" s="4">
        <v>0</v>
      </c>
      <c r="G16" s="11" t="str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"*",CHOOSE({1,2}, Super_CBSA!$E$2:$E$1917, Super_CBSA!$A$2:$A$1917), 2,FALSE), ""))</f>
        <v/>
      </c>
    </row>
    <row r="17" spans="1:7" ht="17">
      <c r="A17" s="1" t="s">
        <v>459</v>
      </c>
      <c r="B17" s="2" t="s">
        <v>460</v>
      </c>
      <c r="C17" s="2">
        <v>152</v>
      </c>
      <c r="D17" s="3">
        <v>4158</v>
      </c>
      <c r="E17" s="3">
        <v>14686</v>
      </c>
      <c r="F17" s="4">
        <v>996958</v>
      </c>
      <c r="G17" s="11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"*",CHOOSE({1,2}, Super_CBSA!$E$2:$E$1917, Super_CBSA!$A$2:$A$1917), 2,FALSE), ""))</f>
        <v>43760</v>
      </c>
    </row>
    <row r="18" spans="1:7" ht="17">
      <c r="A18" s="1" t="s">
        <v>461</v>
      </c>
      <c r="B18" s="2" t="s">
        <v>462</v>
      </c>
      <c r="C18" s="2">
        <v>108</v>
      </c>
      <c r="D18" s="2">
        <v>688</v>
      </c>
      <c r="E18" s="3">
        <v>3359</v>
      </c>
      <c r="F18" s="4">
        <v>105590</v>
      </c>
      <c r="G18" s="11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"*",CHOOSE({1,2}, Super_CBSA!$E$2:$E$1917, Super_CBSA!$A$2:$A$1917), 2,FALSE), ""))</f>
        <v>47300</v>
      </c>
    </row>
    <row r="19" spans="1:7" ht="17">
      <c r="A19" s="1" t="s">
        <v>463</v>
      </c>
      <c r="B19" s="2" t="s">
        <v>464</v>
      </c>
      <c r="C19" s="2">
        <v>0</v>
      </c>
      <c r="D19" s="2">
        <v>0</v>
      </c>
      <c r="E19" s="2">
        <v>0</v>
      </c>
      <c r="F19" s="4">
        <v>0</v>
      </c>
      <c r="G19" s="11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"*",CHOOSE({1,2}, Super_CBSA!$E$2:$E$1917, Super_CBSA!$A$2:$A$1917), 2,FALSE), ""))</f>
        <v>46700</v>
      </c>
    </row>
    <row r="20" spans="1:7" ht="17">
      <c r="A20" s="1" t="s">
        <v>465</v>
      </c>
      <c r="B20" s="2" t="s">
        <v>466</v>
      </c>
      <c r="C20" s="2">
        <v>353</v>
      </c>
      <c r="D20" s="3">
        <v>18937</v>
      </c>
      <c r="E20" s="3">
        <v>82082</v>
      </c>
      <c r="F20" s="4">
        <v>2393499</v>
      </c>
      <c r="G20" s="11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"*",CHOOSE({1,2}, Super_CBSA!$E$2:$E$1917, Super_CBSA!$A$2:$A$1917), 2,FALSE), ""))</f>
        <v>31080</v>
      </c>
    </row>
    <row r="21" spans="1:7" ht="17">
      <c r="A21" s="1" t="s">
        <v>467</v>
      </c>
      <c r="B21" s="2" t="s">
        <v>468</v>
      </c>
      <c r="C21" s="2">
        <v>223</v>
      </c>
      <c r="D21" s="3">
        <v>10240</v>
      </c>
      <c r="E21" s="3">
        <v>46132</v>
      </c>
      <c r="F21" s="4">
        <v>1412018</v>
      </c>
      <c r="G21" s="11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"*",CHOOSE({1,2}, Super_CBSA!$E$2:$E$1917, Super_CBSA!$A$2:$A$1917), 2,FALSE), ""))</f>
        <v>31080</v>
      </c>
    </row>
    <row r="22" spans="1:7" ht="17">
      <c r="A22" s="1" t="s">
        <v>469</v>
      </c>
      <c r="B22" s="2" t="s">
        <v>470</v>
      </c>
      <c r="C22" s="2">
        <v>215</v>
      </c>
      <c r="D22" s="3">
        <v>2715</v>
      </c>
      <c r="E22" s="3">
        <v>12846</v>
      </c>
      <c r="F22" s="4">
        <v>420402</v>
      </c>
      <c r="G22" s="11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"*",CHOOSE({1,2}, Super_CBSA!$E$2:$E$1917, Super_CBSA!$A$2:$A$1917), 2,FALSE), ""))</f>
        <v>41860</v>
      </c>
    </row>
    <row r="23" spans="1:7" ht="17">
      <c r="A23" s="1" t="s">
        <v>471</v>
      </c>
      <c r="B23" s="2" t="s">
        <v>472</v>
      </c>
      <c r="C23" s="2">
        <v>144</v>
      </c>
      <c r="D23" s="3">
        <v>4792</v>
      </c>
      <c r="E23" s="3">
        <v>20061</v>
      </c>
      <c r="F23" s="4">
        <v>553245</v>
      </c>
      <c r="G23" s="11" t="str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"*",CHOOSE({1,2}, Super_CBSA!$E$2:$E$1917, Super_CBSA!$A$2:$A$1917), 2,FALSE), ""))</f>
        <v/>
      </c>
    </row>
    <row r="24" spans="1:7" ht="17">
      <c r="A24" s="1" t="s">
        <v>473</v>
      </c>
      <c r="B24" s="2" t="s">
        <v>474</v>
      </c>
      <c r="C24" s="2">
        <v>354</v>
      </c>
      <c r="D24" s="3">
        <v>11595</v>
      </c>
      <c r="E24" s="3">
        <v>52305</v>
      </c>
      <c r="F24" s="4">
        <v>1693389</v>
      </c>
      <c r="G24" s="11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"*",CHOOSE({1,2}, Super_CBSA!$E$2:$E$1917, Super_CBSA!$A$2:$A$1917), 2,FALSE), ""))</f>
        <v>41860</v>
      </c>
    </row>
    <row r="25" spans="1:7" ht="17">
      <c r="A25" s="1" t="s">
        <v>475</v>
      </c>
      <c r="B25" s="2" t="s">
        <v>476</v>
      </c>
      <c r="C25" s="2">
        <v>0</v>
      </c>
      <c r="D25" s="2">
        <v>0</v>
      </c>
      <c r="E25" s="2">
        <v>0</v>
      </c>
      <c r="F25" s="4">
        <v>0</v>
      </c>
      <c r="G25" s="11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"*",CHOOSE({1,2}, Super_CBSA!$E$2:$E$1917, Super_CBSA!$A$2:$A$1917), 2,FALSE), ""))</f>
        <v>41860</v>
      </c>
    </row>
    <row r="26" spans="1:7" ht="17">
      <c r="A26" s="1" t="s">
        <v>477</v>
      </c>
      <c r="B26" s="2" t="s">
        <v>476</v>
      </c>
      <c r="C26" s="2">
        <v>401</v>
      </c>
      <c r="D26" s="3">
        <v>9352</v>
      </c>
      <c r="E26" s="3">
        <v>65087</v>
      </c>
      <c r="F26" s="4">
        <v>1818558</v>
      </c>
      <c r="G26" s="11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"*",CHOOSE({1,2}, Super_CBSA!$E$2:$E$1917, Super_CBSA!$A$2:$A$1917), 2,FALSE), ""))</f>
        <v>41860</v>
      </c>
    </row>
    <row r="27" spans="1:7" ht="17">
      <c r="A27" s="1" t="s">
        <v>478</v>
      </c>
      <c r="B27" s="2" t="s">
        <v>479</v>
      </c>
      <c r="C27" s="2">
        <v>304</v>
      </c>
      <c r="D27" s="3">
        <v>4832</v>
      </c>
      <c r="E27" s="3">
        <v>23507</v>
      </c>
      <c r="F27" s="4">
        <v>532834</v>
      </c>
      <c r="G27" s="11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"*",CHOOSE({1,2}, Super_CBSA!$E$2:$E$1917, Super_CBSA!$A$2:$A$1917), 2,FALSE), ""))</f>
        <v>41740</v>
      </c>
    </row>
    <row r="28" spans="1:7" ht="17">
      <c r="A28" s="1" t="s">
        <v>480</v>
      </c>
      <c r="B28" s="2" t="s">
        <v>468</v>
      </c>
      <c r="C28" s="2">
        <v>183</v>
      </c>
      <c r="D28" s="3">
        <v>2759</v>
      </c>
      <c r="E28" s="3">
        <v>16821</v>
      </c>
      <c r="F28" s="4">
        <v>319834</v>
      </c>
      <c r="G28" s="11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"*",CHOOSE({1,2}, Super_CBSA!$E$2:$E$1917, Super_CBSA!$A$2:$A$1917), 2,FALSE), ""))</f>
        <v>31080</v>
      </c>
    </row>
    <row r="29" spans="1:7" ht="17">
      <c r="A29" s="1" t="s">
        <v>481</v>
      </c>
      <c r="B29" s="2" t="s">
        <v>468</v>
      </c>
      <c r="C29" s="2">
        <v>484</v>
      </c>
      <c r="D29" s="3">
        <v>24383</v>
      </c>
      <c r="E29" s="3">
        <v>98691</v>
      </c>
      <c r="F29" s="4">
        <v>2777703</v>
      </c>
      <c r="G29" s="11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"*",CHOOSE({1,2}, Super_CBSA!$E$2:$E$1917, Super_CBSA!$A$2:$A$1917), 2,FALSE), ""))</f>
        <v>31080</v>
      </c>
    </row>
    <row r="30" spans="1:7" ht="17">
      <c r="A30" s="1" t="s">
        <v>482</v>
      </c>
      <c r="B30" s="2" t="s">
        <v>483</v>
      </c>
      <c r="C30" s="2">
        <v>393</v>
      </c>
      <c r="D30" s="3">
        <v>19155</v>
      </c>
      <c r="E30" s="3">
        <v>86522</v>
      </c>
      <c r="F30" s="4">
        <v>1823103</v>
      </c>
      <c r="G30" s="11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"*",CHOOSE({1,2}, Super_CBSA!$E$2:$E$1917, Super_CBSA!$A$2:$A$1917), 2,FALSE), ""))</f>
        <v>16740</v>
      </c>
    </row>
    <row r="31" spans="1:7" ht="17">
      <c r="A31" s="1" t="s">
        <v>484</v>
      </c>
      <c r="B31" s="2" t="s">
        <v>485</v>
      </c>
      <c r="C31" s="2">
        <v>138</v>
      </c>
      <c r="D31" s="3">
        <v>7326</v>
      </c>
      <c r="E31" s="3">
        <v>25035</v>
      </c>
      <c r="F31" s="4">
        <v>939186</v>
      </c>
      <c r="G31" s="11" t="str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"*",CHOOSE({1,2}, Super_CBSA!$E$2:$E$1917, Super_CBSA!$A$2:$A$1917), 2,FALSE), ""))</f>
        <v/>
      </c>
    </row>
    <row r="32" spans="1:7" ht="17">
      <c r="A32" s="1" t="s">
        <v>486</v>
      </c>
      <c r="B32" s="2" t="s">
        <v>487</v>
      </c>
      <c r="C32" s="2">
        <v>456</v>
      </c>
      <c r="D32" s="3">
        <v>19145</v>
      </c>
      <c r="E32" s="3">
        <v>99359</v>
      </c>
      <c r="F32" s="4">
        <v>1642821</v>
      </c>
      <c r="G32" s="11" t="str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"*",CHOOSE({1,2}, Super_CBSA!$E$2:$E$1917, Super_CBSA!$A$2:$A$1917), 2,FALSE), ""))</f>
        <v/>
      </c>
    </row>
    <row r="33" spans="1:7" ht="17">
      <c r="A33" s="1" t="s">
        <v>488</v>
      </c>
      <c r="B33" s="2" t="s">
        <v>489</v>
      </c>
      <c r="C33" s="2">
        <v>67</v>
      </c>
      <c r="D33" s="3">
        <v>4298</v>
      </c>
      <c r="E33" s="3">
        <v>14331</v>
      </c>
      <c r="F33" s="4">
        <v>542368</v>
      </c>
      <c r="G33" s="11" t="str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"*",CHOOSE({1,2}, Super_CBSA!$E$2:$E$1917, Super_CBSA!$A$2:$A$1917), 2,FALSE), ""))</f>
        <v/>
      </c>
    </row>
    <row r="34" spans="1:7" ht="17">
      <c r="A34" s="1" t="s">
        <v>490</v>
      </c>
      <c r="B34" s="2" t="s">
        <v>448</v>
      </c>
      <c r="C34" s="2">
        <v>47</v>
      </c>
      <c r="D34" s="3">
        <v>3098</v>
      </c>
      <c r="E34" s="3">
        <v>12512</v>
      </c>
      <c r="F34" s="4">
        <v>443526</v>
      </c>
      <c r="G34" s="11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"*",CHOOSE({1,2}, Super_CBSA!$E$2:$E$1917, Super_CBSA!$A$2:$A$1917), 2,FALSE), ""))</f>
        <v>12540</v>
      </c>
    </row>
    <row r="35" spans="1:7" ht="17">
      <c r="A35" s="1" t="s">
        <v>491</v>
      </c>
      <c r="B35" s="2" t="s">
        <v>448</v>
      </c>
      <c r="C35" s="2">
        <v>421</v>
      </c>
      <c r="D35" s="3">
        <v>17245</v>
      </c>
      <c r="E35" s="3">
        <v>71705</v>
      </c>
      <c r="F35" s="4">
        <v>2051484</v>
      </c>
      <c r="G35" s="11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"*",CHOOSE({1,2}, Super_CBSA!$E$2:$E$1917, Super_CBSA!$A$2:$A$1917), 2,FALSE), ""))</f>
        <v>12540</v>
      </c>
    </row>
    <row r="36" spans="1:7" ht="17">
      <c r="A36" s="1" t="s">
        <v>492</v>
      </c>
      <c r="B36" s="2" t="s">
        <v>493</v>
      </c>
      <c r="C36" s="2">
        <v>257</v>
      </c>
      <c r="D36" s="3">
        <v>11026</v>
      </c>
      <c r="E36" s="3">
        <v>41403</v>
      </c>
      <c r="F36" s="4">
        <v>1847528</v>
      </c>
      <c r="G36" s="11" t="str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"*",CHOOSE({1,2}, Super_CBSA!$E$2:$E$1917, Super_CBSA!$A$2:$A$1917), 2,FALSE), ""))</f>
        <v/>
      </c>
    </row>
    <row r="37" spans="1:7" ht="17">
      <c r="A37" s="1" t="s">
        <v>494</v>
      </c>
      <c r="B37" s="2" t="s">
        <v>495</v>
      </c>
      <c r="C37" s="2">
        <v>30</v>
      </c>
      <c r="D37" s="3">
        <v>2099</v>
      </c>
      <c r="E37" s="3">
        <v>6860</v>
      </c>
      <c r="F37" s="4">
        <v>469359</v>
      </c>
      <c r="G37" s="11" t="str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"*",CHOOSE({1,2}, Super_CBSA!$E$2:$E$1917, Super_CBSA!$A$2:$A$1917), 2,FALSE), ""))</f>
        <v/>
      </c>
    </row>
    <row r="38" spans="1:7" ht="17">
      <c r="A38" s="1" t="s">
        <v>496</v>
      </c>
      <c r="B38" s="2" t="s">
        <v>497</v>
      </c>
      <c r="C38" s="2">
        <v>111</v>
      </c>
      <c r="D38" s="3">
        <v>2322</v>
      </c>
      <c r="E38" s="3">
        <v>7196</v>
      </c>
      <c r="F38" s="4">
        <v>452204</v>
      </c>
      <c r="G38" s="11" t="str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"*",CHOOSE({1,2}, Super_CBSA!$E$2:$E$1917, Super_CBSA!$A$2:$A$1917), 2,FALSE), ""))</f>
        <v/>
      </c>
    </row>
    <row r="39" spans="1:7" ht="17">
      <c r="A39" s="1" t="s">
        <v>498</v>
      </c>
      <c r="B39" s="2" t="s">
        <v>499</v>
      </c>
      <c r="C39" s="2">
        <v>224</v>
      </c>
      <c r="D39" s="3">
        <v>10290</v>
      </c>
      <c r="E39" s="3">
        <v>39617</v>
      </c>
      <c r="F39" s="4">
        <v>430834</v>
      </c>
      <c r="G39" s="11" t="str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"*",CHOOSE({1,2}, Super_CBSA!$E$2:$E$1917, Super_CBSA!$A$2:$A$1917), 2,FALSE), ""))</f>
        <v/>
      </c>
    </row>
    <row r="40" spans="1:7" ht="17">
      <c r="A40" s="1" t="s">
        <v>500</v>
      </c>
      <c r="B40" s="2" t="s">
        <v>466</v>
      </c>
      <c r="C40" s="2">
        <v>318</v>
      </c>
      <c r="D40" s="3">
        <v>18047</v>
      </c>
      <c r="E40" s="3">
        <v>77124</v>
      </c>
      <c r="F40" s="4">
        <v>1477782</v>
      </c>
      <c r="G40" s="11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"*",CHOOSE({1,2}, Super_CBSA!$E$2:$E$1917, Super_CBSA!$A$2:$A$1917), 2,FALSE), ""))</f>
        <v>31080</v>
      </c>
    </row>
    <row r="41" spans="1:7" ht="17">
      <c r="A41" s="1" t="s">
        <v>501</v>
      </c>
      <c r="B41" s="2" t="s">
        <v>502</v>
      </c>
      <c r="C41" s="2">
        <v>0</v>
      </c>
      <c r="D41" s="2">
        <v>0</v>
      </c>
      <c r="E41" s="2">
        <v>0</v>
      </c>
      <c r="F41" s="4">
        <v>0</v>
      </c>
      <c r="G41" s="11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"*",CHOOSE({1,2}, Super_CBSA!$E$2:$E$1917, Super_CBSA!$A$2:$A$1917), 2,FALSE), ""))</f>
        <v>42020</v>
      </c>
    </row>
    <row r="42" spans="1:7" ht="17">
      <c r="A42" s="1" t="s">
        <v>503</v>
      </c>
      <c r="B42" s="2" t="s">
        <v>504</v>
      </c>
      <c r="C42" s="2">
        <v>99</v>
      </c>
      <c r="D42" s="3">
        <v>1195</v>
      </c>
      <c r="E42" s="3">
        <v>4371</v>
      </c>
      <c r="F42" s="4">
        <v>219339</v>
      </c>
      <c r="G42" s="11" t="str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"*",CHOOSE({1,2}, Super_CBSA!$E$2:$E$1917, Super_CBSA!$A$2:$A$1917), 2,FALSE), ""))</f>
        <v/>
      </c>
    </row>
    <row r="43" spans="1:7" ht="17">
      <c r="A43" s="1" t="s">
        <v>505</v>
      </c>
      <c r="B43" s="2" t="s">
        <v>466</v>
      </c>
      <c r="C43" s="2">
        <v>880</v>
      </c>
      <c r="D43" s="3">
        <v>55908</v>
      </c>
      <c r="E43" s="3">
        <v>276395</v>
      </c>
      <c r="F43" s="4">
        <v>18190026</v>
      </c>
      <c r="G43" s="11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"*",CHOOSE({1,2}, Super_CBSA!$E$2:$E$1917, Super_CBSA!$A$2:$A$1917), 2,FALSE), ""))</f>
        <v>31080</v>
      </c>
    </row>
    <row r="44" spans="1:7" ht="17">
      <c r="A44" s="1" t="s">
        <v>506</v>
      </c>
      <c r="B44" s="2" t="s">
        <v>507</v>
      </c>
      <c r="C44" s="2">
        <v>345</v>
      </c>
      <c r="D44" s="3">
        <v>15776</v>
      </c>
      <c r="E44" s="3">
        <v>62436</v>
      </c>
      <c r="F44" s="4">
        <v>1184803</v>
      </c>
      <c r="G44" s="11" t="str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"*",CHOOSE({1,2}, Super_CBSA!$E$2:$E$1917, Super_CBSA!$A$2:$A$1917), 2,FALSE), ""))</f>
        <v/>
      </c>
    </row>
    <row r="45" spans="1:7" ht="17">
      <c r="A45" s="1" t="s">
        <v>508</v>
      </c>
      <c r="B45" s="2" t="s">
        <v>466</v>
      </c>
      <c r="C45" s="2">
        <v>434</v>
      </c>
      <c r="D45" s="3">
        <v>12157</v>
      </c>
      <c r="E45" s="3">
        <v>57819</v>
      </c>
      <c r="F45" s="4">
        <v>933245</v>
      </c>
      <c r="G45" s="11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"*",CHOOSE({1,2}, Super_CBSA!$E$2:$E$1917, Super_CBSA!$A$2:$A$1917), 2,FALSE), ""))</f>
        <v>31080</v>
      </c>
    </row>
    <row r="46" spans="1:7" ht="17">
      <c r="A46" s="1" t="s">
        <v>509</v>
      </c>
      <c r="B46" s="2" t="s">
        <v>510</v>
      </c>
      <c r="C46" s="2">
        <v>114</v>
      </c>
      <c r="D46" s="3">
        <v>2001</v>
      </c>
      <c r="E46" s="3">
        <v>7340</v>
      </c>
      <c r="F46" s="4">
        <v>227919</v>
      </c>
      <c r="G46" s="11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"*",CHOOSE({1,2}, Super_CBSA!$E$2:$E$1917, Super_CBSA!$A$2:$A$1917), 2,FALSE), ""))</f>
        <v>13140</v>
      </c>
    </row>
    <row r="47" spans="1:7" ht="17">
      <c r="A47" s="1" t="s">
        <v>511</v>
      </c>
      <c r="B47" s="2" t="s">
        <v>512</v>
      </c>
      <c r="C47" s="2">
        <v>65</v>
      </c>
      <c r="D47" s="3">
        <v>1188</v>
      </c>
      <c r="E47" s="3">
        <v>5357</v>
      </c>
      <c r="F47" s="4">
        <v>174600</v>
      </c>
      <c r="G47" s="11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"*",CHOOSE({1,2}, Super_CBSA!$E$2:$E$1917, Super_CBSA!$A$2:$A$1917), 2,FALSE), ""))</f>
        <v>41860</v>
      </c>
    </row>
    <row r="48" spans="1:7" ht="17">
      <c r="A48" s="1" t="s">
        <v>513</v>
      </c>
      <c r="B48" s="2" t="s">
        <v>514</v>
      </c>
      <c r="C48" s="2">
        <v>112</v>
      </c>
      <c r="D48" s="3">
        <v>5235</v>
      </c>
      <c r="E48" s="3">
        <v>15076</v>
      </c>
      <c r="F48" s="4">
        <v>367010</v>
      </c>
      <c r="G48" s="11" t="str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"*",CHOOSE({1,2}, Super_CBSA!$E$2:$E$1917, Super_CBSA!$A$2:$A$1917), 2,FALSE), ""))</f>
        <v/>
      </c>
    </row>
    <row r="49" spans="1:7" ht="17">
      <c r="A49" s="1" t="s">
        <v>515</v>
      </c>
      <c r="B49" s="2" t="s">
        <v>516</v>
      </c>
      <c r="C49" s="2">
        <v>217</v>
      </c>
      <c r="D49" s="3">
        <v>6328</v>
      </c>
      <c r="E49" s="3">
        <v>73559</v>
      </c>
      <c r="F49" s="4">
        <v>4375732</v>
      </c>
      <c r="G49" s="11" t="str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"*",CHOOSE({1,2}, Super_CBSA!$E$2:$E$1917, Super_CBSA!$A$2:$A$1917), 2,FALSE), ""))</f>
        <v/>
      </c>
    </row>
    <row r="50" spans="1:7" ht="17">
      <c r="A50" s="1" t="s">
        <v>517</v>
      </c>
      <c r="B50" s="2" t="s">
        <v>518</v>
      </c>
      <c r="C50" s="2">
        <v>208</v>
      </c>
      <c r="D50" s="3">
        <v>15769</v>
      </c>
      <c r="E50" s="3">
        <v>73355</v>
      </c>
      <c r="F50" s="4">
        <v>1863063</v>
      </c>
      <c r="G50" s="11" t="str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"*",CHOOSE({1,2}, Super_CBSA!$E$2:$E$1917, Super_CBSA!$A$2:$A$1917), 2,FALSE), ""))</f>
        <v/>
      </c>
    </row>
    <row r="51" spans="1:7" ht="17">
      <c r="A51" s="1" t="s">
        <v>519</v>
      </c>
      <c r="B51" s="2" t="s">
        <v>520</v>
      </c>
      <c r="C51" s="2">
        <v>117</v>
      </c>
      <c r="D51" s="3">
        <v>2401</v>
      </c>
      <c r="E51" s="3">
        <v>10857</v>
      </c>
      <c r="F51" s="4">
        <v>241144</v>
      </c>
      <c r="G51" s="11" t="str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"*",CHOOSE({1,2}, Super_CBSA!$E$2:$E$1917, Super_CBSA!$A$2:$A$1917), 2,FALSE), ""))</f>
        <v/>
      </c>
    </row>
    <row r="52" spans="1:7" ht="17">
      <c r="A52" s="1" t="s">
        <v>521</v>
      </c>
      <c r="B52" s="2" t="s">
        <v>522</v>
      </c>
      <c r="C52" s="2">
        <v>122</v>
      </c>
      <c r="D52" s="3">
        <v>4001</v>
      </c>
      <c r="E52" s="3">
        <v>40694</v>
      </c>
      <c r="F52" s="4">
        <v>103658</v>
      </c>
      <c r="G52" s="11" t="str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"*",CHOOSE({1,2}, Super_CBSA!$E$2:$E$1917, Super_CBSA!$A$2:$A$1917), 2,FALSE), ""))</f>
        <v/>
      </c>
    </row>
    <row r="53" spans="1:7" ht="17">
      <c r="A53" s="1" t="s">
        <v>523</v>
      </c>
      <c r="B53" s="2" t="s">
        <v>524</v>
      </c>
      <c r="C53" s="2">
        <v>221</v>
      </c>
      <c r="D53" s="3">
        <v>8949</v>
      </c>
      <c r="E53" s="3">
        <v>63677</v>
      </c>
      <c r="F53" s="4">
        <v>278370</v>
      </c>
      <c r="G53" s="11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"*",CHOOSE({1,2}, Super_CBSA!$E$2:$E$1917, Super_CBSA!$A$2:$A$1917), 2,FALSE), ""))</f>
        <v>31080</v>
      </c>
    </row>
    <row r="54" spans="1:7" ht="17">
      <c r="A54" s="1" t="s">
        <v>525</v>
      </c>
      <c r="B54" s="2" t="s">
        <v>526</v>
      </c>
      <c r="C54" s="2">
        <v>48</v>
      </c>
      <c r="D54" s="2">
        <v>930</v>
      </c>
      <c r="E54" s="3">
        <v>3349</v>
      </c>
      <c r="F54" s="4">
        <v>44455</v>
      </c>
      <c r="G54" s="11" t="str" cm="1">
        <f t="array" aca="1" ref="G54" ca="1">IFERROR(VLOOKUP("*" &amp; B54  &amp; "*" &amp; (MID(CELL("filename",A53),FIND("]",CELL("filename",A53))+1,31)) &amp; "*",CHOOSE({1,2}, Super_CBSA!$B$2:$B$1917, Super_CBSA!$A$2:$A$1917), 2,FALSE), IFERROR(VLOOKUP(B54  &amp; "*",CHOOSE({1,2}, Super_CBSA!$E$2:$E$1917, Super_CBSA!$A$2:$A$1917), 2,FALSE), ""))</f>
        <v/>
      </c>
    </row>
    <row r="55" spans="1:7" ht="17">
      <c r="A55" s="1" t="s">
        <v>527</v>
      </c>
      <c r="B55" s="2" t="s">
        <v>528</v>
      </c>
      <c r="C55" s="2">
        <v>81</v>
      </c>
      <c r="D55" s="3">
        <v>3385</v>
      </c>
      <c r="E55" s="3">
        <v>13865</v>
      </c>
      <c r="F55" s="4">
        <v>380344</v>
      </c>
      <c r="G55" s="11" t="str" cm="1">
        <f t="array" aca="1" ref="G55" ca="1">IFERROR(VLOOKUP("*" &amp; B55  &amp; "*" &amp; (MID(CELL("filename",A54),FIND("]",CELL("filename",A54))+1,31)) &amp; "*",CHOOSE({1,2}, Super_CBSA!$B$2:$B$1917, Super_CBSA!$A$2:$A$1917), 2,FALSE), IFERROR(VLOOKUP(B55  &amp; "*",CHOOSE({1,2}, Super_CBSA!$E$2:$E$1917, Super_CBSA!$A$2:$A$1917), 2,FALSE), ""))</f>
        <v/>
      </c>
    </row>
    <row r="56" spans="1:7" ht="17">
      <c r="A56" s="1" t="s">
        <v>529</v>
      </c>
      <c r="B56" s="2" t="s">
        <v>530</v>
      </c>
      <c r="C56" s="2">
        <v>347</v>
      </c>
      <c r="D56" s="3">
        <v>7284</v>
      </c>
      <c r="E56" s="3">
        <v>32372</v>
      </c>
      <c r="F56" s="4">
        <v>1158147</v>
      </c>
      <c r="G56" s="11" cm="1">
        <f t="array" aca="1" ref="G56" ca="1">IFERROR(VLOOKUP("*" &amp; B56  &amp; "*" &amp; (MID(CELL("filename",A55),FIND("]",CELL("filename",A55))+1,31)) &amp; "*",CHOOSE({1,2}, Super_CBSA!$B$2:$B$1917, Super_CBSA!$A$2:$A$1917), 2,FALSE), IFERROR(VLOOKUP(B56  &amp; "*",CHOOSE({1,2}, Super_CBSA!$E$2:$E$1917, Super_CBSA!$A$2:$A$1917), 2,FALSE), ""))</f>
        <v>40140</v>
      </c>
    </row>
    <row r="57" spans="1:7" ht="17">
      <c r="A57" s="1" t="s">
        <v>531</v>
      </c>
      <c r="B57" s="2" t="s">
        <v>532</v>
      </c>
      <c r="C57" s="2">
        <v>286</v>
      </c>
      <c r="D57" s="3">
        <v>10600</v>
      </c>
      <c r="E57" s="3">
        <v>53689</v>
      </c>
      <c r="F57" s="4">
        <v>1843628</v>
      </c>
      <c r="G57" s="11" cm="1">
        <f t="array" aca="1" ref="G57" ca="1">IFERROR(VLOOKUP("*" &amp; B57  &amp; "*" &amp; (MID(CELL("filename",A56),FIND("]",CELL("filename",A56))+1,31)) &amp; "*",CHOOSE({1,2}, Super_CBSA!$B$2:$B$1917, Super_CBSA!$A$2:$A$1917), 2,FALSE), IFERROR(VLOOKUP(B57  &amp; "*",CHOOSE({1,2}, Super_CBSA!$E$2:$E$1917, Super_CBSA!$A$2:$A$1917), 2,FALSE), ""))</f>
        <v>41500</v>
      </c>
    </row>
    <row r="58" spans="1:7" ht="17">
      <c r="A58" s="1" t="s">
        <v>533</v>
      </c>
      <c r="B58" s="2" t="s">
        <v>524</v>
      </c>
      <c r="C58" s="2">
        <v>125</v>
      </c>
      <c r="D58" s="3">
        <v>3287</v>
      </c>
      <c r="E58" s="3">
        <v>13452</v>
      </c>
      <c r="F58" s="4">
        <v>298535</v>
      </c>
      <c r="G58" s="11" cm="1">
        <f t="array" aca="1" ref="G58" ca="1">IFERROR(VLOOKUP("*" &amp; B58  &amp; "*" &amp; (MID(CELL("filename",A57),FIND("]",CELL("filename",A57))+1,31)) &amp; "*",CHOOSE({1,2}, Super_CBSA!$B$2:$B$1917, Super_CBSA!$A$2:$A$1917), 2,FALSE), IFERROR(VLOOKUP(B58  &amp; "*",CHOOSE({1,2}, Super_CBSA!$E$2:$E$1917, Super_CBSA!$A$2:$A$1917), 2,FALSE), ""))</f>
        <v>31080</v>
      </c>
    </row>
    <row r="59" spans="1:7" ht="17">
      <c r="A59" s="1" t="s">
        <v>534</v>
      </c>
      <c r="B59" s="2" t="s">
        <v>535</v>
      </c>
      <c r="C59" s="2">
        <v>201</v>
      </c>
      <c r="D59" s="3">
        <v>11698</v>
      </c>
      <c r="E59" s="3">
        <v>50701</v>
      </c>
      <c r="F59" s="4">
        <v>1421945</v>
      </c>
      <c r="G59" s="11" cm="1">
        <f t="array" aca="1" ref="G59" ca="1">IFERROR(VLOOKUP("*" &amp; B59  &amp; "*" &amp; (MID(CELL("filename",A58),FIND("]",CELL("filename",A58))+1,31)) &amp; "*",CHOOSE({1,2}, Super_CBSA!$B$2:$B$1917, Super_CBSA!$A$2:$A$1917), 2,FALSE), IFERROR(VLOOKUP(B59  &amp; "*",CHOOSE({1,2}, Super_CBSA!$E$2:$E$1917, Super_CBSA!$A$2:$A$1917), 2,FALSE), ""))</f>
        <v>37100</v>
      </c>
    </row>
    <row r="60" spans="1:7" ht="17">
      <c r="A60" s="1" t="s">
        <v>536</v>
      </c>
      <c r="B60" s="2" t="s">
        <v>537</v>
      </c>
      <c r="C60" s="2">
        <v>915</v>
      </c>
      <c r="D60" s="3">
        <v>35323</v>
      </c>
      <c r="E60" s="3">
        <v>223012</v>
      </c>
      <c r="F60" s="4">
        <v>5042786</v>
      </c>
      <c r="G60" s="11" cm="1">
        <f t="array" aca="1" ref="G60" ca="1">IFERROR(VLOOKUP("*" &amp; B60  &amp; "*" &amp; (MID(CELL("filename",A59),FIND("]",CELL("filename",A59))+1,31)) &amp; "*",CHOOSE({1,2}, Super_CBSA!$B$2:$B$1917, Super_CBSA!$A$2:$A$1917), 2,FALSE), IFERROR(VLOOKUP(B60  &amp; "*",CHOOSE({1,2}, Super_CBSA!$E$2:$E$1917, Super_CBSA!$A$2:$A$1917), 2,FALSE), ""))</f>
        <v>23420</v>
      </c>
    </row>
    <row r="61" spans="1:7" ht="17">
      <c r="A61" s="1" t="s">
        <v>538</v>
      </c>
      <c r="B61" s="2" t="s">
        <v>539</v>
      </c>
      <c r="C61" s="2">
        <v>244</v>
      </c>
      <c r="D61" s="3">
        <v>11397</v>
      </c>
      <c r="E61" s="3">
        <v>53393</v>
      </c>
      <c r="F61" s="4">
        <v>3091763</v>
      </c>
      <c r="G61" s="11" cm="1">
        <f t="array" aca="1" ref="G61" ca="1">IFERROR(VLOOKUP("*" &amp; B61  &amp; "*" &amp; (MID(CELL("filename",A60),FIND("]",CELL("filename",A60))+1,31)) &amp; "*",CHOOSE({1,2}, Super_CBSA!$B$2:$B$1917, Super_CBSA!$A$2:$A$1917), 2,FALSE), IFERROR(VLOOKUP(B61  &amp; "*",CHOOSE({1,2}, Super_CBSA!$E$2:$E$1917, Super_CBSA!$A$2:$A$1917), 2,FALSE), ""))</f>
        <v>35020</v>
      </c>
    </row>
    <row r="62" spans="1:7" ht="17">
      <c r="A62" s="1" t="s">
        <v>540</v>
      </c>
      <c r="B62" s="2" t="s">
        <v>541</v>
      </c>
      <c r="C62" s="2">
        <v>147</v>
      </c>
      <c r="D62" s="3">
        <v>6412</v>
      </c>
      <c r="E62" s="3">
        <v>42614</v>
      </c>
      <c r="F62" s="4">
        <v>815755</v>
      </c>
      <c r="G62" s="11" t="str" cm="1">
        <f t="array" aca="1" ref="G62" ca="1">IFERROR(VLOOKUP("*" &amp; B62  &amp; "*" &amp; (MID(CELL("filename",A61),FIND("]",CELL("filename",A61))+1,31)) &amp; "*",CHOOSE({1,2}, Super_CBSA!$B$2:$B$1917, Super_CBSA!$A$2:$A$1917), 2,FALSE), IFERROR(VLOOKUP(B62  &amp; "*",CHOOSE({1,2}, Super_CBSA!$E$2:$E$1917, Super_CBSA!$A$2:$A$1917), 2,FALSE), ""))</f>
        <v/>
      </c>
    </row>
    <row r="63" spans="1:7" ht="17">
      <c r="A63" s="1" t="s">
        <v>542</v>
      </c>
      <c r="B63" s="2" t="s">
        <v>543</v>
      </c>
      <c r="C63" s="2">
        <v>238</v>
      </c>
      <c r="D63" s="3">
        <v>7314</v>
      </c>
      <c r="E63" s="3">
        <v>30686</v>
      </c>
      <c r="F63" s="4">
        <v>979800</v>
      </c>
      <c r="G63" s="11" t="str" cm="1">
        <f t="array" aca="1" ref="G63" ca="1">IFERROR(VLOOKUP("*" &amp; B63  &amp; "*" &amp; (MID(CELL("filename",A62),FIND("]",CELL("filename",A62))+1,31)) &amp; "*",CHOOSE({1,2}, Super_CBSA!$B$2:$B$1917, Super_CBSA!$A$2:$A$1917), 2,FALSE), IFERROR(VLOOKUP(B63  &amp; " city",CHOOSE({1,2}, Super_CBSA!$E$2:$E$1917, Super_CBSA!$A$2:$A$1917), 2,FALSE), ""))</f>
        <v/>
      </c>
    </row>
    <row r="64" spans="1:7" ht="17">
      <c r="A64" s="1" t="s">
        <v>544</v>
      </c>
      <c r="B64" s="2" t="s">
        <v>512</v>
      </c>
      <c r="C64" s="2">
        <v>223</v>
      </c>
      <c r="D64" s="3">
        <v>3123</v>
      </c>
      <c r="E64" s="3">
        <v>15735</v>
      </c>
      <c r="F64" s="4">
        <v>686866</v>
      </c>
      <c r="G64" s="11" cm="1">
        <f t="array" aca="1" ref="G64" ca="1">IFERROR(VLOOKUP("*" &amp; B64  &amp; "*" &amp; (MID(CELL("filename",A63),FIND("]",CELL("filename",A63))+1,31)) &amp; "*",CHOOSE({1,2}, Super_CBSA!$B$2:$B$1917, Super_CBSA!$A$2:$A$1917), 2,FALSE), IFERROR(VLOOKUP(B64  &amp; "*",CHOOSE({1,2}, Super_CBSA!$E$2:$E$1917, Super_CBSA!$A$2:$A$1917), 2,FALSE), ""))</f>
        <v>41860</v>
      </c>
    </row>
    <row r="65" spans="1:7" ht="17">
      <c r="A65" s="1" t="s">
        <v>545</v>
      </c>
      <c r="B65" s="2" t="s">
        <v>512</v>
      </c>
      <c r="C65" s="2">
        <v>120</v>
      </c>
      <c r="D65" s="3">
        <v>3348</v>
      </c>
      <c r="E65" s="3">
        <v>16566</v>
      </c>
      <c r="F65" s="4">
        <v>414786</v>
      </c>
      <c r="G65" s="11" cm="1">
        <f t="array" aca="1" ref="G65" ca="1">IFERROR(VLOOKUP("*" &amp; B65  &amp; "*" &amp; (MID(CELL("filename",A64),FIND("]",CELL("filename",A64))+1,31)) &amp; "*",CHOOSE({1,2}, Super_CBSA!$B$2:$B$1917, Super_CBSA!$A$2:$A$1917), 2,FALSE), IFERROR(VLOOKUP(B65  &amp; "*",CHOOSE({1,2}, Super_CBSA!$E$2:$E$1917, Super_CBSA!$A$2:$A$1917), 2,FALSE), ""))</f>
        <v>41860</v>
      </c>
    </row>
    <row r="66" spans="1:7" ht="17">
      <c r="A66" s="1" t="s">
        <v>546</v>
      </c>
      <c r="B66" s="2" t="s">
        <v>512</v>
      </c>
      <c r="C66" s="2">
        <v>0</v>
      </c>
      <c r="D66" s="2">
        <v>0</v>
      </c>
      <c r="E66" s="2">
        <v>0</v>
      </c>
      <c r="F66" s="4">
        <v>0</v>
      </c>
      <c r="G66" s="11" cm="1">
        <f t="array" aca="1" ref="G66" ca="1">IFERROR(VLOOKUP("*" &amp; B66  &amp; "*" &amp; (MID(CELL("filename",A65),FIND("]",CELL("filename",A65))+1,31)) &amp; "*",CHOOSE({1,2}, Super_CBSA!$B$2:$B$1917, Super_CBSA!$A$2:$A$1917), 2,FALSE), IFERROR(VLOOKUP(B66  &amp; "*",CHOOSE({1,2}, Super_CBSA!$E$2:$E$1917, Super_CBSA!$A$2:$A$1917), 2,FALSE), ""))</f>
        <v>41860</v>
      </c>
    </row>
    <row r="67" spans="1:7" ht="17">
      <c r="A67" s="1" t="s">
        <v>547</v>
      </c>
      <c r="B67" s="2" t="s">
        <v>548</v>
      </c>
      <c r="C67" s="2">
        <v>170</v>
      </c>
      <c r="D67" s="3">
        <v>3523</v>
      </c>
      <c r="E67" s="3">
        <v>13298</v>
      </c>
      <c r="F67" s="4">
        <v>969432</v>
      </c>
      <c r="G67" s="11" cm="1">
        <f t="array" aca="1" ref="G67" ca="1">IFERROR(VLOOKUP("*" &amp; B67  &amp; "*" &amp; (MID(CELL("filename",A66),FIND("]",CELL("filename",A66))+1,31)) &amp; "*",CHOOSE({1,2}, Super_CBSA!$B$2:$B$1917, Super_CBSA!$A$2:$A$1917), 2,FALSE), IFERROR(VLOOKUP(B67  &amp; "*",CHOOSE({1,2}, Super_CBSA!$E$2:$E$1917, Super_CBSA!$A$2:$A$1917), 2,FALSE), ""))</f>
        <v>44700</v>
      </c>
    </row>
    <row r="68" spans="1:7" ht="17">
      <c r="A68" s="1" t="s">
        <v>549</v>
      </c>
      <c r="B68" s="2" t="s">
        <v>550</v>
      </c>
      <c r="C68" s="2">
        <v>107</v>
      </c>
      <c r="D68" s="3">
        <v>2370</v>
      </c>
      <c r="E68" s="3">
        <v>8658</v>
      </c>
      <c r="F68" s="4">
        <v>194164</v>
      </c>
      <c r="G68" s="11" t="str" cm="1">
        <f t="array" aca="1" ref="G68" ca="1">IFERROR(VLOOKUP("*" &amp; B68  &amp; "*" &amp; (MID(CELL("filename",A67),FIND("]",CELL("filename",A67))+1,31)) &amp; "*",CHOOSE({1,2}, Super_CBSA!$B$2:$B$1917, Super_CBSA!$A$2:$A$1917), 2,FALSE), IFERROR(VLOOKUP(B68  &amp; "*",CHOOSE({1,2}, Super_CBSA!$E$2:$E$1917, Super_CBSA!$A$2:$A$1917), 2,FALSE), ""))</f>
        <v/>
      </c>
    </row>
    <row r="69" spans="1:7" ht="17">
      <c r="A69" s="1" t="s">
        <v>551</v>
      </c>
      <c r="B69" s="2" t="s">
        <v>552</v>
      </c>
      <c r="C69" s="2">
        <v>369</v>
      </c>
      <c r="D69" s="3">
        <v>19134</v>
      </c>
      <c r="E69" s="3">
        <v>88402</v>
      </c>
      <c r="F69" s="4">
        <v>4051609</v>
      </c>
      <c r="G69" s="11" t="str" cm="1">
        <f t="array" aca="1" ref="G69" ca="1">IFERROR(VLOOKUP("*" &amp; B69  &amp; "*" &amp; (MID(CELL("filename",A68),FIND("]",CELL("filename",A68))+1,31)) &amp; "*",CHOOSE({1,2}, Super_CBSA!$B$2:$B$1917, Super_CBSA!$A$2:$A$1917), 2,FALSE), IFERROR(VLOOKUP(B69  &amp; "*",CHOOSE({1,2}, Super_CBSA!$E$2:$E$1917, Super_CBSA!$A$2:$A$1917), 2,FALSE), ""))</f>
        <v/>
      </c>
    </row>
    <row r="70" spans="1:7" ht="17">
      <c r="A70" s="1" t="s">
        <v>553</v>
      </c>
      <c r="B70" s="2" t="s">
        <v>554</v>
      </c>
      <c r="C70" s="2">
        <v>148</v>
      </c>
      <c r="D70" s="3">
        <v>9285</v>
      </c>
      <c r="E70" s="3">
        <v>38260</v>
      </c>
      <c r="F70" s="4">
        <v>888531</v>
      </c>
      <c r="G70" s="11" t="str" cm="1">
        <f t="array" aca="1" ref="G70" ca="1">IFERROR(VLOOKUP("*" &amp; B70  &amp; "*" &amp; (MID(CELL("filename",A69),FIND("]",CELL("filename",A69))+1,31)) &amp; "*",CHOOSE({1,2}, Super_CBSA!$B$2:$B$1917, Super_CBSA!$A$2:$A$1917), 2,FALSE), IFERROR(VLOOKUP(B70  &amp; "*",CHOOSE({1,2}, Super_CBSA!$E$2:$E$1917, Super_CBSA!$A$2:$A$1917), 2,FALSE), ""))</f>
        <v/>
      </c>
    </row>
    <row r="71" spans="1:7" ht="17">
      <c r="A71" s="1" t="s">
        <v>555</v>
      </c>
      <c r="B71" s="2" t="s">
        <v>556</v>
      </c>
      <c r="C71" s="2">
        <v>73</v>
      </c>
      <c r="D71" s="3">
        <v>3789</v>
      </c>
      <c r="E71" s="3">
        <v>15639</v>
      </c>
      <c r="F71" s="4">
        <v>1109544</v>
      </c>
      <c r="G71" s="11" t="str" cm="1">
        <f t="array" aca="1" ref="G71" ca="1">IFERROR(VLOOKUP("*" &amp; B71  &amp; "*" &amp; (MID(CELL("filename",A70),FIND("]",CELL("filename",A70))+1,31)) &amp; "*",CHOOSE({1,2}, Super_CBSA!$B$2:$B$1917, Super_CBSA!$A$2:$A$1917), 2,FALSE), IFERROR(VLOOKUP(B71  &amp; "*",CHOOSE({1,2}, Super_CBSA!$E$2:$E$1917, Super_CBSA!$A$2:$A$1917), 2,FALSE), ""))</f>
        <v/>
      </c>
    </row>
    <row r="72" spans="1:7" ht="17">
      <c r="A72" s="1" t="s">
        <v>557</v>
      </c>
      <c r="B72" s="2" t="s">
        <v>558</v>
      </c>
      <c r="C72" s="2">
        <v>447</v>
      </c>
      <c r="D72" s="3">
        <v>22967</v>
      </c>
      <c r="E72" s="3">
        <v>115622</v>
      </c>
      <c r="F72" s="4">
        <v>6160383</v>
      </c>
      <c r="G72" s="11" cm="1">
        <f t="array" aca="1" ref="G72" ca="1">IFERROR(VLOOKUP("*" &amp; B72  &amp; "*" &amp; (MID(CELL("filename",A71),FIND("]",CELL("filename",A71))+1,31)) &amp; "*",CHOOSE({1,2}, Super_CBSA!$B$2:$B$1917, Super_CBSA!$A$2:$A$1917), 2,FALSE), IFERROR(VLOOKUP(B72  &amp; "*",CHOOSE({1,2}, Super_CBSA!$E$2:$E$1917, Super_CBSA!$A$2:$A$1917), 2,FALSE), ""))</f>
        <v>33700</v>
      </c>
    </row>
    <row r="73" spans="1:7" ht="17">
      <c r="A73" s="1" t="s">
        <v>559</v>
      </c>
      <c r="B73" s="2" t="s">
        <v>560</v>
      </c>
      <c r="C73" s="2">
        <v>222</v>
      </c>
      <c r="D73" s="3">
        <v>10129</v>
      </c>
      <c r="E73" s="3">
        <v>47680</v>
      </c>
      <c r="F73" s="4">
        <v>1966666</v>
      </c>
      <c r="G73" s="11" cm="1">
        <f t="array" aca="1" ref="G73" ca="1">IFERROR(VLOOKUP("*" &amp; B73  &amp; "*" &amp; (MID(CELL("filename",A72),FIND("]",CELL("filename",A72))+1,31)) &amp; "*",CHOOSE({1,2}, Super_CBSA!$B$2:$B$1917, Super_CBSA!$A$2:$A$1917), 2,FALSE), IFERROR(VLOOKUP(B73  &amp; "*",CHOOSE({1,2}, Super_CBSA!$E$2:$E$1917, Super_CBSA!$A$2:$A$1917), 2,FALSE), ""))</f>
        <v>42100</v>
      </c>
    </row>
    <row r="74" spans="1:7" ht="17">
      <c r="A74" s="1" t="s">
        <v>561</v>
      </c>
      <c r="B74" s="2" t="s">
        <v>466</v>
      </c>
      <c r="C74" s="2">
        <v>127</v>
      </c>
      <c r="D74" s="3">
        <v>2865</v>
      </c>
      <c r="E74" s="3">
        <v>13617</v>
      </c>
      <c r="F74" s="4">
        <v>326751</v>
      </c>
      <c r="G74" s="11" cm="1">
        <f t="array" aca="1" ref="G74" ca="1">IFERROR(VLOOKUP("*" &amp; B74  &amp; "*" &amp; (MID(CELL("filename",A73),FIND("]",CELL("filename",A73))+1,31)) &amp; "*",CHOOSE({1,2}, Super_CBSA!$B$2:$B$1917, Super_CBSA!$A$2:$A$1917), 2,FALSE), IFERROR(VLOOKUP(B74  &amp; "*",CHOOSE({1,2}, Super_CBSA!$E$2:$E$1917, Super_CBSA!$A$2:$A$1917), 2,FALSE), ""))</f>
        <v>31080</v>
      </c>
    </row>
    <row r="75" spans="1:7" ht="17">
      <c r="A75" s="1" t="s">
        <v>562</v>
      </c>
      <c r="B75" s="2" t="s">
        <v>563</v>
      </c>
      <c r="C75" s="2">
        <v>130</v>
      </c>
      <c r="D75" s="3">
        <v>8424</v>
      </c>
      <c r="E75" s="3">
        <v>40214</v>
      </c>
      <c r="F75" s="4">
        <v>1214602</v>
      </c>
      <c r="G75" s="11" t="str" cm="1">
        <f t="array" aca="1" ref="G75" ca="1">IFERROR(VLOOKUP("*" &amp; B75  &amp; "*" &amp; (MID(CELL("filename",A74),FIND("]",CELL("filename",A74))+1,31)) &amp; "*",CHOOSE({1,2}, Super_CBSA!$B$2:$B$1917, Super_CBSA!$A$2:$A$1917), 2,FALSE), IFERROR(VLOOKUP(B75  &amp; "*",CHOOSE({1,2}, Super_CBSA!$E$2:$E$1917, Super_CBSA!$A$2:$A$1917), 2,FALSE), ""))</f>
        <v/>
      </c>
    </row>
    <row r="76" spans="1:7" ht="17">
      <c r="A76" s="1" t="s">
        <v>564</v>
      </c>
      <c r="B76" s="2" t="s">
        <v>565</v>
      </c>
      <c r="C76" s="2">
        <v>368</v>
      </c>
      <c r="D76" s="3">
        <v>19581</v>
      </c>
      <c r="E76" s="3">
        <v>68795</v>
      </c>
      <c r="F76" s="4">
        <v>3889867</v>
      </c>
      <c r="G76" s="11" t="str" cm="1">
        <f t="array" aca="1" ref="G76" ca="1">IFERROR(VLOOKUP("*" &amp; B76  &amp; "*" &amp; (MID(CELL("filename",A75),FIND("]",CELL("filename",A75))+1,31)) &amp; "*",CHOOSE({1,2}, Super_CBSA!$B$2:$B$1917, Super_CBSA!$A$2:$A$1917), 2,FALSE), IFERROR(VLOOKUP(B76  &amp; "*",CHOOSE({1,2}, Super_CBSA!$E$2:$E$1917, Super_CBSA!$A$2:$A$1917), 2,FALSE), ""))</f>
        <v/>
      </c>
    </row>
    <row r="77" spans="1:7" ht="17">
      <c r="A77" s="1" t="s">
        <v>566</v>
      </c>
      <c r="B77" s="2" t="s">
        <v>567</v>
      </c>
      <c r="C77" s="2">
        <v>0</v>
      </c>
      <c r="D77" s="2">
        <v>0</v>
      </c>
      <c r="E77" s="2">
        <v>0</v>
      </c>
      <c r="F77" s="4">
        <v>0</v>
      </c>
      <c r="G77" s="11" t="str" cm="1">
        <f t="array" aca="1" ref="G77" ca="1">IFERROR(VLOOKUP("*" &amp; B77  &amp; "*" &amp; (MID(CELL("filename",A76),FIND("]",CELL("filename",A76))+1,31)) &amp; "*",CHOOSE({1,2}, Super_CBSA!$B$2:$B$1917, Super_CBSA!$A$2:$A$1917), 2,FALSE), IFERROR(VLOOKUP(B77  &amp; "*",CHOOSE({1,2}, Super_CBSA!$E$2:$E$1917, Super_CBSA!$A$2:$A$1917), 2,FALSE), ""))</f>
        <v/>
      </c>
    </row>
    <row r="78" spans="1:7" ht="17">
      <c r="A78" s="1" t="s">
        <v>568</v>
      </c>
      <c r="B78" s="2" t="s">
        <v>569</v>
      </c>
      <c r="C78" s="2">
        <v>443</v>
      </c>
      <c r="D78" s="3">
        <v>22400</v>
      </c>
      <c r="E78" s="3">
        <v>82319</v>
      </c>
      <c r="F78" s="4">
        <v>3524993</v>
      </c>
      <c r="G78" s="11" t="str" cm="1">
        <f t="array" aca="1" ref="G78" ca="1">IFERROR(VLOOKUP("*" &amp; B78  &amp; "*" &amp; (MID(CELL("filename",A77),FIND("]",CELL("filename",A77))+1,31)) &amp; "*",CHOOSE({1,2}, Super_CBSA!$B$2:$B$1917, Super_CBSA!$A$2:$A$1917), 2,FALSE), IFERROR(VLOOKUP(B78  &amp; "*",CHOOSE({1,2}, Super_CBSA!$E$2:$E$1917, Super_CBSA!$A$2:$A$1917), 2,FALSE), ""))</f>
        <v/>
      </c>
    </row>
    <row r="79" spans="1:7" ht="17">
      <c r="A79" s="1" t="s">
        <v>570</v>
      </c>
      <c r="B79" s="2" t="s">
        <v>571</v>
      </c>
      <c r="C79" s="2">
        <v>161</v>
      </c>
      <c r="D79" s="3">
        <v>5477</v>
      </c>
      <c r="E79" s="3">
        <v>24960</v>
      </c>
      <c r="F79" s="4">
        <v>779464</v>
      </c>
      <c r="G79" s="11" cm="1">
        <f t="array" aca="1" ref="G79" ca="1">IFERROR(VLOOKUP("*" &amp; B79  &amp; "*" &amp; (MID(CELL("filename",A78),FIND("]",CELL("filename",A78))+1,31)) &amp; "*",CHOOSE({1,2}, Super_CBSA!$B$2:$B$1917, Super_CBSA!$A$2:$A$1917), 2,FALSE), IFERROR(VLOOKUP(B79  &amp; "*",CHOOSE({1,2}, Super_CBSA!$E$2:$E$1917, Super_CBSA!$A$2:$A$1917), 2,FALSE), ""))</f>
        <v>20940</v>
      </c>
    </row>
    <row r="80" spans="1:7" ht="17">
      <c r="A80" s="1" t="s">
        <v>572</v>
      </c>
      <c r="B80" s="2" t="s">
        <v>573</v>
      </c>
      <c r="C80" s="2">
        <v>105</v>
      </c>
      <c r="D80" s="3">
        <v>5685</v>
      </c>
      <c r="E80" s="3">
        <v>24141</v>
      </c>
      <c r="F80" s="4">
        <v>366130</v>
      </c>
      <c r="G80" s="11" t="str" cm="1">
        <f t="array" aca="1" ref="G80" ca="1">IFERROR(VLOOKUP("*" &amp; B80  &amp; "*" &amp; (MID(CELL("filename",A79),FIND("]",CELL("filename",A79))+1,31)) &amp; "*",CHOOSE({1,2}, Super_CBSA!$B$2:$B$1917, Super_CBSA!$A$2:$A$1917), 2,FALSE), IFERROR(VLOOKUP(B80  &amp; "*",CHOOSE({1,2}, Super_CBSA!$E$2:$E$1917, Super_CBSA!$A$2:$A$1917), 2,FALSE), ""))</f>
        <v/>
      </c>
    </row>
    <row r="81" spans="1:7" ht="17">
      <c r="A81" s="1" t="s">
        <v>574</v>
      </c>
      <c r="B81" s="2" t="s">
        <v>575</v>
      </c>
      <c r="C81" s="2">
        <v>516</v>
      </c>
      <c r="D81" s="3">
        <v>23279</v>
      </c>
      <c r="E81" s="3">
        <v>101478</v>
      </c>
      <c r="F81" s="4">
        <v>1330022</v>
      </c>
      <c r="G81" s="11" t="str" cm="1">
        <f t="array" aca="1" ref="G81" ca="1">IFERROR(VLOOKUP("*" &amp; B81  &amp; "*" &amp; (MID(CELL("filename",A80),FIND("]",CELL("filename",A80))+1,31)) &amp; "*",CHOOSE({1,2}, Super_CBSA!$B$2:$B$1917, Super_CBSA!$A$2:$A$1917), 2,FALSE), IFERROR(VLOOKUP(B81  &amp; "*",CHOOSE({1,2}, Super_CBSA!$E$2:$E$1917, Super_CBSA!$A$2:$A$1917), 2,FALSE), ""))</f>
        <v/>
      </c>
    </row>
    <row r="82" spans="1:7" ht="17">
      <c r="A82" s="1" t="s">
        <v>576</v>
      </c>
      <c r="B82" s="2" t="s">
        <v>577</v>
      </c>
      <c r="C82" s="2">
        <v>325</v>
      </c>
      <c r="D82" s="3">
        <v>17166</v>
      </c>
      <c r="E82" s="3">
        <v>93266</v>
      </c>
      <c r="F82" s="4">
        <v>661125</v>
      </c>
      <c r="G82" s="11" t="str" cm="1">
        <f t="array" aca="1" ref="G82" ca="1">IFERROR(VLOOKUP("*" &amp; B82  &amp; "*" &amp; (MID(CELL("filename",A81),FIND("]",CELL("filename",A81))+1,31)) &amp; "*",CHOOSE({1,2}, Super_CBSA!$B$2:$B$1917, Super_CBSA!$A$2:$A$1917), 2,FALSE), IFERROR(VLOOKUP(B82  &amp; "*",CHOOSE({1,2}, Super_CBSA!$E$2:$E$1917, Super_CBSA!$A$2:$A$1917), 2,FALSE), ""))</f>
        <v/>
      </c>
    </row>
    <row r="83" spans="1:7" ht="17">
      <c r="A83" s="1" t="s">
        <v>578</v>
      </c>
      <c r="B83" s="2" t="s">
        <v>579</v>
      </c>
      <c r="C83" s="2">
        <v>209</v>
      </c>
      <c r="D83" s="3">
        <v>9059</v>
      </c>
      <c r="E83" s="3">
        <v>35880</v>
      </c>
      <c r="F83" s="4">
        <v>2162361</v>
      </c>
      <c r="G83" s="11" t="str" cm="1">
        <f t="array" aca="1" ref="G83" ca="1">IFERROR(VLOOKUP("*" &amp; B83  &amp; "*" &amp; (MID(CELL("filename",A82),FIND("]",CELL("filename",A82))+1,31)) &amp; "*",CHOOSE({1,2}, Super_CBSA!$B$2:$B$1917, Super_CBSA!$A$2:$A$1917), 2,FALSE), IFERROR(VLOOKUP(B83  &amp; "*",CHOOSE({1,2}, Super_CBSA!$E$2:$E$1917, Super_CBSA!$A$2:$A$1917), 2,FALSE), ""))</f>
        <v/>
      </c>
    </row>
    <row r="84" spans="1:7" ht="17">
      <c r="A84" s="1" t="s">
        <v>580</v>
      </c>
      <c r="B84" s="2" t="s">
        <v>581</v>
      </c>
      <c r="C84" s="2">
        <v>148</v>
      </c>
      <c r="D84" s="3">
        <v>3066</v>
      </c>
      <c r="E84" s="3">
        <v>12251</v>
      </c>
      <c r="F84" s="4">
        <v>270830</v>
      </c>
      <c r="G84" s="11" t="str" cm="1">
        <f t="array" aca="1" ref="G84" ca="1">IFERROR(VLOOKUP("*" &amp; B84  &amp; "*" &amp; (MID(CELL("filename",A83),FIND("]",CELL("filename",A83))+1,31)) &amp; "*",CHOOSE({1,2}, Super_CBSA!$B$2:$B$1917, Super_CBSA!$A$2:$A$1917), 2,FALSE), IFERROR(VLOOKUP(B84  &amp; "*",CHOOSE({1,2}, Super_CBSA!$E$2:$E$1917, Super_CBSA!$A$2:$A$1917), 2,FALSE), ""))</f>
        <v/>
      </c>
    </row>
    <row r="85" spans="1:7" ht="17">
      <c r="A85" s="1" t="s">
        <v>582</v>
      </c>
      <c r="B85" s="2" t="s">
        <v>583</v>
      </c>
      <c r="C85" s="2">
        <v>338</v>
      </c>
      <c r="D85" s="3">
        <v>19702</v>
      </c>
      <c r="E85" s="3">
        <v>82842</v>
      </c>
      <c r="F85" s="4">
        <v>3128210</v>
      </c>
      <c r="G85" s="11" cm="1">
        <f t="array" aca="1" ref="G85" ca="1">IFERROR(VLOOKUP("*" &amp; B85  &amp; "*" &amp; (MID(CELL("filename",A84),FIND("]",CELL("filename",A84))+1,31)) &amp; "*",CHOOSE({1,2}, Super_CBSA!$B$2:$B$1917, Super_CBSA!$A$2:$A$1917), 2,FALSE), IFERROR(VLOOKUP(B85  &amp; "*",CHOOSE({1,2}, Super_CBSA!$E$2:$E$1917, Super_CBSA!$A$2:$A$1917), 2,FALSE), ""))</f>
        <v>17020</v>
      </c>
    </row>
    <row r="86" spans="1:7" ht="17">
      <c r="A86" s="1" t="s">
        <v>584</v>
      </c>
      <c r="B86" s="2" t="s">
        <v>585</v>
      </c>
      <c r="C86" s="2">
        <v>0</v>
      </c>
      <c r="D86" s="2">
        <v>0</v>
      </c>
      <c r="E86" s="2">
        <v>0</v>
      </c>
      <c r="F86" s="4">
        <v>0</v>
      </c>
      <c r="G86" s="11" t="str" cm="1">
        <f t="array" aca="1" ref="G86" ca="1">IFERROR(VLOOKUP("*" &amp; B86  &amp; "*" &amp; (MID(CELL("filename",A85),FIND("]",CELL("filename",A85))+1,31)) &amp; "*",CHOOSE({1,2}, Super_CBSA!$B$2:$B$1917, Super_CBSA!$A$2:$A$1917), 2,FALSE), IFERROR(VLOOKUP(B86  &amp; "*",CHOOSE({1,2}, Super_CBSA!$E$2:$E$1917, Super_CBSA!$A$2:$A$1917), 2,FALSE), ""))</f>
        <v/>
      </c>
    </row>
    <row r="87" spans="1:7" ht="17">
      <c r="A87" s="1" t="s">
        <v>586</v>
      </c>
      <c r="B87" s="2" t="s">
        <v>522</v>
      </c>
      <c r="C87" s="2">
        <v>30</v>
      </c>
      <c r="D87" s="2">
        <v>18</v>
      </c>
      <c r="E87" s="2">
        <v>116</v>
      </c>
      <c r="F87" s="4">
        <v>89751</v>
      </c>
      <c r="G87" s="11" t="str" cm="1">
        <f t="array" aca="1" ref="G87" ca="1">IFERROR(VLOOKUP("*" &amp; B87  &amp; "*" &amp; (MID(CELL("filename",A86),FIND("]",CELL("filename",A86))+1,31)) &amp; "*",CHOOSE({1,2}, Super_CBSA!$B$2:$B$1917, Super_CBSA!$A$2:$A$1917), 2,FALSE), IFERROR(VLOOKUP(B87  &amp; "*",CHOOSE({1,2}, Super_CBSA!$E$2:$E$1917, Super_CBSA!$A$2:$A$1917), 2,FALSE), ""))</f>
        <v/>
      </c>
    </row>
    <row r="88" spans="1:7" ht="17">
      <c r="A88" s="1" t="s">
        <v>587</v>
      </c>
      <c r="B88" s="2" t="s">
        <v>588</v>
      </c>
      <c r="C88" s="2">
        <v>626</v>
      </c>
      <c r="D88" s="3">
        <v>32864</v>
      </c>
      <c r="E88" s="3">
        <v>141541</v>
      </c>
      <c r="F88" s="4">
        <v>4404480</v>
      </c>
      <c r="G88" s="11" t="str" cm="1">
        <f t="array" aca="1" ref="G88" ca="1">IFERROR(VLOOKUP("*" &amp; B88  &amp; "*" &amp; (MID(CELL("filename",A87),FIND("]",CELL("filename",A87))+1,31)) &amp; "*",CHOOSE({1,2}, Super_CBSA!$B$2:$B$1917, Super_CBSA!$A$2:$A$1917), 2,FALSE), IFERROR(VLOOKUP(B88  &amp; "*",CHOOSE({1,2}, Super_CBSA!$E$2:$E$1917, Super_CBSA!$A$2:$A$1917), 2,FALSE), ""))</f>
        <v/>
      </c>
    </row>
    <row r="89" spans="1:7" ht="17">
      <c r="A89" s="1" t="s">
        <v>589</v>
      </c>
      <c r="B89" s="2" t="s">
        <v>590</v>
      </c>
      <c r="C89" s="2">
        <v>177</v>
      </c>
      <c r="D89" s="3">
        <v>2601</v>
      </c>
      <c r="E89" s="3">
        <v>10338</v>
      </c>
      <c r="F89" s="4">
        <v>350895</v>
      </c>
      <c r="G89" s="11" t="str" cm="1">
        <f t="array" aca="1" ref="G89" ca="1">IFERROR(VLOOKUP("*" &amp; B89  &amp; "*" &amp; (MID(CELL("filename",A88),FIND("]",CELL("filename",A88))+1,31)) &amp; "*",CHOOSE({1,2}, Super_CBSA!$B$2:$B$1917, Super_CBSA!$A$2:$A$1917), 2,FALSE), IFERROR(VLOOKUP(B89  &amp; "*",CHOOSE({1,2}, Super_CBSA!$E$2:$E$1917, Super_CBSA!$A$2:$A$1917), 2,FALSE), ""))</f>
        <v/>
      </c>
    </row>
    <row r="90" spans="1:7" ht="17">
      <c r="A90" s="1" t="s">
        <v>591</v>
      </c>
      <c r="B90" s="2" t="s">
        <v>592</v>
      </c>
      <c r="C90" s="2">
        <v>400</v>
      </c>
      <c r="D90" s="3">
        <v>19041</v>
      </c>
      <c r="E90" s="3">
        <v>90669</v>
      </c>
      <c r="F90" s="4">
        <v>2671042</v>
      </c>
      <c r="G90" s="11" t="str" cm="1">
        <f t="array" aca="1" ref="G90" ca="1">IFERROR(VLOOKUP("*" &amp; B90  &amp; "*" &amp; (MID(CELL("filename",A89),FIND("]",CELL("filename",A89))+1,31)) &amp; "*",CHOOSE({1,2}, Super_CBSA!$B$2:$B$1917, Super_CBSA!$A$2:$A$1917), 2,FALSE), IFERROR(VLOOKUP(B90  &amp; "*",CHOOSE({1,2}, Super_CBSA!$E$2:$E$1917, Super_CBSA!$A$2:$A$1917), 2,FALSE), ""))</f>
        <v/>
      </c>
    </row>
    <row r="91" spans="1:7" ht="17">
      <c r="A91" s="1" t="s">
        <v>593</v>
      </c>
      <c r="B91" s="2" t="s">
        <v>502</v>
      </c>
      <c r="C91" s="2">
        <v>98</v>
      </c>
      <c r="D91" s="3">
        <v>4712</v>
      </c>
      <c r="E91" s="3">
        <v>18833</v>
      </c>
      <c r="F91" s="4">
        <v>742733</v>
      </c>
      <c r="G91" s="11" cm="1">
        <f t="array" aca="1" ref="G91" ca="1">IFERROR(VLOOKUP("*" &amp; B91  &amp; "*" &amp; (MID(CELL("filename",A90),FIND("]",CELL("filename",A90))+1,31)) &amp; "*",CHOOSE({1,2}, Super_CBSA!$B$2:$B$1917, Super_CBSA!$A$2:$A$1917), 2,FALSE), IFERROR(VLOOKUP(B91  &amp; "*",CHOOSE({1,2}, Super_CBSA!$E$2:$E$1917, Super_CBSA!$A$2:$A$1917), 2,FALSE), ""))</f>
        <v>42020</v>
      </c>
    </row>
    <row r="92" spans="1:7" ht="17">
      <c r="A92" s="1" t="s">
        <v>594</v>
      </c>
      <c r="B92" s="2" t="s">
        <v>537</v>
      </c>
      <c r="C92" s="2">
        <v>57</v>
      </c>
      <c r="D92" s="3">
        <v>3127</v>
      </c>
      <c r="E92" s="3">
        <v>11353</v>
      </c>
      <c r="F92" s="4">
        <v>331411</v>
      </c>
      <c r="G92" s="11" cm="1">
        <f t="array" aca="1" ref="G92" ca="1">IFERROR(VLOOKUP("*" &amp; B92  &amp; "*" &amp; (MID(CELL("filename",A91),FIND("]",CELL("filename",A91))+1,31)) &amp; "*",CHOOSE({1,2}, Super_CBSA!$B$2:$B$1917, Super_CBSA!$A$2:$A$1917), 2,FALSE), IFERROR(VLOOKUP(B92  &amp; "*",CHOOSE({1,2}, Super_CBSA!$E$2:$E$1917, Super_CBSA!$A$2:$A$1917), 2,FALSE), ""))</f>
        <v>23420</v>
      </c>
    </row>
    <row r="93" spans="1:7" ht="17">
      <c r="A93" s="1" t="s">
        <v>595</v>
      </c>
      <c r="B93" s="2" t="s">
        <v>537</v>
      </c>
      <c r="C93" s="2">
        <v>169</v>
      </c>
      <c r="D93" s="3">
        <v>8227</v>
      </c>
      <c r="E93" s="3">
        <v>31848</v>
      </c>
      <c r="F93" s="4">
        <v>735472</v>
      </c>
      <c r="G93" s="11" cm="1">
        <f t="array" aca="1" ref="G93" ca="1">IFERROR(VLOOKUP("*" &amp; B93  &amp; "*" &amp; (MID(CELL("filename",A92),FIND("]",CELL("filename",A92))+1,31)) &amp; "*",CHOOSE({1,2}, Super_CBSA!$B$2:$B$1917, Super_CBSA!$A$2:$A$1917), 2,FALSE), IFERROR(VLOOKUP(B93  &amp; "*",CHOOSE({1,2}, Super_CBSA!$E$2:$E$1917, Super_CBSA!$A$2:$A$1917), 2,FALSE), ""))</f>
        <v>23420</v>
      </c>
    </row>
    <row r="94" spans="1:7" ht="17">
      <c r="A94" s="1" t="s">
        <v>596</v>
      </c>
      <c r="B94" s="2" t="s">
        <v>537</v>
      </c>
      <c r="C94" s="2">
        <v>27</v>
      </c>
      <c r="D94" s="3">
        <v>1790</v>
      </c>
      <c r="E94" s="3">
        <v>2234</v>
      </c>
      <c r="F94" s="4">
        <v>302064</v>
      </c>
      <c r="G94" s="11" cm="1">
        <f t="array" aca="1" ref="G94" ca="1">IFERROR(VLOOKUP("*" &amp; B94  &amp; "*" &amp; (MID(CELL("filename",A93),FIND("]",CELL("filename",A93))+1,31)) &amp; "*",CHOOSE({1,2}, Super_CBSA!$B$2:$B$1917, Super_CBSA!$A$2:$A$1917), 2,FALSE), IFERROR(VLOOKUP(B94  &amp; "*",CHOOSE({1,2}, Super_CBSA!$E$2:$E$1917, Super_CBSA!$A$2:$A$1917), 2,FALSE), ""))</f>
        <v>23420</v>
      </c>
    </row>
    <row r="95" spans="1:7" ht="17">
      <c r="A95" s="1" t="s">
        <v>597</v>
      </c>
      <c r="B95" s="2" t="s">
        <v>598</v>
      </c>
      <c r="C95" s="2">
        <v>167</v>
      </c>
      <c r="D95" s="3">
        <v>5058</v>
      </c>
      <c r="E95" s="3">
        <v>19814</v>
      </c>
      <c r="F95" s="4">
        <v>343018</v>
      </c>
      <c r="G95" s="11" t="str" cm="1">
        <f t="array" aca="1" ref="G95" ca="1">IFERROR(VLOOKUP("*" &amp; B95  &amp; "*" &amp; (MID(CELL("filename",A94),FIND("]",CELL("filename",A94))+1,31)) &amp; "*",CHOOSE({1,2}, Super_CBSA!$B$2:$B$1917, Super_CBSA!$A$2:$A$1917), 2,FALSE), IFERROR(VLOOKUP(B95  &amp; "*",CHOOSE({1,2}, Super_CBSA!$E$2:$E$1917, Super_CBSA!$A$2:$A$1917), 2,FALSE), ""))</f>
        <v/>
      </c>
    </row>
    <row r="96" spans="1:7" ht="17">
      <c r="A96" s="1" t="s">
        <v>599</v>
      </c>
      <c r="B96" s="2" t="s">
        <v>600</v>
      </c>
      <c r="C96" s="2">
        <v>210</v>
      </c>
      <c r="D96" s="3">
        <v>9833</v>
      </c>
      <c r="E96" s="3">
        <v>52451</v>
      </c>
      <c r="F96" s="4">
        <v>1627916</v>
      </c>
      <c r="G96" s="11" t="str" cm="1">
        <f t="array" aca="1" ref="G96" ca="1">IFERROR(VLOOKUP("*" &amp; B96  &amp; "*" &amp; (MID(CELL("filename",A95),FIND("]",CELL("filename",A95))+1,31)) &amp; "*",CHOOSE({1,2}, Super_CBSA!$B$2:$B$1917, Super_CBSA!$A$2:$A$1917), 2,FALSE), IFERROR(VLOOKUP(B96  &amp; "*",CHOOSE({1,2}, Super_CBSA!$E$2:$E$1917, Super_CBSA!$A$2:$A$1917), 2,FALSE), ""))</f>
        <v/>
      </c>
    </row>
    <row r="97" spans="1:7" ht="17">
      <c r="A97" s="1" t="s">
        <v>601</v>
      </c>
      <c r="B97" s="2" t="s">
        <v>327</v>
      </c>
      <c r="C97" s="2">
        <v>304</v>
      </c>
      <c r="D97" s="3">
        <v>7885</v>
      </c>
      <c r="E97" s="3">
        <v>33027</v>
      </c>
      <c r="F97" s="4">
        <v>952799</v>
      </c>
      <c r="G97" s="11" t="str" cm="1">
        <f t="array" aca="1" ref="G97" ca="1">IFERROR(VLOOKUP("*" &amp; B97  &amp; "*" &amp; (MID(CELL("filename",A96),FIND("]",CELL("filename",A96))+1,31)) &amp; "*",CHOOSE({1,2}, Super_CBSA!$B$2:$B$1917, Super_CBSA!$A$2:$A$1917), 2,FALSE), IFERROR(VLOOKUP(B97  &amp; "*",CHOOSE({1,2}, Super_CBSA!$E$2:$E$1917, Super_CBSA!$A$2:$A$1917), 2,FALSE), ""))</f>
        <v/>
      </c>
    </row>
    <row r="98" spans="1:7" ht="17">
      <c r="A98" s="1" t="s">
        <v>602</v>
      </c>
      <c r="B98" s="2" t="s">
        <v>573</v>
      </c>
      <c r="C98" s="2">
        <v>128</v>
      </c>
      <c r="D98" s="3">
        <v>1817</v>
      </c>
      <c r="E98" s="3">
        <v>10081</v>
      </c>
      <c r="F98" s="4">
        <v>99944</v>
      </c>
      <c r="G98" s="11" t="str" cm="1">
        <f t="array" aca="1" ref="G98" ca="1">IFERROR(VLOOKUP("*" &amp; B98  &amp; "*" &amp; (MID(CELL("filename",A97),FIND("]",CELL("filename",A97))+1,31)) &amp; "*",CHOOSE({1,2}, Super_CBSA!$B$2:$B$1917, Super_CBSA!$A$2:$A$1917), 2,FALSE), IFERROR(VLOOKUP(B98  &amp; "*",CHOOSE({1,2}, Super_CBSA!$E$2:$E$1917, Super_CBSA!$A$2:$A$1917), 2,FALSE), ""))</f>
        <v/>
      </c>
    </row>
    <row r="99" spans="1:7" ht="17">
      <c r="A99" s="1" t="s">
        <v>603</v>
      </c>
      <c r="B99" s="2" t="s">
        <v>604</v>
      </c>
      <c r="C99" s="2">
        <v>28</v>
      </c>
      <c r="D99" s="3">
        <v>1687</v>
      </c>
      <c r="E99" s="3">
        <v>3629</v>
      </c>
      <c r="F99" s="4">
        <v>246779</v>
      </c>
      <c r="G99" s="11" cm="1">
        <f t="array" aca="1" ref="G99" ca="1">IFERROR(VLOOKUP("*" &amp; B99  &amp; "*" &amp; (MID(CELL("filename",A98),FIND("]",CELL("filename",A98))+1,31)) &amp; "*",CHOOSE({1,2}, Super_CBSA!$B$2:$B$1917, Super_CBSA!$A$2:$A$1917), 2,FALSE), IFERROR(VLOOKUP(B99  &amp; "*",CHOOSE({1,2}, Super_CBSA!$E$2:$E$1917, Super_CBSA!$A$2:$A$1917), 2,FALSE), ""))</f>
        <v>42200</v>
      </c>
    </row>
    <row r="100" spans="1:7" ht="17">
      <c r="A100" s="1" t="s">
        <v>605</v>
      </c>
      <c r="B100" s="2" t="s">
        <v>606</v>
      </c>
      <c r="C100" s="2">
        <v>342</v>
      </c>
      <c r="D100" s="3">
        <v>16472</v>
      </c>
      <c r="E100" s="3">
        <v>81332</v>
      </c>
      <c r="F100" s="4">
        <v>4641559</v>
      </c>
      <c r="G100" s="11" cm="1">
        <f t="array" aca="1" ref="G100" ca="1">IFERROR(VLOOKUP("*" &amp; B100  &amp; "*" &amp; (MID(CELL("filename",A99),FIND("]",CELL("filename",A99))+1,31)) &amp; "*",CHOOSE({1,2}, Super_CBSA!$B$2:$B$1917, Super_CBSA!$A$2:$A$1917), 2,FALSE), IFERROR(VLOOKUP(B100  &amp; "*",CHOOSE({1,2}, Super_CBSA!$E$2:$E$1917, Super_CBSA!$A$2:$A$1917), 2,FALSE), ""))</f>
        <v>41940</v>
      </c>
    </row>
    <row r="101" spans="1:7" ht="17">
      <c r="A101" s="1" t="s">
        <v>607</v>
      </c>
      <c r="B101" s="2" t="s">
        <v>448</v>
      </c>
      <c r="C101" s="2">
        <v>64</v>
      </c>
      <c r="D101" s="3">
        <v>1120</v>
      </c>
      <c r="E101" s="3">
        <v>4611</v>
      </c>
      <c r="F101" s="4">
        <v>43101</v>
      </c>
      <c r="G101" s="11" cm="1">
        <f t="array" aca="1" ref="G101" ca="1">IFERROR(VLOOKUP("*" &amp; B101  &amp; "*" &amp; (MID(CELL("filename",A100),FIND("]",CELL("filename",A100))+1,31)) &amp; "*",CHOOSE({1,2}, Super_CBSA!$B$2:$B$1917, Super_CBSA!$A$2:$A$1917), 2,FALSE), IFERROR(VLOOKUP(B101  &amp; "*",CHOOSE({1,2}, Super_CBSA!$E$2:$E$1917, Super_CBSA!$A$2:$A$1917), 2,FALSE), ""))</f>
        <v>12540</v>
      </c>
    </row>
    <row r="102" spans="1:7" ht="17">
      <c r="A102" s="1" t="s">
        <v>608</v>
      </c>
      <c r="B102" s="2" t="s">
        <v>609</v>
      </c>
      <c r="C102" s="2">
        <v>117</v>
      </c>
      <c r="D102" s="3">
        <v>3144</v>
      </c>
      <c r="E102" s="3">
        <v>14772</v>
      </c>
      <c r="F102" s="4">
        <v>323789</v>
      </c>
      <c r="G102" s="11" t="str" cm="1">
        <f t="array" aca="1" ref="G102" ca="1">IFERROR(VLOOKUP("*" &amp; B102  &amp; "*" &amp; (MID(CELL("filename",A101),FIND("]",CELL("filename",A101))+1,31)) &amp; "*",CHOOSE({1,2}, Super_CBSA!$B$2:$B$1917, Super_CBSA!$A$2:$A$1917), 2,FALSE), IFERROR(VLOOKUP(B102  &amp; "*",CHOOSE({1,2}, Super_CBSA!$E$2:$E$1917, Super_CBSA!$A$2:$A$1917), 2,FALSE), ""))</f>
        <v/>
      </c>
    </row>
    <row r="103" spans="1:7" ht="17">
      <c r="A103" s="1" t="s">
        <v>610</v>
      </c>
      <c r="B103" s="2" t="s">
        <v>611</v>
      </c>
      <c r="C103" s="2">
        <v>428</v>
      </c>
      <c r="D103" s="3">
        <v>17504</v>
      </c>
      <c r="E103" s="3">
        <v>90535</v>
      </c>
      <c r="F103" s="4">
        <v>2191561</v>
      </c>
      <c r="G103" s="11" cm="1">
        <f t="array" aca="1" ref="G103" ca="1">IFERROR(VLOOKUP("*" &amp; B103  &amp; "*" &amp; (MID(CELL("filename",A102),FIND("]",CELL("filename",A102))+1,31)) &amp; "*",CHOOSE({1,2}, Super_CBSA!$B$2:$B$1917, Super_CBSA!$A$2:$A$1917), 2,FALSE), IFERROR(VLOOKUP(B103  &amp; "*",CHOOSE({1,2}, Super_CBSA!$E$2:$E$1917, Super_CBSA!$A$2:$A$1917), 2,FALSE), ""))</f>
        <v>10740</v>
      </c>
    </row>
    <row r="104" spans="1:7" ht="17">
      <c r="A104" s="1" t="s">
        <v>612</v>
      </c>
      <c r="B104" s="2" t="s">
        <v>613</v>
      </c>
      <c r="C104" s="2">
        <v>168</v>
      </c>
      <c r="D104" s="3">
        <v>1795</v>
      </c>
      <c r="E104" s="3">
        <v>6892</v>
      </c>
      <c r="F104" s="4">
        <v>348045</v>
      </c>
      <c r="G104" s="11" t="str" cm="1">
        <f t="array" aca="1" ref="G104" ca="1">IFERROR(VLOOKUP("*" &amp; B104  &amp; "*" &amp; (MID(CELL("filename",A103),FIND("]",CELL("filename",A103))+1,31)) &amp; "*",CHOOSE({1,2}, Super_CBSA!$B$2:$B$1917, Super_CBSA!$A$2:$A$1917), 2,FALSE), IFERROR(VLOOKUP(B104  &amp; "*",CHOOSE({1,2}, Super_CBSA!$E$2:$E$1917, Super_CBSA!$A$2:$A$1917), 2,FALSE), ""))</f>
        <v/>
      </c>
    </row>
    <row r="105" spans="1:7" ht="17">
      <c r="A105" s="1" t="s">
        <v>614</v>
      </c>
      <c r="B105" s="2" t="s">
        <v>615</v>
      </c>
      <c r="C105" s="2">
        <v>417</v>
      </c>
      <c r="D105" s="3">
        <v>9970</v>
      </c>
      <c r="E105" s="3">
        <v>42751</v>
      </c>
      <c r="F105" s="4">
        <v>821196</v>
      </c>
      <c r="G105" s="11" t="str" cm="1">
        <f t="array" aca="1" ref="G105" ca="1">IFERROR(VLOOKUP("*" &amp; B105  &amp; "*" &amp; (MID(CELL("filename",A104),FIND("]",CELL("filename",A104))+1,31)) &amp; "*",CHOOSE({1,2}, Super_CBSA!$B$2:$B$1917, Super_CBSA!$A$2:$A$1917), 2,FALSE), IFERROR(VLOOKUP(B105  &amp; "*",CHOOSE({1,2}, Super_CBSA!$E$2:$E$1917, Super_CBSA!$A$2:$A$1917), 2,FALSE), ""))</f>
        <v/>
      </c>
    </row>
    <row r="106" spans="1:7" ht="17">
      <c r="A106" s="1" t="s">
        <v>616</v>
      </c>
      <c r="B106" s="2" t="s">
        <v>617</v>
      </c>
      <c r="C106" s="2">
        <v>238</v>
      </c>
      <c r="D106" s="3">
        <v>11167</v>
      </c>
      <c r="E106" s="3">
        <v>47701</v>
      </c>
      <c r="F106" s="4">
        <v>1732742</v>
      </c>
      <c r="G106" s="11" cm="1">
        <f t="array" aca="1" ref="G106" ca="1">IFERROR(VLOOKUP("*" &amp; B106  &amp; "*" &amp; (MID(CELL("filename",A105),FIND("]",CELL("filename",A105))+1,31)) &amp; "*",CHOOSE({1,2}, Super_CBSA!$B$2:$B$1917, Super_CBSA!$A$2:$A$1917), 2,FALSE), IFERROR(VLOOKUP(B106  &amp; "*",CHOOSE({1,2}, Super_CBSA!$E$2:$E$1917, Super_CBSA!$A$2:$A$1917), 2,FALSE), ""))</f>
        <v>10740</v>
      </c>
    </row>
    <row r="107" spans="1:7" ht="17">
      <c r="A107" s="1" t="s">
        <v>618</v>
      </c>
      <c r="B107" s="2" t="s">
        <v>619</v>
      </c>
      <c r="C107" s="2">
        <v>175</v>
      </c>
      <c r="D107" s="3">
        <v>1945</v>
      </c>
      <c r="E107" s="3">
        <v>5472</v>
      </c>
      <c r="F107" s="4">
        <v>318620</v>
      </c>
      <c r="G107" s="11" t="str" cm="1">
        <f t="array" aca="1" ref="G107" ca="1">IFERROR(VLOOKUP("*" &amp; B107  &amp; "*" &amp; (MID(CELL("filename",A106),FIND("]",CELL("filename",A106))+1,31)) &amp; "*",CHOOSE({1,2}, Super_CBSA!$B$2:$B$1917, Super_CBSA!$A$2:$A$1917), 2,FALSE), IFERROR(VLOOKUP(B107  &amp; "*",CHOOSE({1,2}, Super_CBSA!$E$2:$E$1917, Super_CBSA!$A$2:$A$1917), 2,FALSE), ""))</f>
        <v/>
      </c>
    </row>
    <row r="108" spans="1:7" ht="17">
      <c r="A108" s="1" t="s">
        <v>620</v>
      </c>
      <c r="B108" s="2" t="s">
        <v>474</v>
      </c>
      <c r="C108" s="2">
        <v>372</v>
      </c>
      <c r="D108" s="3">
        <v>10580</v>
      </c>
      <c r="E108" s="3">
        <v>59337</v>
      </c>
      <c r="F108" s="4">
        <v>2621048</v>
      </c>
      <c r="G108" s="11" cm="1">
        <f t="array" aca="1" ref="G108" ca="1">IFERROR(VLOOKUP("*" &amp; B108  &amp; "*" &amp; (MID(CELL("filename",A107),FIND("]",CELL("filename",A107))+1,31)) &amp; "*",CHOOSE({1,2}, Super_CBSA!$B$2:$B$1917, Super_CBSA!$A$2:$A$1917), 2,FALSE), IFERROR(VLOOKUP(B108  &amp; "*",CHOOSE({1,2}, Super_CBSA!$E$2:$E$1917, Super_CBSA!$A$2:$A$1917), 2,FALSE), ""))</f>
        <v>41860</v>
      </c>
    </row>
    <row r="109" spans="1:7" ht="17">
      <c r="A109" s="1" t="s">
        <v>621</v>
      </c>
      <c r="B109" s="2" t="s">
        <v>622</v>
      </c>
      <c r="C109" s="2">
        <v>0</v>
      </c>
      <c r="D109" s="2">
        <v>0</v>
      </c>
      <c r="E109" s="2">
        <v>0</v>
      </c>
      <c r="F109" s="4">
        <v>0</v>
      </c>
      <c r="G109" s="11" t="str" cm="1">
        <f t="array" aca="1" ref="G109" ca="1">IFERROR(VLOOKUP("*" &amp; B109  &amp; "*" &amp; (MID(CELL("filename",A108),FIND("]",CELL("filename",A108))+1,31)) &amp; "*",CHOOSE({1,2}, Super_CBSA!$B$2:$B$1917, Super_CBSA!$A$2:$A$1917), 2,FALSE), IFERROR(VLOOKUP(B109  &amp; "*",CHOOSE({1,2}, Super_CBSA!$E$2:$E$1917, Super_CBSA!$A$2:$A$1917), 2,FALSE), ""))</f>
        <v/>
      </c>
    </row>
    <row r="110" spans="1:7" ht="17">
      <c r="A110" s="1" t="s">
        <v>623</v>
      </c>
      <c r="B110" s="2" t="s">
        <v>624</v>
      </c>
      <c r="C110" s="2">
        <v>518</v>
      </c>
      <c r="D110" s="3">
        <v>31135</v>
      </c>
      <c r="E110" s="3">
        <v>130372</v>
      </c>
      <c r="F110" s="4">
        <v>3079041</v>
      </c>
      <c r="G110" s="11" t="str" cm="1">
        <f t="array" aca="1" ref="G110" ca="1">IFERROR(VLOOKUP("*" &amp; B110  &amp; "*" &amp; (MID(CELL("filename",A109),FIND("]",CELL("filename",A109))+1,31)) &amp; "*",CHOOSE({1,2}, Super_CBSA!$B$2:$B$1917, Super_CBSA!$A$2:$A$1917), 2,FALSE), IFERROR(VLOOKUP(B110  &amp; "*",CHOOSE({1,2}, Super_CBSA!$E$2:$E$1917, Super_CBSA!$A$2:$A$1917), 2,FALSE), ""))</f>
        <v/>
      </c>
    </row>
    <row r="111" spans="1:7" ht="17">
      <c r="A111" s="1" t="s">
        <v>625</v>
      </c>
      <c r="B111" s="2" t="s">
        <v>622</v>
      </c>
      <c r="C111" s="2">
        <v>70</v>
      </c>
      <c r="D111" s="3">
        <v>4585</v>
      </c>
      <c r="E111" s="3">
        <v>8339</v>
      </c>
      <c r="F111" s="4">
        <v>410979</v>
      </c>
      <c r="G111" s="11" t="str" cm="1">
        <f t="array" aca="1" ref="G111" ca="1">IFERROR(VLOOKUP("*" &amp; B111  &amp; "*" &amp; (MID(CELL("filename",A110),FIND("]",CELL("filename",A110))+1,31)) &amp; "*",CHOOSE({1,2}, Super_CBSA!$B$2:$B$1917, Super_CBSA!$A$2:$A$1917), 2,FALSE), IFERROR(VLOOKUP(B111  &amp; "*",CHOOSE({1,2}, Super_CBSA!$E$2:$E$1917, Super_CBSA!$A$2:$A$1917), 2,FALSE), ""))</f>
        <v/>
      </c>
    </row>
    <row r="112" spans="1:7" ht="17">
      <c r="A112" s="1" t="s">
        <v>626</v>
      </c>
      <c r="B112" s="2" t="s">
        <v>627</v>
      </c>
      <c r="C112" s="2">
        <v>131</v>
      </c>
      <c r="D112" s="3">
        <v>3264</v>
      </c>
      <c r="E112" s="3">
        <v>16198</v>
      </c>
      <c r="F112" s="4">
        <v>230254</v>
      </c>
      <c r="G112" s="11" t="str" cm="1">
        <f t="array" aca="1" ref="G112" ca="1">IFERROR(VLOOKUP("*" &amp; B112  &amp; "*" &amp; (MID(CELL("filename",A111),FIND("]",CELL("filename",A111))+1,31)) &amp; "*",CHOOSE({1,2}, Super_CBSA!$B$2:$B$1917, Super_CBSA!$A$2:$A$1917), 2,FALSE), IFERROR(VLOOKUP(B112  &amp; "*",CHOOSE({1,2}, Super_CBSA!$E$2:$E$1917, Super_CBSA!$A$2:$A$1917), 2,FALSE), ""))</f>
        <v/>
      </c>
    </row>
    <row r="113" spans="1:7" ht="17">
      <c r="A113" s="1" t="s">
        <v>628</v>
      </c>
      <c r="B113" s="2" t="s">
        <v>629</v>
      </c>
      <c r="C113" s="2">
        <v>568</v>
      </c>
      <c r="D113" s="3">
        <v>27431</v>
      </c>
      <c r="E113" s="3">
        <v>115763</v>
      </c>
      <c r="F113" s="4">
        <v>3273112</v>
      </c>
      <c r="G113" s="11" t="str" cm="1">
        <f t="array" aca="1" ref="G113" ca="1">IFERROR(VLOOKUP("*" &amp; B113  &amp; "*" &amp; (MID(CELL("filename",A112),FIND("]",CELL("filename",A112))+1,31)) &amp; "*",CHOOSE({1,2}, Super_CBSA!$B$2:$B$1917, Super_CBSA!$A$2:$A$1917), 2,FALSE), IFERROR(VLOOKUP(B113  &amp; "*",CHOOSE({1,2}, Super_CBSA!$E$2:$E$1917, Super_CBSA!$A$2:$A$1917), 2,FALSE), ""))</f>
        <v/>
      </c>
    </row>
    <row r="114" spans="1:7" ht="17">
      <c r="A114" s="1" t="s">
        <v>630</v>
      </c>
      <c r="B114" s="2" t="s">
        <v>631</v>
      </c>
      <c r="C114" s="2">
        <v>0</v>
      </c>
      <c r="D114" s="2">
        <v>0</v>
      </c>
      <c r="E114" s="2">
        <v>0</v>
      </c>
      <c r="F114" s="4">
        <v>0</v>
      </c>
      <c r="G114" s="11" t="str" cm="1">
        <f t="array" aca="1" ref="G114" ca="1">IFERROR(VLOOKUP("*" &amp; B114  &amp; "*" &amp; (MID(CELL("filename",A113),FIND("]",CELL("filename",A113))+1,31)) &amp; "*",CHOOSE({1,2}, Super_CBSA!$B$2:$B$1917, Super_CBSA!$A$2:$A$1917), 2,FALSE), IFERROR(VLOOKUP(B114  &amp; "*",CHOOSE({1,2}, Super_CBSA!$E$2:$E$1917, Super_CBSA!$A$2:$A$1917), 2,FALSE), ""))</f>
        <v/>
      </c>
    </row>
    <row r="115" spans="1:7" ht="17">
      <c r="A115" s="1" t="s">
        <v>632</v>
      </c>
      <c r="B115" s="2" t="s">
        <v>633</v>
      </c>
      <c r="C115" s="2">
        <v>130</v>
      </c>
      <c r="D115" s="3">
        <v>6626</v>
      </c>
      <c r="E115" s="3">
        <v>21237</v>
      </c>
      <c r="F115" s="4">
        <v>1070601</v>
      </c>
      <c r="G115" s="11" t="str" cm="1">
        <f t="array" aca="1" ref="G115" ca="1">IFERROR(VLOOKUP("*" &amp; B115  &amp; "*" &amp; (MID(CELL("filename",A114),FIND("]",CELL("filename",A114))+1,31)) &amp; "*",CHOOSE({1,2}, Super_CBSA!$B$2:$B$1917, Super_CBSA!$A$2:$A$1917), 2,FALSE), IFERROR(VLOOKUP(B115  &amp; "*",CHOOSE({1,2}, Super_CBSA!$E$2:$E$1917, Super_CBSA!$A$2:$A$1917), 2,FALSE), ""))</f>
        <v/>
      </c>
    </row>
    <row r="116" spans="1:7" ht="17">
      <c r="A116" s="1" t="s">
        <v>634</v>
      </c>
      <c r="B116" s="2" t="s">
        <v>635</v>
      </c>
      <c r="C116" s="2">
        <v>106</v>
      </c>
      <c r="D116" s="3">
        <v>3893</v>
      </c>
      <c r="E116" s="3">
        <v>13561</v>
      </c>
      <c r="F116" s="4">
        <v>26715</v>
      </c>
      <c r="G116" s="11" cm="1">
        <f t="array" aca="1" ref="G116" ca="1">IFERROR(VLOOKUP("*" &amp; B116  &amp; "*" &amp; (MID(CELL("filename",A115),FIND("]",CELL("filename",A115))+1,31)) &amp; "*",CHOOSE({1,2}, Super_CBSA!$B$2:$B$1917, Super_CBSA!$A$2:$A$1917), 2,FALSE), IFERROR(VLOOKUP(B116  &amp; "*",CHOOSE({1,2}, Super_CBSA!$E$2:$E$1917, Super_CBSA!$A$2:$A$1917), 2,FALSE), ""))</f>
        <v>15860</v>
      </c>
    </row>
    <row r="117" spans="1:7" ht="17">
      <c r="A117" s="1" t="s">
        <v>636</v>
      </c>
      <c r="B117" s="2" t="s">
        <v>637</v>
      </c>
      <c r="C117" s="2">
        <v>340</v>
      </c>
      <c r="D117" s="3">
        <v>23533</v>
      </c>
      <c r="E117" s="3">
        <v>93479</v>
      </c>
      <c r="F117" s="4">
        <v>2468816</v>
      </c>
      <c r="G117" s="11" cm="1">
        <f t="array" aca="1" ref="G117" ca="1">IFERROR(VLOOKUP("*" &amp; B117  &amp; "*" &amp; (MID(CELL("filename",A116),FIND("]",CELL("filename",A116))+1,31)) &amp; "*",CHOOSE({1,2}, Super_CBSA!$B$2:$B$1917, Super_CBSA!$A$2:$A$1917), 2,FALSE), IFERROR(VLOOKUP(B117  &amp; "*",CHOOSE({1,2}, Super_CBSA!$E$2:$E$1917, Super_CBSA!$A$2:$A$1917), 2,FALSE), ""))</f>
        <v>40900</v>
      </c>
    </row>
    <row r="118" spans="1:7" ht="17">
      <c r="A118" s="1" t="s">
        <v>638</v>
      </c>
      <c r="B118" s="2" t="s">
        <v>479</v>
      </c>
      <c r="C118" s="2">
        <v>0</v>
      </c>
      <c r="D118" s="2">
        <v>0</v>
      </c>
      <c r="E118" s="2">
        <v>0</v>
      </c>
      <c r="F118" s="4">
        <v>0</v>
      </c>
      <c r="G118" s="11" cm="1">
        <f t="array" aca="1" ref="G118" ca="1">IFERROR(VLOOKUP("*" &amp; B118  &amp; "*" &amp; (MID(CELL("filename",A117),FIND("]",CELL("filename",A117))+1,31)) &amp; "*",CHOOSE({1,2}, Super_CBSA!$B$2:$B$1917, Super_CBSA!$A$2:$A$1917), 2,FALSE), IFERROR(VLOOKUP(B118  &amp; "*",CHOOSE({1,2}, Super_CBSA!$E$2:$E$1917, Super_CBSA!$A$2:$A$1917), 2,FALSE), ""))</f>
        <v>41740</v>
      </c>
    </row>
    <row r="119" spans="1:7" ht="17">
      <c r="A119" s="1" t="s">
        <v>639</v>
      </c>
      <c r="B119" s="2" t="s">
        <v>512</v>
      </c>
      <c r="C119" s="2">
        <v>239</v>
      </c>
      <c r="D119" s="3">
        <v>11811</v>
      </c>
      <c r="E119" s="3">
        <v>58640</v>
      </c>
      <c r="F119" s="4">
        <v>42665</v>
      </c>
      <c r="G119" s="11" cm="1">
        <f t="array" aca="1" ref="G119" ca="1">IFERROR(VLOOKUP("*" &amp; B119  &amp; "*" &amp; (MID(CELL("filename",A118),FIND("]",CELL("filename",A118))+1,31)) &amp; "*",CHOOSE({1,2}, Super_CBSA!$B$2:$B$1917, Super_CBSA!$A$2:$A$1917), 2,FALSE), IFERROR(VLOOKUP(B119  &amp; "*",CHOOSE({1,2}, Super_CBSA!$E$2:$E$1917, Super_CBSA!$A$2:$A$1917), 2,FALSE), ""))</f>
        <v>41860</v>
      </c>
    </row>
    <row r="120" spans="1:7" ht="17">
      <c r="A120" s="1" t="s">
        <v>640</v>
      </c>
      <c r="B120" s="2" t="s">
        <v>641</v>
      </c>
      <c r="C120" s="2">
        <v>120</v>
      </c>
      <c r="D120" s="3">
        <v>5617</v>
      </c>
      <c r="E120" s="3">
        <v>19873</v>
      </c>
      <c r="F120" s="4">
        <v>141943</v>
      </c>
      <c r="G120" s="11" t="str" cm="1">
        <f t="array" aca="1" ref="G120" ca="1">IFERROR(VLOOKUP("*" &amp; B120  &amp; "*" &amp; (MID(CELL("filename",A119),FIND("]",CELL("filename",A119))+1,31)) &amp; "*",CHOOSE({1,2}, Super_CBSA!$B$2:$B$1917, Super_CBSA!$A$2:$A$1917), 2,FALSE), IFERROR(VLOOKUP(B120  &amp; "*",CHOOSE({1,2}, Super_CBSA!$E$2:$E$1917, Super_CBSA!$A$2:$A$1917), 2,FALSE), ""))</f>
        <v/>
      </c>
    </row>
    <row r="121" spans="1:7" ht="17">
      <c r="A121" s="1" t="s">
        <v>642</v>
      </c>
      <c r="B121" s="2" t="s">
        <v>479</v>
      </c>
      <c r="C121" s="2">
        <v>536</v>
      </c>
      <c r="D121" s="3">
        <v>25202</v>
      </c>
      <c r="E121" s="3">
        <v>107544</v>
      </c>
      <c r="F121" s="4">
        <v>2017796</v>
      </c>
      <c r="G121" s="11" cm="1">
        <f t="array" aca="1" ref="G121" ca="1">IFERROR(VLOOKUP("*" &amp; B121  &amp; "*" &amp; (MID(CELL("filename",A120),FIND("]",CELL("filename",A120))+1,31)) &amp; "*",CHOOSE({1,2}, Super_CBSA!$B$2:$B$1917, Super_CBSA!$A$2:$A$1917), 2,FALSE), IFERROR(VLOOKUP(B121  &amp; "*",CHOOSE({1,2}, Super_CBSA!$E$2:$E$1917, Super_CBSA!$A$2:$A$1917), 2,FALSE), ""))</f>
        <v>41740</v>
      </c>
    </row>
    <row r="122" spans="1:7" ht="17">
      <c r="A122" s="1" t="s">
        <v>643</v>
      </c>
      <c r="B122" s="2" t="s">
        <v>644</v>
      </c>
      <c r="C122" s="2">
        <v>581</v>
      </c>
      <c r="D122" s="3">
        <v>23675</v>
      </c>
      <c r="E122" s="3">
        <v>115606</v>
      </c>
      <c r="F122" s="4">
        <v>2210690</v>
      </c>
      <c r="G122" s="11" cm="1">
        <f t="array" aca="1" ref="G122" ca="1">IFERROR(VLOOKUP("*" &amp; B122  &amp; "*" &amp; (MID(CELL("filename",A121),FIND("]",CELL("filename",A121))+1,31)) &amp; "*",CHOOSE({1,2}, Super_CBSA!$B$2:$B$1917, Super_CBSA!$A$2:$A$1917), 2,FALSE), IFERROR(VLOOKUP(B122  &amp; "*",CHOOSE({1,2}, Super_CBSA!$E$2:$E$1917, Super_CBSA!$A$2:$A$1917), 2,FALSE), ""))</f>
        <v>47300</v>
      </c>
    </row>
    <row r="123" spans="1:7" ht="17">
      <c r="A123" s="1" t="s">
        <v>645</v>
      </c>
      <c r="B123" s="2" t="s">
        <v>466</v>
      </c>
      <c r="C123" s="2">
        <v>330</v>
      </c>
      <c r="D123" s="3">
        <v>11725</v>
      </c>
      <c r="E123" s="3">
        <v>78713</v>
      </c>
      <c r="F123" s="4">
        <v>3469205</v>
      </c>
      <c r="G123" s="11" cm="1">
        <f t="array" aca="1" ref="G123" ca="1">IFERROR(VLOOKUP("*" &amp; B123  &amp; "*" &amp; (MID(CELL("filename",A122),FIND("]",CELL("filename",A122))+1,31)) &amp; "*",CHOOSE({1,2}, Super_CBSA!$B$2:$B$1917, Super_CBSA!$A$2:$A$1917), 2,FALSE), IFERROR(VLOOKUP(B123  &amp; "*",CHOOSE({1,2}, Super_CBSA!$E$2:$E$1917, Super_CBSA!$A$2:$A$1917), 2,FALSE), ""))</f>
        <v>31080</v>
      </c>
    </row>
    <row r="124" spans="1:7" ht="17">
      <c r="A124" s="1" t="s">
        <v>646</v>
      </c>
      <c r="B124" s="2" t="s">
        <v>448</v>
      </c>
      <c r="C124" s="2">
        <v>222</v>
      </c>
      <c r="D124" s="3">
        <v>10057</v>
      </c>
      <c r="E124" s="3">
        <v>51151</v>
      </c>
      <c r="F124" s="4">
        <v>849792</v>
      </c>
      <c r="G124" s="11" cm="1">
        <f t="array" aca="1" ref="G124" ca="1">IFERROR(VLOOKUP("*" &amp; B124  &amp; "*" &amp; (MID(CELL("filename",A123),FIND("]",CELL("filename",A123))+1,31)) &amp; "*",CHOOSE({1,2}, Super_CBSA!$B$2:$B$1917, Super_CBSA!$A$2:$A$1917), 2,FALSE), IFERROR(VLOOKUP(B124  &amp; "*",CHOOSE({1,2}, Super_CBSA!$E$2:$E$1917, Super_CBSA!$A$2:$A$1917), 2,FALSE), ""))</f>
        <v>12540</v>
      </c>
    </row>
    <row r="125" spans="1:7" ht="17">
      <c r="A125" s="1" t="s">
        <v>647</v>
      </c>
      <c r="B125" s="2" t="s">
        <v>466</v>
      </c>
      <c r="C125" s="2">
        <v>234</v>
      </c>
      <c r="D125" s="3">
        <v>6415</v>
      </c>
      <c r="E125" s="3">
        <v>56790</v>
      </c>
      <c r="F125" s="4">
        <v>246279</v>
      </c>
      <c r="G125" s="11" cm="1">
        <f t="array" aca="1" ref="G125" ca="1">IFERROR(VLOOKUP("*" &amp; B125  &amp; "*" &amp; (MID(CELL("filename",A124),FIND("]",CELL("filename",A124))+1,31)) &amp; "*",CHOOSE({1,2}, Super_CBSA!$B$2:$B$1917, Super_CBSA!$A$2:$A$1917), 2,FALSE), IFERROR(VLOOKUP(B125  &amp; "*",CHOOSE({1,2}, Super_CBSA!$E$2:$E$1917, Super_CBSA!$A$2:$A$1917), 2,FALSE), ""))</f>
        <v>31080</v>
      </c>
    </row>
    <row r="126" spans="1:7" ht="17">
      <c r="A126" s="1" t="s">
        <v>648</v>
      </c>
      <c r="B126" s="2" t="s">
        <v>649</v>
      </c>
      <c r="C126" s="2">
        <v>140</v>
      </c>
      <c r="D126" s="3">
        <v>2890</v>
      </c>
      <c r="E126" s="3">
        <v>11170</v>
      </c>
      <c r="F126" s="4">
        <v>196842</v>
      </c>
      <c r="G126" s="11" t="str" cm="1">
        <f t="array" aca="1" ref="G126" ca="1">IFERROR(VLOOKUP("*" &amp; B126  &amp; "*" &amp; (MID(CELL("filename",A125),FIND("]",CELL("filename",A125))+1,31)) &amp; "*",CHOOSE({1,2}, Super_CBSA!$B$2:$B$1917, Super_CBSA!$A$2:$A$1917), 2,FALSE), IFERROR(VLOOKUP(B126  &amp; "*",CHOOSE({1,2}, Super_CBSA!$E$2:$E$1917, Super_CBSA!$A$2:$A$1917), 2,FALSE), ""))</f>
        <v/>
      </c>
    </row>
    <row r="127" spans="1:7" ht="17">
      <c r="A127" s="1" t="s">
        <v>650</v>
      </c>
      <c r="B127" s="2" t="s">
        <v>512</v>
      </c>
      <c r="C127" s="2">
        <v>780</v>
      </c>
      <c r="D127" s="2">
        <v>24</v>
      </c>
      <c r="E127" s="2">
        <v>93</v>
      </c>
      <c r="F127" s="4">
        <v>423268</v>
      </c>
      <c r="G127" s="11" cm="1">
        <f t="array" aca="1" ref="G127" ca="1">IFERROR(VLOOKUP("*" &amp; B127  &amp; "*" &amp; (MID(CELL("filename",A126),FIND("]",CELL("filename",A126))+1,31)) &amp; "*",CHOOSE({1,2}, Super_CBSA!$B$2:$B$1917, Super_CBSA!$A$2:$A$1917), 2,FALSE), IFERROR(VLOOKUP(B127  &amp; "*",CHOOSE({1,2}, Super_CBSA!$E$2:$E$1917, Super_CBSA!$A$2:$A$1917), 2,FALSE), ""))</f>
        <v>41860</v>
      </c>
    </row>
    <row r="128" spans="1:7" ht="17">
      <c r="A128" s="1" t="s">
        <v>651</v>
      </c>
      <c r="B128" s="2" t="s">
        <v>652</v>
      </c>
      <c r="C128" s="2">
        <v>172</v>
      </c>
      <c r="D128" s="3">
        <v>8720</v>
      </c>
      <c r="E128" s="3">
        <v>40882</v>
      </c>
      <c r="F128" s="4">
        <v>1603301</v>
      </c>
      <c r="G128" s="11" t="str" cm="1">
        <f t="array" aca="1" ref="G128" ca="1">IFERROR(VLOOKUP("*" &amp; B128  &amp; "*" &amp; (MID(CELL("filename",A127),FIND("]",CELL("filename",A127))+1,31)) &amp; "*",CHOOSE({1,2}, Super_CBSA!$B$2:$B$1917, Super_CBSA!$A$2:$A$1917), 2,FALSE), IFERROR(VLOOKUP(B128  &amp; "*",CHOOSE({1,2}, Super_CBSA!$E$2:$E$1917, Super_CBSA!$A$2:$A$1917), 2,FALSE), ""))</f>
        <v/>
      </c>
    </row>
    <row r="129" spans="1:7" ht="17">
      <c r="A129" s="1" t="s">
        <v>653</v>
      </c>
      <c r="B129" s="2" t="s">
        <v>654</v>
      </c>
      <c r="C129" s="2">
        <v>343</v>
      </c>
      <c r="D129" s="3">
        <v>10859</v>
      </c>
      <c r="E129" s="3">
        <v>88968</v>
      </c>
      <c r="F129" s="4">
        <v>2326858</v>
      </c>
      <c r="G129" s="11" t="str" cm="1">
        <f t="array" aca="1" ref="G129" ca="1">IFERROR(VLOOKUP("*" &amp; B129  &amp; "*" &amp; (MID(CELL("filename",A128),FIND("]",CELL("filename",A128))+1,31)) &amp; "*",CHOOSE({1,2}, Super_CBSA!$B$2:$B$1917, Super_CBSA!$A$2:$A$1917), 2,FALSE), IFERROR(VLOOKUP(B129  &amp; "*",CHOOSE({1,2}, Super_CBSA!$E$2:$E$1917, Super_CBSA!$A$2:$A$1917), 2,FALSE), ""))</f>
        <v/>
      </c>
    </row>
    <row r="130" spans="1:7" ht="17">
      <c r="A130" s="1" t="s">
        <v>655</v>
      </c>
      <c r="B130" s="2" t="s">
        <v>654</v>
      </c>
      <c r="C130" s="2">
        <v>524</v>
      </c>
      <c r="D130" s="3">
        <v>22810</v>
      </c>
      <c r="E130" s="3">
        <v>105522</v>
      </c>
      <c r="F130" s="4">
        <v>5905347</v>
      </c>
      <c r="G130" s="11" t="str" cm="1">
        <f t="array" aca="1" ref="G130" ca="1">IFERROR(VLOOKUP("*" &amp; B130  &amp; "*" &amp; (MID(CELL("filename",A129),FIND("]",CELL("filename",A129))+1,31)) &amp; "*",CHOOSE({1,2}, Super_CBSA!$B$2:$B$1917, Super_CBSA!$A$2:$A$1917), 2,FALSE), IFERROR(VLOOKUP(B130  &amp; "*",CHOOSE({1,2}, Super_CBSA!$E$2:$E$1917, Super_CBSA!$A$2:$A$1917), 2,FALSE), ""))</f>
        <v/>
      </c>
    </row>
    <row r="131" spans="1:7" ht="17">
      <c r="A131" s="1" t="s">
        <v>656</v>
      </c>
      <c r="B131" s="2" t="s">
        <v>657</v>
      </c>
      <c r="C131" s="2">
        <v>111</v>
      </c>
      <c r="D131" s="3">
        <v>8925</v>
      </c>
      <c r="E131" s="3">
        <v>37384</v>
      </c>
      <c r="F131" s="4">
        <v>1121595</v>
      </c>
      <c r="G131" s="11" t="str" cm="1">
        <f t="array" aca="1" ref="G131" ca="1">IFERROR(VLOOKUP("*" &amp; B131  &amp; "*" &amp; (MID(CELL("filename",A130),FIND("]",CELL("filename",A130))+1,31)) &amp; "*",CHOOSE({1,2}, Super_CBSA!$B$2:$B$1917, Super_CBSA!$A$2:$A$1917), 2,FALSE), IFERROR(VLOOKUP(B131  &amp; "*",CHOOSE({1,2}, Super_CBSA!$E$2:$E$1917, Super_CBSA!$A$2:$A$1917), 2,FALSE), ""))</f>
        <v/>
      </c>
    </row>
    <row r="132" spans="1:7" ht="17">
      <c r="A132" s="1" t="s">
        <v>658</v>
      </c>
      <c r="B132" s="2" t="s">
        <v>654</v>
      </c>
      <c r="C132" s="2">
        <v>0</v>
      </c>
      <c r="D132" s="2">
        <v>0</v>
      </c>
      <c r="E132" s="2">
        <v>0</v>
      </c>
      <c r="F132" s="4">
        <v>0</v>
      </c>
      <c r="G132" s="11" t="str" cm="1">
        <f t="array" aca="1" ref="G132" ca="1">IFERROR(VLOOKUP("*" &amp; B132  &amp; "*" &amp; (MID(CELL("filename",A131),FIND("]",CELL("filename",A131))+1,31)) &amp; "*",CHOOSE({1,2}, Super_CBSA!$B$2:$B$1917, Super_CBSA!$A$2:$A$1917), 2,FALSE), IFERROR(VLOOKUP(B132  &amp; "*",CHOOSE({1,2}, Super_CBSA!$E$2:$E$1917, Super_CBSA!$A$2:$A$1917), 2,FALSE), ""))</f>
        <v/>
      </c>
    </row>
    <row r="133" spans="1:7" ht="17">
      <c r="A133" s="1" t="s">
        <v>659</v>
      </c>
      <c r="B133" s="2" t="s">
        <v>660</v>
      </c>
      <c r="C133" s="2">
        <v>0</v>
      </c>
      <c r="D133" s="2">
        <v>0</v>
      </c>
      <c r="E133" s="2">
        <v>0</v>
      </c>
      <c r="F133" s="4">
        <v>0</v>
      </c>
      <c r="G133" s="11" t="str" cm="1">
        <f t="array" aca="1" ref="G133" ca="1">IFERROR(VLOOKUP("*" &amp; B133  &amp; "*" &amp; (MID(CELL("filename",A132),FIND("]",CELL("filename",A132))+1,31)) &amp; "*",CHOOSE({1,2}, Super_CBSA!$B$2:$B$1917, Super_CBSA!$A$2:$A$1917), 2,FALSE), IFERROR(VLOOKUP(B133  &amp; "*",CHOOSE({1,2}, Super_CBSA!$E$2:$E$1917, Super_CBSA!$A$2:$A$1917), 2,FALSE), ""))</f>
        <v/>
      </c>
    </row>
    <row r="134" spans="1:7" ht="17">
      <c r="A134" s="1" t="s">
        <v>661</v>
      </c>
      <c r="B134" s="2" t="s">
        <v>662</v>
      </c>
      <c r="C134" s="2">
        <v>170</v>
      </c>
      <c r="D134" s="3">
        <v>1808</v>
      </c>
      <c r="E134" s="3">
        <v>7262</v>
      </c>
      <c r="F134" s="4">
        <v>179169</v>
      </c>
      <c r="G134" s="11" t="str" cm="1">
        <f t="array" aca="1" ref="G134" ca="1">IFERROR(VLOOKUP("*" &amp; B134  &amp; "*" &amp; (MID(CELL("filename",A133),FIND("]",CELL("filename",A133))+1,31)) &amp; "*",CHOOSE({1,2}, Super_CBSA!$B$2:$B$1917, Super_CBSA!$A$2:$A$1917), 2,FALSE), IFERROR(VLOOKUP(B134  &amp; "*",CHOOSE({1,2}, Super_CBSA!$E$2:$E$1917, Super_CBSA!$A$2:$A$1917), 2,FALSE), ""))</f>
        <v/>
      </c>
    </row>
    <row r="135" spans="1:7" ht="17">
      <c r="A135" s="1" t="s">
        <v>663</v>
      </c>
      <c r="B135" s="2" t="s">
        <v>524</v>
      </c>
      <c r="C135" s="2">
        <v>453</v>
      </c>
      <c r="D135" s="3">
        <v>21321</v>
      </c>
      <c r="E135" s="3">
        <v>96989</v>
      </c>
      <c r="F135" s="4">
        <v>2723888</v>
      </c>
      <c r="G135" s="11" cm="1">
        <f t="array" aca="1" ref="G135" ca="1">IFERROR(VLOOKUP("*" &amp; B135  &amp; "*" &amp; (MID(CELL("filename",A134),FIND("]",CELL("filename",A134))+1,31)) &amp; "*",CHOOSE({1,2}, Super_CBSA!$B$2:$B$1917, Super_CBSA!$A$2:$A$1917), 2,FALSE), IFERROR(VLOOKUP(B135  &amp; "*",CHOOSE({1,2}, Super_CBSA!$E$2:$E$1917, Super_CBSA!$A$2:$A$1917), 2,FALSE), ""))</f>
        <v>31080</v>
      </c>
    </row>
    <row r="136" spans="1:7" ht="17">
      <c r="A136" s="1" t="s">
        <v>664</v>
      </c>
      <c r="B136" s="2" t="s">
        <v>665</v>
      </c>
      <c r="C136" s="2">
        <v>146</v>
      </c>
      <c r="D136" s="3">
        <v>8858</v>
      </c>
      <c r="E136" s="3">
        <v>41510</v>
      </c>
      <c r="F136" s="4">
        <v>1778551</v>
      </c>
      <c r="G136" s="11" t="str" cm="1">
        <f t="array" aca="1" ref="G136" ca="1">IFERROR(VLOOKUP("*" &amp; B136  &amp; "*" &amp; (MID(CELL("filename",A135),FIND("]",CELL("filename",A135))+1,31)) &amp; "*",CHOOSE({1,2}, Super_CBSA!$B$2:$B$1917, Super_CBSA!$A$2:$A$1917), 2,FALSE), IFERROR(VLOOKUP(B136  &amp; "*",CHOOSE({1,2}, Super_CBSA!$E$2:$E$1917, Super_CBSA!$A$2:$A$1917), 2,FALSE), ""))</f>
        <v/>
      </c>
    </row>
    <row r="137" spans="1:7" ht="17">
      <c r="A137" s="1" t="s">
        <v>666</v>
      </c>
      <c r="B137" s="2" t="s">
        <v>466</v>
      </c>
      <c r="C137" s="2">
        <v>324</v>
      </c>
      <c r="D137" s="3">
        <v>10549</v>
      </c>
      <c r="E137" s="3">
        <v>52093</v>
      </c>
      <c r="F137" s="4">
        <v>553556</v>
      </c>
      <c r="G137" s="11" cm="1">
        <f t="array" aca="1" ref="G137" ca="1">IFERROR(VLOOKUP("*" &amp; B137  &amp; "*" &amp; (MID(CELL("filename",A136),FIND("]",CELL("filename",A136))+1,31)) &amp; "*",CHOOSE({1,2}, Super_CBSA!$B$2:$B$1917, Super_CBSA!$A$2:$A$1917), 2,FALSE), IFERROR(VLOOKUP(B137  &amp; "*",CHOOSE({1,2}, Super_CBSA!$E$2:$E$1917, Super_CBSA!$A$2:$A$1917), 2,FALSE), ""))</f>
        <v>31080</v>
      </c>
    </row>
    <row r="138" spans="1:7" ht="17">
      <c r="A138" s="1" t="s">
        <v>667</v>
      </c>
      <c r="B138" s="2" t="s">
        <v>520</v>
      </c>
      <c r="C138" s="2">
        <v>0</v>
      </c>
      <c r="D138" s="2">
        <v>0</v>
      </c>
      <c r="E138" s="2">
        <v>0</v>
      </c>
      <c r="F138" s="4">
        <v>0</v>
      </c>
      <c r="G138" s="11" t="str" cm="1">
        <f t="array" aca="1" ref="G138" ca="1">IFERROR(VLOOKUP("*" &amp; B138  &amp; "*" &amp; (MID(CELL("filename",A137),FIND("]",CELL("filename",A137))+1,31)) &amp; "*",CHOOSE({1,2}, Super_CBSA!$B$2:$B$1917, Super_CBSA!$A$2:$A$1917), 2,FALSE), IFERROR(VLOOKUP(B138  &amp; "*",CHOOSE({1,2}, Super_CBSA!$E$2:$E$1917, Super_CBSA!$A$2:$A$1917), 2,FALSE), ""))</f>
        <v/>
      </c>
    </row>
    <row r="139" spans="1:7" ht="17">
      <c r="A139" s="1" t="s">
        <v>668</v>
      </c>
      <c r="B139" s="2" t="s">
        <v>466</v>
      </c>
      <c r="C139" s="2">
        <v>670</v>
      </c>
      <c r="D139" s="3">
        <v>30230</v>
      </c>
      <c r="E139" s="3">
        <v>175910</v>
      </c>
      <c r="F139" s="4">
        <v>3977954</v>
      </c>
      <c r="G139" s="11" cm="1">
        <f t="array" aca="1" ref="G139" ca="1">IFERROR(VLOOKUP("*" &amp; B139  &amp; "*" &amp; (MID(CELL("filename",A138),FIND("]",CELL("filename",A138))+1,31)) &amp; "*",CHOOSE({1,2}, Super_CBSA!$B$2:$B$1917, Super_CBSA!$A$2:$A$1917), 2,FALSE), IFERROR(VLOOKUP(B139  &amp; "*",CHOOSE({1,2}, Super_CBSA!$E$2:$E$1917, Super_CBSA!$A$2:$A$1917), 2,FALSE), ""))</f>
        <v>31080</v>
      </c>
    </row>
    <row r="140" spans="1:7" ht="17">
      <c r="A140" s="1" t="s">
        <v>669</v>
      </c>
      <c r="B140" s="2" t="s">
        <v>466</v>
      </c>
      <c r="C140" s="2">
        <v>528</v>
      </c>
      <c r="D140" s="3">
        <v>24306</v>
      </c>
      <c r="E140" s="3">
        <v>126450</v>
      </c>
      <c r="F140" s="4">
        <v>3653265</v>
      </c>
      <c r="G140" s="11" cm="1">
        <f t="array" aca="1" ref="G140" ca="1">IFERROR(VLOOKUP("*" &amp; B140  &amp; "*" &amp; (MID(CELL("filename",A139),FIND("]",CELL("filename",A139))+1,31)) &amp; "*",CHOOSE({1,2}, Super_CBSA!$B$2:$B$1917, Super_CBSA!$A$2:$A$1917), 2,FALSE), IFERROR(VLOOKUP(B140  &amp; "*",CHOOSE({1,2}, Super_CBSA!$E$2:$E$1917, Super_CBSA!$A$2:$A$1917), 2,FALSE), ""))</f>
        <v>31080</v>
      </c>
    </row>
    <row r="141" spans="1:7" ht="17">
      <c r="A141" s="1" t="s">
        <v>670</v>
      </c>
      <c r="B141" s="2" t="s">
        <v>466</v>
      </c>
      <c r="C141" s="2">
        <v>366</v>
      </c>
      <c r="D141" s="3">
        <v>8922</v>
      </c>
      <c r="E141" s="3">
        <v>43829</v>
      </c>
      <c r="F141" s="4">
        <v>1382337</v>
      </c>
      <c r="G141" s="11" cm="1">
        <f t="array" aca="1" ref="G141" ca="1">IFERROR(VLOOKUP("*" &amp; B141  &amp; "*" &amp; (MID(CELL("filename",A140),FIND("]",CELL("filename",A140))+1,31)) &amp; "*",CHOOSE({1,2}, Super_CBSA!$B$2:$B$1917, Super_CBSA!$A$2:$A$1917), 2,FALSE), IFERROR(VLOOKUP(B141  &amp; "*",CHOOSE({1,2}, Super_CBSA!$E$2:$E$1917, Super_CBSA!$A$2:$A$1917), 2,FALSE), ""))</f>
        <v>31080</v>
      </c>
    </row>
    <row r="142" spans="1:7" ht="17">
      <c r="A142" s="1" t="s">
        <v>671</v>
      </c>
      <c r="B142" s="2" t="s">
        <v>672</v>
      </c>
      <c r="C142" s="2">
        <v>327</v>
      </c>
      <c r="D142" s="3">
        <v>15484</v>
      </c>
      <c r="E142" s="3">
        <v>74482</v>
      </c>
      <c r="F142" s="4">
        <v>3135881</v>
      </c>
      <c r="G142" s="11" cm="1">
        <f t="array" aca="1" ref="G142" ca="1">IFERROR(VLOOKUP("*" &amp; B142  &amp; "*" &amp; (MID(CELL("filename",A141),FIND("]",CELL("filename",A141))+1,31)) &amp; "*",CHOOSE({1,2}, Super_CBSA!$B$2:$B$1917, Super_CBSA!$A$2:$A$1917), 2,FALSE), IFERROR(VLOOKUP(B142  &amp; "*",CHOOSE({1,2}, Super_CBSA!$E$2:$E$1917, Super_CBSA!$A$2:$A$1917), 2,FALSE), ""))</f>
        <v>37100</v>
      </c>
    </row>
    <row r="143" spans="1:7" ht="17">
      <c r="A143" s="1" t="s">
        <v>673</v>
      </c>
      <c r="B143" s="2" t="s">
        <v>674</v>
      </c>
      <c r="C143" s="2">
        <v>49</v>
      </c>
      <c r="D143" s="3">
        <v>1832</v>
      </c>
      <c r="E143" s="3">
        <v>8354</v>
      </c>
      <c r="F143" s="4">
        <v>219838</v>
      </c>
      <c r="G143" s="11" cm="1">
        <f t="array" aca="1" ref="G143" ca="1">IFERROR(VLOOKUP("*" &amp; B143  &amp; "*" &amp; (MID(CELL("filename",A142),FIND("]",CELL("filename",A142))+1,31)) &amp; "*",CHOOSE({1,2}, Super_CBSA!$B$2:$B$1917, Super_CBSA!$A$2:$A$1917), 2,FALSE), IFERROR(VLOOKUP(B143  &amp; "*",CHOOSE({1,2}, Super_CBSA!$E$2:$E$1917, Super_CBSA!$A$2:$A$1917), 2,FALSE), ""))</f>
        <v>21700</v>
      </c>
    </row>
    <row r="144" spans="1:7" ht="17">
      <c r="A144" s="1" t="s">
        <v>675</v>
      </c>
      <c r="B144" s="2" t="s">
        <v>676</v>
      </c>
      <c r="C144" s="2">
        <v>106</v>
      </c>
      <c r="D144" s="3">
        <v>3658</v>
      </c>
      <c r="E144" s="3">
        <v>15638</v>
      </c>
      <c r="F144" s="4">
        <v>205808</v>
      </c>
      <c r="G144" s="11" cm="1">
        <f t="array" aca="1" ref="G144" ca="1">IFERROR(VLOOKUP("*" &amp; B144  &amp; "*" &amp; (MID(CELL("filename",A143),FIND("]",CELL("filename",A143))+1,31)) &amp; "*",CHOOSE({1,2}, Super_CBSA!$B$2:$B$1917, Super_CBSA!$A$2:$A$1917), 2,FALSE), IFERROR(VLOOKUP(B144  &amp; "*",CHOOSE({1,2}, Super_CBSA!$E$2:$E$1917, Super_CBSA!$A$2:$A$1917), 2,FALSE), ""))</f>
        <v>31460</v>
      </c>
    </row>
    <row r="145" spans="1:7" ht="17">
      <c r="A145" s="1" t="s">
        <v>677</v>
      </c>
      <c r="B145" s="2" t="s">
        <v>556</v>
      </c>
      <c r="C145" s="2">
        <v>251</v>
      </c>
      <c r="D145" s="3">
        <v>11793</v>
      </c>
      <c r="E145" s="3">
        <v>42615</v>
      </c>
      <c r="F145" s="4">
        <v>1286514</v>
      </c>
      <c r="G145" s="11" t="str" cm="1">
        <f t="array" aca="1" ref="G145" ca="1">IFERROR(VLOOKUP("*" &amp; B145  &amp; "*" &amp; (MID(CELL("filename",A144),FIND("]",CELL("filename",A144))+1,31)) &amp; "*",CHOOSE({1,2}, Super_CBSA!$B$2:$B$1917, Super_CBSA!$A$2:$A$1917), 2,FALSE), IFERROR(VLOOKUP(B145  &amp; "*",CHOOSE({1,2}, Super_CBSA!$E$2:$E$1917, Super_CBSA!$A$2:$A$1917), 2,FALSE), ""))</f>
        <v/>
      </c>
    </row>
    <row r="146" spans="1:7" ht="17">
      <c r="A146" s="1" t="s">
        <v>678</v>
      </c>
      <c r="B146" s="2" t="s">
        <v>679</v>
      </c>
      <c r="C146" s="2">
        <v>388</v>
      </c>
      <c r="D146" s="3">
        <v>14933</v>
      </c>
      <c r="E146" s="3">
        <v>60821</v>
      </c>
      <c r="F146" s="4">
        <v>2435811</v>
      </c>
      <c r="G146" s="11" cm="1">
        <f t="array" aca="1" ref="G146" ca="1">IFERROR(VLOOKUP("*" &amp; B146  &amp; "*" &amp; (MID(CELL("filename",A145),FIND("]",CELL("filename",A145))+1,31)) &amp; "*",CHOOSE({1,2}, Super_CBSA!$B$2:$B$1917, Super_CBSA!$A$2:$A$1917), 2,FALSE), IFERROR(VLOOKUP(B146  &amp; "*",CHOOSE({1,2}, Super_CBSA!$E$2:$E$1917, Super_CBSA!$A$2:$A$1917), 2,FALSE), ""))</f>
        <v>42200</v>
      </c>
    </row>
    <row r="147" spans="1:7" ht="17">
      <c r="A147" s="1" t="s">
        <v>680</v>
      </c>
      <c r="B147" s="2" t="s">
        <v>681</v>
      </c>
      <c r="C147" s="2">
        <v>103</v>
      </c>
      <c r="D147" s="3">
        <v>4680</v>
      </c>
      <c r="E147" s="3">
        <v>15798</v>
      </c>
      <c r="F147" s="4">
        <v>604619</v>
      </c>
      <c r="G147" s="11" t="str" cm="1">
        <f t="array" aca="1" ref="G147" ca="1">IFERROR(VLOOKUP("*" &amp; B147  &amp; "*" &amp; (MID(CELL("filename",A146),FIND("]",CELL("filename",A146))+1,31)) &amp; "*",CHOOSE({1,2}, Super_CBSA!$B$2:$B$1917, Super_CBSA!$A$2:$A$1917), 2,FALSE), IFERROR(VLOOKUP(B147  &amp; "*",CHOOSE({1,2}, Super_CBSA!$E$2:$E$1917, Super_CBSA!$A$2:$A$1917), 2,FALSE), ""))</f>
        <v/>
      </c>
    </row>
    <row r="148" spans="1:7" ht="17">
      <c r="A148" s="1" t="s">
        <v>682</v>
      </c>
      <c r="B148" s="2" t="s">
        <v>683</v>
      </c>
      <c r="C148" s="2">
        <v>124</v>
      </c>
      <c r="D148" s="3">
        <v>5133</v>
      </c>
      <c r="E148" s="3">
        <v>22005</v>
      </c>
      <c r="F148" s="4">
        <v>1150035</v>
      </c>
      <c r="G148" s="11" t="str" cm="1">
        <f t="array" aca="1" ref="G148" ca="1">IFERROR(VLOOKUP("*" &amp; B148  &amp; "*" &amp; (MID(CELL("filename",A147),FIND("]",CELL("filename",A147))+1,31)) &amp; "*",CHOOSE({1,2}, Super_CBSA!$B$2:$B$1917, Super_CBSA!$A$2:$A$1917), 2,FALSE), IFERROR(VLOOKUP(B148  &amp; "*",CHOOSE({1,2}, Super_CBSA!$E$2:$E$1917, Super_CBSA!$A$2:$A$1917), 2,FALSE), ""))</f>
        <v/>
      </c>
    </row>
    <row r="149" spans="1:7" ht="17">
      <c r="A149" s="1" t="s">
        <v>684</v>
      </c>
      <c r="B149" s="2" t="s">
        <v>466</v>
      </c>
      <c r="C149" s="2">
        <v>131</v>
      </c>
      <c r="D149" s="3">
        <v>9301</v>
      </c>
      <c r="E149" s="3">
        <v>37141</v>
      </c>
      <c r="F149" s="4">
        <v>2585534</v>
      </c>
      <c r="G149" s="11" cm="1">
        <f t="array" aca="1" ref="G149" ca="1">IFERROR(VLOOKUP("*" &amp; B149  &amp; "*" &amp; (MID(CELL("filename",A148),FIND("]",CELL("filename",A148))+1,31)) &amp; "*",CHOOSE({1,2}, Super_CBSA!$B$2:$B$1917, Super_CBSA!$A$2:$A$1917), 2,FALSE), IFERROR(VLOOKUP(B149  &amp; "*",CHOOSE({1,2}, Super_CBSA!$E$2:$E$1917, Super_CBSA!$A$2:$A$1917), 2,FALSE), ""))</f>
        <v>31080</v>
      </c>
    </row>
    <row r="150" spans="1:7" ht="17">
      <c r="A150" s="1" t="s">
        <v>685</v>
      </c>
      <c r="B150" s="2" t="s">
        <v>686</v>
      </c>
      <c r="C150" s="2">
        <v>95</v>
      </c>
      <c r="D150" s="2">
        <v>844</v>
      </c>
      <c r="E150" s="3">
        <v>3066</v>
      </c>
      <c r="F150" s="4">
        <v>209615</v>
      </c>
      <c r="G150" s="11" t="str" cm="1">
        <f t="array" aca="1" ref="G150" ca="1">IFERROR(VLOOKUP("*" &amp; B150  &amp; "*" &amp; (MID(CELL("filename",A149),FIND("]",CELL("filename",A149))+1,31)) &amp; "*",CHOOSE({1,2}, Super_CBSA!$B$2:$B$1917, Super_CBSA!$A$2:$A$1917), 2,FALSE), IFERROR(VLOOKUP(B150  &amp; "*",CHOOSE({1,2}, Super_CBSA!$E$2:$E$1917, Super_CBSA!$A$2:$A$1917), 2,FALSE), ""))</f>
        <v/>
      </c>
    </row>
    <row r="151" spans="1:7" ht="17">
      <c r="A151" s="1" t="s">
        <v>687</v>
      </c>
      <c r="B151" s="2" t="s">
        <v>688</v>
      </c>
      <c r="C151" s="2">
        <v>40</v>
      </c>
      <c r="D151" s="3">
        <v>1199</v>
      </c>
      <c r="E151" s="3">
        <v>4930</v>
      </c>
      <c r="F151" s="4">
        <v>249053</v>
      </c>
      <c r="G151" s="11" t="str" cm="1">
        <f t="array" aca="1" ref="G151" ca="1">IFERROR(VLOOKUP("*" &amp; B151  &amp; "*" &amp; (MID(CELL("filename",A150),FIND("]",CELL("filename",A150))+1,31)) &amp; "*",CHOOSE({1,2}, Super_CBSA!$B$2:$B$1917, Super_CBSA!$A$2:$A$1917), 2,FALSE), IFERROR(VLOOKUP(B151  &amp; "*",CHOOSE({1,2}, Super_CBSA!$E$2:$E$1917, Super_CBSA!$A$2:$A$1917), 2,FALSE), ""))</f>
        <v/>
      </c>
    </row>
    <row r="152" spans="1:7" ht="17">
      <c r="A152" s="1" t="s">
        <v>689</v>
      </c>
      <c r="B152" s="2" t="s">
        <v>690</v>
      </c>
      <c r="C152" s="2">
        <v>172</v>
      </c>
      <c r="D152" s="3">
        <v>6412</v>
      </c>
      <c r="E152" s="3">
        <v>24789</v>
      </c>
      <c r="F152" s="4">
        <v>697044</v>
      </c>
      <c r="G152" s="11" t="str" cm="1">
        <f t="array" aca="1" ref="G152" ca="1">IFERROR(VLOOKUP("*" &amp; B152  &amp; "*" &amp; (MID(CELL("filename",A151),FIND("]",CELL("filename",A151))+1,31)) &amp; "*",CHOOSE({1,2}, Super_CBSA!$B$2:$B$1917, Super_CBSA!$A$2:$A$1917), 2,FALSE), IFERROR(VLOOKUP(B152  &amp; "*",CHOOSE({1,2}, Super_CBSA!$E$2:$E$1917, Super_CBSA!$A$2:$A$1917), 2,FALSE), ""))</f>
        <v/>
      </c>
    </row>
    <row r="153" spans="1:7" ht="17">
      <c r="A153" s="1" t="s">
        <v>691</v>
      </c>
      <c r="B153" s="2" t="s">
        <v>558</v>
      </c>
      <c r="C153" s="2">
        <v>419</v>
      </c>
      <c r="D153" s="3">
        <v>15932</v>
      </c>
      <c r="E153" s="3">
        <v>78330</v>
      </c>
      <c r="F153" s="4">
        <v>2333215</v>
      </c>
      <c r="G153" s="11" cm="1">
        <f t="array" aca="1" ref="G153" ca="1">IFERROR(VLOOKUP("*" &amp; B153  &amp; "*" &amp; (MID(CELL("filename",A152),FIND("]",CELL("filename",A152))+1,31)) &amp; "*",CHOOSE({1,2}, Super_CBSA!$B$2:$B$1917, Super_CBSA!$A$2:$A$1917), 2,FALSE), IFERROR(VLOOKUP(B153  &amp; "*",CHOOSE({1,2}, Super_CBSA!$E$2:$E$1917, Super_CBSA!$A$2:$A$1917), 2,FALSE), ""))</f>
        <v>33700</v>
      </c>
    </row>
    <row r="154" spans="1:7" ht="17">
      <c r="A154" s="1" t="s">
        <v>692</v>
      </c>
      <c r="B154" s="2" t="s">
        <v>693</v>
      </c>
      <c r="C154" s="2">
        <v>84</v>
      </c>
      <c r="D154" s="3">
        <v>3028</v>
      </c>
      <c r="E154" s="3">
        <v>12644</v>
      </c>
      <c r="F154" s="4">
        <v>233912</v>
      </c>
      <c r="G154" s="11" cm="1">
        <f t="array" aca="1" ref="G154" ca="1">IFERROR(VLOOKUP("*" &amp; B154  &amp; "*" &amp; (MID(CELL("filename",A153),FIND("]",CELL("filename",A153))+1,31)) &amp; "*",CHOOSE({1,2}, Super_CBSA!$B$2:$B$1917, Super_CBSA!$A$2:$A$1917), 2,FALSE), IFERROR(VLOOKUP(B154  &amp; "*",CHOOSE({1,2}, Super_CBSA!$E$2:$E$1917, Super_CBSA!$A$2:$A$1917), 2,FALSE), ""))</f>
        <v>34460</v>
      </c>
    </row>
    <row r="155" spans="1:7" ht="17">
      <c r="A155" s="1" t="s">
        <v>694</v>
      </c>
      <c r="B155" s="2" t="s">
        <v>695</v>
      </c>
      <c r="C155" s="2">
        <v>16</v>
      </c>
      <c r="D155" s="2">
        <v>185</v>
      </c>
      <c r="E155" s="2">
        <v>299</v>
      </c>
      <c r="F155" s="4">
        <v>48469</v>
      </c>
      <c r="G155" s="11" t="str" cm="1">
        <f t="array" aca="1" ref="G155" ca="1">IFERROR(VLOOKUP("*" &amp; B155  &amp; "*" &amp; (MID(CELL("filename",A154),FIND("]",CELL("filename",A154))+1,31)) &amp; "*",CHOOSE({1,2}, Super_CBSA!$B$2:$B$1917, Super_CBSA!$A$2:$A$1917), 2,FALSE), IFERROR(VLOOKUP(B155  &amp; "*",CHOOSE({1,2}, Super_CBSA!$E$2:$E$1917, Super_CBSA!$A$2:$A$1917), 2,FALSE), ""))</f>
        <v/>
      </c>
    </row>
    <row r="156" spans="1:7" ht="17">
      <c r="A156" s="1" t="s">
        <v>696</v>
      </c>
      <c r="B156" s="2" t="s">
        <v>697</v>
      </c>
      <c r="C156" s="2">
        <v>419</v>
      </c>
      <c r="D156" s="3">
        <v>14085</v>
      </c>
      <c r="E156" s="3">
        <v>61149</v>
      </c>
      <c r="F156" s="4">
        <v>3001298</v>
      </c>
      <c r="G156" s="11" cm="1">
        <f t="array" aca="1" ref="G156" ca="1">IFERROR(VLOOKUP("*" &amp; B156  &amp; "*" &amp; (MID(CELL("filename",A155),FIND("]",CELL("filename",A155))+1,31)) &amp; "*",CHOOSE({1,2}, Super_CBSA!$B$2:$B$1917, Super_CBSA!$A$2:$A$1917), 2,FALSE), IFERROR(VLOOKUP(B156  &amp; "*",CHOOSE({1,2}, Super_CBSA!$E$2:$E$1917, Super_CBSA!$A$2:$A$1917), 2,FALSE), ""))</f>
        <v>40900</v>
      </c>
    </row>
    <row r="157" spans="1:7" ht="17">
      <c r="A157" s="1" t="s">
        <v>698</v>
      </c>
      <c r="B157" s="2" t="s">
        <v>448</v>
      </c>
      <c r="C157" s="2">
        <v>226</v>
      </c>
      <c r="D157" s="3">
        <v>11632</v>
      </c>
      <c r="E157" s="3">
        <v>43497</v>
      </c>
      <c r="F157" s="4">
        <v>1348578</v>
      </c>
      <c r="G157" s="11" cm="1">
        <f t="array" aca="1" ref="G157" ca="1">IFERROR(VLOOKUP("*" &amp; B157  &amp; "*" &amp; (MID(CELL("filename",A156),FIND("]",CELL("filename",A156))+1,31)) &amp; "*",CHOOSE({1,2}, Super_CBSA!$B$2:$B$1917, Super_CBSA!$A$2:$A$1917), 2,FALSE), IFERROR(VLOOKUP(B157  &amp; "*",CHOOSE({1,2}, Super_CBSA!$E$2:$E$1917, Super_CBSA!$A$2:$A$1917), 2,FALSE), ""))</f>
        <v>12540</v>
      </c>
    </row>
    <row r="158" spans="1:7" ht="17">
      <c r="A158" s="1" t="s">
        <v>699</v>
      </c>
      <c r="B158" s="2" t="s">
        <v>700</v>
      </c>
      <c r="C158" s="2">
        <v>106</v>
      </c>
      <c r="D158" s="3">
        <v>6827</v>
      </c>
      <c r="E158" s="3">
        <v>25384</v>
      </c>
      <c r="F158" s="4">
        <v>1054478</v>
      </c>
      <c r="G158" s="11" cm="1">
        <f t="array" aca="1" ref="G158" ca="1">IFERROR(VLOOKUP("*" &amp; B158  &amp; "*" &amp; (MID(CELL("filename",A157),FIND("]",CELL("filename",A157))+1,31)) &amp; "*",CHOOSE({1,2}, Super_CBSA!$B$2:$B$1917, Super_CBSA!$A$2:$A$1917), 2,FALSE), IFERROR(VLOOKUP(B158  &amp; "*",CHOOSE({1,2}, Super_CBSA!$E$2:$E$1917, Super_CBSA!$A$2:$A$1917), 2,FALSE), ""))</f>
        <v>40900</v>
      </c>
    </row>
    <row r="159" spans="1:7" ht="17">
      <c r="A159" s="1" t="s">
        <v>701</v>
      </c>
      <c r="B159" s="2" t="s">
        <v>448</v>
      </c>
      <c r="C159" s="2">
        <v>0</v>
      </c>
      <c r="D159" s="2">
        <v>0</v>
      </c>
      <c r="E159" s="2">
        <v>0</v>
      </c>
      <c r="F159" s="4">
        <v>0</v>
      </c>
      <c r="G159" s="11" cm="1">
        <f t="array" aca="1" ref="G159" ca="1">IFERROR(VLOOKUP("*" &amp; B159  &amp; "*" &amp; (MID(CELL("filename",A158),FIND("]",CELL("filename",A158))+1,31)) &amp; "*",CHOOSE({1,2}, Super_CBSA!$B$2:$B$1917, Super_CBSA!$A$2:$A$1917), 2,FALSE), IFERROR(VLOOKUP(B159  &amp; "*",CHOOSE({1,2}, Super_CBSA!$E$2:$E$1917, Super_CBSA!$A$2:$A$1917), 2,FALSE), ""))</f>
        <v>12540</v>
      </c>
    </row>
    <row r="160" spans="1:7" ht="17">
      <c r="A160" s="1" t="s">
        <v>702</v>
      </c>
      <c r="B160" s="2" t="s">
        <v>703</v>
      </c>
      <c r="C160" s="2">
        <v>186</v>
      </c>
      <c r="D160" s="3">
        <v>11860</v>
      </c>
      <c r="E160" s="3">
        <v>49054</v>
      </c>
      <c r="F160" s="4">
        <v>1452445</v>
      </c>
      <c r="G160" s="11" cm="1">
        <f t="array" aca="1" ref="G160" ca="1">IFERROR(VLOOKUP("*" &amp; B160  &amp; "*" &amp; (MID(CELL("filename",A159),FIND("]",CELL("filename",A159))+1,31)) &amp; "*",CHOOSE({1,2}, Super_CBSA!$B$2:$B$1917, Super_CBSA!$A$2:$A$1917), 2,FALSE), IFERROR(VLOOKUP(B160  &amp; "*",CHOOSE({1,2}, Super_CBSA!$E$2:$E$1917, Super_CBSA!$A$2:$A$1917), 2,FALSE), ""))</f>
        <v>32900</v>
      </c>
    </row>
    <row r="161" spans="1:7" ht="17">
      <c r="A161" s="1" t="s">
        <v>704</v>
      </c>
      <c r="B161" s="2" t="s">
        <v>705</v>
      </c>
      <c r="C161" s="2">
        <v>267</v>
      </c>
      <c r="D161" s="3">
        <v>13749</v>
      </c>
      <c r="E161" s="3">
        <v>64270</v>
      </c>
      <c r="F161" s="4">
        <v>1924765</v>
      </c>
      <c r="G161" s="11" cm="1">
        <f t="array" aca="1" ref="G161" ca="1">IFERROR(VLOOKUP("*" &amp; B161  &amp; "*" &amp; (MID(CELL("filename",A160),FIND("]",CELL("filename",A160))+1,31)) &amp; "*",CHOOSE({1,2}, Super_CBSA!$B$2:$B$1917, Super_CBSA!$A$2:$A$1917), 2,FALSE), IFERROR(VLOOKUP(B161  &amp; "*",CHOOSE({1,2}, Super_CBSA!$E$2:$E$1917, Super_CBSA!$A$2:$A$1917), 2,FALSE), ""))</f>
        <v>39820</v>
      </c>
    </row>
    <row r="162" spans="1:7" ht="17">
      <c r="A162" s="1" t="s">
        <v>706</v>
      </c>
      <c r="B162" s="2" t="s">
        <v>707</v>
      </c>
      <c r="C162" s="2">
        <v>370</v>
      </c>
      <c r="D162" s="3">
        <v>20296</v>
      </c>
      <c r="E162" s="3">
        <v>95698</v>
      </c>
      <c r="F162" s="4">
        <v>3239223</v>
      </c>
      <c r="G162" s="11" t="str" cm="1">
        <f t="array" aca="1" ref="G162" ca="1">IFERROR(VLOOKUP("*" &amp; B162  &amp; "*" &amp; (MID(CELL("filename",A161),FIND("]",CELL("filename",A161))+1,31)) &amp; "*",CHOOSE({1,2}, Super_CBSA!$B$2:$B$1917, Super_CBSA!$A$2:$A$1917), 2,FALSE), IFERROR(VLOOKUP(B162  &amp; "*",CHOOSE({1,2}, Super_CBSA!$E$2:$E$1917, Super_CBSA!$A$2:$A$1917), 2,FALSE), ""))</f>
        <v/>
      </c>
    </row>
    <row r="163" spans="1:7" ht="17">
      <c r="A163" s="1" t="s">
        <v>708</v>
      </c>
      <c r="B163" s="2" t="s">
        <v>709</v>
      </c>
      <c r="C163" s="2">
        <v>348</v>
      </c>
      <c r="D163" s="3">
        <v>14208</v>
      </c>
      <c r="E163" s="3">
        <v>69736</v>
      </c>
      <c r="F163" s="4">
        <v>1789260</v>
      </c>
      <c r="G163" s="11" t="str" cm="1">
        <f t="array" aca="1" ref="G163" ca="1">IFERROR(VLOOKUP("*" &amp; B163  &amp; "*" &amp; (MID(CELL("filename",A162),FIND("]",CELL("filename",A162))+1,31)) &amp; "*",CHOOSE({1,2}, Super_CBSA!$B$2:$B$1917, Super_CBSA!$A$2:$A$1917), 2,FALSE), IFERROR(VLOOKUP(B163  &amp; "*",CHOOSE({1,2}, Super_CBSA!$E$2:$E$1917, Super_CBSA!$A$2:$A$1917), 2,FALSE), ""))</f>
        <v/>
      </c>
    </row>
    <row r="164" spans="1:7" ht="17">
      <c r="A164" s="1" t="s">
        <v>710</v>
      </c>
      <c r="B164" s="2" t="s">
        <v>697</v>
      </c>
      <c r="C164" s="2">
        <v>329</v>
      </c>
      <c r="D164" s="3">
        <v>9301</v>
      </c>
      <c r="E164" s="3">
        <v>36123</v>
      </c>
      <c r="F164" s="4">
        <v>1364840</v>
      </c>
      <c r="G164" s="11" cm="1">
        <f t="array" aca="1" ref="G164" ca="1">IFERROR(VLOOKUP("*" &amp; B164  &amp; "*" &amp; (MID(CELL("filename",A163),FIND("]",CELL("filename",A163))+1,31)) &amp; "*",CHOOSE({1,2}, Super_CBSA!$B$2:$B$1917, Super_CBSA!$A$2:$A$1917), 2,FALSE), IFERROR(VLOOKUP(B164  &amp; "*",CHOOSE({1,2}, Super_CBSA!$E$2:$E$1917, Super_CBSA!$A$2:$A$1917), 2,FALSE), ""))</f>
        <v>40900</v>
      </c>
    </row>
    <row r="165" spans="1:7" ht="17">
      <c r="A165" s="1" t="s">
        <v>711</v>
      </c>
      <c r="B165" s="2" t="s">
        <v>712</v>
      </c>
      <c r="C165" s="2">
        <v>301</v>
      </c>
      <c r="D165" s="3">
        <v>10158</v>
      </c>
      <c r="E165" s="3">
        <v>51771</v>
      </c>
      <c r="F165" s="4">
        <v>1744901</v>
      </c>
      <c r="G165" s="11" t="str" cm="1">
        <f t="array" aca="1" ref="G165" ca="1">IFERROR(VLOOKUP("*" &amp; B165  &amp; "*" &amp; (MID(CELL("filename",A164),FIND("]",CELL("filename",A164))+1,31)) &amp; "*",CHOOSE({1,2}, Super_CBSA!$B$2:$B$1917, Super_CBSA!$A$2:$A$1917), 2,FALSE), IFERROR(VLOOKUP(B165  &amp; "*",CHOOSE({1,2}, Super_CBSA!$E$2:$E$1917, Super_CBSA!$A$2:$A$1917), 2,FALSE), ""))</f>
        <v/>
      </c>
    </row>
    <row r="166" spans="1:7" ht="17">
      <c r="A166" s="1" t="s">
        <v>713</v>
      </c>
      <c r="B166" s="2" t="s">
        <v>714</v>
      </c>
      <c r="C166" s="2">
        <v>145</v>
      </c>
      <c r="D166" s="3">
        <v>9046</v>
      </c>
      <c r="E166" s="3">
        <v>44713</v>
      </c>
      <c r="F166" s="4">
        <v>375991</v>
      </c>
      <c r="G166" s="11" t="str" cm="1">
        <f t="array" aca="1" ref="G166" ca="1">IFERROR(VLOOKUP("*" &amp; B166  &amp; "*" &amp; (MID(CELL("filename",A165),FIND("]",CELL("filename",A165))+1,31)) &amp; "*",CHOOSE({1,2}, Super_CBSA!$B$2:$B$1917, Super_CBSA!$A$2:$A$1917), 2,FALSE), IFERROR(VLOOKUP(B166  &amp; "*",CHOOSE({1,2}, Super_CBSA!$E$2:$E$1917, Super_CBSA!$A$2:$A$1917), 2,FALSE), ""))</f>
        <v/>
      </c>
    </row>
    <row r="167" spans="1:7" ht="17">
      <c r="A167" s="1" t="s">
        <v>715</v>
      </c>
      <c r="B167" s="2" t="s">
        <v>716</v>
      </c>
      <c r="C167" s="2">
        <v>189</v>
      </c>
      <c r="D167" s="3">
        <v>3028</v>
      </c>
      <c r="E167" s="3">
        <v>14617</v>
      </c>
      <c r="F167" s="4">
        <v>246219</v>
      </c>
      <c r="G167" s="11" t="str" cm="1">
        <f t="array" aca="1" ref="G167" ca="1">IFERROR(VLOOKUP("*" &amp; B167  &amp; "*" &amp; (MID(CELL("filename",A166),FIND("]",CELL("filename",A166))+1,31)) &amp; "*",CHOOSE({1,2}, Super_CBSA!$B$2:$B$1917, Super_CBSA!$A$2:$A$1917), 2,FALSE), IFERROR(VLOOKUP(B167  &amp; "*",CHOOSE({1,2}, Super_CBSA!$E$2:$E$1917, Super_CBSA!$A$2:$A$1917), 2,FALSE), ""))</f>
        <v/>
      </c>
    </row>
    <row r="168" spans="1:7" ht="17">
      <c r="A168" s="1" t="s">
        <v>717</v>
      </c>
      <c r="B168" s="2" t="s">
        <v>718</v>
      </c>
      <c r="C168" s="2">
        <v>523</v>
      </c>
      <c r="D168" s="3">
        <v>17856</v>
      </c>
      <c r="E168" s="3">
        <v>70565</v>
      </c>
      <c r="F168" s="4">
        <v>2743367</v>
      </c>
      <c r="G168" s="11" t="str" cm="1">
        <f t="array" aca="1" ref="G168" ca="1">IFERROR(VLOOKUP("*" &amp; B168  &amp; "*" &amp; (MID(CELL("filename",A167),FIND("]",CELL("filename",A167))+1,31)) &amp; "*",CHOOSE({1,2}, Super_CBSA!$B$2:$B$1917, Super_CBSA!$A$2:$A$1917), 2,FALSE), IFERROR(VLOOKUP(B168  &amp; "*",CHOOSE({1,2}, Super_CBSA!$E$2:$E$1917, Super_CBSA!$A$2:$A$1917), 2,FALSE), ""))</f>
        <v/>
      </c>
    </row>
    <row r="169" spans="1:7" ht="17">
      <c r="A169" s="1" t="s">
        <v>719</v>
      </c>
      <c r="B169" s="2" t="s">
        <v>558</v>
      </c>
      <c r="C169" s="2">
        <v>0</v>
      </c>
      <c r="D169" s="2">
        <v>0</v>
      </c>
      <c r="E169" s="2">
        <v>0</v>
      </c>
      <c r="F169" s="4">
        <v>0</v>
      </c>
      <c r="G169" s="11" cm="1">
        <f t="array" aca="1" ref="G169" ca="1">IFERROR(VLOOKUP("*" &amp; B169  &amp; "*" &amp; (MID(CELL("filename",A168),FIND("]",CELL("filename",A168))+1,31)) &amp; "*",CHOOSE({1,2}, Super_CBSA!$B$2:$B$1917, Super_CBSA!$A$2:$A$1917), 2,FALSE), IFERROR(VLOOKUP(B169  &amp; "*",CHOOSE({1,2}, Super_CBSA!$E$2:$E$1917, Super_CBSA!$A$2:$A$1917), 2,FALSE), ""))</f>
        <v>33700</v>
      </c>
    </row>
    <row r="170" spans="1:7" ht="17">
      <c r="A170" s="1" t="s">
        <v>720</v>
      </c>
      <c r="B170" s="2" t="s">
        <v>721</v>
      </c>
      <c r="C170" s="2">
        <v>106</v>
      </c>
      <c r="D170" s="3">
        <v>3218</v>
      </c>
      <c r="E170" s="3">
        <v>10490</v>
      </c>
      <c r="F170" s="4">
        <v>250865</v>
      </c>
      <c r="G170" s="11" t="str" cm="1">
        <f t="array" aca="1" ref="G170" ca="1">IFERROR(VLOOKUP("*" &amp; B170  &amp; "*" &amp; (MID(CELL("filename",A169),FIND("]",CELL("filename",A169))+1,31)) &amp; "*",CHOOSE({1,2}, Super_CBSA!$B$2:$B$1917, Super_CBSA!$A$2:$A$1917), 2,FALSE), IFERROR(VLOOKUP(B170  &amp; "*",CHOOSE({1,2}, Super_CBSA!$E$2:$E$1917, Super_CBSA!$A$2:$A$1917), 2,FALSE), ""))</f>
        <v/>
      </c>
    </row>
    <row r="171" spans="1:7" ht="17">
      <c r="A171" s="1" t="s">
        <v>722</v>
      </c>
      <c r="B171" s="2" t="s">
        <v>600</v>
      </c>
      <c r="C171" s="2">
        <v>101</v>
      </c>
      <c r="D171" s="3">
        <v>4898</v>
      </c>
      <c r="E171" s="3">
        <v>21067</v>
      </c>
      <c r="F171" s="4">
        <v>658157</v>
      </c>
      <c r="G171" s="11" t="str" cm="1">
        <f t="array" aca="1" ref="G171" ca="1">IFERROR(VLOOKUP("*" &amp; B171  &amp; "*" &amp; (MID(CELL("filename",A170),FIND("]",CELL("filename",A170))+1,31)) &amp; "*",CHOOSE({1,2}, Super_CBSA!$B$2:$B$1917, Super_CBSA!$A$2:$A$1917), 2,FALSE), IFERROR(VLOOKUP(B171  &amp; "*",CHOOSE({1,2}, Super_CBSA!$E$2:$E$1917, Super_CBSA!$A$2:$A$1917), 2,FALSE), ""))</f>
        <v/>
      </c>
    </row>
    <row r="172" spans="1:7" ht="17">
      <c r="A172" s="1" t="s">
        <v>723</v>
      </c>
      <c r="B172" s="2" t="s">
        <v>724</v>
      </c>
      <c r="C172" s="2">
        <v>94</v>
      </c>
      <c r="D172" s="3">
        <v>4720</v>
      </c>
      <c r="E172" s="3">
        <v>14442</v>
      </c>
      <c r="F172" s="4">
        <v>396159</v>
      </c>
      <c r="G172" s="11" t="str" cm="1">
        <f t="array" aca="1" ref="G172" ca="1">IFERROR(VLOOKUP("*" &amp; B172  &amp; "*" &amp; (MID(CELL("filename",A171),FIND("]",CELL("filename",A171))+1,31)) &amp; "*",CHOOSE({1,2}, Super_CBSA!$B$2:$B$1917, Super_CBSA!$A$2:$A$1917), 2,FALSE), IFERROR(VLOOKUP(B172  &amp; "*",CHOOSE({1,2}, Super_CBSA!$E$2:$E$1917, Super_CBSA!$A$2:$A$1917), 2,FALSE), ""))</f>
        <v/>
      </c>
    </row>
    <row r="173" spans="1:7" ht="17">
      <c r="A173" s="1" t="s">
        <v>725</v>
      </c>
      <c r="B173" s="2" t="s">
        <v>726</v>
      </c>
      <c r="C173" s="2">
        <v>172</v>
      </c>
      <c r="D173" s="3">
        <v>8488</v>
      </c>
      <c r="E173" s="3">
        <v>35339</v>
      </c>
      <c r="F173" s="4">
        <v>1200935</v>
      </c>
      <c r="G173" s="11" cm="1">
        <f t="array" aca="1" ref="G173" ca="1">IFERROR(VLOOKUP("*" &amp; B173  &amp; "*" &amp; (MID(CELL("filename",A172),FIND("]",CELL("filename",A172))+1,31)) &amp; "*",CHOOSE({1,2}, Super_CBSA!$B$2:$B$1917, Super_CBSA!$A$2:$A$1917), 2,FALSE), IFERROR(VLOOKUP(B173  &amp; "*",CHOOSE({1,2}, Super_CBSA!$E$2:$E$1917, Super_CBSA!$A$2:$A$1917), 2,FALSE), ""))</f>
        <v>41500</v>
      </c>
    </row>
    <row r="174" spans="1:7" ht="17">
      <c r="A174" s="1" t="s">
        <v>727</v>
      </c>
      <c r="B174" s="2" t="s">
        <v>728</v>
      </c>
      <c r="C174" s="2">
        <v>0</v>
      </c>
      <c r="D174" s="2">
        <v>0</v>
      </c>
      <c r="E174" s="2">
        <v>0</v>
      </c>
      <c r="F174" s="4">
        <v>0</v>
      </c>
      <c r="G174" s="11" t="str" cm="1">
        <f t="array" aca="1" ref="G174" ca="1">IFERROR(VLOOKUP("*" &amp; B174  &amp; "*" &amp; (MID(CELL("filename",A173),FIND("]",CELL("filename",A173))+1,31)) &amp; "*",CHOOSE({1,2}, Super_CBSA!$B$2:$B$1917, Super_CBSA!$A$2:$A$1917), 2,FALSE), IFERROR(VLOOKUP(B174  &amp; "*",CHOOSE({1,2}, Super_CBSA!$E$2:$E$1917, Super_CBSA!$A$2:$A$1917), 2,FALSE), ""))</f>
        <v/>
      </c>
    </row>
    <row r="175" spans="1:7" ht="17">
      <c r="A175" s="1" t="s">
        <v>729</v>
      </c>
      <c r="B175" s="2" t="s">
        <v>730</v>
      </c>
      <c r="C175" s="2">
        <v>0</v>
      </c>
      <c r="D175" s="2">
        <v>0</v>
      </c>
      <c r="E175" s="2">
        <v>0</v>
      </c>
      <c r="F175" s="4">
        <v>0</v>
      </c>
      <c r="G175" s="11" t="str" cm="1">
        <f t="array" aca="1" ref="G175" ca="1">IFERROR(VLOOKUP("*" &amp; B175  &amp; "*" &amp; (MID(CELL("filename",A174),FIND("]",CELL("filename",A174))+1,31)) &amp; "*",CHOOSE({1,2}, Super_CBSA!$B$2:$B$1917, Super_CBSA!$A$2:$A$1917), 2,FALSE), IFERROR(VLOOKUP(B175  &amp; "*",CHOOSE({1,2}, Super_CBSA!$E$2:$E$1917, Super_CBSA!$A$2:$A$1917), 2,FALSE), ""))</f>
        <v/>
      </c>
    </row>
    <row r="176" spans="1:7" ht="17">
      <c r="A176" s="1" t="s">
        <v>731</v>
      </c>
      <c r="B176" s="2" t="s">
        <v>479</v>
      </c>
      <c r="C176" s="2">
        <v>0</v>
      </c>
      <c r="D176" s="2">
        <v>0</v>
      </c>
      <c r="E176" s="2">
        <v>0</v>
      </c>
      <c r="F176" s="4">
        <v>0</v>
      </c>
      <c r="G176" s="11" cm="1">
        <f t="array" aca="1" ref="G176" ca="1">IFERROR(VLOOKUP("*" &amp; B176  &amp; "*" &amp; (MID(CELL("filename",A175),FIND("]",CELL("filename",A175))+1,31)) &amp; "*",CHOOSE({1,2}, Super_CBSA!$B$2:$B$1917, Super_CBSA!$A$2:$A$1917), 2,FALSE), IFERROR(VLOOKUP(B176  &amp; "*",CHOOSE({1,2}, Super_CBSA!$E$2:$E$1917, Super_CBSA!$A$2:$A$1917), 2,FALSE), ""))</f>
        <v>41740</v>
      </c>
    </row>
    <row r="177" spans="1:7" ht="17">
      <c r="A177" s="1" t="s">
        <v>732</v>
      </c>
      <c r="B177" s="2" t="s">
        <v>733</v>
      </c>
      <c r="C177" s="2">
        <v>182</v>
      </c>
      <c r="D177" s="3">
        <v>9516</v>
      </c>
      <c r="E177" s="3">
        <v>44007</v>
      </c>
      <c r="F177" s="4">
        <v>3798736</v>
      </c>
      <c r="G177" s="11" cm="1">
        <f t="array" aca="1" ref="G177" ca="1">IFERROR(VLOOKUP("*" &amp; B177  &amp; "*" &amp; (MID(CELL("filename",A176),FIND("]",CELL("filename",A176))+1,31)) &amp; "*",CHOOSE({1,2}, Super_CBSA!$B$2:$B$1917, Super_CBSA!$A$2:$A$1917), 2,FALSE), IFERROR(VLOOKUP(B177  &amp; "*",CHOOSE({1,2}, Super_CBSA!$E$2:$E$1917, Super_CBSA!$A$2:$A$1917), 2,FALSE), ""))</f>
        <v>14860</v>
      </c>
    </row>
    <row r="178" spans="1:7" ht="17">
      <c r="A178" s="1" t="s">
        <v>734</v>
      </c>
      <c r="B178" s="2" t="s">
        <v>735</v>
      </c>
      <c r="C178" s="2">
        <v>50</v>
      </c>
      <c r="D178" s="3">
        <v>2683</v>
      </c>
      <c r="E178" s="3">
        <v>11822</v>
      </c>
      <c r="F178" s="4">
        <v>540493</v>
      </c>
      <c r="G178" s="11" t="str" cm="1">
        <f t="array" aca="1" ref="G178" ca="1">IFERROR(VLOOKUP("*" &amp; B178  &amp; "*" &amp; (MID(CELL("filename",A177),FIND("]",CELL("filename",A177))+1,31)) &amp; "*",CHOOSE({1,2}, Super_CBSA!$B$2:$B$1917, Super_CBSA!$A$2:$A$1917), 2,FALSE), IFERROR(VLOOKUP(B178  &amp; "*",CHOOSE({1,2}, Super_CBSA!$E$2:$E$1917, Super_CBSA!$A$2:$A$1917), 2,FALSE), ""))</f>
        <v/>
      </c>
    </row>
    <row r="179" spans="1:7" ht="17">
      <c r="A179" s="1" t="s">
        <v>736</v>
      </c>
      <c r="B179" s="2" t="s">
        <v>737</v>
      </c>
      <c r="C179" s="2">
        <v>394</v>
      </c>
      <c r="D179" s="3">
        <v>12668</v>
      </c>
      <c r="E179" s="3">
        <v>51230</v>
      </c>
      <c r="F179" s="4">
        <v>2331869</v>
      </c>
      <c r="G179" s="11" t="str" cm="1">
        <f t="array" aca="1" ref="G179" ca="1">IFERROR(VLOOKUP("*" &amp; B179  &amp; "*" &amp; (MID(CELL("filename",A178),FIND("]",CELL("filename",A178))+1,31)) &amp; "*",CHOOSE({1,2}, Super_CBSA!$B$2:$B$1917, Super_CBSA!$A$2:$A$1917), 2,FALSE), IFERROR(VLOOKUP(B179  &amp; "*",CHOOSE({1,2}, Super_CBSA!$E$2:$E$1917, Super_CBSA!$A$2:$A$1917), 2,FALSE), ""))</f>
        <v/>
      </c>
    </row>
    <row r="180" spans="1:7" ht="17">
      <c r="A180" s="1" t="s">
        <v>738</v>
      </c>
      <c r="B180" s="2" t="s">
        <v>739</v>
      </c>
      <c r="C180" s="2">
        <v>47</v>
      </c>
      <c r="D180" s="3">
        <v>1945</v>
      </c>
      <c r="E180" s="3">
        <v>6178</v>
      </c>
      <c r="F180" s="4">
        <v>238713</v>
      </c>
      <c r="G180" s="11" t="str" cm="1">
        <f t="array" aca="1" ref="G180" ca="1">IFERROR(VLOOKUP("*" &amp; B180  &amp; "*" &amp; (MID(CELL("filename",A179),FIND("]",CELL("filename",A179))+1,31)) &amp; "*",CHOOSE({1,2}, Super_CBSA!$B$2:$B$1917, Super_CBSA!$A$2:$A$1917), 2,FALSE), IFERROR(VLOOKUP(B180  &amp; "*",CHOOSE({1,2}, Super_CBSA!$E$2:$E$1917, Super_CBSA!$A$2:$A$1917), 2,FALSE), ""))</f>
        <v/>
      </c>
    </row>
    <row r="181" spans="1:7" ht="17">
      <c r="A181" s="1" t="s">
        <v>740</v>
      </c>
      <c r="B181" s="2" t="s">
        <v>606</v>
      </c>
      <c r="C181" s="2">
        <v>348</v>
      </c>
      <c r="D181" s="3">
        <v>9357</v>
      </c>
      <c r="E181" s="3">
        <v>39283</v>
      </c>
      <c r="F181" s="4">
        <v>1482789</v>
      </c>
      <c r="G181" s="11" cm="1">
        <f t="array" aca="1" ref="G181" ca="1">IFERROR(VLOOKUP("*" &amp; B181  &amp; "*" &amp; (MID(CELL("filename",A180),FIND("]",CELL("filename",A180))+1,31)) &amp; "*",CHOOSE({1,2}, Super_CBSA!$B$2:$B$1917, Super_CBSA!$A$2:$A$1917), 2,FALSE), IFERROR(VLOOKUP(B181  &amp; "*",CHOOSE({1,2}, Super_CBSA!$E$2:$E$1917, Super_CBSA!$A$2:$A$1917), 2,FALSE), ""))</f>
        <v>41940</v>
      </c>
    </row>
    <row r="182" spans="1:7" ht="17">
      <c r="A182" s="1" t="s">
        <v>741</v>
      </c>
      <c r="B182" s="2" t="s">
        <v>742</v>
      </c>
      <c r="C182" s="2">
        <v>150</v>
      </c>
      <c r="D182" s="2">
        <v>680</v>
      </c>
      <c r="E182" s="3">
        <v>2891</v>
      </c>
      <c r="F182" s="4">
        <v>179602</v>
      </c>
      <c r="G182" s="11" t="str" cm="1">
        <f t="array" aca="1" ref="G182" ca="1">IFERROR(VLOOKUP("*" &amp; B182  &amp; "*" &amp; (MID(CELL("filename",A181),FIND("]",CELL("filename",A181))+1,31)) &amp; "*",CHOOSE({1,2}, Super_CBSA!$B$2:$B$1917, Super_CBSA!$A$2:$A$1917), 2,FALSE), IFERROR(VLOOKUP(B182  &amp; "*",CHOOSE({1,2}, Super_CBSA!$E$2:$E$1917, Super_CBSA!$A$2:$A$1917), 2,FALSE), ""))</f>
        <v/>
      </c>
    </row>
    <row r="183" spans="1:7" ht="17">
      <c r="A183" s="1" t="s">
        <v>743</v>
      </c>
      <c r="B183" s="2" t="s">
        <v>474</v>
      </c>
      <c r="C183" s="2">
        <v>365</v>
      </c>
      <c r="D183" s="3">
        <v>20686</v>
      </c>
      <c r="E183" s="3">
        <v>90961</v>
      </c>
      <c r="F183" s="4">
        <v>2439046</v>
      </c>
      <c r="G183" s="11" cm="1">
        <f t="array" aca="1" ref="G183" ca="1">IFERROR(VLOOKUP("*" &amp; B183  &amp; "*" &amp; (MID(CELL("filename",A182),FIND("]",CELL("filename",A182))+1,31)) &amp; "*",CHOOSE({1,2}, Super_CBSA!$B$2:$B$1917, Super_CBSA!$A$2:$A$1917), 2,FALSE), IFERROR(VLOOKUP(B183  &amp; "*",CHOOSE({1,2}, Super_CBSA!$E$2:$E$1917, Super_CBSA!$A$2:$A$1917), 2,FALSE), ""))</f>
        <v>41860</v>
      </c>
    </row>
    <row r="184" spans="1:7" ht="17">
      <c r="A184" s="1" t="s">
        <v>744</v>
      </c>
      <c r="B184" s="2" t="s">
        <v>745</v>
      </c>
      <c r="C184" s="2">
        <v>304</v>
      </c>
      <c r="D184" s="3">
        <v>10939</v>
      </c>
      <c r="E184" s="3">
        <v>52933</v>
      </c>
      <c r="F184" s="4">
        <v>0</v>
      </c>
      <c r="G184" s="11" t="str" cm="1">
        <f t="array" aca="1" ref="G184" ca="1">IFERROR(VLOOKUP("*" &amp; B184  &amp; "*" &amp; (MID(CELL("filename",A183),FIND("]",CELL("filename",A183))+1,31)) &amp; "*",CHOOSE({1,2}, Super_CBSA!$B$2:$B$1917, Super_CBSA!$A$2:$A$1917), 2,FALSE), IFERROR(VLOOKUP(B184  &amp; "*",CHOOSE({1,2}, Super_CBSA!$E$2:$E$1917, Super_CBSA!$A$2:$A$1917), 2,FALSE), ""))</f>
        <v/>
      </c>
    </row>
    <row r="185" spans="1:7" ht="17">
      <c r="A185" s="1" t="s">
        <v>746</v>
      </c>
      <c r="B185" s="2" t="s">
        <v>466</v>
      </c>
      <c r="C185" s="2">
        <v>204</v>
      </c>
      <c r="D185" s="3">
        <v>4692</v>
      </c>
      <c r="E185" s="3">
        <v>23619</v>
      </c>
      <c r="F185" s="4">
        <v>595128</v>
      </c>
      <c r="G185" s="11" cm="1">
        <f t="array" aca="1" ref="G185" ca="1">IFERROR(VLOOKUP("*" &amp; B185  &amp; "*" &amp; (MID(CELL("filename",A184),FIND("]",CELL("filename",A184))+1,31)) &amp; "*",CHOOSE({1,2}, Super_CBSA!$B$2:$B$1917, Super_CBSA!$A$2:$A$1917), 2,FALSE), IFERROR(VLOOKUP(B185  &amp; "*",CHOOSE({1,2}, Super_CBSA!$E$2:$E$1917, Super_CBSA!$A$2:$A$1917), 2,FALSE), ""))</f>
        <v>31080</v>
      </c>
    </row>
    <row r="186" spans="1:7" ht="17">
      <c r="A186" s="1" t="s">
        <v>747</v>
      </c>
      <c r="B186" s="2" t="s">
        <v>748</v>
      </c>
      <c r="C186" s="2">
        <v>0</v>
      </c>
      <c r="D186" s="2">
        <v>0</v>
      </c>
      <c r="E186" s="2">
        <v>0</v>
      </c>
      <c r="F186" s="4">
        <v>0</v>
      </c>
      <c r="G186" s="11" cm="1">
        <f t="array" aca="1" ref="G186" ca="1">IFERROR(VLOOKUP("*" &amp; B186  &amp; "*" &amp; (MID(CELL("filename",A185),FIND("]",CELL("filename",A185))+1,31)) &amp; "*",CHOOSE({1,2}, Super_CBSA!$B$2:$B$1917, Super_CBSA!$A$2:$A$1917), 2,FALSE), IFERROR(VLOOKUP(B186  &amp; "*",CHOOSE({1,2}, Super_CBSA!$E$2:$E$1917, Super_CBSA!$A$2:$A$1917), 2,FALSE), ""))</f>
        <v>40140</v>
      </c>
    </row>
    <row r="187" spans="1:7" ht="17">
      <c r="A187" s="1" t="s">
        <v>749</v>
      </c>
      <c r="B187" s="2" t="s">
        <v>592</v>
      </c>
      <c r="C187" s="2">
        <v>218</v>
      </c>
      <c r="D187" s="3">
        <v>11962</v>
      </c>
      <c r="E187" s="3">
        <v>45983</v>
      </c>
      <c r="F187" s="4">
        <v>1257751</v>
      </c>
      <c r="G187" s="11" t="str" cm="1">
        <f t="array" aca="1" ref="G187" ca="1">IFERROR(VLOOKUP("*" &amp; B187  &amp; "*" &amp; (MID(CELL("filename",A186),FIND("]",CELL("filename",A186))+1,31)) &amp; "*",CHOOSE({1,2}, Super_CBSA!$B$2:$B$1917, Super_CBSA!$A$2:$A$1917), 2,FALSE), IFERROR(VLOOKUP(B187  &amp; "*",CHOOSE({1,2}, Super_CBSA!$E$2:$E$1917, Super_CBSA!$A$2:$A$1917), 2,FALSE), ""))</f>
        <v/>
      </c>
    </row>
    <row r="188" spans="1:7" ht="17">
      <c r="A188" s="1" t="s">
        <v>750</v>
      </c>
      <c r="B188" s="2" t="s">
        <v>751</v>
      </c>
      <c r="C188" s="2">
        <v>282</v>
      </c>
      <c r="D188" s="3">
        <v>7691</v>
      </c>
      <c r="E188" s="3">
        <v>42386</v>
      </c>
      <c r="F188" s="4">
        <v>929900</v>
      </c>
      <c r="G188" s="11" t="str" cm="1">
        <f t="array" aca="1" ref="G188" ca="1">IFERROR(VLOOKUP("*" &amp; B188  &amp; "*" &amp; (MID(CELL("filename",A187),FIND("]",CELL("filename",A187))+1,31)) &amp; "*",CHOOSE({1,2}, Super_CBSA!$B$2:$B$1917, Super_CBSA!$A$2:$A$1917), 2,FALSE), IFERROR(VLOOKUP(B188  &amp; "*",CHOOSE({1,2}, Super_CBSA!$E$2:$E$1917, Super_CBSA!$A$2:$A$1917), 2,FALSE), ""))</f>
        <v/>
      </c>
    </row>
    <row r="189" spans="1:7" ht="17">
      <c r="A189" s="1" t="s">
        <v>752</v>
      </c>
      <c r="B189" s="2" t="s">
        <v>622</v>
      </c>
      <c r="C189" s="2">
        <v>0</v>
      </c>
      <c r="D189" s="2">
        <v>0</v>
      </c>
      <c r="E189" s="2">
        <v>0</v>
      </c>
      <c r="F189" s="4">
        <v>0</v>
      </c>
      <c r="G189" s="11" t="str" cm="1">
        <f t="array" aca="1" ref="G189" ca="1">IFERROR(VLOOKUP("*" &amp; B189  &amp; "*" &amp; (MID(CELL("filename",A188),FIND("]",CELL("filename",A188))+1,31)) &amp; "*",CHOOSE({1,2}, Super_CBSA!$B$2:$B$1917, Super_CBSA!$A$2:$A$1917), 2,FALSE), IFERROR(VLOOKUP(B189  &amp; "*",CHOOSE({1,2}, Super_CBSA!$E$2:$E$1917, Super_CBSA!$A$2:$A$1917), 2,FALSE), ""))</f>
        <v/>
      </c>
    </row>
    <row r="190" spans="1:7" ht="17">
      <c r="A190" s="1" t="s">
        <v>753</v>
      </c>
      <c r="B190" s="2" t="s">
        <v>754</v>
      </c>
      <c r="C190" s="2">
        <v>133</v>
      </c>
      <c r="D190" s="3">
        <v>13372</v>
      </c>
      <c r="E190" s="3">
        <v>45671</v>
      </c>
      <c r="F190" s="4">
        <v>907054</v>
      </c>
      <c r="G190" s="11" t="str" cm="1">
        <f t="array" aca="1" ref="G190" ca="1">IFERROR(VLOOKUP("*" &amp; B190  &amp; "*" &amp; (MID(CELL("filename",A189),FIND("]",CELL("filename",A189))+1,31)) &amp; "*",CHOOSE({1,2}, Super_CBSA!$B$2:$B$1917, Super_CBSA!$A$2:$A$1917), 2,FALSE), IFERROR(VLOOKUP(B190  &amp; "*",CHOOSE({1,2}, Super_CBSA!$E$2:$E$1917, Super_CBSA!$A$2:$A$1917), 2,FALSE), ""))</f>
        <v/>
      </c>
    </row>
    <row r="191" spans="1:7" ht="17">
      <c r="A191" s="1" t="s">
        <v>755</v>
      </c>
      <c r="B191" s="2" t="s">
        <v>756</v>
      </c>
      <c r="C191" s="2">
        <v>231</v>
      </c>
      <c r="D191" s="3">
        <v>3812</v>
      </c>
      <c r="E191" s="3">
        <v>18060</v>
      </c>
      <c r="F191" s="4">
        <v>153417</v>
      </c>
      <c r="G191" s="11" t="str" cm="1">
        <f t="array" aca="1" ref="G191" ca="1">IFERROR(VLOOKUP("*" &amp; B191  &amp; "*" &amp; (MID(CELL("filename",A190),FIND("]",CELL("filename",A190))+1,31)) &amp; "*",CHOOSE({1,2}, Super_CBSA!$B$2:$B$1917, Super_CBSA!$A$2:$A$1917), 2,FALSE), IFERROR(VLOOKUP(B191  &amp; "*",CHOOSE({1,2}, Super_CBSA!$E$2:$E$1917, Super_CBSA!$A$2:$A$1917), 2,FALSE), ""))</f>
        <v/>
      </c>
    </row>
    <row r="192" spans="1:7" ht="17">
      <c r="A192" s="1" t="s">
        <v>757</v>
      </c>
      <c r="B192" s="2" t="s">
        <v>758</v>
      </c>
      <c r="C192" s="2">
        <v>184</v>
      </c>
      <c r="D192" s="3">
        <v>8196</v>
      </c>
      <c r="E192" s="3">
        <v>33682</v>
      </c>
      <c r="F192" s="4">
        <v>1441416</v>
      </c>
      <c r="G192" s="11" t="str" cm="1">
        <f t="array" aca="1" ref="G192" ca="1">IFERROR(VLOOKUP("*" &amp; B192  &amp; "*" &amp; (MID(CELL("filename",A191),FIND("]",CELL("filename",A191))+1,31)) &amp; "*",CHOOSE({1,2}, Super_CBSA!$B$2:$B$1917, Super_CBSA!$A$2:$A$1917), 2,FALSE), IFERROR(VLOOKUP(B192  &amp; "*",CHOOSE({1,2}, Super_CBSA!$E$2:$E$1917, Super_CBSA!$A$2:$A$1917), 2,FALSE), ""))</f>
        <v/>
      </c>
    </row>
    <row r="193" spans="1:7" ht="17">
      <c r="A193" s="1" t="s">
        <v>759</v>
      </c>
      <c r="B193" s="2" t="s">
        <v>760</v>
      </c>
      <c r="C193" s="2">
        <v>51</v>
      </c>
      <c r="D193" s="2">
        <v>832</v>
      </c>
      <c r="E193" s="3">
        <v>2633</v>
      </c>
      <c r="F193" s="4">
        <v>63671</v>
      </c>
      <c r="G193" s="11" t="str" cm="1">
        <f t="array" aca="1" ref="G193" ca="1">IFERROR(VLOOKUP("*" &amp; B193  &amp; "*" &amp; (MID(CELL("filename",A192),FIND("]",CELL("filename",A192))+1,31)) &amp; "*",CHOOSE({1,2}, Super_CBSA!$B$2:$B$1917, Super_CBSA!$A$2:$A$1917), 2,FALSE), IFERROR(VLOOKUP(B193  &amp; "*",CHOOSE({1,2}, Super_CBSA!$E$2:$E$1917, Super_CBSA!$A$2:$A$1917), 2,FALSE), ""))</f>
        <v/>
      </c>
    </row>
    <row r="194" spans="1:7" ht="17">
      <c r="A194" s="1" t="s">
        <v>761</v>
      </c>
      <c r="B194" s="2" t="s">
        <v>762</v>
      </c>
      <c r="C194" s="2">
        <v>0</v>
      </c>
      <c r="D194" s="2">
        <v>0</v>
      </c>
      <c r="E194" s="2">
        <v>0</v>
      </c>
      <c r="F194" s="4">
        <v>0</v>
      </c>
      <c r="G194" s="11" t="str" cm="1">
        <f t="array" aca="1" ref="G194" ca="1">IFERROR(VLOOKUP("*" &amp; B194  &amp; "*" &amp; (MID(CELL("filename",A193),FIND("]",CELL("filename",A193))+1,31)) &amp; "*",CHOOSE({1,2}, Super_CBSA!$B$2:$B$1917, Super_CBSA!$A$2:$A$1917), 2,FALSE), IFERROR(VLOOKUP(B194  &amp; "*",CHOOSE({1,2}, Super_CBSA!$E$2:$E$1917, Super_CBSA!$A$2:$A$1917), 2,FALSE), ""))</f>
        <v/>
      </c>
    </row>
    <row r="195" spans="1:7" ht="17">
      <c r="A195" s="1" t="s">
        <v>763</v>
      </c>
      <c r="B195" s="2" t="s">
        <v>762</v>
      </c>
      <c r="C195" s="2">
        <v>329</v>
      </c>
      <c r="D195" s="3">
        <v>24148</v>
      </c>
      <c r="E195" s="3">
        <v>89760</v>
      </c>
      <c r="F195" s="4">
        <v>3293816</v>
      </c>
      <c r="G195" s="11" t="str" cm="1">
        <f t="array" aca="1" ref="G195" ca="1">IFERROR(VLOOKUP("*" &amp; B195  &amp; "*" &amp; (MID(CELL("filename",A194),FIND("]",CELL("filename",A194))+1,31)) &amp; "*",CHOOSE({1,2}, Super_CBSA!$B$2:$B$1917, Super_CBSA!$A$2:$A$1917), 2,FALSE), IFERROR(VLOOKUP(B195  &amp; "*",CHOOSE({1,2}, Super_CBSA!$E$2:$E$1917, Super_CBSA!$A$2:$A$1917), 2,FALSE), ""))</f>
        <v/>
      </c>
    </row>
    <row r="196" spans="1:7" ht="17">
      <c r="A196" s="1" t="s">
        <v>764</v>
      </c>
      <c r="B196" s="2" t="s">
        <v>765</v>
      </c>
      <c r="C196" s="2">
        <v>236</v>
      </c>
      <c r="D196" s="3">
        <v>5635</v>
      </c>
      <c r="E196" s="3">
        <v>19869</v>
      </c>
      <c r="F196" s="4">
        <v>837912</v>
      </c>
      <c r="G196" s="11" t="str" cm="1">
        <f t="array" aca="1" ref="G196" ca="1">IFERROR(VLOOKUP("*" &amp; B196  &amp; "*" &amp; (MID(CELL("filename",A195),FIND("]",CELL("filename",A195))+1,31)) &amp; "*",CHOOSE({1,2}, Super_CBSA!$B$2:$B$1917, Super_CBSA!$A$2:$A$1917), 2,FALSE), IFERROR(VLOOKUP(B196  &amp; "*",CHOOSE({1,2}, Super_CBSA!$E$2:$E$1917, Super_CBSA!$A$2:$A$1917), 2,FALSE), ""))</f>
        <v/>
      </c>
    </row>
    <row r="197" spans="1:7" ht="17">
      <c r="A197" s="1" t="s">
        <v>766</v>
      </c>
      <c r="B197" s="2" t="s">
        <v>714</v>
      </c>
      <c r="C197" s="2">
        <v>218</v>
      </c>
      <c r="D197" s="3">
        <v>8693</v>
      </c>
      <c r="E197" s="3">
        <v>33384</v>
      </c>
      <c r="F197" s="4">
        <v>1318936</v>
      </c>
      <c r="G197" s="11" t="str" cm="1">
        <f t="array" aca="1" ref="G197" ca="1">IFERROR(VLOOKUP("*" &amp; B197  &amp; "*" &amp; (MID(CELL("filename",A196),FIND("]",CELL("filename",A196))+1,31)) &amp; "*",CHOOSE({1,2}, Super_CBSA!$B$2:$B$1917, Super_CBSA!$A$2:$A$1917), 2,FALSE), IFERROR(VLOOKUP(B197  &amp; "*",CHOOSE({1,2}, Super_CBSA!$E$2:$E$1917, Super_CBSA!$A$2:$A$1917), 2,FALSE), ""))</f>
        <v/>
      </c>
    </row>
    <row r="198" spans="1:7" ht="17">
      <c r="A198" s="1" t="s">
        <v>767</v>
      </c>
      <c r="B198" s="2" t="s">
        <v>768</v>
      </c>
      <c r="C198" s="2">
        <v>291</v>
      </c>
      <c r="D198" s="3">
        <v>8313</v>
      </c>
      <c r="E198" s="3">
        <v>45720</v>
      </c>
      <c r="F198" s="4">
        <v>448416</v>
      </c>
      <c r="G198" s="11" t="str" cm="1">
        <f t="array" aca="1" ref="G198" ca="1">IFERROR(VLOOKUP("*" &amp; B198  &amp; "*" &amp; (MID(CELL("filename",A197),FIND("]",CELL("filename",A197))+1,31)) &amp; "*",CHOOSE({1,2}, Super_CBSA!$B$2:$B$1917, Super_CBSA!$A$2:$A$1917), 2,FALSE), IFERROR(VLOOKUP(B198  &amp; "*",CHOOSE({1,2}, Super_CBSA!$E$2:$E$1917, Super_CBSA!$A$2:$A$1917), 2,FALSE), ""))</f>
        <v/>
      </c>
    </row>
    <row r="199" spans="1:7" ht="17">
      <c r="A199" s="1" t="s">
        <v>769</v>
      </c>
      <c r="B199" s="2" t="s">
        <v>770</v>
      </c>
      <c r="C199" s="2">
        <v>191</v>
      </c>
      <c r="D199" s="3">
        <v>8149</v>
      </c>
      <c r="E199" s="3">
        <v>36311</v>
      </c>
      <c r="F199" s="4">
        <v>765922</v>
      </c>
      <c r="G199" s="11" cm="1">
        <f t="array" aca="1" ref="G199" ca="1">IFERROR(VLOOKUP("*" &amp; B199  &amp; "*" &amp; (MID(CELL("filename",A198),FIND("]",CELL("filename",A198))+1,31)) &amp; "*",CHOOSE({1,2}, Super_CBSA!$B$2:$B$1917, Super_CBSA!$A$2:$A$1917), 2,FALSE), IFERROR(VLOOKUP(B199  &amp; "*",CHOOSE({1,2}, Super_CBSA!$E$2:$E$1917, Super_CBSA!$A$2:$A$1917), 2,FALSE), ""))</f>
        <v>40140</v>
      </c>
    </row>
    <row r="200" spans="1:7" ht="17">
      <c r="A200" s="1" t="s">
        <v>771</v>
      </c>
      <c r="B200" s="2" t="s">
        <v>705</v>
      </c>
      <c r="C200" s="2">
        <v>10</v>
      </c>
      <c r="D200" s="2">
        <v>159</v>
      </c>
      <c r="E200" s="2">
        <v>306</v>
      </c>
      <c r="F200" s="4">
        <v>26974</v>
      </c>
      <c r="G200" s="11" cm="1">
        <f t="array" aca="1" ref="G200" ca="1">IFERROR(VLOOKUP("*" &amp; B200  &amp; "*" &amp; (MID(CELL("filename",A199),FIND("]",CELL("filename",A199))+1,31)) &amp; "*",CHOOSE({1,2}, Super_CBSA!$B$2:$B$1917, Super_CBSA!$A$2:$A$1917), 2,FALSE), IFERROR(VLOOKUP(B200  &amp; "*",CHOOSE({1,2}, Super_CBSA!$E$2:$E$1917, Super_CBSA!$A$2:$A$1917), 2,FALSE), ""))</f>
        <v>39820</v>
      </c>
    </row>
    <row r="201" spans="1:7" ht="17">
      <c r="A201" s="1" t="s">
        <v>772</v>
      </c>
      <c r="B201" s="2" t="s">
        <v>773</v>
      </c>
      <c r="C201" s="2">
        <v>80</v>
      </c>
      <c r="D201" s="3">
        <v>2700</v>
      </c>
      <c r="E201" s="3">
        <v>10742</v>
      </c>
      <c r="F201" s="4">
        <v>508592</v>
      </c>
      <c r="G201" s="11" cm="1">
        <f t="array" aca="1" ref="G201" ca="1">IFERROR(VLOOKUP("*" &amp; B201  &amp; "*" &amp; (MID(CELL("filename",A200),FIND("]",CELL("filename",A200))+1,31)) &amp; "*",CHOOSE({1,2}, Super_CBSA!$B$2:$B$1917, Super_CBSA!$A$2:$A$1917), 2,FALSE), IFERROR(VLOOKUP(B201  &amp; "*",CHOOSE({1,2}, Super_CBSA!$E$2:$E$1917, Super_CBSA!$A$2:$A$1917), 2,FALSE), ""))</f>
        <v>42220</v>
      </c>
    </row>
    <row r="202" spans="1:7" ht="17">
      <c r="A202" s="1" t="s">
        <v>774</v>
      </c>
      <c r="B202" s="2" t="s">
        <v>466</v>
      </c>
      <c r="C202" s="2">
        <v>333</v>
      </c>
      <c r="D202" s="3">
        <v>11622</v>
      </c>
      <c r="E202" s="3">
        <v>70890</v>
      </c>
      <c r="F202" s="4">
        <v>1877826</v>
      </c>
      <c r="G202" s="11" cm="1">
        <f t="array" aca="1" ref="G202" ca="1">IFERROR(VLOOKUP("*" &amp; B202  &amp; "*" &amp; (MID(CELL("filename",A201),FIND("]",CELL("filename",A201))+1,31)) &amp; "*",CHOOSE({1,2}, Super_CBSA!$B$2:$B$1917, Super_CBSA!$A$2:$A$1917), 2,FALSE), IFERROR(VLOOKUP(B202  &amp; "*",CHOOSE({1,2}, Super_CBSA!$E$2:$E$1917, Super_CBSA!$A$2:$A$1917), 2,FALSE), ""))</f>
        <v>31080</v>
      </c>
    </row>
    <row r="203" spans="1:7" ht="17">
      <c r="A203" s="1" t="s">
        <v>775</v>
      </c>
      <c r="B203" s="2" t="s">
        <v>436</v>
      </c>
      <c r="C203" s="2">
        <v>199</v>
      </c>
      <c r="D203" s="3">
        <v>9258</v>
      </c>
      <c r="E203" s="3">
        <v>32550</v>
      </c>
      <c r="F203" s="4">
        <v>1064796</v>
      </c>
      <c r="G203" s="11" t="str" cm="1">
        <f t="array" aca="1" ref="G203" ca="1">IFERROR(VLOOKUP("*" &amp; B203  &amp; "*" &amp; (MID(CELL("filename",A202),FIND("]",CELL("filename",A202))+1,31)) &amp; "*",CHOOSE({1,2}, Super_CBSA!$B$2:$B$1917, Super_CBSA!$A$2:$A$1917), 2,FALSE), IFERROR(VLOOKUP(B203  &amp; "*",CHOOSE({1,2}, Super_CBSA!$E$2:$E$1917, Super_CBSA!$A$2:$A$1917), 2,FALSE), ""))</f>
        <v/>
      </c>
    </row>
    <row r="204" spans="1:7" ht="17">
      <c r="A204" s="1" t="s">
        <v>776</v>
      </c>
      <c r="B204" s="2" t="s">
        <v>777</v>
      </c>
      <c r="C204" s="2">
        <v>404</v>
      </c>
      <c r="D204" s="3">
        <v>18850</v>
      </c>
      <c r="E204" s="3">
        <v>76844</v>
      </c>
      <c r="F204" s="4">
        <v>3798500</v>
      </c>
      <c r="G204" s="11" t="str" cm="1">
        <f t="array" aca="1" ref="G204" ca="1">IFERROR(VLOOKUP("*" &amp; B204  &amp; "*" &amp; (MID(CELL("filename",A203),FIND("]",CELL("filename",A203))+1,31)) &amp; "*",CHOOSE({1,2}, Super_CBSA!$B$2:$B$1917, Super_CBSA!$A$2:$A$1917), 2,FALSE), IFERROR(VLOOKUP(B204  &amp; "*",CHOOSE({1,2}, Super_CBSA!$E$2:$E$1917, Super_CBSA!$A$2:$A$1917), 2,FALSE), ""))</f>
        <v/>
      </c>
    </row>
    <row r="205" spans="1:7" ht="17">
      <c r="A205" s="1" t="s">
        <v>778</v>
      </c>
      <c r="B205" s="2" t="s">
        <v>779</v>
      </c>
      <c r="C205" s="2">
        <v>107</v>
      </c>
      <c r="D205" s="3">
        <v>4992</v>
      </c>
      <c r="E205" s="3">
        <v>20569</v>
      </c>
      <c r="F205" s="4">
        <v>458362</v>
      </c>
      <c r="G205" s="11" t="str" cm="1">
        <f t="array" aca="1" ref="G205" ca="1">IFERROR(VLOOKUP("*" &amp; B205  &amp; "*" &amp; (MID(CELL("filename",A204),FIND("]",CELL("filename",A204))+1,31)) &amp; "*",CHOOSE({1,2}, Super_CBSA!$B$2:$B$1917, Super_CBSA!$A$2:$A$1917), 2,FALSE), IFERROR(VLOOKUP(B205  &amp; "*",CHOOSE({1,2}, Super_CBSA!$E$2:$E$1917, Super_CBSA!$A$2:$A$1917), 2,FALSE), ""))</f>
        <v/>
      </c>
    </row>
    <row r="206" spans="1:7" ht="17">
      <c r="A206" s="1" t="s">
        <v>780</v>
      </c>
      <c r="B206" s="2" t="s">
        <v>781</v>
      </c>
      <c r="C206" s="2">
        <v>114</v>
      </c>
      <c r="D206" s="3">
        <v>2967</v>
      </c>
      <c r="E206" s="3">
        <v>9735</v>
      </c>
      <c r="F206" s="4">
        <v>885728</v>
      </c>
      <c r="G206" s="11" t="str" cm="1">
        <f t="array" aca="1" ref="G206" ca="1">IFERROR(VLOOKUP("*" &amp; B206  &amp; "*" &amp; (MID(CELL("filename",A205),FIND("]",CELL("filename",A205))+1,31)) &amp; "*",CHOOSE({1,2}, Super_CBSA!$B$2:$B$1917, Super_CBSA!$A$2:$A$1917), 2,FALSE), IFERROR(VLOOKUP(B206  &amp; "*",CHOOSE({1,2}, Super_CBSA!$E$2:$E$1917, Super_CBSA!$A$2:$A$1917), 2,FALSE), ""))</f>
        <v/>
      </c>
    </row>
    <row r="207" spans="1:7" ht="17">
      <c r="A207" s="1" t="s">
        <v>782</v>
      </c>
      <c r="B207" s="2" t="s">
        <v>504</v>
      </c>
      <c r="C207" s="2">
        <v>412</v>
      </c>
      <c r="D207" s="3">
        <v>21427</v>
      </c>
      <c r="E207" s="3">
        <v>100547</v>
      </c>
      <c r="F207" s="4">
        <v>4476735</v>
      </c>
      <c r="G207" s="11" t="str" cm="1">
        <f t="array" aca="1" ref="G207" ca="1">IFERROR(VLOOKUP("*" &amp; B207  &amp; "*" &amp; (MID(CELL("filename",A206),FIND("]",CELL("filename",A206))+1,31)) &amp; "*",CHOOSE({1,2}, Super_CBSA!$B$2:$B$1917, Super_CBSA!$A$2:$A$1917), 2,FALSE), IFERROR(VLOOKUP(B207  &amp; "*",CHOOSE({1,2}, Super_CBSA!$E$2:$E$1917, Super_CBSA!$A$2:$A$1917), 2,FALSE), ""))</f>
        <v/>
      </c>
    </row>
    <row r="208" spans="1:7" ht="17">
      <c r="A208" s="1" t="s">
        <v>783</v>
      </c>
      <c r="B208" s="2" t="s">
        <v>784</v>
      </c>
      <c r="C208" s="2">
        <v>44</v>
      </c>
      <c r="D208" s="2">
        <v>37</v>
      </c>
      <c r="E208" s="3">
        <v>1153</v>
      </c>
      <c r="F208" s="4">
        <v>154646</v>
      </c>
      <c r="G208" s="11" t="str" cm="1">
        <f t="array" aca="1" ref="G208" ca="1">IFERROR(VLOOKUP("*" &amp; B208  &amp; "*" &amp; (MID(CELL("filename",A207),FIND("]",CELL("filename",A207))+1,31)) &amp; "*",CHOOSE({1,2}, Super_CBSA!$B$2:$B$1917, Super_CBSA!$A$2:$A$1917), 2,FALSE), IFERROR(VLOOKUP(B208  &amp; "*",CHOOSE({1,2}, Super_CBSA!$E$2:$E$1917, Super_CBSA!$A$2:$A$1917), 2,FALSE), ""))</f>
        <v/>
      </c>
    </row>
    <row r="209" spans="1:7" ht="17">
      <c r="A209" s="1" t="s">
        <v>785</v>
      </c>
      <c r="B209" s="2" t="s">
        <v>786</v>
      </c>
      <c r="C209" s="2">
        <v>246</v>
      </c>
      <c r="D209" s="3">
        <v>12823</v>
      </c>
      <c r="E209" s="3">
        <v>52685</v>
      </c>
      <c r="F209" s="4">
        <v>1292573</v>
      </c>
      <c r="G209" s="11" t="str" cm="1">
        <f t="array" aca="1" ref="G209" ca="1">IFERROR(VLOOKUP("*" &amp; B209  &amp; "*" &amp; (MID(CELL("filename",A208),FIND("]",CELL("filename",A208))+1,31)) &amp; "*",CHOOSE({1,2}, Super_CBSA!$B$2:$B$1917, Super_CBSA!$A$2:$A$1917), 2,FALSE), IFERROR(VLOOKUP(B209  &amp; "*",CHOOSE({1,2}, Super_CBSA!$E$2:$E$1917, Super_CBSA!$A$2:$A$1917), 2,FALSE), ""))</f>
        <v/>
      </c>
    </row>
    <row r="210" spans="1:7" ht="17">
      <c r="A210" s="1" t="s">
        <v>787</v>
      </c>
      <c r="B210" s="2" t="s">
        <v>788</v>
      </c>
      <c r="C210" s="2">
        <v>377</v>
      </c>
      <c r="D210" s="3">
        <v>17839</v>
      </c>
      <c r="E210" s="3">
        <v>81440</v>
      </c>
      <c r="F210" s="4">
        <v>2602446</v>
      </c>
      <c r="G210" s="11" t="str" cm="1">
        <f t="array" aca="1" ref="G210" ca="1">IFERROR(VLOOKUP("*" &amp; B210  &amp; "*" &amp; (MID(CELL("filename",A209),FIND("]",CELL("filename",A209))+1,31)) &amp; "*",CHOOSE({1,2}, Super_CBSA!$B$2:$B$1917, Super_CBSA!$A$2:$A$1917), 2,FALSE), IFERROR(VLOOKUP(B210  &amp; "*",CHOOSE({1,2}, Super_CBSA!$E$2:$E$1917, Super_CBSA!$A$2:$A$1917), 2,FALSE), ""))</f>
        <v/>
      </c>
    </row>
    <row r="211" spans="1:7" ht="17">
      <c r="A211" s="1" t="s">
        <v>789</v>
      </c>
      <c r="B211" s="2" t="s">
        <v>790</v>
      </c>
      <c r="C211" s="2">
        <v>356</v>
      </c>
      <c r="D211" s="3">
        <v>5330</v>
      </c>
      <c r="E211" s="3">
        <v>24644</v>
      </c>
      <c r="F211" s="4">
        <v>776876</v>
      </c>
      <c r="G211" s="11" t="str" cm="1">
        <f t="array" aca="1" ref="G211" ca="1">IFERROR(VLOOKUP("*" &amp; B211  &amp; "*" &amp; (MID(CELL("filename",A210),FIND("]",CELL("filename",A210))+1,31)) &amp; "*",CHOOSE({1,2}, Super_CBSA!$B$2:$B$1917, Super_CBSA!$A$2:$A$1917), 2,FALSE), IFERROR(VLOOKUP(B211  &amp; "*",CHOOSE({1,2}, Super_CBSA!$E$2:$E$1917, Super_CBSA!$A$2:$A$1917), 2,FALSE), ""))</f>
        <v/>
      </c>
    </row>
    <row r="212" spans="1:7" ht="17">
      <c r="A212" s="1" t="s">
        <v>791</v>
      </c>
      <c r="B212" s="2" t="s">
        <v>611</v>
      </c>
      <c r="C212" s="2">
        <v>442</v>
      </c>
      <c r="D212" s="3">
        <v>17980</v>
      </c>
      <c r="E212" s="3">
        <v>74460</v>
      </c>
      <c r="F212" s="4">
        <v>2065567</v>
      </c>
      <c r="G212" s="11" cm="1">
        <f t="array" aca="1" ref="G212" ca="1">IFERROR(VLOOKUP("*" &amp; B212  &amp; "*" &amp; (MID(CELL("filename",A211),FIND("]",CELL("filename",A211))+1,31)) &amp; "*",CHOOSE({1,2}, Super_CBSA!$B$2:$B$1917, Super_CBSA!$A$2:$A$1917), 2,FALSE), IFERROR(VLOOKUP(B212  &amp; "*",CHOOSE({1,2}, Super_CBSA!$E$2:$E$1917, Super_CBSA!$A$2:$A$1917), 2,FALSE), ""))</f>
        <v>10740</v>
      </c>
    </row>
    <row r="213" spans="1:7" ht="17">
      <c r="A213" s="1" t="s">
        <v>792</v>
      </c>
      <c r="B213" s="2" t="s">
        <v>793</v>
      </c>
      <c r="C213" s="2">
        <v>392</v>
      </c>
      <c r="D213" s="3">
        <v>15964</v>
      </c>
      <c r="E213" s="3">
        <v>73132</v>
      </c>
      <c r="F213" s="4">
        <v>2487010</v>
      </c>
      <c r="G213" s="11" t="str" cm="1">
        <f t="array" aca="1" ref="G213" ca="1">IFERROR(VLOOKUP("*" &amp; B213  &amp; "*" &amp; (MID(CELL("filename",A212),FIND("]",CELL("filename",A212))+1,31)) &amp; "*",CHOOSE({1,2}, Super_CBSA!$B$2:$B$1917, Super_CBSA!$A$2:$A$1917), 2,FALSE), IFERROR(VLOOKUP(B213  &amp; "*",CHOOSE({1,2}, Super_CBSA!$E$2:$E$1917, Super_CBSA!$A$2:$A$1917), 2,FALSE), ""))</f>
        <v/>
      </c>
    </row>
    <row r="214" spans="1:7" ht="17">
      <c r="A214" s="1" t="s">
        <v>794</v>
      </c>
      <c r="B214" s="2" t="s">
        <v>795</v>
      </c>
      <c r="C214" s="2">
        <v>166</v>
      </c>
      <c r="D214" s="3">
        <v>6423</v>
      </c>
      <c r="E214" s="3">
        <v>29505</v>
      </c>
      <c r="F214" s="4">
        <v>1498558</v>
      </c>
      <c r="G214" s="11" cm="1">
        <f t="array" aca="1" ref="G214" ca="1">IFERROR(VLOOKUP("*" &amp; B214  &amp; "*" &amp; (MID(CELL("filename",A213),FIND("]",CELL("filename",A213))+1,31)) &amp; "*",CHOOSE({1,2}, Super_CBSA!$B$2:$B$1917, Super_CBSA!$A$2:$A$1917), 2,FALSE), IFERROR(VLOOKUP(B214  &amp; "*",CHOOSE({1,2}, Super_CBSA!$E$2:$E$1917, Super_CBSA!$A$2:$A$1917), 2,FALSE), ""))</f>
        <v>34900</v>
      </c>
    </row>
    <row r="215" spans="1:7" ht="17">
      <c r="A215" s="1" t="s">
        <v>796</v>
      </c>
      <c r="B215" s="2" t="s">
        <v>436</v>
      </c>
      <c r="C215" s="2">
        <v>189</v>
      </c>
      <c r="D215" s="3">
        <v>2130</v>
      </c>
      <c r="E215" s="3">
        <v>21982</v>
      </c>
      <c r="F215" s="4">
        <v>769510</v>
      </c>
      <c r="G215" s="11" t="str" cm="1">
        <f t="array" aca="1" ref="G215" ca="1">IFERROR(VLOOKUP("*" &amp; B215  &amp; "*" &amp; (MID(CELL("filename",A214),FIND("]",CELL("filename",A214))+1,31)) &amp; "*",CHOOSE({1,2}, Super_CBSA!$B$2:$B$1917, Super_CBSA!$A$2:$A$1917), 2,FALSE), IFERROR(VLOOKUP(B215  &amp; "*",CHOOSE({1,2}, Super_CBSA!$E$2:$E$1917, Super_CBSA!$A$2:$A$1917), 2,FALSE), ""))</f>
        <v/>
      </c>
    </row>
    <row r="216" spans="1:7" ht="17">
      <c r="A216" s="1" t="s">
        <v>797</v>
      </c>
      <c r="B216" s="2" t="s">
        <v>657</v>
      </c>
      <c r="C216" s="2">
        <v>240</v>
      </c>
      <c r="D216" s="3">
        <v>15834</v>
      </c>
      <c r="E216" s="3">
        <v>52738</v>
      </c>
      <c r="F216" s="4">
        <v>1426302</v>
      </c>
      <c r="G216" s="11" t="str" cm="1">
        <f t="array" aca="1" ref="G216" ca="1">IFERROR(VLOOKUP("*" &amp; B216  &amp; "*" &amp; (MID(CELL("filename",A215),FIND("]",CELL("filename",A215))+1,31)) &amp; "*",CHOOSE({1,2}, Super_CBSA!$B$2:$B$1917, Super_CBSA!$A$2:$A$1917), 2,FALSE), IFERROR(VLOOKUP(B216  &amp; "*",CHOOSE({1,2}, Super_CBSA!$E$2:$E$1917, Super_CBSA!$A$2:$A$1917), 2,FALSE), ""))</f>
        <v/>
      </c>
    </row>
    <row r="217" spans="1:7" ht="17">
      <c r="A217" s="1" t="s">
        <v>798</v>
      </c>
      <c r="B217" s="2" t="s">
        <v>660</v>
      </c>
      <c r="C217" s="2">
        <v>229</v>
      </c>
      <c r="D217" s="3">
        <v>11603</v>
      </c>
      <c r="E217" s="3">
        <v>48896</v>
      </c>
      <c r="F217" s="4">
        <v>1745834</v>
      </c>
      <c r="G217" s="11" t="str" cm="1">
        <f t="array" aca="1" ref="G217" ca="1">IFERROR(VLOOKUP("*" &amp; B217  &amp; "*" &amp; (MID(CELL("filename",A216),FIND("]",CELL("filename",A216))+1,31)) &amp; "*",CHOOSE({1,2}, Super_CBSA!$B$2:$B$1917, Super_CBSA!$A$2:$A$1917), 2,FALSE), IFERROR(VLOOKUP(B217  &amp; "*",CHOOSE({1,2}, Super_CBSA!$E$2:$E$1917, Super_CBSA!$A$2:$A$1917), 2,FALSE), ""))</f>
        <v/>
      </c>
    </row>
    <row r="218" spans="1:7" ht="17">
      <c r="A218" s="1" t="s">
        <v>799</v>
      </c>
      <c r="B218" s="2" t="s">
        <v>800</v>
      </c>
      <c r="C218" s="2">
        <v>149</v>
      </c>
      <c r="D218" s="3">
        <v>8205</v>
      </c>
      <c r="E218" s="3">
        <v>29624</v>
      </c>
      <c r="F218" s="4">
        <v>839827</v>
      </c>
      <c r="G218" s="11" t="str" cm="1">
        <f t="array" aca="1" ref="G218" ca="1">IFERROR(VLOOKUP("*" &amp; B218  &amp; "*" &amp; (MID(CELL("filename",A217),FIND("]",CELL("filename",A217))+1,31)) &amp; "*",CHOOSE({1,2}, Super_CBSA!$B$2:$B$1917, Super_CBSA!$A$2:$A$1917), 2,FALSE), IFERROR(VLOOKUP(B218  &amp; "*",CHOOSE({1,2}, Super_CBSA!$E$2:$E$1917, Super_CBSA!$A$2:$A$1917), 2,FALSE), ""))</f>
        <v/>
      </c>
    </row>
    <row r="219" spans="1:7" ht="17">
      <c r="A219" s="1" t="s">
        <v>801</v>
      </c>
      <c r="B219" s="2" t="s">
        <v>606</v>
      </c>
      <c r="C219" s="2">
        <v>258</v>
      </c>
      <c r="D219" s="3">
        <v>14893</v>
      </c>
      <c r="E219" s="3">
        <v>80140</v>
      </c>
      <c r="F219" s="4">
        <v>4387642</v>
      </c>
      <c r="G219" s="11" cm="1">
        <f t="array" aca="1" ref="G219" ca="1">IFERROR(VLOOKUP("*" &amp; B219  &amp; "*" &amp; (MID(CELL("filename",A218),FIND("]",CELL("filename",A218))+1,31)) &amp; "*",CHOOSE({1,2}, Super_CBSA!$B$2:$B$1917, Super_CBSA!$A$2:$A$1917), 2,FALSE), IFERROR(VLOOKUP(B219  &amp; "*",CHOOSE({1,2}, Super_CBSA!$E$2:$E$1917, Super_CBSA!$A$2:$A$1917), 2,FALSE), ""))</f>
        <v>41940</v>
      </c>
    </row>
    <row r="220" spans="1:7" ht="17">
      <c r="A220" s="1" t="s">
        <v>802</v>
      </c>
      <c r="B220" s="2" t="s">
        <v>803</v>
      </c>
      <c r="C220" s="2">
        <v>0</v>
      </c>
      <c r="D220" s="2">
        <v>0</v>
      </c>
      <c r="E220" s="2">
        <v>0</v>
      </c>
      <c r="F220" s="4">
        <v>0</v>
      </c>
      <c r="G220" s="11" cm="1">
        <f t="array" aca="1" ref="G220" ca="1">IFERROR(VLOOKUP("*" &amp; B220  &amp; "*" &amp; (MID(CELL("filename",A219),FIND("]",CELL("filename",A219))+1,31)) &amp; "*",CHOOSE({1,2}, Super_CBSA!$B$2:$B$1917, Super_CBSA!$A$2:$A$1917), 2,FALSE), IFERROR(VLOOKUP(B220  &amp; "*",CHOOSE({1,2}, Super_CBSA!$E$2:$E$1917, Super_CBSA!$A$2:$A$1917), 2,FALSE), ""))</f>
        <v>12260</v>
      </c>
    </row>
    <row r="221" spans="1:7" ht="17">
      <c r="A221" s="1" t="s">
        <v>804</v>
      </c>
      <c r="B221" s="2" t="s">
        <v>770</v>
      </c>
      <c r="C221" s="2">
        <v>478</v>
      </c>
      <c r="D221" s="3">
        <v>24300</v>
      </c>
      <c r="E221" s="3">
        <v>122460</v>
      </c>
      <c r="F221" s="4">
        <v>5263182</v>
      </c>
      <c r="G221" s="11" cm="1">
        <f t="array" aca="1" ref="G221" ca="1">IFERROR(VLOOKUP("*" &amp; B221  &amp; "*" &amp; (MID(CELL("filename",A220),FIND("]",CELL("filename",A220))+1,31)) &amp; "*",CHOOSE({1,2}, Super_CBSA!$B$2:$B$1917, Super_CBSA!$A$2:$A$1917), 2,FALSE), IFERROR(VLOOKUP(B221  &amp; "*",CHOOSE({1,2}, Super_CBSA!$E$2:$E$1917, Super_CBSA!$A$2:$A$1917), 2,FALSE), ""))</f>
        <v>40140</v>
      </c>
    </row>
    <row r="222" spans="1:7" ht="17">
      <c r="A222" s="1" t="s">
        <v>805</v>
      </c>
      <c r="B222" s="2" t="s">
        <v>770</v>
      </c>
      <c r="C222" s="2">
        <v>226</v>
      </c>
      <c r="D222" s="3">
        <v>10014</v>
      </c>
      <c r="E222" s="3">
        <v>44187</v>
      </c>
      <c r="F222" s="4">
        <v>54518</v>
      </c>
      <c r="G222" s="11" cm="1">
        <f t="array" aca="1" ref="G222" ca="1">IFERROR(VLOOKUP("*" &amp; B222  &amp; "*" &amp; (MID(CELL("filename",A221),FIND("]",CELL("filename",A221))+1,31)) &amp; "*",CHOOSE({1,2}, Super_CBSA!$B$2:$B$1917, Super_CBSA!$A$2:$A$1917), 2,FALSE), IFERROR(VLOOKUP(B222  &amp; "*",CHOOSE({1,2}, Super_CBSA!$E$2:$E$1917, Super_CBSA!$A$2:$A$1917), 2,FALSE), ""))</f>
        <v>40140</v>
      </c>
    </row>
    <row r="223" spans="1:7" ht="17">
      <c r="A223" s="1" t="s">
        <v>806</v>
      </c>
      <c r="B223" s="2" t="s">
        <v>724</v>
      </c>
      <c r="C223" s="2">
        <v>423</v>
      </c>
      <c r="D223" s="3">
        <v>19790</v>
      </c>
      <c r="E223" s="3">
        <v>114211</v>
      </c>
      <c r="F223" s="4">
        <v>1709080</v>
      </c>
      <c r="G223" s="11" t="str" cm="1">
        <f t="array" aca="1" ref="G223" ca="1">IFERROR(VLOOKUP("*" &amp; B223  &amp; "*" &amp; (MID(CELL("filename",A222),FIND("]",CELL("filename",A222))+1,31)) &amp; "*",CHOOSE({1,2}, Super_CBSA!$B$2:$B$1917, Super_CBSA!$A$2:$A$1917), 2,FALSE), IFERROR(VLOOKUP(B223  &amp; "*",CHOOSE({1,2}, Super_CBSA!$E$2:$E$1917, Super_CBSA!$A$2:$A$1917), 2,FALSE), ""))</f>
        <v/>
      </c>
    </row>
    <row r="224" spans="1:7" ht="17">
      <c r="A224" s="1" t="s">
        <v>807</v>
      </c>
      <c r="B224" s="2" t="s">
        <v>808</v>
      </c>
      <c r="C224" s="2">
        <v>0</v>
      </c>
      <c r="D224" s="2">
        <v>0</v>
      </c>
      <c r="E224" s="2">
        <v>0</v>
      </c>
      <c r="F224" s="4">
        <v>0</v>
      </c>
      <c r="G224" s="11" t="str" cm="1">
        <f t="array" aca="1" ref="G224" ca="1">IFERROR(VLOOKUP("*" &amp; B224  &amp; "*" &amp; (MID(CELL("filename",A223),FIND("]",CELL("filename",A223))+1,31)) &amp; "*",CHOOSE({1,2}, Super_CBSA!$B$2:$B$1917, Super_CBSA!$A$2:$A$1917), 2,FALSE), IFERROR(VLOOKUP(B224  &amp; "*",CHOOSE({1,2}, Super_CBSA!$E$2:$E$1917, Super_CBSA!$A$2:$A$1917), 2,FALSE), ""))</f>
        <v/>
      </c>
    </row>
    <row r="225" spans="1:7" ht="17">
      <c r="A225" s="1" t="s">
        <v>809</v>
      </c>
      <c r="B225" s="2" t="s">
        <v>466</v>
      </c>
      <c r="C225" s="2">
        <v>445</v>
      </c>
      <c r="D225" s="3">
        <v>22945</v>
      </c>
      <c r="E225" s="3">
        <v>166121</v>
      </c>
      <c r="F225" s="4">
        <v>5140535</v>
      </c>
      <c r="G225" s="11" cm="1">
        <f t="array" aca="1" ref="G225" ca="1">IFERROR(VLOOKUP("*" &amp; B225  &amp; "*" &amp; (MID(CELL("filename",A224),FIND("]",CELL("filename",A224))+1,31)) &amp; "*",CHOOSE({1,2}, Super_CBSA!$B$2:$B$1917, Super_CBSA!$A$2:$A$1917), 2,FALSE), IFERROR(VLOOKUP(B225  &amp; "*",CHOOSE({1,2}, Super_CBSA!$E$2:$E$1917, Super_CBSA!$A$2:$A$1917), 2,FALSE), ""))</f>
        <v>31080</v>
      </c>
    </row>
    <row r="226" spans="1:7" ht="17">
      <c r="A226" s="1" t="s">
        <v>810</v>
      </c>
      <c r="B226" s="2" t="s">
        <v>697</v>
      </c>
      <c r="C226" s="2">
        <v>287</v>
      </c>
      <c r="D226" s="3">
        <v>12242</v>
      </c>
      <c r="E226" s="3">
        <v>49780</v>
      </c>
      <c r="F226" s="4">
        <v>2152881</v>
      </c>
      <c r="G226" s="11" cm="1">
        <f t="array" aca="1" ref="G226" ca="1">IFERROR(VLOOKUP("*" &amp; B226  &amp; "*" &amp; (MID(CELL("filename",A225),FIND("]",CELL("filename",A225))+1,31)) &amp; "*",CHOOSE({1,2}, Super_CBSA!$B$2:$B$1917, Super_CBSA!$A$2:$A$1917), 2,FALSE), IFERROR(VLOOKUP(B226  &amp; "*",CHOOSE({1,2}, Super_CBSA!$E$2:$E$1917, Super_CBSA!$A$2:$A$1917), 2,FALSE), ""))</f>
        <v>40900</v>
      </c>
    </row>
    <row r="227" spans="1:7" ht="17">
      <c r="A227" s="1" t="s">
        <v>811</v>
      </c>
      <c r="B227" s="2" t="s">
        <v>812</v>
      </c>
      <c r="C227" s="2">
        <v>248</v>
      </c>
      <c r="D227" s="3">
        <v>11939</v>
      </c>
      <c r="E227" s="3">
        <v>46100</v>
      </c>
      <c r="F227" s="4">
        <v>1323941</v>
      </c>
      <c r="G227" s="11" t="str" cm="1">
        <f t="array" aca="1" ref="G227" ca="1">IFERROR(VLOOKUP("*" &amp; B227  &amp; "*" &amp; (MID(CELL("filename",A226),FIND("]",CELL("filename",A226))+1,31)) &amp; "*",CHOOSE({1,2}, Super_CBSA!$B$2:$B$1917, Super_CBSA!$A$2:$A$1917), 2,FALSE), IFERROR(VLOOKUP(B227  &amp; "*",CHOOSE({1,2}, Super_CBSA!$E$2:$E$1917, Super_CBSA!$A$2:$A$1917), 2,FALSE), ""))</f>
        <v/>
      </c>
    </row>
    <row r="228" spans="1:7" ht="17">
      <c r="A228" s="1" t="s">
        <v>813</v>
      </c>
      <c r="B228" s="2" t="s">
        <v>537</v>
      </c>
      <c r="C228" s="2">
        <v>385</v>
      </c>
      <c r="D228" s="3">
        <v>24569</v>
      </c>
      <c r="E228" s="3">
        <v>118121</v>
      </c>
      <c r="F228" s="4">
        <v>1924865</v>
      </c>
      <c r="G228" s="11" cm="1">
        <f t="array" aca="1" ref="G228" ca="1">IFERROR(VLOOKUP("*" &amp; B228  &amp; "*" &amp; (MID(CELL("filename",A227),FIND("]",CELL("filename",A227))+1,31)) &amp; "*",CHOOSE({1,2}, Super_CBSA!$B$2:$B$1917, Super_CBSA!$A$2:$A$1917), 2,FALSE), IFERROR(VLOOKUP(B228  &amp; "*",CHOOSE({1,2}, Super_CBSA!$E$2:$E$1917, Super_CBSA!$A$2:$A$1917), 2,FALSE), ""))</f>
        <v>23420</v>
      </c>
    </row>
    <row r="229" spans="1:7" ht="17">
      <c r="A229" s="1" t="s">
        <v>814</v>
      </c>
      <c r="B229" s="2" t="s">
        <v>530</v>
      </c>
      <c r="C229" s="2">
        <v>328</v>
      </c>
      <c r="D229" s="3">
        <v>15307</v>
      </c>
      <c r="E229" s="3">
        <v>66653</v>
      </c>
      <c r="F229" s="4">
        <v>1876590</v>
      </c>
      <c r="G229" s="11" cm="1">
        <f t="array" aca="1" ref="G229" ca="1">IFERROR(VLOOKUP("*" &amp; B229  &amp; "*" &amp; (MID(CELL("filename",A228),FIND("]",CELL("filename",A228))+1,31)) &amp; "*",CHOOSE({1,2}, Super_CBSA!$B$2:$B$1917, Super_CBSA!$A$2:$A$1917), 2,FALSE), IFERROR(VLOOKUP(B229  &amp; "*",CHOOSE({1,2}, Super_CBSA!$E$2:$E$1917, Super_CBSA!$A$2:$A$1917), 2,FALSE), ""))</f>
        <v>40140</v>
      </c>
    </row>
    <row r="230" spans="1:7" ht="17">
      <c r="A230" s="1" t="s">
        <v>815</v>
      </c>
      <c r="B230" s="2" t="s">
        <v>816</v>
      </c>
      <c r="C230" s="2">
        <v>49</v>
      </c>
      <c r="D230" s="3">
        <v>3191</v>
      </c>
      <c r="E230" s="3">
        <v>10864</v>
      </c>
      <c r="F230" s="4">
        <v>503268</v>
      </c>
      <c r="G230" s="11" cm="1">
        <f t="array" aca="1" ref="G230" ca="1">IFERROR(VLOOKUP("*" &amp; B230  &amp; "*" &amp; (MID(CELL("filename",A229),FIND("]",CELL("filename",A229))+1,31)) &amp; "*",CHOOSE({1,2}, Super_CBSA!$B$2:$B$1917, Super_CBSA!$A$2:$A$1917), 2,FALSE), IFERROR(VLOOKUP(B230  &amp; "*",CHOOSE({1,2}, Super_CBSA!$E$2:$E$1917, Super_CBSA!$A$2:$A$1917), 2,FALSE), ""))</f>
        <v>39780</v>
      </c>
    </row>
    <row r="231" spans="1:7" ht="17">
      <c r="A231" s="1" t="s">
        <v>817</v>
      </c>
      <c r="B231" s="2" t="s">
        <v>818</v>
      </c>
      <c r="C231" s="2">
        <v>374</v>
      </c>
      <c r="D231" s="3">
        <v>19807</v>
      </c>
      <c r="E231" s="3">
        <v>101094</v>
      </c>
      <c r="F231" s="4">
        <v>1896998</v>
      </c>
      <c r="G231" s="11" t="str" cm="1">
        <f t="array" aca="1" ref="G231" ca="1">IFERROR(VLOOKUP("*" &amp; B231  &amp; "*" &amp; (MID(CELL("filename",A230),FIND("]",CELL("filename",A230))+1,31)) &amp; "*",CHOOSE({1,2}, Super_CBSA!$B$2:$B$1917, Super_CBSA!$A$2:$A$1917), 2,FALSE), IFERROR(VLOOKUP(B231  &amp; "*",CHOOSE({1,2}, Super_CBSA!$E$2:$E$1917, Super_CBSA!$A$2:$A$1917), 2,FALSE), ""))</f>
        <v/>
      </c>
    </row>
    <row r="232" spans="1:7" ht="17">
      <c r="A232" s="1" t="s">
        <v>819</v>
      </c>
      <c r="B232" s="2" t="s">
        <v>512</v>
      </c>
      <c r="C232" s="2">
        <v>211</v>
      </c>
      <c r="D232" s="3">
        <v>3621</v>
      </c>
      <c r="E232" s="3">
        <v>17732</v>
      </c>
      <c r="F232" s="4">
        <v>926481</v>
      </c>
      <c r="G232" s="11" cm="1">
        <f t="array" aca="1" ref="G232" ca="1">IFERROR(VLOOKUP("*" &amp; B232  &amp; "*" &amp; (MID(CELL("filename",A231),FIND("]",CELL("filename",A231))+1,31)) &amp; "*",CHOOSE({1,2}, Super_CBSA!$B$2:$B$1917, Super_CBSA!$A$2:$A$1917), 2,FALSE), IFERROR(VLOOKUP(B232  &amp; "*",CHOOSE({1,2}, Super_CBSA!$E$2:$E$1917, Super_CBSA!$A$2:$A$1917), 2,FALSE), ""))</f>
        <v>41860</v>
      </c>
    </row>
    <row r="233" spans="1:7" ht="17">
      <c r="A233" s="1" t="s">
        <v>820</v>
      </c>
      <c r="B233" s="2" t="s">
        <v>821</v>
      </c>
      <c r="C233" s="2">
        <v>155</v>
      </c>
      <c r="D233" s="3">
        <v>3806</v>
      </c>
      <c r="E233" s="3">
        <v>14616</v>
      </c>
      <c r="F233" s="4">
        <v>558290</v>
      </c>
      <c r="G233" s="11" t="str" cm="1">
        <f t="array" aca="1" ref="G233" ca="1">IFERROR(VLOOKUP("*" &amp; B233  &amp; "*" &amp; (MID(CELL("filename",A232),FIND("]",CELL("filename",A232))+1,31)) &amp; "*",CHOOSE({1,2}, Super_CBSA!$B$2:$B$1917, Super_CBSA!$A$2:$A$1917), 2,FALSE), IFERROR(VLOOKUP(B233  &amp; "*",CHOOSE({1,2}, Super_CBSA!$E$2:$E$1917, Super_CBSA!$A$2:$A$1917), 2,FALSE), ""))</f>
        <v/>
      </c>
    </row>
    <row r="234" spans="1:7" ht="17">
      <c r="A234" s="1" t="s">
        <v>822</v>
      </c>
      <c r="B234" s="2" t="s">
        <v>823</v>
      </c>
      <c r="C234" s="2">
        <v>265</v>
      </c>
      <c r="D234" s="3">
        <v>10593</v>
      </c>
      <c r="E234" s="3">
        <v>50030</v>
      </c>
      <c r="F234" s="4">
        <v>1551509</v>
      </c>
      <c r="G234" s="11" cm="1">
        <f t="array" aca="1" ref="G234" ca="1">IFERROR(VLOOKUP("*" &amp; B234  &amp; "*" &amp; (MID(CELL("filename",A233),FIND("]",CELL("filename",A233))+1,31)) &amp; "*",CHOOSE({1,2}, Super_CBSA!$B$2:$B$1917, Super_CBSA!$A$2:$A$1917), 2,FALSE), IFERROR(VLOOKUP(B234  &amp; "*",CHOOSE({1,2}, Super_CBSA!$E$2:$E$1917, Super_CBSA!$A$2:$A$1917), 2,FALSE), ""))</f>
        <v>37100</v>
      </c>
    </row>
    <row r="235" spans="1:7" ht="17">
      <c r="A235" s="1" t="s">
        <v>824</v>
      </c>
      <c r="B235" s="2" t="s">
        <v>825</v>
      </c>
      <c r="C235" s="2">
        <v>0</v>
      </c>
      <c r="D235" s="2">
        <v>0</v>
      </c>
      <c r="E235" s="2">
        <v>0</v>
      </c>
      <c r="F235" s="4">
        <v>0</v>
      </c>
      <c r="G235" s="11" cm="1">
        <f t="array" aca="1" ref="G235" ca="1">IFERROR(VLOOKUP("*" &amp; B235  &amp; "*" &amp; (MID(CELL("filename",A234),FIND("]",CELL("filename",A234))+1,31)) &amp; "*",CHOOSE({1,2}, Super_CBSA!$B$2:$B$1917, Super_CBSA!$A$2:$A$1917), 2,FALSE), IFERROR(VLOOKUP(B235  &amp; "*",CHOOSE({1,2}, Super_CBSA!$E$2:$E$1917, Super_CBSA!$A$2:$A$1917), 2,FALSE), ""))</f>
        <v>21700</v>
      </c>
    </row>
    <row r="236" spans="1:7" ht="17">
      <c r="A236" s="1" t="s">
        <v>826</v>
      </c>
      <c r="B236" s="2" t="s">
        <v>825</v>
      </c>
      <c r="C236" s="2">
        <v>149</v>
      </c>
      <c r="D236" s="3">
        <v>6914</v>
      </c>
      <c r="E236" s="3">
        <v>33960</v>
      </c>
      <c r="F236" s="4">
        <v>1396649</v>
      </c>
      <c r="G236" s="11" cm="1">
        <f t="array" aca="1" ref="G236" ca="1">IFERROR(VLOOKUP("*" &amp; B236  &amp; "*" &amp; (MID(CELL("filename",A235),FIND("]",CELL("filename",A235))+1,31)) &amp; "*",CHOOSE({1,2}, Super_CBSA!$B$2:$B$1917, Super_CBSA!$A$2:$A$1917), 2,FALSE), IFERROR(VLOOKUP(B236  &amp; "*",CHOOSE({1,2}, Super_CBSA!$E$2:$E$1917, Super_CBSA!$A$2:$A$1917), 2,FALSE), ""))</f>
        <v>21700</v>
      </c>
    </row>
    <row r="237" spans="1:7" ht="17">
      <c r="A237" s="1" t="s">
        <v>827</v>
      </c>
      <c r="B237" s="2" t="s">
        <v>510</v>
      </c>
      <c r="C237" s="2">
        <v>446</v>
      </c>
      <c r="D237" s="3">
        <v>19280</v>
      </c>
      <c r="E237" s="3">
        <v>81128</v>
      </c>
      <c r="F237" s="4">
        <v>2912481</v>
      </c>
      <c r="G237" s="11" cm="1">
        <f t="array" aca="1" ref="G237" ca="1">IFERROR(VLOOKUP("*" &amp; B237  &amp; "*" &amp; (MID(CELL("filename",A236),FIND("]",CELL("filename",A236))+1,31)) &amp; "*",CHOOSE({1,2}, Super_CBSA!$B$2:$B$1917, Super_CBSA!$A$2:$A$1917), 2,FALSE), IFERROR(VLOOKUP(B237  &amp; "*",CHOOSE({1,2}, Super_CBSA!$E$2:$E$1917, Super_CBSA!$A$2:$A$1917), 2,FALSE), ""))</f>
        <v>13140</v>
      </c>
    </row>
    <row r="238" spans="1:7" ht="17">
      <c r="A238" s="1" t="s">
        <v>828</v>
      </c>
      <c r="B238" s="2" t="s">
        <v>548</v>
      </c>
      <c r="C238" s="2">
        <v>348</v>
      </c>
      <c r="D238" s="3">
        <v>20618</v>
      </c>
      <c r="E238" s="3">
        <v>96677</v>
      </c>
      <c r="F238" s="4">
        <v>3677037</v>
      </c>
      <c r="G238" s="11" cm="1">
        <f t="array" aca="1" ref="G238" ca="1">IFERROR(VLOOKUP("*" &amp; B238  &amp; "*" &amp; (MID(CELL("filename",A237),FIND("]",CELL("filename",A237))+1,31)) &amp; "*",CHOOSE({1,2}, Super_CBSA!$B$2:$B$1917, Super_CBSA!$A$2:$A$1917), 2,FALSE), IFERROR(VLOOKUP(B238  &amp; "*",CHOOSE({1,2}, Super_CBSA!$E$2:$E$1917, Super_CBSA!$A$2:$A$1917), 2,FALSE), ""))</f>
        <v>44700</v>
      </c>
    </row>
    <row r="239" spans="1:7" ht="17">
      <c r="A239" s="1" t="s">
        <v>829</v>
      </c>
      <c r="B239" s="2" t="s">
        <v>830</v>
      </c>
      <c r="C239" s="2">
        <v>320</v>
      </c>
      <c r="D239" s="3">
        <v>14179</v>
      </c>
      <c r="E239" s="3">
        <v>63334</v>
      </c>
      <c r="F239" s="4">
        <v>2383060</v>
      </c>
      <c r="G239" s="11" t="str" cm="1">
        <f t="array" aca="1" ref="G239" ca="1">IFERROR(VLOOKUP("*" &amp; B239  &amp; "*" &amp; (MID(CELL("filename",A238),FIND("]",CELL("filename",A238))+1,31)) &amp; "*",CHOOSE({1,2}, Super_CBSA!$B$2:$B$1917, Super_CBSA!$A$2:$A$1917), 2,FALSE), IFERROR(VLOOKUP(B239  &amp; "*",CHOOSE({1,2}, Super_CBSA!$E$2:$E$1917, Super_CBSA!$A$2:$A$1917), 2,FALSE), ""))</f>
        <v/>
      </c>
    </row>
    <row r="240" spans="1:7" ht="17">
      <c r="A240" s="1" t="s">
        <v>831</v>
      </c>
      <c r="B240" s="2" t="s">
        <v>832</v>
      </c>
      <c r="C240" s="2">
        <v>72</v>
      </c>
      <c r="D240" s="3">
        <v>3023</v>
      </c>
      <c r="E240" s="3">
        <v>11489</v>
      </c>
      <c r="F240" s="4">
        <v>487767</v>
      </c>
      <c r="G240" s="11" t="str" cm="1">
        <f t="array" aca="1" ref="G240" ca="1">IFERROR(VLOOKUP("*" &amp; B240  &amp; "*" &amp; (MID(CELL("filename",A239),FIND("]",CELL("filename",A239))+1,31)) &amp; "*",CHOOSE({1,2}, Super_CBSA!$B$2:$B$1917, Super_CBSA!$A$2:$A$1917), 2,FALSE), IFERROR(VLOOKUP(B240  &amp; "*",CHOOSE({1,2}, Super_CBSA!$E$2:$E$1917, Super_CBSA!$A$2:$A$1917), 2,FALSE), ""))</f>
        <v/>
      </c>
    </row>
    <row r="241" spans="1:7" ht="17">
      <c r="A241" s="1" t="s">
        <v>833</v>
      </c>
      <c r="B241" s="2" t="s">
        <v>834</v>
      </c>
      <c r="C241" s="2">
        <v>212</v>
      </c>
      <c r="D241" s="3">
        <v>14145</v>
      </c>
      <c r="E241" s="3">
        <v>67995</v>
      </c>
      <c r="F241" s="4">
        <v>1723298</v>
      </c>
      <c r="G241" s="11" t="str" cm="1">
        <f t="array" aca="1" ref="G241" ca="1">IFERROR(VLOOKUP("*" &amp; B241  &amp; "*" &amp; (MID(CELL("filename",A240),FIND("]",CELL("filename",A240))+1,31)) &amp; "*",CHOOSE({1,2}, Super_CBSA!$B$2:$B$1917, Super_CBSA!$A$2:$A$1917), 2,FALSE), IFERROR(VLOOKUP(B241  &amp; "*",CHOOSE({1,2}, Super_CBSA!$E$2:$E$1917, Super_CBSA!$A$2:$A$1917), 2,FALSE), ""))</f>
        <v/>
      </c>
    </row>
    <row r="242" spans="1:7" ht="17">
      <c r="A242" s="1" t="s">
        <v>835</v>
      </c>
      <c r="B242" s="2" t="s">
        <v>512</v>
      </c>
      <c r="C242" s="2">
        <v>159</v>
      </c>
      <c r="D242" s="3">
        <v>3875</v>
      </c>
      <c r="E242" s="3">
        <v>19584</v>
      </c>
      <c r="F242" s="4">
        <v>899242</v>
      </c>
      <c r="G242" s="11" cm="1">
        <f t="array" aca="1" ref="G242" ca="1">IFERROR(VLOOKUP("*" &amp; B242  &amp; "*" &amp; (MID(CELL("filename",A241),FIND("]",CELL("filename",A241))+1,31)) &amp; "*",CHOOSE({1,2}, Super_CBSA!$B$2:$B$1917, Super_CBSA!$A$2:$A$1917), 2,FALSE), IFERROR(VLOOKUP(B242  &amp; "*",CHOOSE({1,2}, Super_CBSA!$E$2:$E$1917, Super_CBSA!$A$2:$A$1917), 2,FALSE), ""))</f>
        <v>41860</v>
      </c>
    </row>
    <row r="243" spans="1:7" ht="17">
      <c r="A243" s="1" t="s">
        <v>836</v>
      </c>
      <c r="B243" s="2" t="s">
        <v>837</v>
      </c>
      <c r="C243" s="2">
        <v>195</v>
      </c>
      <c r="D243" s="3">
        <v>4921</v>
      </c>
      <c r="E243" s="3">
        <v>21086</v>
      </c>
      <c r="F243" s="4">
        <v>587390</v>
      </c>
      <c r="G243" s="11" t="str" cm="1">
        <f t="array" aca="1" ref="G243" ca="1">IFERROR(VLOOKUP("*" &amp; B243  &amp; "*" &amp; (MID(CELL("filename",A242),FIND("]",CELL("filename",A242))+1,31)) &amp; "*",CHOOSE({1,2}, Super_CBSA!$B$2:$B$1917, Super_CBSA!$A$2:$A$1917), 2,FALSE), IFERROR(VLOOKUP(B243  &amp; "*",CHOOSE({1,2}, Super_CBSA!$E$2:$E$1917, Super_CBSA!$A$2:$A$1917), 2,FALSE), ""))</f>
        <v/>
      </c>
    </row>
    <row r="244" spans="1:7" ht="17">
      <c r="A244" s="1" t="s">
        <v>838</v>
      </c>
      <c r="B244" s="2" t="s">
        <v>726</v>
      </c>
      <c r="C244" s="2">
        <v>240</v>
      </c>
      <c r="D244" s="3">
        <v>11385</v>
      </c>
      <c r="E244" s="3">
        <v>48314</v>
      </c>
      <c r="F244" s="4">
        <v>2130504</v>
      </c>
      <c r="G244" s="11" cm="1">
        <f t="array" aca="1" ref="G244" ca="1">IFERROR(VLOOKUP("*" &amp; B244  &amp; "*" &amp; (MID(CELL("filename",A243),FIND("]",CELL("filename",A243))+1,31)) &amp; "*",CHOOSE({1,2}, Super_CBSA!$B$2:$B$1917, Super_CBSA!$A$2:$A$1917), 2,FALSE), IFERROR(VLOOKUP(B244  &amp; "*",CHOOSE({1,2}, Super_CBSA!$E$2:$E$1917, Super_CBSA!$A$2:$A$1917), 2,FALSE), ""))</f>
        <v>41500</v>
      </c>
    </row>
    <row r="245" spans="1:7" ht="17">
      <c r="A245" s="1" t="s">
        <v>839</v>
      </c>
      <c r="B245" s="2" t="s">
        <v>840</v>
      </c>
      <c r="C245" s="2">
        <v>363</v>
      </c>
      <c r="D245" s="3">
        <v>17726</v>
      </c>
      <c r="E245" s="3">
        <v>71312</v>
      </c>
      <c r="F245" s="4">
        <v>2259006</v>
      </c>
      <c r="G245" s="11" t="str" cm="1">
        <f t="array" aca="1" ref="G245" ca="1">IFERROR(VLOOKUP("*" &amp; B245  &amp; "*" &amp; (MID(CELL("filename",A244),FIND("]",CELL("filename",A244))+1,31)) &amp; "*",CHOOSE({1,2}, Super_CBSA!$B$2:$B$1917, Super_CBSA!$A$2:$A$1917), 2,FALSE), IFERROR(VLOOKUP(B245  &amp; "*",CHOOSE({1,2}, Super_CBSA!$E$2:$E$1917, Super_CBSA!$A$2:$A$1917), 2,FALSE), ""))</f>
        <v/>
      </c>
    </row>
    <row r="246" spans="1:7" ht="17">
      <c r="A246" s="1" t="s">
        <v>841</v>
      </c>
      <c r="B246" s="2" t="s">
        <v>842</v>
      </c>
      <c r="C246" s="2">
        <v>95</v>
      </c>
      <c r="D246" s="3">
        <v>3578</v>
      </c>
      <c r="E246" s="3">
        <v>13199</v>
      </c>
      <c r="F246" s="4">
        <v>249129</v>
      </c>
      <c r="G246" s="11" t="str" cm="1">
        <f t="array" aca="1" ref="G246" ca="1">IFERROR(VLOOKUP("*" &amp; B246  &amp; "*" &amp; (MID(CELL("filename",A245),FIND("]",CELL("filename",A245))+1,31)) &amp; "*",CHOOSE({1,2}, Super_CBSA!$B$2:$B$1917, Super_CBSA!$A$2:$A$1917), 2,FALSE), IFERROR(VLOOKUP(B246  &amp; "*",CHOOSE({1,2}, Super_CBSA!$E$2:$E$1917, Super_CBSA!$A$2:$A$1917), 2,FALSE), ""))</f>
        <v/>
      </c>
    </row>
    <row r="247" spans="1:7" ht="17">
      <c r="A247" s="1" t="s">
        <v>843</v>
      </c>
      <c r="B247" s="2" t="s">
        <v>512</v>
      </c>
      <c r="C247" s="2">
        <v>0</v>
      </c>
      <c r="D247" s="2">
        <v>0</v>
      </c>
      <c r="E247" s="2">
        <v>0</v>
      </c>
      <c r="F247" s="4">
        <v>0</v>
      </c>
      <c r="G247" s="11" cm="1">
        <f t="array" aca="1" ref="G247" ca="1">IFERROR(VLOOKUP("*" &amp; B247  &amp; "*" &amp; (MID(CELL("filename",A246),FIND("]",CELL("filename",A246))+1,31)) &amp; "*",CHOOSE({1,2}, Super_CBSA!$B$2:$B$1917, Super_CBSA!$A$2:$A$1917), 2,FALSE), IFERROR(VLOOKUP(B247  &amp; "*",CHOOSE({1,2}, Super_CBSA!$E$2:$E$1917, Super_CBSA!$A$2:$A$1917), 2,FALSE), ""))</f>
        <v>41860</v>
      </c>
    </row>
    <row r="248" spans="1:7" ht="17">
      <c r="A248" s="1" t="s">
        <v>844</v>
      </c>
      <c r="B248" s="2" t="s">
        <v>845</v>
      </c>
      <c r="C248" s="2">
        <v>273</v>
      </c>
      <c r="D248" s="3">
        <v>8411</v>
      </c>
      <c r="E248" s="3">
        <v>41494</v>
      </c>
      <c r="F248" s="4">
        <v>1113569</v>
      </c>
      <c r="G248" s="11" t="str" cm="1">
        <f t="array" aca="1" ref="G248" ca="1">IFERROR(VLOOKUP("*" &amp; B248  &amp; "*" &amp; (MID(CELL("filename",A247),FIND("]",CELL("filename",A247))+1,31)) &amp; "*",CHOOSE({1,2}, Super_CBSA!$B$2:$B$1917, Super_CBSA!$A$2:$A$1917), 2,FALSE), IFERROR(VLOOKUP(B248  &amp; "*",CHOOSE({1,2}, Super_CBSA!$E$2:$E$1917, Super_CBSA!$A$2:$A$1917), 2,FALSE), ""))</f>
        <v/>
      </c>
    </row>
    <row r="249" spans="1:7" ht="17">
      <c r="A249" s="1" t="s">
        <v>846</v>
      </c>
      <c r="B249" s="2" t="s">
        <v>847</v>
      </c>
      <c r="C249" s="2">
        <v>61</v>
      </c>
      <c r="D249" s="3">
        <v>2858</v>
      </c>
      <c r="E249" s="3">
        <v>10460</v>
      </c>
      <c r="F249" s="4">
        <v>294589</v>
      </c>
      <c r="G249" s="11" t="str" cm="1">
        <f t="array" aca="1" ref="G249" ca="1">IFERROR(VLOOKUP("*" &amp; B249  &amp; "*" &amp; (MID(CELL("filename",A248),FIND("]",CELL("filename",A248))+1,31)) &amp; "*",CHOOSE({1,2}, Super_CBSA!$B$2:$B$1917, Super_CBSA!$A$2:$A$1917), 2,FALSE), IFERROR(VLOOKUP(B249  &amp; "*",CHOOSE({1,2}, Super_CBSA!$E$2:$E$1917, Super_CBSA!$A$2:$A$1917), 2,FALSE), ""))</f>
        <v/>
      </c>
    </row>
    <row r="250" spans="1:7" ht="17">
      <c r="A250" s="1" t="s">
        <v>848</v>
      </c>
      <c r="B250" s="2" t="s">
        <v>849</v>
      </c>
      <c r="C250" s="2">
        <v>196</v>
      </c>
      <c r="D250" s="3">
        <v>10432</v>
      </c>
      <c r="E250" s="3">
        <v>48402</v>
      </c>
      <c r="F250" s="4">
        <v>1639047</v>
      </c>
      <c r="G250" s="11" t="str" cm="1">
        <f t="array" aca="1" ref="G250" ca="1">IFERROR(VLOOKUP("*" &amp; B250  &amp; "*" &amp; (MID(CELL("filename",A249),FIND("]",CELL("filename",A249))+1,31)) &amp; "*",CHOOSE({1,2}, Super_CBSA!$B$2:$B$1917, Super_CBSA!$A$2:$A$1917), 2,FALSE), IFERROR(VLOOKUP(B250  &amp; "*",CHOOSE({1,2}, Super_CBSA!$E$2:$E$1917, Super_CBSA!$A$2:$A$1917), 2,FALSE), ""))</f>
        <v/>
      </c>
    </row>
    <row r="251" spans="1:7" ht="17">
      <c r="A251" s="1" t="s">
        <v>850</v>
      </c>
      <c r="B251" s="2" t="s">
        <v>606</v>
      </c>
      <c r="C251" s="2">
        <v>235</v>
      </c>
      <c r="D251" s="3">
        <v>11607</v>
      </c>
      <c r="E251" s="3">
        <v>41678</v>
      </c>
      <c r="F251" s="4">
        <v>1238690</v>
      </c>
      <c r="G251" s="11" cm="1">
        <f t="array" aca="1" ref="G251" ca="1">IFERROR(VLOOKUP("*" &amp; B251  &amp; "*" &amp; (MID(CELL("filename",A250),FIND("]",CELL("filename",A250))+1,31)) &amp; "*",CHOOSE({1,2}, Super_CBSA!$B$2:$B$1917, Super_CBSA!$A$2:$A$1917), 2,FALSE), IFERROR(VLOOKUP(B251  &amp; "*",CHOOSE({1,2}, Super_CBSA!$E$2:$E$1917, Super_CBSA!$A$2:$A$1917), 2,FALSE), ""))</f>
        <v>41940</v>
      </c>
    </row>
    <row r="252" spans="1:7" ht="17">
      <c r="A252" s="1" t="s">
        <v>851</v>
      </c>
      <c r="B252" s="2" t="s">
        <v>585</v>
      </c>
      <c r="C252" s="2">
        <v>48</v>
      </c>
      <c r="D252" s="3">
        <v>2313</v>
      </c>
      <c r="E252" s="3">
        <v>10131</v>
      </c>
      <c r="F252" s="4">
        <v>337689</v>
      </c>
      <c r="G252" s="11" t="str" cm="1">
        <f t="array" aca="1" ref="G252" ca="1">IFERROR(VLOOKUP("*" &amp; B252  &amp; "*" &amp; (MID(CELL("filename",A251),FIND("]",CELL("filename",A251))+1,31)) &amp; "*",CHOOSE({1,2}, Super_CBSA!$B$2:$B$1917, Super_CBSA!$A$2:$A$1917), 2,FALSE), IFERROR(VLOOKUP(B252  &amp; "*",CHOOSE({1,2}, Super_CBSA!$E$2:$E$1917, Super_CBSA!$A$2:$A$1917), 2,FALSE), ""))</f>
        <v/>
      </c>
    </row>
    <row r="253" spans="1:7" ht="17">
      <c r="A253" s="1" t="s">
        <v>852</v>
      </c>
      <c r="B253" s="2" t="s">
        <v>585</v>
      </c>
      <c r="C253" s="2">
        <v>206</v>
      </c>
      <c r="D253" s="3">
        <v>11608</v>
      </c>
      <c r="E253" s="3">
        <v>44320</v>
      </c>
      <c r="F253" s="4">
        <v>1485405</v>
      </c>
      <c r="G253" s="11" t="str" cm="1">
        <f t="array" aca="1" ref="G253" ca="1">IFERROR(VLOOKUP("*" &amp; B253  &amp; "*" &amp; (MID(CELL("filename",A252),FIND("]",CELL("filename",A252))+1,31)) &amp; "*",CHOOSE({1,2}, Super_CBSA!$B$2:$B$1917, Super_CBSA!$A$2:$A$1917), 2,FALSE), IFERROR(VLOOKUP(B253  &amp; "*",CHOOSE({1,2}, Super_CBSA!$E$2:$E$1917, Super_CBSA!$A$2:$A$1917), 2,FALSE), ""))</f>
        <v/>
      </c>
    </row>
    <row r="254" spans="1:7" ht="17">
      <c r="A254" s="1" t="s">
        <v>853</v>
      </c>
      <c r="B254" s="2" t="s">
        <v>854</v>
      </c>
      <c r="C254" s="2">
        <v>447</v>
      </c>
      <c r="D254" s="3">
        <v>2221</v>
      </c>
      <c r="E254" s="3">
        <v>14277</v>
      </c>
      <c r="F254" s="4">
        <v>481664</v>
      </c>
      <c r="G254" s="11" cm="1">
        <f t="array" aca="1" ref="G254" ca="1">IFERROR(VLOOKUP("*" &amp; B254  &amp; "*" &amp; (MID(CELL("filename",A253),FIND("]",CELL("filename",A253))+1,31)) &amp; "*",CHOOSE({1,2}, Super_CBSA!$B$2:$B$1917, Super_CBSA!$A$2:$A$1917), 2,FALSE), IFERROR(VLOOKUP(B254  &amp; "*",CHOOSE({1,2}, Super_CBSA!$E$2:$E$1917, Super_CBSA!$A$2:$A$1917), 2,FALSE), ""))</f>
        <v>41860</v>
      </c>
    </row>
    <row r="255" spans="1:7" ht="17">
      <c r="A255" s="1" t="s">
        <v>855</v>
      </c>
      <c r="B255" s="2" t="s">
        <v>856</v>
      </c>
      <c r="C255" s="2">
        <v>116</v>
      </c>
      <c r="D255" s="3">
        <v>4133</v>
      </c>
      <c r="E255" s="3">
        <v>15002</v>
      </c>
      <c r="F255" s="4">
        <v>579602</v>
      </c>
      <c r="G255" s="11" t="str" cm="1">
        <f t="array" aca="1" ref="G255" ca="1">IFERROR(VLOOKUP("*" &amp; B255  &amp; "*" &amp; (MID(CELL("filename",A254),FIND("]",CELL("filename",A254))+1,31)) &amp; "*",CHOOSE({1,2}, Super_CBSA!$B$2:$B$1917, Super_CBSA!$A$2:$A$1917), 2,FALSE), IFERROR(VLOOKUP(B255  &amp; "*",CHOOSE({1,2}, Super_CBSA!$E$2:$E$1917, Super_CBSA!$A$2:$A$1917), 2,FALSE), ""))</f>
        <v/>
      </c>
    </row>
    <row r="256" spans="1:7" ht="17">
      <c r="A256" s="1" t="s">
        <v>857</v>
      </c>
      <c r="B256" s="2" t="s">
        <v>858</v>
      </c>
      <c r="C256" s="2">
        <v>123</v>
      </c>
      <c r="D256" s="3">
        <v>4730</v>
      </c>
      <c r="E256" s="3">
        <v>18419</v>
      </c>
      <c r="F256" s="4">
        <v>1143695</v>
      </c>
      <c r="G256" s="11" t="str" cm="1">
        <f t="array" aca="1" ref="G256" ca="1">IFERROR(VLOOKUP("*" &amp; B256  &amp; "*" &amp; (MID(CELL("filename",A255),FIND("]",CELL("filename",A255))+1,31)) &amp; "*",CHOOSE({1,2}, Super_CBSA!$B$2:$B$1917, Super_CBSA!$A$2:$A$1917), 2,FALSE), IFERROR(VLOOKUP(B256  &amp; "*",CHOOSE({1,2}, Super_CBSA!$E$2:$E$1917, Super_CBSA!$A$2:$A$1917), 2,FALSE), ""))</f>
        <v/>
      </c>
    </row>
    <row r="257" spans="1:7" ht="17">
      <c r="A257" s="1" t="s">
        <v>859</v>
      </c>
      <c r="B257" s="2" t="s">
        <v>604</v>
      </c>
      <c r="C257" s="2">
        <v>363</v>
      </c>
      <c r="D257" s="3">
        <v>17068</v>
      </c>
      <c r="E257" s="3">
        <v>83166</v>
      </c>
      <c r="F257" s="4">
        <v>1891266</v>
      </c>
      <c r="G257" s="11" cm="1">
        <f t="array" aca="1" ref="G257" ca="1">IFERROR(VLOOKUP("*" &amp; B257  &amp; "*" &amp; (MID(CELL("filename",A256),FIND("]",CELL("filename",A256))+1,31)) &amp; "*",CHOOSE({1,2}, Super_CBSA!$B$2:$B$1917, Super_CBSA!$A$2:$A$1917), 2,FALSE), IFERROR(VLOOKUP(B257  &amp; "*",CHOOSE({1,2}, Super_CBSA!$E$2:$E$1917, Super_CBSA!$A$2:$A$1917), 2,FALSE), ""))</f>
        <v>42200</v>
      </c>
    </row>
    <row r="258" spans="1:7" ht="17">
      <c r="A258" s="1" t="s">
        <v>860</v>
      </c>
      <c r="B258" s="2" t="s">
        <v>861</v>
      </c>
      <c r="C258" s="2">
        <v>327</v>
      </c>
      <c r="D258" s="3">
        <v>18661</v>
      </c>
      <c r="E258" s="3">
        <v>83191</v>
      </c>
      <c r="F258" s="4">
        <v>0</v>
      </c>
      <c r="G258" s="11" cm="1">
        <f t="array" aca="1" ref="G258" ca="1">IFERROR(VLOOKUP("*" &amp; B258  &amp; "*" &amp; (MID(CELL("filename",A257),FIND("]",CELL("filename",A257))+1,31)) &amp; "*",CHOOSE({1,2}, Super_CBSA!$B$2:$B$1917, Super_CBSA!$A$2:$A$1917), 2,FALSE), IFERROR(VLOOKUP(B258  &amp; "*",CHOOSE({1,2}, Super_CBSA!$E$2:$E$1917, Super_CBSA!$A$2:$A$1917), 2,FALSE), ""))</f>
        <v>41940</v>
      </c>
    </row>
    <row r="259" spans="1:7" ht="17">
      <c r="A259" s="1" t="s">
        <v>862</v>
      </c>
      <c r="B259" s="2" t="s">
        <v>606</v>
      </c>
      <c r="C259" s="2">
        <v>974</v>
      </c>
      <c r="D259" s="3">
        <v>21100</v>
      </c>
      <c r="E259" s="3">
        <v>120937</v>
      </c>
      <c r="F259" s="4">
        <v>4245690</v>
      </c>
      <c r="G259" s="11" cm="1">
        <f t="array" aca="1" ref="G259" ca="1">IFERROR(VLOOKUP("*" &amp; B259  &amp; "*" &amp; (MID(CELL("filename",A258),FIND("]",CELL("filename",A258))+1,31)) &amp; "*",CHOOSE({1,2}, Super_CBSA!$B$2:$B$1917, Super_CBSA!$A$2:$A$1917), 2,FALSE), IFERROR(VLOOKUP(B259  &amp; "*",CHOOSE({1,2}, Super_CBSA!$E$2:$E$1917, Super_CBSA!$A$2:$A$1917), 2,FALSE), ""))</f>
        <v>41940</v>
      </c>
    </row>
    <row r="260" spans="1:7" ht="17">
      <c r="A260" s="1" t="s">
        <v>863</v>
      </c>
      <c r="B260" s="2" t="s">
        <v>864</v>
      </c>
      <c r="C260" s="2">
        <v>0</v>
      </c>
      <c r="D260" s="2">
        <v>0</v>
      </c>
      <c r="E260" s="2">
        <v>0</v>
      </c>
      <c r="F260" s="4">
        <v>0</v>
      </c>
      <c r="G260" s="11" t="str" cm="1">
        <f t="array" aca="1" ref="G260" ca="1">IFERROR(VLOOKUP("*" &amp; B260  &amp; "*" &amp; (MID(CELL("filename",A259),FIND("]",CELL("filename",A259))+1,31)) &amp; "*",CHOOSE({1,2}, Super_CBSA!$B$2:$B$1917, Super_CBSA!$A$2:$A$1917), 2,FALSE), IFERROR(VLOOKUP(B260  &amp; "*",CHOOSE({1,2}, Super_CBSA!$E$2:$E$1917, Super_CBSA!$A$2:$A$1917), 2,FALSE), ""))</f>
        <v/>
      </c>
    </row>
    <row r="261" spans="1:7" ht="17">
      <c r="A261" s="1" t="s">
        <v>865</v>
      </c>
      <c r="B261" s="2" t="s">
        <v>866</v>
      </c>
      <c r="C261" s="2">
        <v>173</v>
      </c>
      <c r="D261" s="3">
        <v>9456</v>
      </c>
      <c r="E261" s="3">
        <v>35672</v>
      </c>
      <c r="F261" s="4">
        <v>951504</v>
      </c>
      <c r="G261" s="11" cm="1">
        <f t="array" aca="1" ref="G261" ca="1">IFERROR(VLOOKUP("*" &amp; B261  &amp; "*" &amp; (MID(CELL("filename",A260),FIND("]",CELL("filename",A260))+1,31)) &amp; "*",CHOOSE({1,2}, Super_CBSA!$B$2:$B$1917, Super_CBSA!$A$2:$A$1917), 2,FALSE), IFERROR(VLOOKUP(B261  &amp; "*",CHOOSE({1,2}, Super_CBSA!$E$2:$E$1917, Super_CBSA!$A$2:$A$1917), 2,FALSE), ""))</f>
        <v>42220</v>
      </c>
    </row>
    <row r="262" spans="1:7" ht="17">
      <c r="A262" s="1" t="s">
        <v>867</v>
      </c>
      <c r="B262" s="2" t="s">
        <v>866</v>
      </c>
      <c r="C262" s="2">
        <v>298</v>
      </c>
      <c r="D262" s="3">
        <v>12004</v>
      </c>
      <c r="E262" s="3">
        <v>67738</v>
      </c>
      <c r="F262" s="4">
        <v>3019575</v>
      </c>
      <c r="G262" s="11" cm="1">
        <f t="array" aca="1" ref="G262" ca="1">IFERROR(VLOOKUP("*" &amp; B262  &amp; "*" &amp; (MID(CELL("filename",A261),FIND("]",CELL("filename",A261))+1,31)) &amp; "*",CHOOSE({1,2}, Super_CBSA!$B$2:$B$1917, Super_CBSA!$A$2:$A$1917), 2,FALSE), IFERROR(VLOOKUP(B262  &amp; "*",CHOOSE({1,2}, Super_CBSA!$E$2:$E$1917, Super_CBSA!$A$2:$A$1917), 2,FALSE), ""))</f>
        <v>42220</v>
      </c>
    </row>
    <row r="263" spans="1:7" ht="17">
      <c r="A263" s="1" t="s">
        <v>868</v>
      </c>
      <c r="B263" s="2" t="s">
        <v>869</v>
      </c>
      <c r="C263" s="2">
        <v>150</v>
      </c>
      <c r="D263" s="3">
        <v>8198</v>
      </c>
      <c r="E263" s="3">
        <v>28293</v>
      </c>
      <c r="F263" s="4">
        <v>1605100</v>
      </c>
      <c r="G263" s="11" t="str" cm="1">
        <f t="array" aca="1" ref="G263" ca="1">IFERROR(VLOOKUP("*" &amp; B263  &amp; "*" &amp; (MID(CELL("filename",A262),FIND("]",CELL("filename",A262))+1,31)) &amp; "*",CHOOSE({1,2}, Super_CBSA!$B$2:$B$1917, Super_CBSA!$A$2:$A$1917), 2,FALSE), IFERROR(VLOOKUP(B263  &amp; "*",CHOOSE({1,2}, Super_CBSA!$E$2:$E$1917, Super_CBSA!$A$2:$A$1917), 2,FALSE), ""))</f>
        <v/>
      </c>
    </row>
    <row r="264" spans="1:7" ht="17">
      <c r="A264" s="1" t="s">
        <v>870</v>
      </c>
      <c r="B264" s="2" t="s">
        <v>871</v>
      </c>
      <c r="C264" s="2">
        <v>193</v>
      </c>
      <c r="D264" s="3">
        <v>11960</v>
      </c>
      <c r="E264" s="3">
        <v>46626</v>
      </c>
      <c r="F264" s="4">
        <v>1506325</v>
      </c>
      <c r="G264" s="11" t="str" cm="1">
        <f t="array" aca="1" ref="G264" ca="1">IFERROR(VLOOKUP("*" &amp; B264  &amp; "*" &amp; (MID(CELL("filename",A263),FIND("]",CELL("filename",A263))+1,31)) &amp; "*",CHOOSE({1,2}, Super_CBSA!$B$2:$B$1917, Super_CBSA!$A$2:$A$1917), 2,FALSE), IFERROR(VLOOKUP(B264  &amp; "*",CHOOSE({1,2}, Super_CBSA!$E$2:$E$1917, Super_CBSA!$A$2:$A$1917), 2,FALSE), ""))</f>
        <v/>
      </c>
    </row>
    <row r="265" spans="1:7" ht="17">
      <c r="A265" s="1" t="s">
        <v>872</v>
      </c>
      <c r="B265" s="2" t="s">
        <v>869</v>
      </c>
      <c r="C265" s="2">
        <v>365</v>
      </c>
      <c r="D265" s="3">
        <v>19216</v>
      </c>
      <c r="E265" s="3">
        <v>91794</v>
      </c>
      <c r="F265" s="4">
        <v>3936562</v>
      </c>
      <c r="G265" s="11" t="str" cm="1">
        <f t="array" aca="1" ref="G265" ca="1">IFERROR(VLOOKUP("*" &amp; B265  &amp; "*" &amp; (MID(CELL("filename",A264),FIND("]",CELL("filename",A264))+1,31)) &amp; "*",CHOOSE({1,2}, Super_CBSA!$B$2:$B$1917, Super_CBSA!$A$2:$A$1917), 2,FALSE), IFERROR(VLOOKUP(B265  &amp; "*",CHOOSE({1,2}, Super_CBSA!$E$2:$E$1917, Super_CBSA!$A$2:$A$1917), 2,FALSE), ""))</f>
        <v/>
      </c>
    </row>
    <row r="266" spans="1:7" ht="17">
      <c r="A266" s="1" t="s">
        <v>873</v>
      </c>
      <c r="B266" s="2" t="s">
        <v>874</v>
      </c>
      <c r="C266" s="2">
        <v>173</v>
      </c>
      <c r="D266" s="3">
        <v>9592</v>
      </c>
      <c r="E266" s="3">
        <v>47697</v>
      </c>
      <c r="F266" s="4">
        <v>310012</v>
      </c>
      <c r="G266" s="11" cm="1">
        <f t="array" aca="1" ref="G266" ca="1">IFERROR(VLOOKUP("*" &amp; B266  &amp; "*" &amp; (MID(CELL("filename",A265),FIND("]",CELL("filename",A265))+1,31)) &amp; "*",CHOOSE({1,2}, Super_CBSA!$B$2:$B$1917, Super_CBSA!$A$2:$A$1917), 2,FALSE), IFERROR(VLOOKUP(B266  &amp; "*",CHOOSE({1,2}, Super_CBSA!$E$2:$E$1917, Super_CBSA!$A$2:$A$1917), 2,FALSE), ""))</f>
        <v>41740</v>
      </c>
    </row>
    <row r="267" spans="1:7" ht="17">
      <c r="A267" s="1" t="s">
        <v>875</v>
      </c>
      <c r="B267" s="2" t="s">
        <v>479</v>
      </c>
      <c r="C267" s="2">
        <v>523</v>
      </c>
      <c r="D267" s="3">
        <v>29643</v>
      </c>
      <c r="E267" s="3">
        <v>133090</v>
      </c>
      <c r="F267" s="4">
        <v>3828113</v>
      </c>
      <c r="G267" s="11" cm="1">
        <f t="array" aca="1" ref="G267" ca="1">IFERROR(VLOOKUP("*" &amp; B267  &amp; "*" &amp; (MID(CELL("filename",A266),FIND("]",CELL("filename",A266))+1,31)) &amp; "*",CHOOSE({1,2}, Super_CBSA!$B$2:$B$1917, Super_CBSA!$A$2:$A$1917), 2,FALSE), IFERROR(VLOOKUP(B267  &amp; "*",CHOOSE({1,2}, Super_CBSA!$E$2:$E$1917, Super_CBSA!$A$2:$A$1917), 2,FALSE), ""))</f>
        <v>41740</v>
      </c>
    </row>
    <row r="268" spans="1:7" ht="17">
      <c r="A268" s="1" t="s">
        <v>876</v>
      </c>
      <c r="B268" s="2" t="s">
        <v>800</v>
      </c>
      <c r="C268" s="2">
        <v>208</v>
      </c>
      <c r="D268" s="3">
        <v>5412</v>
      </c>
      <c r="E268" s="3">
        <v>21850</v>
      </c>
      <c r="F268" s="4">
        <v>1265489</v>
      </c>
      <c r="G268" s="11" t="str" cm="1">
        <f t="array" aca="1" ref="G268" ca="1">IFERROR(VLOOKUP("*" &amp; B268  &amp; "*" &amp; (MID(CELL("filename",A267),FIND("]",CELL("filename",A267))+1,31)) &amp; "*",CHOOSE({1,2}, Super_CBSA!$B$2:$B$1917, Super_CBSA!$A$2:$A$1917), 2,FALSE), IFERROR(VLOOKUP(B268  &amp; "*",CHOOSE({1,2}, Super_CBSA!$E$2:$E$1917, Super_CBSA!$A$2:$A$1917), 2,FALSE), ""))</f>
        <v/>
      </c>
    </row>
    <row r="269" spans="1:7" ht="17">
      <c r="A269" s="1" t="s">
        <v>877</v>
      </c>
      <c r="B269" s="2" t="s">
        <v>878</v>
      </c>
      <c r="C269" s="2">
        <v>434</v>
      </c>
      <c r="D269" s="3">
        <v>4477</v>
      </c>
      <c r="E269" s="3">
        <v>19390</v>
      </c>
      <c r="F269" s="4">
        <v>1466907</v>
      </c>
      <c r="G269" s="11" t="str" cm="1">
        <f t="array" aca="1" ref="G269" ca="1">IFERROR(VLOOKUP("*" &amp; B269  &amp; "*" &amp; (MID(CELL("filename",A268),FIND("]",CELL("filename",A268))+1,31)) &amp; "*",CHOOSE({1,2}, Super_CBSA!$B$2:$B$1917, Super_CBSA!$A$2:$A$1917), 2,FALSE), IFERROR(VLOOKUP(B269  &amp; "*",CHOOSE({1,2}, Super_CBSA!$E$2:$E$1917, Super_CBSA!$A$2:$A$1917), 2,FALSE), ""))</f>
        <v/>
      </c>
    </row>
    <row r="270" spans="1:7" ht="17">
      <c r="A270" s="1" t="s">
        <v>879</v>
      </c>
      <c r="B270" s="2" t="s">
        <v>880</v>
      </c>
      <c r="C270" s="2">
        <v>0</v>
      </c>
      <c r="D270" s="2">
        <v>0</v>
      </c>
      <c r="E270" s="2">
        <v>0</v>
      </c>
      <c r="F270" s="4">
        <v>0</v>
      </c>
      <c r="G270" s="11" t="str" cm="1">
        <f t="array" aca="1" ref="G270" ca="1">IFERROR(VLOOKUP("*" &amp; B270  &amp; "*" &amp; (MID(CELL("filename",A269),FIND("]",CELL("filename",A269))+1,31)) &amp; "*",CHOOSE({1,2}, Super_CBSA!$B$2:$B$1917, Super_CBSA!$A$2:$A$1917), 2,FALSE), IFERROR(VLOOKUP(B270  &amp; "*",CHOOSE({1,2}, Super_CBSA!$E$2:$E$1917, Super_CBSA!$A$2:$A$1917), 2,FALSE), ""))</f>
        <v/>
      </c>
    </row>
    <row r="271" spans="1:7" ht="17">
      <c r="A271" s="1" t="s">
        <v>881</v>
      </c>
      <c r="B271" s="2" t="s">
        <v>874</v>
      </c>
      <c r="C271" s="2">
        <v>343</v>
      </c>
      <c r="D271" s="3">
        <v>15528</v>
      </c>
      <c r="E271" s="3">
        <v>75139</v>
      </c>
      <c r="F271" s="4">
        <v>2216676</v>
      </c>
      <c r="G271" s="11" cm="1">
        <f t="array" aca="1" ref="G271" ca="1">IFERROR(VLOOKUP("*" &amp; B271  &amp; "*" &amp; (MID(CELL("filename",A270),FIND("]",CELL("filename",A270))+1,31)) &amp; "*",CHOOSE({1,2}, Super_CBSA!$B$2:$B$1917, Super_CBSA!$A$2:$A$1917), 2,FALSE), IFERROR(VLOOKUP(B271  &amp; "*",CHOOSE({1,2}, Super_CBSA!$E$2:$E$1917, Super_CBSA!$A$2:$A$1917), 2,FALSE), ""))</f>
        <v>41740</v>
      </c>
    </row>
    <row r="272" spans="1:7" ht="17">
      <c r="A272" s="1" t="s">
        <v>882</v>
      </c>
      <c r="B272" s="2" t="s">
        <v>883</v>
      </c>
      <c r="C272" s="2">
        <v>181</v>
      </c>
      <c r="D272" s="3">
        <v>2083</v>
      </c>
      <c r="E272" s="3">
        <v>6989</v>
      </c>
      <c r="F272" s="4">
        <v>414923</v>
      </c>
      <c r="G272" s="11" t="str" cm="1">
        <f t="array" aca="1" ref="G272" ca="1">IFERROR(VLOOKUP("*" &amp; B272  &amp; "*" &amp; (MID(CELL("filename",A271),FIND("]",CELL("filename",A271))+1,31)) &amp; "*",CHOOSE({1,2}, Super_CBSA!$B$2:$B$1917, Super_CBSA!$A$2:$A$1917), 2,FALSE), IFERROR(VLOOKUP(B272  &amp; "*",CHOOSE({1,2}, Super_CBSA!$E$2:$E$1917, Super_CBSA!$A$2:$A$1917), 2,FALSE), ""))</f>
        <v/>
      </c>
    </row>
    <row r="273" spans="1:7" ht="17">
      <c r="A273" s="1" t="s">
        <v>884</v>
      </c>
      <c r="B273" s="2" t="s">
        <v>885</v>
      </c>
      <c r="C273" s="2">
        <v>524</v>
      </c>
      <c r="D273" s="3">
        <v>26552</v>
      </c>
      <c r="E273" s="3">
        <v>116601</v>
      </c>
      <c r="F273" s="4">
        <v>3745598</v>
      </c>
      <c r="G273" s="11" t="str" cm="1">
        <f t="array" aca="1" ref="G273" ca="1">IFERROR(VLOOKUP("*" &amp; B273  &amp; "*" &amp; (MID(CELL("filename",A272),FIND("]",CELL("filename",A272))+1,31)) &amp; "*",CHOOSE({1,2}, Super_CBSA!$B$2:$B$1917, Super_CBSA!$A$2:$A$1917), 2,FALSE), IFERROR(VLOOKUP(B273  &amp; "*",CHOOSE({1,2}, Super_CBSA!$E$2:$E$1917, Super_CBSA!$A$2:$A$1917), 2,FALSE), ""))</f>
        <v/>
      </c>
    </row>
    <row r="274" spans="1:7" ht="17">
      <c r="A274" s="1" t="s">
        <v>886</v>
      </c>
      <c r="B274" s="2" t="s">
        <v>479</v>
      </c>
      <c r="C274" s="2">
        <v>0</v>
      </c>
      <c r="D274" s="2">
        <v>0</v>
      </c>
      <c r="E274" s="2">
        <v>0</v>
      </c>
      <c r="F274" s="4">
        <v>0</v>
      </c>
      <c r="G274" s="11" cm="1">
        <f t="array" aca="1" ref="G274" ca="1">IFERROR(VLOOKUP("*" &amp; B274  &amp; "*" &amp; (MID(CELL("filename",A273),FIND("]",CELL("filename",A273))+1,31)) &amp; "*",CHOOSE({1,2}, Super_CBSA!$B$2:$B$1917, Super_CBSA!$A$2:$A$1917), 2,FALSE), IFERROR(VLOOKUP(B274  &amp; "*",CHOOSE({1,2}, Super_CBSA!$E$2:$E$1917, Super_CBSA!$A$2:$A$1917), 2,FALSE), ""))</f>
        <v>41740</v>
      </c>
    </row>
    <row r="275" spans="1:7" ht="17">
      <c r="A275" s="1" t="s">
        <v>887</v>
      </c>
      <c r="B275" s="2" t="s">
        <v>479</v>
      </c>
      <c r="C275" s="2">
        <v>862</v>
      </c>
      <c r="D275" s="3">
        <v>32692</v>
      </c>
      <c r="E275" s="3">
        <v>166491</v>
      </c>
      <c r="F275" s="4">
        <v>5814950</v>
      </c>
      <c r="G275" s="11" cm="1">
        <f t="array" aca="1" ref="G275" ca="1">IFERROR(VLOOKUP("*" &amp; B275  &amp; "*" &amp; (MID(CELL("filename",A274),FIND("]",CELL("filename",A274))+1,31)) &amp; "*",CHOOSE({1,2}, Super_CBSA!$B$2:$B$1917, Super_CBSA!$A$2:$A$1917), 2,FALSE), IFERROR(VLOOKUP(B275  &amp; "*",CHOOSE({1,2}, Super_CBSA!$E$2:$E$1917, Super_CBSA!$A$2:$A$1917), 2,FALSE), ""))</f>
        <v>41740</v>
      </c>
    </row>
    <row r="276" spans="1:7" ht="17">
      <c r="A276" s="1" t="s">
        <v>888</v>
      </c>
      <c r="B276" s="2" t="s">
        <v>705</v>
      </c>
      <c r="C276" s="2">
        <v>226</v>
      </c>
      <c r="D276" s="3">
        <v>6736</v>
      </c>
      <c r="E276" s="3">
        <v>30269</v>
      </c>
      <c r="F276" s="4">
        <v>809107</v>
      </c>
      <c r="G276" s="11" cm="1">
        <f t="array" aca="1" ref="G276" ca="1">IFERROR(VLOOKUP("*" &amp; B276  &amp; "*" &amp; (MID(CELL("filename",A275),FIND("]",CELL("filename",A275))+1,31)) &amp; "*",CHOOSE({1,2}, Super_CBSA!$B$2:$B$1917, Super_CBSA!$A$2:$A$1917), 2,FALSE), IFERROR(VLOOKUP(B276  &amp; "*",CHOOSE({1,2}, Super_CBSA!$E$2:$E$1917, Super_CBSA!$A$2:$A$1917), 2,FALSE), ""))</f>
        <v>39820</v>
      </c>
    </row>
    <row r="277" spans="1:7" ht="17">
      <c r="A277" s="1" t="s">
        <v>889</v>
      </c>
      <c r="B277" s="2" t="s">
        <v>890</v>
      </c>
      <c r="C277" s="2">
        <v>153</v>
      </c>
      <c r="D277" s="3">
        <v>5070</v>
      </c>
      <c r="E277" s="3">
        <v>20540</v>
      </c>
      <c r="F277" s="4">
        <v>404027</v>
      </c>
      <c r="G277" s="11" t="str" cm="1">
        <f t="array" aca="1" ref="G277" ca="1">IFERROR(VLOOKUP("*" &amp; B277  &amp; "*" &amp; (MID(CELL("filename",A276),FIND("]",CELL("filename",A276))+1,31)) &amp; "*",CHOOSE({1,2}, Super_CBSA!$B$2:$B$1917, Super_CBSA!$A$2:$A$1917), 2,FALSE), IFERROR(VLOOKUP(B277  &amp; "*",CHOOSE({1,2}, Super_CBSA!$E$2:$E$1917, Super_CBSA!$A$2:$A$1917), 2,FALSE), ""))</f>
        <v/>
      </c>
    </row>
    <row r="278" spans="1:7" ht="17">
      <c r="A278" s="1" t="s">
        <v>891</v>
      </c>
      <c r="B278" s="2" t="s">
        <v>892</v>
      </c>
      <c r="C278" s="2">
        <v>104</v>
      </c>
      <c r="D278" s="3">
        <v>5365</v>
      </c>
      <c r="E278" s="3">
        <v>19665</v>
      </c>
      <c r="F278" s="4">
        <v>723678</v>
      </c>
      <c r="G278" s="11" cm="1">
        <f t="array" aca="1" ref="G278" ca="1">IFERROR(VLOOKUP("*" &amp; B278  &amp; "*" &amp; (MID(CELL("filename",A277),FIND("]",CELL("filename",A277))+1,31)) &amp; "*",CHOOSE({1,2}, Super_CBSA!$B$2:$B$1917, Super_CBSA!$A$2:$A$1917), 2,FALSE), IFERROR(VLOOKUP(B278  &amp; "*",CHOOSE({1,2}, Super_CBSA!$E$2:$E$1917, Super_CBSA!$A$2:$A$1917), 2,FALSE), ""))</f>
        <v>46020</v>
      </c>
    </row>
    <row r="279" spans="1:7" ht="17">
      <c r="A279" s="1" t="s">
        <v>893</v>
      </c>
      <c r="B279" s="2" t="s">
        <v>784</v>
      </c>
      <c r="C279" s="2">
        <v>163</v>
      </c>
      <c r="D279" s="3">
        <v>6182</v>
      </c>
      <c r="E279" s="3">
        <v>26404</v>
      </c>
      <c r="F279" s="4">
        <v>667067</v>
      </c>
      <c r="G279" s="11" t="str" cm="1">
        <f t="array" aca="1" ref="G279" ca="1">IFERROR(VLOOKUP("*" &amp; B279  &amp; "*" &amp; (MID(CELL("filename",A278),FIND("]",CELL("filename",A278))+1,31)) &amp; "*",CHOOSE({1,2}, Super_CBSA!$B$2:$B$1917, Super_CBSA!$A$2:$A$1917), 2,FALSE), IFERROR(VLOOKUP(B279  &amp; "*",CHOOSE({1,2}, Super_CBSA!$E$2:$E$1917, Super_CBSA!$A$2:$A$1917), 2,FALSE), ""))</f>
        <v/>
      </c>
    </row>
    <row r="280" spans="1:7" ht="17">
      <c r="A280" s="1" t="s">
        <v>894</v>
      </c>
      <c r="B280" s="2" t="s">
        <v>502</v>
      </c>
      <c r="C280" s="2">
        <v>162</v>
      </c>
      <c r="D280" s="3">
        <v>5615</v>
      </c>
      <c r="E280" s="3">
        <v>26366</v>
      </c>
      <c r="F280" s="4">
        <v>967250</v>
      </c>
      <c r="G280" s="11" cm="1">
        <f t="array" aca="1" ref="G280" ca="1">IFERROR(VLOOKUP("*" &amp; B280  &amp; "*" &amp; (MID(CELL("filename",A279),FIND("]",CELL("filename",A279))+1,31)) &amp; "*",CHOOSE({1,2}, Super_CBSA!$B$2:$B$1917, Super_CBSA!$A$2:$A$1917), 2,FALSE), IFERROR(VLOOKUP(B280  &amp; "*",CHOOSE({1,2}, Super_CBSA!$E$2:$E$1917, Super_CBSA!$A$2:$A$1917), 2,FALSE), ""))</f>
        <v>42020</v>
      </c>
    </row>
    <row r="281" spans="1:7" ht="17">
      <c r="A281" s="1" t="s">
        <v>895</v>
      </c>
      <c r="B281" s="2" t="s">
        <v>896</v>
      </c>
      <c r="C281" s="2">
        <v>13</v>
      </c>
      <c r="D281" s="2">
        <v>59</v>
      </c>
      <c r="E281" s="3">
        <v>1024</v>
      </c>
      <c r="F281" s="4">
        <v>123257</v>
      </c>
      <c r="G281" s="11" t="str" cm="1">
        <f t="array" aca="1" ref="G281" ca="1">IFERROR(VLOOKUP("*" &amp; B281  &amp; "*" &amp; (MID(CELL("filename",A280),FIND("]",CELL("filename",A280))+1,31)) &amp; "*",CHOOSE({1,2}, Super_CBSA!$B$2:$B$1917, Super_CBSA!$A$2:$A$1917), 2,FALSE), IFERROR(VLOOKUP(B281  &amp; "*",CHOOSE({1,2}, Super_CBSA!$E$2:$E$1917, Super_CBSA!$A$2:$A$1917), 2,FALSE), ""))</f>
        <v/>
      </c>
    </row>
    <row r="282" spans="1:7" ht="17">
      <c r="A282" s="1" t="s">
        <v>897</v>
      </c>
      <c r="B282" s="2" t="s">
        <v>898</v>
      </c>
      <c r="C282" s="2">
        <v>37</v>
      </c>
      <c r="D282" s="3">
        <v>5074</v>
      </c>
      <c r="E282" s="3">
        <v>1590</v>
      </c>
      <c r="F282" s="4">
        <v>25811</v>
      </c>
      <c r="G282" s="11" t="str" cm="1">
        <f t="array" aca="1" ref="G282" ca="1">IFERROR(VLOOKUP("*" &amp; B282  &amp; "*" &amp; (MID(CELL("filename",A281),FIND("]",CELL("filename",A281))+1,31)) &amp; "*",CHOOSE({1,2}, Super_CBSA!$B$2:$B$1917, Super_CBSA!$A$2:$A$1917), 2,FALSE), IFERROR(VLOOKUP(B282  &amp; "*",CHOOSE({1,2}, Super_CBSA!$E$2:$E$1917, Super_CBSA!$A$2:$A$1917), 2,FALSE), ""))</f>
        <v/>
      </c>
    </row>
    <row r="283" spans="1:7" ht="17">
      <c r="A283" s="1" t="s">
        <v>899</v>
      </c>
      <c r="B283" s="2" t="s">
        <v>900</v>
      </c>
      <c r="C283" s="2">
        <v>75</v>
      </c>
      <c r="D283" s="3">
        <v>1022</v>
      </c>
      <c r="E283" s="3">
        <v>3940</v>
      </c>
      <c r="F283" s="4">
        <v>272037</v>
      </c>
      <c r="G283" s="11" cm="1">
        <f t="array" aca="1" ref="G283" ca="1">IFERROR(VLOOKUP("*" &amp; B283  &amp; "*" &amp; (MID(CELL("filename",A282),FIND("]",CELL("filename",A282))+1,31)) &amp; "*",CHOOSE({1,2}, Super_CBSA!$B$2:$B$1917, Super_CBSA!$A$2:$A$1917), 2,FALSE), IFERROR(VLOOKUP(B283  &amp; "*",CHOOSE({1,2}, Super_CBSA!$E$2:$E$1917, Super_CBSA!$A$2:$A$1917), 2,FALSE), ""))</f>
        <v>42220</v>
      </c>
    </row>
    <row r="284" spans="1:7" ht="17">
      <c r="A284" s="1" t="s">
        <v>901</v>
      </c>
      <c r="B284" s="2" t="s">
        <v>902</v>
      </c>
      <c r="C284" s="2">
        <v>257</v>
      </c>
      <c r="D284" s="3">
        <v>10793</v>
      </c>
      <c r="E284" s="3">
        <v>40205</v>
      </c>
      <c r="F284" s="4">
        <v>1479009</v>
      </c>
      <c r="G284" s="11" t="str" cm="1">
        <f t="array" aca="1" ref="G284" ca="1">IFERROR(VLOOKUP("*" &amp; B284  &amp; "*" &amp; (MID(CELL("filename",A283),FIND("]",CELL("filename",A283))+1,31)) &amp; "*",CHOOSE({1,2}, Super_CBSA!$B$2:$B$1917, Super_CBSA!$A$2:$A$1917), 2,FALSE), IFERROR(VLOOKUP(B284  &amp; "*",CHOOSE({1,2}, Super_CBSA!$E$2:$E$1917, Super_CBSA!$A$2:$A$1917), 2,FALSE), ""))</f>
        <v/>
      </c>
    </row>
    <row r="285" spans="1:7" ht="17">
      <c r="A285" s="1" t="s">
        <v>903</v>
      </c>
      <c r="B285" s="2" t="s">
        <v>751</v>
      </c>
      <c r="C285" s="2">
        <v>178</v>
      </c>
      <c r="D285" s="3">
        <v>3617</v>
      </c>
      <c r="E285" s="3">
        <v>15189</v>
      </c>
      <c r="F285" s="4">
        <v>291216</v>
      </c>
      <c r="G285" s="11" t="str" cm="1">
        <f t="array" aca="1" ref="G285" ca="1">IFERROR(VLOOKUP("*" &amp; B285  &amp; "*" &amp; (MID(CELL("filename",A284),FIND("]",CELL("filename",A284))+1,31)) &amp; "*",CHOOSE({1,2}, Super_CBSA!$B$2:$B$1917, Super_CBSA!$A$2:$A$1917), 2,FALSE), IFERROR(VLOOKUP(B285  &amp; "*",CHOOSE({1,2}, Super_CBSA!$E$2:$E$1917, Super_CBSA!$A$2:$A$1917), 2,FALSE), ""))</f>
        <v/>
      </c>
    </row>
    <row r="286" spans="1:7" ht="17">
      <c r="A286" s="1" t="s">
        <v>904</v>
      </c>
      <c r="B286" s="2" t="s">
        <v>697</v>
      </c>
      <c r="C286" s="2">
        <v>209</v>
      </c>
      <c r="D286" s="3">
        <v>14971</v>
      </c>
      <c r="E286" s="3">
        <v>56467</v>
      </c>
      <c r="F286" s="4">
        <v>1918236</v>
      </c>
      <c r="G286" s="11" cm="1">
        <f t="array" aca="1" ref="G286" ca="1">IFERROR(VLOOKUP("*" &amp; B286  &amp; "*" &amp; (MID(CELL("filename",A285),FIND("]",CELL("filename",A285))+1,31)) &amp; "*",CHOOSE({1,2}, Super_CBSA!$B$2:$B$1917, Super_CBSA!$A$2:$A$1917), 2,FALSE), IFERROR(VLOOKUP(B286  &amp; "*",CHOOSE({1,2}, Super_CBSA!$E$2:$E$1917, Super_CBSA!$A$2:$A$1917), 2,FALSE), ""))</f>
        <v>40900</v>
      </c>
    </row>
    <row r="287" spans="1:7" ht="17">
      <c r="A287" s="1" t="s">
        <v>905</v>
      </c>
      <c r="B287" s="2" t="s">
        <v>906</v>
      </c>
      <c r="C287" s="2">
        <v>406</v>
      </c>
      <c r="D287" s="3">
        <v>7021</v>
      </c>
      <c r="E287" s="3">
        <v>35870</v>
      </c>
      <c r="F287" s="4">
        <v>661412</v>
      </c>
      <c r="G287" s="11" t="str" cm="1">
        <f t="array" aca="1" ref="G287" ca="1">IFERROR(VLOOKUP("*" &amp; B287  &amp; "*" &amp; (MID(CELL("filename",A286),FIND("]",CELL("filename",A286))+1,31)) &amp; "*",CHOOSE({1,2}, Super_CBSA!$B$2:$B$1917, Super_CBSA!$A$2:$A$1917), 2,FALSE), IFERROR(VLOOKUP(B287  &amp; "*",CHOOSE({1,2}, Super_CBSA!$E$2:$E$1917, Super_CBSA!$A$2:$A$1917), 2,FALSE), ""))</f>
        <v/>
      </c>
    </row>
    <row r="288" spans="1:7" ht="17">
      <c r="A288" s="1" t="s">
        <v>907</v>
      </c>
      <c r="B288" s="2" t="s">
        <v>908</v>
      </c>
      <c r="C288" s="2">
        <v>612</v>
      </c>
      <c r="D288" s="3">
        <v>19465</v>
      </c>
      <c r="E288" s="3">
        <v>107073</v>
      </c>
      <c r="F288" s="4">
        <v>1162900</v>
      </c>
      <c r="G288" s="11" t="str" cm="1">
        <f t="array" aca="1" ref="G288" ca="1">IFERROR(VLOOKUP("*" &amp; B288  &amp; "*" &amp; (MID(CELL("filename",A287),FIND("]",CELL("filename",A287))+1,31)) &amp; "*",CHOOSE({1,2}, Super_CBSA!$B$2:$B$1917, Super_CBSA!$A$2:$A$1917), 2,FALSE), IFERROR(VLOOKUP(B288  &amp; "*",CHOOSE({1,2}, Super_CBSA!$E$2:$E$1917, Super_CBSA!$A$2:$A$1917), 2,FALSE), ""))</f>
        <v/>
      </c>
    </row>
    <row r="289" spans="1:7" ht="17">
      <c r="A289" s="1" t="s">
        <v>909</v>
      </c>
      <c r="B289" s="2" t="s">
        <v>524</v>
      </c>
      <c r="C289" s="2">
        <v>284</v>
      </c>
      <c r="D289" s="3">
        <v>11687</v>
      </c>
      <c r="E289" s="3">
        <v>56990</v>
      </c>
      <c r="F289" s="4">
        <v>1108338</v>
      </c>
      <c r="G289" s="11" cm="1">
        <f t="array" aca="1" ref="G289" ca="1">IFERROR(VLOOKUP("*" &amp; B289  &amp; "*" &amp; (MID(CELL("filename",A288),FIND("]",CELL("filename",A288))+1,31)) &amp; "*",CHOOSE({1,2}, Super_CBSA!$B$2:$B$1917, Super_CBSA!$A$2:$A$1917), 2,FALSE), IFERROR(VLOOKUP(B289  &amp; "*",CHOOSE({1,2}, Super_CBSA!$E$2:$E$1917, Super_CBSA!$A$2:$A$1917), 2,FALSE), ""))</f>
        <v>31080</v>
      </c>
    </row>
    <row r="290" spans="1:7" ht="17">
      <c r="A290" s="1" t="s">
        <v>910</v>
      </c>
      <c r="B290" s="2" t="s">
        <v>911</v>
      </c>
      <c r="C290" s="2">
        <v>0</v>
      </c>
      <c r="D290" s="2">
        <v>0</v>
      </c>
      <c r="E290" s="2">
        <v>0</v>
      </c>
      <c r="F290" s="4">
        <v>0</v>
      </c>
      <c r="G290" s="11" t="str" cm="1">
        <f t="array" aca="1" ref="G290" ca="1">IFERROR(VLOOKUP("*" &amp; B290  &amp; "*" &amp; (MID(CELL("filename",A289),FIND("]",CELL("filename",A289))+1,31)) &amp; "*",CHOOSE({1,2}, Super_CBSA!$B$2:$B$1917, Super_CBSA!$A$2:$A$1917), 2,FALSE), IFERROR(VLOOKUP(B290  &amp; "*",CHOOSE({1,2}, Super_CBSA!$E$2:$E$1917, Super_CBSA!$A$2:$A$1917), 2,FALSE), ""))</f>
        <v/>
      </c>
    </row>
    <row r="291" spans="1:7" ht="17">
      <c r="A291" s="1" t="s">
        <v>912</v>
      </c>
      <c r="B291" s="2" t="s">
        <v>913</v>
      </c>
      <c r="C291" s="2">
        <v>207</v>
      </c>
      <c r="D291" s="3">
        <v>7060</v>
      </c>
      <c r="E291" s="3">
        <v>29036</v>
      </c>
      <c r="F291" s="4">
        <v>1456929</v>
      </c>
      <c r="G291" s="11" t="str" cm="1">
        <f t="array" aca="1" ref="G291" ca="1">IFERROR(VLOOKUP("*" &amp; B291  &amp; "*" &amp; (MID(CELL("filename",A290),FIND("]",CELL("filename",A290))+1,31)) &amp; "*",CHOOSE({1,2}, Super_CBSA!$B$2:$B$1917, Super_CBSA!$A$2:$A$1917), 2,FALSE), IFERROR(VLOOKUP(B291  &amp; "*",CHOOSE({1,2}, Super_CBSA!$E$2:$E$1917, Super_CBSA!$A$2:$A$1917), 2,FALSE), ""))</f>
        <v/>
      </c>
    </row>
    <row r="292" spans="1:7" ht="17">
      <c r="A292" s="1" t="s">
        <v>914</v>
      </c>
      <c r="B292" s="2" t="s">
        <v>915</v>
      </c>
      <c r="C292" s="2">
        <v>477</v>
      </c>
      <c r="D292" s="3">
        <v>26371</v>
      </c>
      <c r="E292" s="3">
        <v>147372</v>
      </c>
      <c r="F292" s="4">
        <v>20880954</v>
      </c>
      <c r="G292" s="11" t="str" cm="1">
        <f t="array" aca="1" ref="G292" ca="1">IFERROR(VLOOKUP("*" &amp; B292  &amp; "*" &amp; (MID(CELL("filename",A291),FIND("]",CELL("filename",A291))+1,31)) &amp; "*",CHOOSE({1,2}, Super_CBSA!$B$2:$B$1917, Super_CBSA!$A$2:$A$1917), 2,FALSE), IFERROR(VLOOKUP(B292  &amp; "*",CHOOSE({1,2}, Super_CBSA!$E$2:$E$1917, Super_CBSA!$A$2:$A$1917), 2,FALSE), ""))</f>
        <v/>
      </c>
    </row>
    <row r="293" spans="1:7" ht="17">
      <c r="A293" s="1" t="s">
        <v>916</v>
      </c>
      <c r="B293" s="2" t="s">
        <v>558</v>
      </c>
      <c r="C293" s="2">
        <v>23</v>
      </c>
      <c r="D293" s="2">
        <v>476</v>
      </c>
      <c r="E293" s="2">
        <v>889</v>
      </c>
      <c r="F293" s="4">
        <v>117296</v>
      </c>
      <c r="G293" s="11" cm="1">
        <f t="array" aca="1" ref="G293" ca="1">IFERROR(VLOOKUP("*" &amp; B293  &amp; "*" &amp; (MID(CELL("filename",A292),FIND("]",CELL("filename",A292))+1,31)) &amp; "*",CHOOSE({1,2}, Super_CBSA!$B$2:$B$1917, Super_CBSA!$A$2:$A$1917), 2,FALSE), IFERROR(VLOOKUP(B293  &amp; "*",CHOOSE({1,2}, Super_CBSA!$E$2:$E$1917, Super_CBSA!$A$2:$A$1917), 2,FALSE), ""))</f>
        <v>33700</v>
      </c>
    </row>
    <row r="294" spans="1:7" ht="17">
      <c r="A294" s="1" t="s">
        <v>917</v>
      </c>
      <c r="B294" s="2" t="s">
        <v>158</v>
      </c>
      <c r="C294" s="2">
        <v>52</v>
      </c>
      <c r="D294" s="3">
        <v>2184</v>
      </c>
      <c r="E294" s="3">
        <v>9432</v>
      </c>
      <c r="F294" s="4">
        <v>289980</v>
      </c>
      <c r="G294" s="11" cm="1">
        <f t="array" aca="1" ref="G294" ca="1">IFERROR(VLOOKUP("*" &amp; B294  &amp; "*" &amp; (MID(CELL("filename",A293),FIND("]",CELL("filename",A293))+1,31)) &amp; "*",CHOOSE({1,2}, Super_CBSA!$B$2:$B$1917, Super_CBSA!$A$2:$A$1917), 2,FALSE), IFERROR(VLOOKUP(B294  &amp; "*",CHOOSE({1,2}, Super_CBSA!$E$2:$E$1917, Super_CBSA!$A$2:$A$1917), 2,FALSE), ""))</f>
        <v>11060</v>
      </c>
    </row>
    <row r="295" spans="1:7" ht="17">
      <c r="A295" s="1" t="s">
        <v>918</v>
      </c>
      <c r="B295" s="2" t="s">
        <v>919</v>
      </c>
      <c r="C295" s="2">
        <v>64</v>
      </c>
      <c r="D295" s="3">
        <v>3070</v>
      </c>
      <c r="E295" s="3">
        <v>10265</v>
      </c>
      <c r="F295" s="4">
        <v>515068</v>
      </c>
      <c r="G295" s="11" t="str" cm="1">
        <f t="array" aca="1" ref="G295" ca="1">IFERROR(VLOOKUP("*" &amp; B295  &amp; "*" &amp; (MID(CELL("filename",A294),FIND("]",CELL("filename",A294))+1,31)) &amp; "*",CHOOSE({1,2}, Super_CBSA!$B$2:$B$1917, Super_CBSA!$A$2:$A$1917), 2,FALSE), IFERROR(VLOOKUP(B295  &amp; "*",CHOOSE({1,2}, Super_CBSA!$E$2:$E$1917, Super_CBSA!$A$2:$A$1917), 2,FALSE), ""))</f>
        <v/>
      </c>
    </row>
    <row r="296" spans="1:7" ht="17">
      <c r="A296" s="1" t="s">
        <v>920</v>
      </c>
      <c r="B296" s="2" t="s">
        <v>921</v>
      </c>
      <c r="C296" s="2">
        <v>49</v>
      </c>
      <c r="D296" s="3">
        <v>2195</v>
      </c>
      <c r="E296" s="3">
        <v>7875</v>
      </c>
      <c r="F296" s="4">
        <v>271793</v>
      </c>
      <c r="G296" s="11" cm="1">
        <f t="array" aca="1" ref="G296" ca="1">IFERROR(VLOOKUP("*" &amp; B296  &amp; "*" &amp; (MID(CELL("filename",A295),FIND("]",CELL("filename",A295))+1,31)) &amp; "*",CHOOSE({1,2}, Super_CBSA!$B$2:$B$1917, Super_CBSA!$A$2:$A$1917), 2,FALSE), IFERROR(VLOOKUP(B296  &amp; "*",CHOOSE({1,2}, Super_CBSA!$E$2:$E$1917, Super_CBSA!$A$2:$A$1917), 2,FALSE), ""))</f>
        <v>18860</v>
      </c>
    </row>
    <row r="297" spans="1:7" ht="17">
      <c r="A297" s="1" t="s">
        <v>922</v>
      </c>
      <c r="B297" s="2" t="s">
        <v>923</v>
      </c>
      <c r="C297" s="2">
        <v>48</v>
      </c>
      <c r="D297" s="3">
        <v>3038</v>
      </c>
      <c r="E297" s="3">
        <v>13160</v>
      </c>
      <c r="F297" s="4">
        <v>450202</v>
      </c>
      <c r="G297" s="11" cm="1">
        <f t="array" aca="1" ref="G297" ca="1">IFERROR(VLOOKUP("*" &amp; B297  &amp; "*" &amp; (MID(CELL("filename",A296),FIND("]",CELL("filename",A296))+1,31)) &amp; "*",CHOOSE({1,2}, Super_CBSA!$B$2:$B$1917, Super_CBSA!$A$2:$A$1917), 2,FALSE), IFERROR(VLOOKUP(B297  &amp; "*",CHOOSE({1,2}, Super_CBSA!$E$2:$E$1917, Super_CBSA!$A$2:$A$1917), 2,FALSE), ""))</f>
        <v>33580</v>
      </c>
    </row>
    <row r="298" spans="1:7" ht="17">
      <c r="A298" s="1" t="s">
        <v>924</v>
      </c>
      <c r="B298" s="2" t="s">
        <v>485</v>
      </c>
      <c r="C298" s="2">
        <v>145</v>
      </c>
      <c r="D298" s="3">
        <v>6710</v>
      </c>
      <c r="E298" s="3">
        <v>29071</v>
      </c>
      <c r="F298" s="4">
        <v>784306</v>
      </c>
      <c r="G298" s="11" t="str" cm="1">
        <f t="array" aca="1" ref="G298" ca="1">IFERROR(VLOOKUP("*" &amp; B298  &amp; "*" &amp; (MID(CELL("filename",A297),FIND("]",CELL("filename",A297))+1,31)) &amp; "*",CHOOSE({1,2}, Super_CBSA!$B$2:$B$1917, Super_CBSA!$A$2:$A$1917), 2,FALSE), IFERROR(VLOOKUP(B298  &amp; "*",CHOOSE({1,2}, Super_CBSA!$E$2:$E$1917, Super_CBSA!$A$2:$A$1917), 2,FALSE), ""))</f>
        <v/>
      </c>
    </row>
    <row r="299" spans="1:7" ht="17">
      <c r="A299" s="1" t="s">
        <v>925</v>
      </c>
      <c r="B299" s="2" t="s">
        <v>560</v>
      </c>
      <c r="C299" s="2">
        <v>30</v>
      </c>
      <c r="D299" s="2">
        <v>678</v>
      </c>
      <c r="E299" s="3">
        <v>4693</v>
      </c>
      <c r="F299" s="4">
        <v>204102</v>
      </c>
      <c r="G299" s="11" cm="1">
        <f t="array" aca="1" ref="G299" ca="1">IFERROR(VLOOKUP("*" &amp; B299  &amp; "*" &amp; (MID(CELL("filename",A298),FIND("]",CELL("filename",A298))+1,31)) &amp; "*",CHOOSE({1,2}, Super_CBSA!$B$2:$B$1917, Super_CBSA!$A$2:$A$1917), 2,FALSE), IFERROR(VLOOKUP(B299  &amp; "*",CHOOSE({1,2}, Super_CBSA!$E$2:$E$1917, Super_CBSA!$A$2:$A$1917), 2,FALSE), ""))</f>
        <v>42100</v>
      </c>
    </row>
    <row r="300" spans="1:7" ht="17">
      <c r="A300" s="1" t="s">
        <v>926</v>
      </c>
      <c r="B300" s="2" t="s">
        <v>697</v>
      </c>
      <c r="C300" s="2">
        <v>523</v>
      </c>
      <c r="D300" s="3">
        <v>24722</v>
      </c>
      <c r="E300" s="3">
        <v>140335</v>
      </c>
      <c r="F300" s="4">
        <v>3760976</v>
      </c>
      <c r="G300" s="11" cm="1">
        <f t="array" aca="1" ref="G300" ca="1">IFERROR(VLOOKUP("*" &amp; B300  &amp; "*" &amp; (MID(CELL("filename",A299),FIND("]",CELL("filename",A299))+1,31)) &amp; "*",CHOOSE({1,2}, Super_CBSA!$B$2:$B$1917, Super_CBSA!$A$2:$A$1917), 2,FALSE), IFERROR(VLOOKUP(B300  &amp; "*",CHOOSE({1,2}, Super_CBSA!$E$2:$E$1917, Super_CBSA!$A$2:$A$1917), 2,FALSE), ""))</f>
        <v>40900</v>
      </c>
    </row>
    <row r="301" spans="1:7" ht="17">
      <c r="A301" s="1" t="s">
        <v>927</v>
      </c>
      <c r="B301" s="2" t="s">
        <v>637</v>
      </c>
      <c r="C301" s="2">
        <v>328</v>
      </c>
      <c r="D301" s="3">
        <v>17463</v>
      </c>
      <c r="E301" s="3">
        <v>75374</v>
      </c>
      <c r="F301" s="4">
        <v>2268782</v>
      </c>
      <c r="G301" s="11" cm="1">
        <f t="array" aca="1" ref="G301" ca="1">IFERROR(VLOOKUP("*" &amp; B301  &amp; "*" &amp; (MID(CELL("filename",A300),FIND("]",CELL("filename",A300))+1,31)) &amp; "*",CHOOSE({1,2}, Super_CBSA!$B$2:$B$1917, Super_CBSA!$A$2:$A$1917), 2,FALSE), IFERROR(VLOOKUP(B301  &amp; "*",CHOOSE({1,2}, Super_CBSA!$E$2:$E$1917, Super_CBSA!$A$2:$A$1917), 2,FALSE), ""))</f>
        <v>40900</v>
      </c>
    </row>
    <row r="302" spans="1:7" ht="17">
      <c r="A302" s="1" t="s">
        <v>928</v>
      </c>
      <c r="B302" s="2" t="s">
        <v>866</v>
      </c>
      <c r="C302" s="2">
        <v>84</v>
      </c>
      <c r="D302" s="3">
        <v>5603</v>
      </c>
      <c r="E302" s="3">
        <v>28594</v>
      </c>
      <c r="F302" s="4">
        <v>882401</v>
      </c>
      <c r="G302" s="11" cm="1">
        <f t="array" aca="1" ref="G302" ca="1">IFERROR(VLOOKUP("*" &amp; B302  &amp; "*" &amp; (MID(CELL("filename",A301),FIND("]",CELL("filename",A301))+1,31)) &amp; "*",CHOOSE({1,2}, Super_CBSA!$B$2:$B$1917, Super_CBSA!$A$2:$A$1917), 2,FALSE), IFERROR(VLOOKUP(B302  &amp; "*",CHOOSE({1,2}, Super_CBSA!$E$2:$E$1917, Super_CBSA!$A$2:$A$1917), 2,FALSE), ""))</f>
        <v>42220</v>
      </c>
    </row>
    <row r="303" spans="1:7" ht="17">
      <c r="A303" s="1" t="s">
        <v>929</v>
      </c>
      <c r="B303" s="2" t="s">
        <v>464</v>
      </c>
      <c r="C303" s="2">
        <v>106</v>
      </c>
      <c r="D303" s="3">
        <v>3786</v>
      </c>
      <c r="E303" s="3">
        <v>18322</v>
      </c>
      <c r="F303" s="4">
        <v>568324</v>
      </c>
      <c r="G303" s="11" cm="1">
        <f t="array" aca="1" ref="G303" ca="1">IFERROR(VLOOKUP("*" &amp; B303  &amp; "*" &amp; (MID(CELL("filename",A302),FIND("]",CELL("filename",A302))+1,31)) &amp; "*",CHOOSE({1,2}, Super_CBSA!$B$2:$B$1917, Super_CBSA!$A$2:$A$1917), 2,FALSE), IFERROR(VLOOKUP(B303  &amp; "*",CHOOSE({1,2}, Super_CBSA!$E$2:$E$1917, Super_CBSA!$A$2:$A$1917), 2,FALSE), ""))</f>
        <v>46700</v>
      </c>
    </row>
    <row r="304" spans="1:7" ht="17">
      <c r="A304" s="1" t="s">
        <v>930</v>
      </c>
      <c r="B304" s="2" t="s">
        <v>931</v>
      </c>
      <c r="C304" s="2">
        <v>14</v>
      </c>
      <c r="D304" s="2">
        <v>485</v>
      </c>
      <c r="E304" s="3">
        <v>1154</v>
      </c>
      <c r="F304" s="4">
        <v>80798</v>
      </c>
      <c r="G304" s="11" cm="1">
        <f t="array" aca="1" ref="G304" ca="1">IFERROR(VLOOKUP("*" &amp; B304  &amp; "*" &amp; (MID(CELL("filename",A303),FIND("]",CELL("filename",A303))+1,31)) &amp; "*",CHOOSE({1,2}, Super_CBSA!$B$2:$B$1917, Super_CBSA!$A$2:$A$1917), 2,FALSE), IFERROR(VLOOKUP(B304  &amp; "*",CHOOSE({1,2}, Super_CBSA!$E$2:$E$1917, Super_CBSA!$A$2:$A$1917), 2,FALSE), ""))</f>
        <v>49700</v>
      </c>
    </row>
    <row r="305" spans="1:7" ht="17">
      <c r="A305" s="1" t="s">
        <v>932</v>
      </c>
      <c r="B305" s="2" t="s">
        <v>933</v>
      </c>
      <c r="C305" s="2">
        <v>77</v>
      </c>
      <c r="D305" s="3">
        <v>3405</v>
      </c>
      <c r="E305" s="3">
        <v>11977</v>
      </c>
      <c r="F305" s="4">
        <v>455081</v>
      </c>
      <c r="G305" s="11" t="str" cm="1">
        <f t="array" aca="1" ref="G305" ca="1">IFERROR(VLOOKUP("*" &amp; B305  &amp; "*" &amp; (MID(CELL("filename",A304),FIND("]",CELL("filename",A304))+1,31)) &amp; "*",CHOOSE({1,2}, Super_CBSA!$B$2:$B$1917, Super_CBSA!$A$2:$A$1917), 2,FALSE), IFERROR(VLOOKUP(B305  &amp; "*",CHOOSE({1,2}, Super_CBSA!$E$2:$E$1917, Super_CBSA!$A$2:$A$1917), 2,FALSE), ""))</f>
        <v/>
      </c>
    </row>
    <row r="306" spans="1:7" ht="17">
      <c r="A306" s="1" t="s">
        <v>934</v>
      </c>
      <c r="B306" s="2" t="s">
        <v>935</v>
      </c>
      <c r="C306" s="2">
        <v>140</v>
      </c>
      <c r="D306" s="3">
        <v>8989</v>
      </c>
      <c r="E306" s="3">
        <v>36273</v>
      </c>
      <c r="F306" s="4">
        <v>886410</v>
      </c>
      <c r="G306" s="11" t="str" cm="1">
        <f t="array" aca="1" ref="G306" ca="1">IFERROR(VLOOKUP("*" &amp; B306  &amp; "*" &amp; (MID(CELL("filename",A305),FIND("]",CELL("filename",A305))+1,31)) &amp; "*",CHOOSE({1,2}, Super_CBSA!$B$2:$B$1917, Super_CBSA!$A$2:$A$1917), 2,FALSE), IFERROR(VLOOKUP(B306  &amp; "*",CHOOSE({1,2}, Super_CBSA!$E$2:$E$1917, Super_CBSA!$A$2:$A$1917), 2,FALSE), ""))</f>
        <v/>
      </c>
    </row>
    <row r="307" spans="1:7" ht="17">
      <c r="A307" s="1" t="s">
        <v>936</v>
      </c>
      <c r="B307" s="2" t="s">
        <v>672</v>
      </c>
      <c r="C307" s="2">
        <v>21</v>
      </c>
      <c r="D307" s="3">
        <v>1284</v>
      </c>
      <c r="E307" s="3">
        <v>2877</v>
      </c>
      <c r="F307" s="4">
        <v>175711</v>
      </c>
      <c r="G307" s="11" cm="1">
        <f t="array" aca="1" ref="G307" ca="1">IFERROR(VLOOKUP("*" &amp; B307  &amp; "*" &amp; (MID(CELL("filename",A306),FIND("]",CELL("filename",A306))+1,31)) &amp; "*",CHOOSE({1,2}, Super_CBSA!$B$2:$B$1917, Super_CBSA!$A$2:$A$1917), 2,FALSE), IFERROR(VLOOKUP(B307  &amp; "*",CHOOSE({1,2}, Super_CBSA!$E$2:$E$1917, Super_CBSA!$A$2:$A$1917), 2,FALSE), ""))</f>
        <v>37100</v>
      </c>
    </row>
    <row r="308" spans="1:7" ht="17">
      <c r="A308" s="1" t="s">
        <v>937</v>
      </c>
      <c r="B308" s="2" t="s">
        <v>611</v>
      </c>
      <c r="C308" s="2">
        <v>533</v>
      </c>
      <c r="D308" s="3">
        <v>26020</v>
      </c>
      <c r="E308" s="3">
        <v>103532</v>
      </c>
      <c r="F308" s="4">
        <v>3915500</v>
      </c>
      <c r="G308" s="11" cm="1">
        <f t="array" aca="1" ref="G308" ca="1">IFERROR(VLOOKUP("*" &amp; B308  &amp; "*" &amp; (MID(CELL("filename",A307),FIND("]",CELL("filename",A307))+1,31)) &amp; "*",CHOOSE({1,2}, Super_CBSA!$B$2:$B$1917, Super_CBSA!$A$2:$A$1917), 2,FALSE), IFERROR(VLOOKUP(B308  &amp; "*",CHOOSE({1,2}, Super_CBSA!$E$2:$E$1917, Super_CBSA!$A$2:$A$1917), 2,FALSE), ""))</f>
        <v>10740</v>
      </c>
    </row>
    <row r="309" spans="1:7" ht="17">
      <c r="A309" s="1" t="s">
        <v>938</v>
      </c>
      <c r="B309" s="2" t="s">
        <v>939</v>
      </c>
      <c r="C309" s="2">
        <v>305</v>
      </c>
      <c r="D309" s="3">
        <v>11454</v>
      </c>
      <c r="E309" s="3">
        <v>55090</v>
      </c>
      <c r="F309" s="4">
        <v>1508326</v>
      </c>
      <c r="G309" s="11" t="str" cm="1">
        <f t="array" aca="1" ref="G309" ca="1">IFERROR(VLOOKUP("*" &amp; B309  &amp; "*" &amp; (MID(CELL("filename",A308),FIND("]",CELL("filename",A308))+1,31)) &amp; "*",CHOOSE({1,2}, Super_CBSA!$B$2:$B$1917, Super_CBSA!$A$2:$A$1917), 2,FALSE), IFERROR(VLOOKUP(B309  &amp; "*",CHOOSE({1,2}, Super_CBSA!$E$2:$E$1917, Super_CBSA!$A$2:$A$1917), 2,FALSE), ""))</f>
        <v/>
      </c>
    </row>
    <row r="310" spans="1:7" ht="17">
      <c r="A310" s="1" t="s">
        <v>940</v>
      </c>
      <c r="B310" s="2" t="s">
        <v>941</v>
      </c>
      <c r="C310" s="2">
        <v>122</v>
      </c>
      <c r="D310" s="3">
        <v>4538</v>
      </c>
      <c r="E310" s="3">
        <v>18120</v>
      </c>
      <c r="F310" s="4">
        <v>796968</v>
      </c>
      <c r="G310" s="11" t="str" cm="1">
        <f t="array" aca="1" ref="G310" ca="1">IFERROR(VLOOKUP("*" &amp; B310  &amp; "*" &amp; (MID(CELL("filename",A309),FIND("]",CELL("filename",A309))+1,31)) &amp; "*",CHOOSE({1,2}, Super_CBSA!$B$2:$B$1917, Super_CBSA!$A$2:$A$1917), 2,FALSE), IFERROR(VLOOKUP(B310  &amp; "*",CHOOSE({1,2}, Super_CBSA!$E$2:$E$1917, Super_CBSA!$A$2:$A$1917), 2,FALSE), ""))</f>
        <v/>
      </c>
    </row>
    <row r="311" spans="1:7" ht="17">
      <c r="A311" s="1" t="s">
        <v>942</v>
      </c>
      <c r="B311" s="2" t="s">
        <v>697</v>
      </c>
      <c r="C311" s="2">
        <v>617</v>
      </c>
      <c r="D311" s="3">
        <v>29526</v>
      </c>
      <c r="E311" s="3">
        <v>185940</v>
      </c>
      <c r="F311" s="4">
        <v>9116984</v>
      </c>
      <c r="G311" s="11" cm="1">
        <f t="array" aca="1" ref="G311" ca="1">IFERROR(VLOOKUP("*" &amp; B311  &amp; "*" &amp; (MID(CELL("filename",A310),FIND("]",CELL("filename",A310))+1,31)) &amp; "*",CHOOSE({1,2}, Super_CBSA!$B$2:$B$1917, Super_CBSA!$A$2:$A$1917), 2,FALSE), IFERROR(VLOOKUP(B311  &amp; "*",CHOOSE({1,2}, Super_CBSA!$E$2:$E$1917, Super_CBSA!$A$2:$A$1917), 2,FALSE), ""))</f>
        <v>40900</v>
      </c>
    </row>
    <row r="312" spans="1:7" ht="17">
      <c r="A312" s="1" t="s">
        <v>943</v>
      </c>
      <c r="B312" s="2" t="s">
        <v>869</v>
      </c>
      <c r="C312" s="2">
        <v>0</v>
      </c>
      <c r="D312" s="2">
        <v>0</v>
      </c>
      <c r="E312" s="2">
        <v>0</v>
      </c>
      <c r="F312" s="4">
        <v>0</v>
      </c>
      <c r="G312" s="11" t="str" cm="1">
        <f t="array" aca="1" ref="G312" ca="1">IFERROR(VLOOKUP("*" &amp; B312  &amp; "*" &amp; (MID(CELL("filename",A311),FIND("]",CELL("filename",A311))+1,31)) &amp; "*",CHOOSE({1,2}, Super_CBSA!$B$2:$B$1917, Super_CBSA!$A$2:$A$1917), 2,FALSE), IFERROR(VLOOKUP(B312  &amp; "*",CHOOSE({1,2}, Super_CBSA!$E$2:$E$1917, Super_CBSA!$A$2:$A$1917), 2,FALSE), ""))</f>
        <v/>
      </c>
    </row>
    <row r="313" spans="1:7" ht="17">
      <c r="A313" s="1" t="s">
        <v>944</v>
      </c>
      <c r="B313" s="2" t="s">
        <v>479</v>
      </c>
      <c r="C313" s="2">
        <v>701</v>
      </c>
      <c r="D313" s="3">
        <v>33464</v>
      </c>
      <c r="E313" s="3">
        <v>208561</v>
      </c>
      <c r="F313" s="4">
        <v>6710771</v>
      </c>
      <c r="G313" s="11" cm="1">
        <f t="array" aca="1" ref="G313" ca="1">IFERROR(VLOOKUP("*" &amp; B313  &amp; "*" &amp; (MID(CELL("filename",A312),FIND("]",CELL("filename",A312))+1,31)) &amp; "*",CHOOSE({1,2}, Super_CBSA!$B$2:$B$1917, Super_CBSA!$A$2:$A$1917), 2,FALSE), IFERROR(VLOOKUP(B313  &amp; "*",CHOOSE({1,2}, Super_CBSA!$E$2:$E$1917, Super_CBSA!$A$2:$A$1917), 2,FALSE), ""))</f>
        <v>41740</v>
      </c>
    </row>
    <row r="314" spans="1:7" ht="17">
      <c r="A314" s="1" t="s">
        <v>945</v>
      </c>
      <c r="B314" s="2" t="s">
        <v>510</v>
      </c>
      <c r="C314" s="2">
        <v>414</v>
      </c>
      <c r="D314" s="3">
        <v>20911</v>
      </c>
      <c r="E314" s="3">
        <v>105093</v>
      </c>
      <c r="F314" s="4">
        <v>4328713</v>
      </c>
      <c r="G314" s="11" cm="1">
        <f t="array" aca="1" ref="G314" ca="1">IFERROR(VLOOKUP("*" &amp; B314  &amp; "*" &amp; (MID(CELL("filename",A313),FIND("]",CELL("filename",A313))+1,31)) &amp; "*",CHOOSE({1,2}, Super_CBSA!$B$2:$B$1917, Super_CBSA!$A$2:$A$1917), 2,FALSE), IFERROR(VLOOKUP(B314  &amp; "*",CHOOSE({1,2}, Super_CBSA!$E$2:$E$1917, Super_CBSA!$A$2:$A$1917), 2,FALSE), ""))</f>
        <v>13140</v>
      </c>
    </row>
    <row r="315" spans="1:7" ht="17">
      <c r="A315" s="1" t="s">
        <v>946</v>
      </c>
      <c r="B315" s="2" t="s">
        <v>466</v>
      </c>
      <c r="C315" s="2">
        <v>0</v>
      </c>
      <c r="D315" s="2">
        <v>0</v>
      </c>
      <c r="E315" s="2">
        <v>0</v>
      </c>
      <c r="F315" s="4">
        <v>0</v>
      </c>
      <c r="G315" s="11" cm="1">
        <f t="array" aca="1" ref="G315" ca="1">IFERROR(VLOOKUP("*" &amp; B315  &amp; "*" &amp; (MID(CELL("filename",A314),FIND("]",CELL("filename",A314))+1,31)) &amp; "*",CHOOSE({1,2}, Super_CBSA!$B$2:$B$1917, Super_CBSA!$A$2:$A$1917), 2,FALSE), IFERROR(VLOOKUP(B315  &amp; "*",CHOOSE({1,2}, Super_CBSA!$E$2:$E$1917, Super_CBSA!$A$2:$A$1917), 2,FALSE), ""))</f>
        <v>31080</v>
      </c>
    </row>
    <row r="316" spans="1:7" ht="17">
      <c r="A316" s="1" t="s">
        <v>947</v>
      </c>
      <c r="B316" s="2" t="s">
        <v>440</v>
      </c>
      <c r="C316" s="2">
        <v>281</v>
      </c>
      <c r="D316" s="3">
        <v>15321</v>
      </c>
      <c r="E316" s="3">
        <v>78570</v>
      </c>
      <c r="F316" s="4">
        <v>1661236</v>
      </c>
      <c r="G316" s="11" t="str" cm="1">
        <f t="array" aca="1" ref="G316" ca="1">IFERROR(VLOOKUP("*" &amp; B316  &amp; "*" &amp; (MID(CELL("filename",A315),FIND("]",CELL("filename",A315))+1,31)) &amp; "*",CHOOSE({1,2}, Super_CBSA!$B$2:$B$1917, Super_CBSA!$A$2:$A$1917), 2,FALSE), IFERROR(VLOOKUP(B316  &amp; "*",CHOOSE({1,2}, Super_CBSA!$E$2:$E$1917, Super_CBSA!$A$2:$A$1917), 2,FALSE), ""))</f>
        <v/>
      </c>
    </row>
    <row r="317" spans="1:7" ht="17">
      <c r="A317" s="1" t="s">
        <v>948</v>
      </c>
      <c r="B317" s="2" t="s">
        <v>512</v>
      </c>
      <c r="C317" s="2">
        <v>0</v>
      </c>
      <c r="D317" s="2">
        <v>0</v>
      </c>
      <c r="E317" s="2">
        <v>0</v>
      </c>
      <c r="F317" s="4">
        <v>0</v>
      </c>
      <c r="G317" s="11" cm="1">
        <f t="array" aca="1" ref="G317" ca="1">IFERROR(VLOOKUP("*" &amp; B317  &amp; "*" &amp; (MID(CELL("filename",A316),FIND("]",CELL("filename",A316))+1,31)) &amp; "*",CHOOSE({1,2}, Super_CBSA!$B$2:$B$1917, Super_CBSA!$A$2:$A$1917), 2,FALSE), IFERROR(VLOOKUP(B317  &amp; "*",CHOOSE({1,2}, Super_CBSA!$E$2:$E$1917, Super_CBSA!$A$2:$A$1917), 2,FALSE), ""))</f>
        <v>41860</v>
      </c>
    </row>
    <row r="318" spans="1:7" ht="17">
      <c r="A318" s="1" t="s">
        <v>949</v>
      </c>
      <c r="B318" s="2" t="s">
        <v>512</v>
      </c>
      <c r="C318" s="2">
        <v>785</v>
      </c>
      <c r="D318" s="3">
        <v>35170</v>
      </c>
      <c r="E318" s="3">
        <v>235547</v>
      </c>
      <c r="F318" s="4">
        <v>15270254</v>
      </c>
      <c r="G318" s="11" cm="1">
        <f t="array" aca="1" ref="G318" ca="1">IFERROR(VLOOKUP("*" &amp; B318  &amp; "*" &amp; (MID(CELL("filename",A317),FIND("]",CELL("filename",A317))+1,31)) &amp; "*",CHOOSE({1,2}, Super_CBSA!$B$2:$B$1917, Super_CBSA!$A$2:$A$1917), 2,FALSE), IFERROR(VLOOKUP(B318  &amp; "*",CHOOSE({1,2}, Super_CBSA!$E$2:$E$1917, Super_CBSA!$A$2:$A$1917), 2,FALSE), ""))</f>
        <v>41860</v>
      </c>
    </row>
    <row r="319" spans="1:7" ht="17">
      <c r="A319" s="1" t="s">
        <v>950</v>
      </c>
      <c r="B319" s="2" t="s">
        <v>512</v>
      </c>
      <c r="C319" s="2">
        <v>0</v>
      </c>
      <c r="D319" s="2">
        <v>0</v>
      </c>
      <c r="E319" s="2">
        <v>0</v>
      </c>
      <c r="F319" s="4">
        <v>0</v>
      </c>
      <c r="G319" s="11" cm="1">
        <f t="array" aca="1" ref="G319" ca="1">IFERROR(VLOOKUP("*" &amp; B319  &amp; "*" &amp; (MID(CELL("filename",A318),FIND("]",CELL("filename",A318))+1,31)) &amp; "*",CHOOSE({1,2}, Super_CBSA!$B$2:$B$1917, Super_CBSA!$A$2:$A$1917), 2,FALSE), IFERROR(VLOOKUP(B319  &amp; "*",CHOOSE({1,2}, Super_CBSA!$E$2:$E$1917, Super_CBSA!$A$2:$A$1917), 2,FALSE), ""))</f>
        <v>41860</v>
      </c>
    </row>
    <row r="320" spans="1:7" ht="17">
      <c r="A320" s="1" t="s">
        <v>951</v>
      </c>
      <c r="B320" s="2" t="s">
        <v>466</v>
      </c>
      <c r="C320" s="2">
        <v>60</v>
      </c>
      <c r="D320" s="3">
        <v>1529</v>
      </c>
      <c r="E320" s="3">
        <v>14710</v>
      </c>
      <c r="F320" s="4">
        <v>882700</v>
      </c>
      <c r="G320" s="11" cm="1">
        <f t="array" aca="1" ref="G320" ca="1">IFERROR(VLOOKUP("*" &amp; B320  &amp; "*" &amp; (MID(CELL("filename",A319),FIND("]",CELL("filename",A319))+1,31)) &amp; "*",CHOOSE({1,2}, Super_CBSA!$B$2:$B$1917, Super_CBSA!$A$2:$A$1917), 2,FALSE), IFERROR(VLOOKUP(B320  &amp; "*",CHOOSE({1,2}, Super_CBSA!$E$2:$E$1917, Super_CBSA!$A$2:$A$1917), 2,FALSE), ""))</f>
        <v>31080</v>
      </c>
    </row>
    <row r="321" spans="1:7" ht="17">
      <c r="A321" s="1" t="s">
        <v>952</v>
      </c>
      <c r="B321" s="2" t="s">
        <v>327</v>
      </c>
      <c r="C321" s="2">
        <v>165</v>
      </c>
      <c r="D321" s="3">
        <v>5749</v>
      </c>
      <c r="E321" s="3">
        <v>19008</v>
      </c>
      <c r="F321" s="4">
        <v>622400</v>
      </c>
      <c r="G321" s="11" t="str" cm="1">
        <f t="array" aca="1" ref="G321" ca="1">IFERROR(VLOOKUP("*" &amp; B321  &amp; "*" &amp; (MID(CELL("filename",A320),FIND("]",CELL("filename",A320))+1,31)) &amp; "*",CHOOSE({1,2}, Super_CBSA!$B$2:$B$1917, Super_CBSA!$A$2:$A$1917), 2,FALSE), IFERROR(VLOOKUP(B321  &amp; "*",CHOOSE({1,2}, Super_CBSA!$E$2:$E$1917, Super_CBSA!$A$2:$A$1917), 2,FALSE), ""))</f>
        <v/>
      </c>
    </row>
    <row r="322" spans="1:7" ht="17">
      <c r="A322" s="1" t="s">
        <v>953</v>
      </c>
      <c r="B322" s="2" t="s">
        <v>537</v>
      </c>
      <c r="C322" s="2">
        <v>0</v>
      </c>
      <c r="D322" s="2">
        <v>0</v>
      </c>
      <c r="E322" s="2">
        <v>0</v>
      </c>
      <c r="F322" s="4">
        <v>0</v>
      </c>
      <c r="G322" s="11" cm="1">
        <f t="array" aca="1" ref="G322" ca="1">IFERROR(VLOOKUP("*" &amp; B322  &amp; "*" &amp; (MID(CELL("filename",A321),FIND("]",CELL("filename",A321))+1,31)) &amp; "*",CHOOSE({1,2}, Super_CBSA!$B$2:$B$1917, Super_CBSA!$A$2:$A$1917), 2,FALSE), IFERROR(VLOOKUP(B322  &amp; "*",CHOOSE({1,2}, Super_CBSA!$E$2:$E$1917, Super_CBSA!$A$2:$A$1917), 2,FALSE), ""))</f>
        <v>23420</v>
      </c>
    </row>
    <row r="323" spans="1:7" ht="17">
      <c r="A323" s="1" t="s">
        <v>954</v>
      </c>
      <c r="B323" s="2" t="s">
        <v>466</v>
      </c>
      <c r="C323" s="2">
        <v>0</v>
      </c>
      <c r="D323" s="2">
        <v>0</v>
      </c>
      <c r="E323" s="2">
        <v>0</v>
      </c>
      <c r="F323" s="4">
        <v>0</v>
      </c>
      <c r="G323" s="11" cm="1">
        <f t="array" aca="1" ref="G323" ca="1">IFERROR(VLOOKUP("*" &amp; B323  &amp; "*" &amp; (MID(CELL("filename",A322),FIND("]",CELL("filename",A322))+1,31)) &amp; "*",CHOOSE({1,2}, Super_CBSA!$B$2:$B$1917, Super_CBSA!$A$2:$A$1917), 2,FALSE), IFERROR(VLOOKUP(B323  &amp; "*",CHOOSE({1,2}, Super_CBSA!$E$2:$E$1917, Super_CBSA!$A$2:$A$1917), 2,FALSE), ""))</f>
        <v>31080</v>
      </c>
    </row>
    <row r="324" spans="1:7" ht="17">
      <c r="A324" s="1" t="s">
        <v>955</v>
      </c>
      <c r="B324" s="2" t="s">
        <v>654</v>
      </c>
      <c r="C324" s="2">
        <v>0</v>
      </c>
      <c r="D324" s="2">
        <v>0</v>
      </c>
      <c r="E324" s="2">
        <v>0</v>
      </c>
      <c r="F324" s="4">
        <v>0</v>
      </c>
      <c r="G324" s="11" t="str" cm="1">
        <f t="array" aca="1" ref="G324" ca="1">IFERROR(VLOOKUP("*" &amp; B324  &amp; "*" &amp; (MID(CELL("filename",A323),FIND("]",CELL("filename",A323))+1,31)) &amp; "*",CHOOSE({1,2}, Super_CBSA!$B$2:$B$1917, Super_CBSA!$A$2:$A$1917), 2,FALSE), IFERROR(VLOOKUP(B324  &amp; "*",CHOOSE({1,2}, Super_CBSA!$E$2:$E$1917, Super_CBSA!$A$2:$A$1917), 2,FALSE), ""))</f>
        <v/>
      </c>
    </row>
    <row r="325" spans="1:7" ht="17">
      <c r="A325" s="1" t="s">
        <v>956</v>
      </c>
      <c r="B325" s="2" t="s">
        <v>524</v>
      </c>
      <c r="C325" s="2">
        <v>0</v>
      </c>
      <c r="D325" s="2">
        <v>0</v>
      </c>
      <c r="E325" s="2">
        <v>0</v>
      </c>
      <c r="F325" s="4">
        <v>0</v>
      </c>
      <c r="G325" s="11" cm="1">
        <f t="array" aca="1" ref="G325" ca="1">IFERROR(VLOOKUP("*" &amp; B325  &amp; "*" &amp; (MID(CELL("filename",A324),FIND("]",CELL("filename",A324))+1,31)) &amp; "*",CHOOSE({1,2}, Super_CBSA!$B$2:$B$1917, Super_CBSA!$A$2:$A$1917), 2,FALSE), IFERROR(VLOOKUP(B325  &amp; "*",CHOOSE({1,2}, Super_CBSA!$E$2:$E$1917, Super_CBSA!$A$2:$A$1917), 2,FALSE), ""))</f>
        <v>31080</v>
      </c>
    </row>
    <row r="326" spans="1:7" ht="17">
      <c r="A326" s="1" t="s">
        <v>957</v>
      </c>
      <c r="B326" s="2" t="s">
        <v>958</v>
      </c>
      <c r="C326" s="2">
        <v>0</v>
      </c>
      <c r="D326" s="2">
        <v>0</v>
      </c>
      <c r="E326" s="2">
        <v>0</v>
      </c>
      <c r="F326" s="4">
        <v>0</v>
      </c>
      <c r="G326" s="11" t="str" cm="1">
        <f t="array" aca="1" ref="G326" ca="1">IFERROR(VLOOKUP("*" &amp; B326  &amp; "*" &amp; (MID(CELL("filename",A325),FIND("]",CELL("filename",A325))+1,31)) &amp; "*",CHOOSE({1,2}, Super_CBSA!$B$2:$B$1917, Super_CBSA!$A$2:$A$1917), 2,FALSE), IFERROR(VLOOKUP(B326  &amp; "*",CHOOSE({1,2}, Super_CBSA!$E$2:$E$1917, Super_CBSA!$A$2:$A$1917), 2,FALSE), ""))</f>
        <v/>
      </c>
    </row>
    <row r="327" spans="1:7" ht="17">
      <c r="A327" s="1" t="s">
        <v>959</v>
      </c>
      <c r="B327" s="2" t="s">
        <v>960</v>
      </c>
      <c r="C327" s="2">
        <v>0</v>
      </c>
      <c r="D327" s="2">
        <v>0</v>
      </c>
      <c r="E327" s="2">
        <v>0</v>
      </c>
      <c r="F327" s="4">
        <v>0</v>
      </c>
      <c r="G327" s="11" t="str" cm="1">
        <f t="array" aca="1" ref="G327" ca="1">IFERROR(VLOOKUP("*" &amp; B327  &amp; "*" &amp; (MID(CELL("filename",A326),FIND("]",CELL("filename",A326))+1,31)) &amp; "*",CHOOSE({1,2}, Super_CBSA!$B$2:$B$1917, Super_CBSA!$A$2:$A$1917), 2,FALSE), IFERROR(VLOOKUP(B327  &amp; "*",CHOOSE({1,2}, Super_CBSA!$E$2:$E$1917, Super_CBSA!$A$2:$A$1917), 2,FALSE), ""))</f>
        <v/>
      </c>
    </row>
    <row r="328" spans="1:7" ht="17">
      <c r="A328" s="1" t="s">
        <v>961</v>
      </c>
      <c r="B328" s="2" t="s">
        <v>479</v>
      </c>
      <c r="C328" s="2">
        <v>0</v>
      </c>
      <c r="D328" s="2">
        <v>0</v>
      </c>
      <c r="E328" s="2">
        <v>0</v>
      </c>
      <c r="F328" s="4">
        <v>0</v>
      </c>
      <c r="G328" s="11" cm="1">
        <f t="array" aca="1" ref="G328" ca="1">IFERROR(VLOOKUP("*" &amp; B328  &amp; "*" &amp; (MID(CELL("filename",A327),FIND("]",CELL("filename",A327))+1,31)) &amp; "*",CHOOSE({1,2}, Super_CBSA!$B$2:$B$1917, Super_CBSA!$A$2:$A$1917), 2,FALSE), IFERROR(VLOOKUP(B328  &amp; "*",CHOOSE({1,2}, Super_CBSA!$E$2:$E$1917, Super_CBSA!$A$2:$A$1917), 2,FALSE), ""))</f>
        <v>41740</v>
      </c>
    </row>
    <row r="329" spans="1:7" ht="17">
      <c r="A329" s="1" t="s">
        <v>962</v>
      </c>
      <c r="B329" s="2" t="s">
        <v>735</v>
      </c>
      <c r="C329" s="2">
        <v>140</v>
      </c>
      <c r="D329" s="3">
        <v>5904</v>
      </c>
      <c r="E329" s="3">
        <v>25547</v>
      </c>
      <c r="F329" s="4">
        <v>862124</v>
      </c>
      <c r="G329" s="11" t="str" cm="1">
        <f t="array" aca="1" ref="G329" ca="1">IFERROR(VLOOKUP("*" &amp; B329  &amp; "*" &amp; (MID(CELL("filename",A328),FIND("]",CELL("filename",A328))+1,31)) &amp; "*",CHOOSE({1,2}, Super_CBSA!$B$2:$B$1917, Super_CBSA!$A$2:$A$1917), 2,FALSE), IFERROR(VLOOKUP(B329  &amp; "*",CHOOSE({1,2}, Super_CBSA!$E$2:$E$1917, Super_CBSA!$A$2:$A$1917), 2,FALSE), ""))</f>
        <v/>
      </c>
    </row>
    <row r="330" spans="1:7" ht="17">
      <c r="A330" s="1" t="s">
        <v>963</v>
      </c>
      <c r="B330" s="2" t="s">
        <v>464</v>
      </c>
      <c r="C330" s="2">
        <v>248</v>
      </c>
      <c r="D330" s="3">
        <v>8475</v>
      </c>
      <c r="E330" s="3">
        <v>34738</v>
      </c>
      <c r="F330" s="4">
        <v>1240674</v>
      </c>
      <c r="G330" s="11" cm="1">
        <f t="array" aca="1" ref="G330" ca="1">IFERROR(VLOOKUP("*" &amp; B330  &amp; "*" &amp; (MID(CELL("filename",A329),FIND("]",CELL("filename",A329))+1,31)) &amp; "*",CHOOSE({1,2}, Super_CBSA!$B$2:$B$1917, Super_CBSA!$A$2:$A$1917), 2,FALSE), IFERROR(VLOOKUP(B330  &amp; "*",CHOOSE({1,2}, Super_CBSA!$E$2:$E$1917, Super_CBSA!$A$2:$A$1917), 2,FALSE), ""))</f>
        <v>46700</v>
      </c>
    </row>
    <row r="331" spans="1:7" ht="17">
      <c r="A331" s="1" t="s">
        <v>964</v>
      </c>
      <c r="B331" s="2" t="s">
        <v>965</v>
      </c>
      <c r="C331" s="2">
        <v>350</v>
      </c>
      <c r="D331" s="3">
        <v>12970</v>
      </c>
      <c r="E331" s="3">
        <v>71916</v>
      </c>
      <c r="F331" s="4">
        <v>925086</v>
      </c>
      <c r="G331" s="11" t="str" cm="1">
        <f t="array" aca="1" ref="G331" ca="1">IFERROR(VLOOKUP("*" &amp; B331  &amp; "*" &amp; (MID(CELL("filename",A330),FIND("]",CELL("filename",A330))+1,31)) &amp; "*",CHOOSE({1,2}, Super_CBSA!$B$2:$B$1917, Super_CBSA!$A$2:$A$1917), 2,FALSE), IFERROR(VLOOKUP(B331  &amp; "*",CHOOSE({1,2}, Super_CBSA!$E$2:$E$1917, Super_CBSA!$A$2:$A$1917), 2,FALSE), ""))</f>
        <v/>
      </c>
    </row>
    <row r="332" spans="1:7" ht="17">
      <c r="A332" s="1" t="s">
        <v>966</v>
      </c>
      <c r="B332" s="2" t="s">
        <v>535</v>
      </c>
      <c r="C332" s="2">
        <v>272</v>
      </c>
      <c r="D332" s="3">
        <v>13606</v>
      </c>
      <c r="E332" s="3">
        <v>46120</v>
      </c>
      <c r="F332" s="4">
        <v>1941508</v>
      </c>
      <c r="G332" s="11" cm="1">
        <f t="array" aca="1" ref="G332" ca="1">IFERROR(VLOOKUP("*" &amp; B332  &amp; "*" &amp; (MID(CELL("filename",A331),FIND("]",CELL("filename",A331))+1,31)) &amp; "*",CHOOSE({1,2}, Super_CBSA!$B$2:$B$1917, Super_CBSA!$A$2:$A$1917), 2,FALSE), IFERROR(VLOOKUP(B332  &amp; "*",CHOOSE({1,2}, Super_CBSA!$E$2:$E$1917, Super_CBSA!$A$2:$A$1917), 2,FALSE), ""))</f>
        <v>37100</v>
      </c>
    </row>
    <row r="333" spans="1:7" ht="17">
      <c r="A333" s="1" t="s">
        <v>967</v>
      </c>
      <c r="B333" s="2" t="s">
        <v>554</v>
      </c>
      <c r="C333" s="2">
        <v>101</v>
      </c>
      <c r="D333" s="3">
        <v>5263</v>
      </c>
      <c r="E333" s="3">
        <v>21496</v>
      </c>
      <c r="F333" s="4">
        <v>334765</v>
      </c>
      <c r="G333" s="11" t="str" cm="1">
        <f t="array" aca="1" ref="G333" ca="1">IFERROR(VLOOKUP("*" &amp; B333  &amp; "*" &amp; (MID(CELL("filename",A332),FIND("]",CELL("filename",A332))+1,31)) &amp; "*",CHOOSE({1,2}, Super_CBSA!$B$2:$B$1917, Super_CBSA!$A$2:$A$1917), 2,FALSE), IFERROR(VLOOKUP(B333  &amp; "*",CHOOSE({1,2}, Super_CBSA!$E$2:$E$1917, Super_CBSA!$A$2:$A$1917), 2,FALSE), ""))</f>
        <v/>
      </c>
    </row>
    <row r="334" spans="1:7" ht="17">
      <c r="A334" s="1" t="s">
        <v>968</v>
      </c>
      <c r="B334" s="2" t="s">
        <v>969</v>
      </c>
      <c r="C334" s="2">
        <v>233</v>
      </c>
      <c r="D334" s="3">
        <v>11768</v>
      </c>
      <c r="E334" s="3">
        <v>49160</v>
      </c>
      <c r="F334" s="4">
        <v>0</v>
      </c>
      <c r="G334" s="11" t="str" cm="1">
        <f t="array" aca="1" ref="G334" ca="1">IFERROR(VLOOKUP("*" &amp; B334  &amp; "*" &amp; (MID(CELL("filename",A333),FIND("]",CELL("filename",A333))+1,31)) &amp; "*",CHOOSE({1,2}, Super_CBSA!$B$2:$B$1917, Super_CBSA!$A$2:$A$1917), 2,FALSE), IFERROR(VLOOKUP(B334  &amp; "*",CHOOSE({1,2}, Super_CBSA!$E$2:$E$1917, Super_CBSA!$A$2:$A$1917), 2,FALSE), ""))</f>
        <v/>
      </c>
    </row>
    <row r="335" spans="1:7" ht="17">
      <c r="A335" s="1" t="s">
        <v>968</v>
      </c>
      <c r="B335" s="2" t="s">
        <v>969</v>
      </c>
      <c r="C335" s="2">
        <v>554</v>
      </c>
      <c r="D335" s="3">
        <v>17757</v>
      </c>
      <c r="E335" s="3">
        <v>90557</v>
      </c>
      <c r="F335" s="4">
        <v>4314033</v>
      </c>
      <c r="G335" s="11" t="str" cm="1">
        <f t="array" aca="1" ref="G335" ca="1">IFERROR(VLOOKUP("*" &amp; B335  &amp; "*" &amp; (MID(CELL("filename",A334),FIND("]",CELL("filename",A334))+1,31)) &amp; "*",CHOOSE({1,2}, Super_CBSA!$B$2:$B$1917, Super_CBSA!$A$2:$A$1917), 2,FALSE), IFERROR(VLOOKUP(B335  &amp; "*",CHOOSE({1,2}, Super_CBSA!$E$2:$E$1917, Super_CBSA!$A$2:$A$1917), 2,FALSE), ""))</f>
        <v/>
      </c>
    </row>
    <row r="336" spans="1:7" ht="17">
      <c r="A336" s="1" t="s">
        <v>970</v>
      </c>
      <c r="B336" s="2" t="s">
        <v>635</v>
      </c>
      <c r="C336" s="2">
        <v>320</v>
      </c>
      <c r="D336" s="3">
        <v>12063</v>
      </c>
      <c r="E336" s="3">
        <v>63210</v>
      </c>
      <c r="F336" s="4">
        <v>2134671</v>
      </c>
      <c r="G336" s="11" cm="1">
        <f t="array" aca="1" ref="G336" ca="1">IFERROR(VLOOKUP("*" &amp; B336  &amp; "*" &amp; (MID(CELL("filename",A335),FIND("]",CELL("filename",A335))+1,31)) &amp; "*",CHOOSE({1,2}, Super_CBSA!$B$2:$B$1917, Super_CBSA!$A$2:$A$1917), 2,FALSE), IFERROR(VLOOKUP(B336  &amp; "*",CHOOSE({1,2}, Super_CBSA!$E$2:$E$1917, Super_CBSA!$A$2:$A$1917), 2,FALSE), ""))</f>
        <v>15860</v>
      </c>
    </row>
    <row r="337" spans="1:7" ht="17">
      <c r="A337" s="1" t="s">
        <v>971</v>
      </c>
      <c r="B337" s="2" t="s">
        <v>972</v>
      </c>
      <c r="C337" s="2">
        <v>106</v>
      </c>
      <c r="D337" s="3">
        <v>3642</v>
      </c>
      <c r="E337" s="3">
        <v>15548</v>
      </c>
      <c r="F337" s="4">
        <v>988077</v>
      </c>
      <c r="G337" s="11" cm="1">
        <f t="array" aca="1" ref="G337" ca="1">IFERROR(VLOOKUP("*" &amp; B337  &amp; "*" &amp; (MID(CELL("filename",A336),FIND("]",CELL("filename",A336))+1,31)) &amp; "*",CHOOSE({1,2}, Super_CBSA!$B$2:$B$1917, Super_CBSA!$A$2:$A$1917), 2,FALSE), IFERROR(VLOOKUP(B337  &amp; "*",CHOOSE({1,2}, Super_CBSA!$E$2:$E$1917, Super_CBSA!$A$2:$A$1917), 2,FALSE), ""))</f>
        <v>42100</v>
      </c>
    </row>
    <row r="338" spans="1:7" ht="17">
      <c r="A338" s="1" t="s">
        <v>973</v>
      </c>
      <c r="B338" s="2" t="s">
        <v>974</v>
      </c>
      <c r="C338" s="2">
        <v>0</v>
      </c>
      <c r="D338" s="2">
        <v>0</v>
      </c>
      <c r="E338" s="2">
        <v>0</v>
      </c>
      <c r="F338" s="4">
        <v>0</v>
      </c>
      <c r="G338" s="11" t="str" cm="1">
        <f t="array" aca="1" ref="G338" ca="1">IFERROR(VLOOKUP("*" &amp; B338  &amp; "*" &amp; (MID(CELL("filename",A337),FIND("]",CELL("filename",A337))+1,31)) &amp; "*",CHOOSE({1,2}, Super_CBSA!$B$2:$B$1917, Super_CBSA!$A$2:$A$1917), 2,FALSE), IFERROR(VLOOKUP(B338  &amp; "*",CHOOSE({1,2}, Super_CBSA!$E$2:$E$1917, Super_CBSA!$A$2:$A$1917), 2,FALSE), ""))</f>
        <v/>
      </c>
    </row>
    <row r="339" spans="1:7" ht="17">
      <c r="A339" s="1" t="s">
        <v>975</v>
      </c>
      <c r="B339" s="2" t="s">
        <v>468</v>
      </c>
      <c r="C339" s="2">
        <v>219</v>
      </c>
      <c r="D339" s="3">
        <v>6551</v>
      </c>
      <c r="E339" s="3">
        <v>24450</v>
      </c>
      <c r="F339" s="4">
        <v>520734</v>
      </c>
      <c r="G339" s="11" cm="1">
        <f t="array" aca="1" ref="G339" ca="1">IFERROR(VLOOKUP("*" &amp; B339  &amp; "*" &amp; (MID(CELL("filename",A338),FIND("]",CELL("filename",A338))+1,31)) &amp; "*",CHOOSE({1,2}, Super_CBSA!$B$2:$B$1917, Super_CBSA!$A$2:$A$1917), 2,FALSE), IFERROR(VLOOKUP(B339  &amp; "*",CHOOSE({1,2}, Super_CBSA!$E$2:$E$1917, Super_CBSA!$A$2:$A$1917), 2,FALSE), ""))</f>
        <v>31080</v>
      </c>
    </row>
    <row r="340" spans="1:7" ht="17">
      <c r="A340" s="1" t="s">
        <v>976</v>
      </c>
      <c r="B340" s="2" t="s">
        <v>577</v>
      </c>
      <c r="C340" s="2">
        <v>46</v>
      </c>
      <c r="D340" s="2">
        <v>563</v>
      </c>
      <c r="E340" s="3">
        <v>1859</v>
      </c>
      <c r="F340" s="4">
        <v>57489</v>
      </c>
      <c r="G340" s="11" t="str" cm="1">
        <f t="array" aca="1" ref="G340" ca="1">IFERROR(VLOOKUP("*" &amp; B340  &amp; "*" &amp; (MID(CELL("filename",A339),FIND("]",CELL("filename",A339))+1,31)) &amp; "*",CHOOSE({1,2}, Super_CBSA!$B$2:$B$1917, Super_CBSA!$A$2:$A$1917), 2,FALSE), IFERROR(VLOOKUP(B340  &amp; "*",CHOOSE({1,2}, Super_CBSA!$E$2:$E$1917, Super_CBSA!$A$2:$A$1917), 2,FALSE), ""))</f>
        <v/>
      </c>
    </row>
    <row r="341" spans="1:7" ht="17">
      <c r="A341" s="1" t="s">
        <v>977</v>
      </c>
      <c r="B341" s="2" t="s">
        <v>978</v>
      </c>
      <c r="C341" s="2">
        <v>228</v>
      </c>
      <c r="D341" s="3">
        <v>8802</v>
      </c>
      <c r="E341" s="3">
        <v>41828</v>
      </c>
      <c r="F341" s="4">
        <v>1976495</v>
      </c>
      <c r="G341" s="11" t="str" cm="1">
        <f t="array" aca="1" ref="G341" ca="1">IFERROR(VLOOKUP("*" &amp; B341  &amp; "*" &amp; (MID(CELL("filename",A340),FIND("]",CELL("filename",A340))+1,31)) &amp; "*",CHOOSE({1,2}, Super_CBSA!$B$2:$B$1917, Super_CBSA!$A$2:$A$1917), 2,FALSE), IFERROR(VLOOKUP(B341  &amp; "*",CHOOSE({1,2}, Super_CBSA!$E$2:$E$1917, Super_CBSA!$A$2:$A$1917), 2,FALSE), ""))</f>
        <v/>
      </c>
    </row>
    <row r="342" spans="1:7" ht="17">
      <c r="A342" s="1" t="s">
        <v>979</v>
      </c>
      <c r="B342" s="2" t="s">
        <v>466</v>
      </c>
      <c r="C342" s="2">
        <v>265</v>
      </c>
      <c r="D342" s="3">
        <v>8946</v>
      </c>
      <c r="E342" s="3">
        <v>31484</v>
      </c>
      <c r="F342" s="4">
        <v>308494</v>
      </c>
      <c r="G342" s="11" cm="1">
        <f t="array" aca="1" ref="G342" ca="1">IFERROR(VLOOKUP("*" &amp; B342  &amp; "*" &amp; (MID(CELL("filename",A341),FIND("]",CELL("filename",A341))+1,31)) &amp; "*",CHOOSE({1,2}, Super_CBSA!$B$2:$B$1917, Super_CBSA!$A$2:$A$1917), 2,FALSE), IFERROR(VLOOKUP(B342  &amp; "*",CHOOSE({1,2}, Super_CBSA!$E$2:$E$1917, Super_CBSA!$A$2:$A$1917), 2,FALSE), ""))</f>
        <v>31080</v>
      </c>
    </row>
    <row r="343" spans="1:7" ht="17">
      <c r="A343" s="1" t="s">
        <v>980</v>
      </c>
      <c r="B343" s="2" t="s">
        <v>777</v>
      </c>
      <c r="C343" s="2">
        <v>178</v>
      </c>
      <c r="D343" s="3">
        <v>7029</v>
      </c>
      <c r="E343" s="3">
        <v>27904</v>
      </c>
      <c r="F343" s="4">
        <v>723634</v>
      </c>
      <c r="G343" s="11" t="str" cm="1">
        <f t="array" aca="1" ref="G343" ca="1">IFERROR(VLOOKUP("*" &amp; B343  &amp; "*" &amp; (MID(CELL("filename",A342),FIND("]",CELL("filename",A342))+1,31)) &amp; "*",CHOOSE({1,2}, Super_CBSA!$B$2:$B$1917, Super_CBSA!$A$2:$A$1917), 2,FALSE), IFERROR(VLOOKUP(B343  &amp; "*",CHOOSE({1,2}, Super_CBSA!$E$2:$E$1917, Super_CBSA!$A$2:$A$1917), 2,FALSE), ""))</f>
        <v/>
      </c>
    </row>
    <row r="344" spans="1:7" ht="17">
      <c r="A344" s="1" t="s">
        <v>981</v>
      </c>
      <c r="B344" s="2" t="s">
        <v>982</v>
      </c>
      <c r="C344" s="2">
        <v>108</v>
      </c>
      <c r="D344" s="3">
        <v>3490</v>
      </c>
      <c r="E344" s="3">
        <v>10719</v>
      </c>
      <c r="F344" s="4">
        <v>797865</v>
      </c>
      <c r="G344" s="11" t="str" cm="1">
        <f t="array" aca="1" ref="G344" ca="1">IFERROR(VLOOKUP("*" &amp; B344  &amp; "*" &amp; (MID(CELL("filename",A343),FIND("]",CELL("filename",A343))+1,31)) &amp; "*",CHOOSE({1,2}, Super_CBSA!$B$2:$B$1917, Super_CBSA!$A$2:$A$1917), 2,FALSE), IFERROR(VLOOKUP(B344  &amp; "*",CHOOSE({1,2}, Super_CBSA!$E$2:$E$1917, Super_CBSA!$A$2:$A$1917), 2,FALSE), ""))</f>
        <v/>
      </c>
    </row>
    <row r="345" spans="1:7" ht="17">
      <c r="A345" s="1" t="s">
        <v>983</v>
      </c>
      <c r="B345" s="2" t="s">
        <v>512</v>
      </c>
      <c r="C345" s="2">
        <v>397</v>
      </c>
      <c r="D345" s="3">
        <v>15244</v>
      </c>
      <c r="E345" s="3">
        <v>86146</v>
      </c>
      <c r="F345" s="4">
        <v>3676413</v>
      </c>
      <c r="G345" s="11" cm="1">
        <f t="array" aca="1" ref="G345" ca="1">IFERROR(VLOOKUP("*" &amp; B345  &amp; "*" &amp; (MID(CELL("filename",A344),FIND("]",CELL("filename",A344))+1,31)) &amp; "*",CHOOSE({1,2}, Super_CBSA!$B$2:$B$1917, Super_CBSA!$A$2:$A$1917), 2,FALSE), IFERROR(VLOOKUP(B345  &amp; "*",CHOOSE({1,2}, Super_CBSA!$E$2:$E$1917, Super_CBSA!$A$2:$A$1917), 2,FALSE), ""))</f>
        <v>41860</v>
      </c>
    </row>
    <row r="346" spans="1:7" ht="17">
      <c r="A346" s="2" t="s">
        <v>56</v>
      </c>
      <c r="B346" s="2"/>
      <c r="C346" s="3">
        <v>74730</v>
      </c>
      <c r="D346" s="3">
        <v>3088188</v>
      </c>
      <c r="E346" s="3">
        <v>14365613</v>
      </c>
      <c r="F346" s="4">
        <v>484986325</v>
      </c>
    </row>
  </sheetData>
  <hyperlinks>
    <hyperlink ref="A2" r:id="rId1" display="https://www.ahd.com/free_profile/050236/_Adventist_Health_Simi_Valley_/Simi_Valley/California/" xr:uid="{104ED7B9-9671-DA4E-902D-0FC7FF869C13}"/>
    <hyperlink ref="A3" r:id="rId2" display="https://www.ahd.com/free_profile/050301/_Adventist_Ukiah_Valley_/Ukiah/California/" xr:uid="{AB1CFB53-E6EF-6C42-9A7F-8434C0142A28}"/>
    <hyperlink ref="A4" r:id="rId3" display="https://www.ahd.com/free_profile/050139/_Downey_Medical_Center/Downey/California/" xr:uid="{9B98AE7E-7B13-1846-864D-3273CA06687C}"/>
    <hyperlink ref="A5" r:id="rId4" display="https://www.ahd.com/free_profile/050360/_MarinHealth_Medical_Center/Greenbrae/California/" xr:uid="{04A16C21-7F48-024C-8227-E82D5E40EF8A}"/>
    <hyperlink ref="A6" r:id="rId5" display="https://www.ahd.com/free_profile/050290/_Providence_Saint_John%27s_Health_Center/Santa_Monica/California/" xr:uid="{3213CF49-CCE6-DF4C-935F-6A865248C3EE}"/>
    <hyperlink ref="A7" r:id="rId6" display="https://www.ahd.com/free_profile/050677/_Woodland_Hills_Medical_Center/Woodland_Hills/California/" xr:uid="{97BF379A-7895-B346-8E89-2B1D638E4914}"/>
    <hyperlink ref="A8" r:id="rId7" display="https://www.ahd.com/free_profile/05015F/60th_Medical_Group_-_David_Grant_USAF_Medical_Center/Travis_Air_Force_Base/California/" xr:uid="{2567E624-12B4-E547-B4AA-36B3FF6B3FAB}"/>
    <hyperlink ref="A9" r:id="rId8" display="https://www.ahd.com/free_profile/050133/Adventist_Health_and_Rideout/Marysville/California/" xr:uid="{9AE9B17F-7581-E341-A74F-AFEC442B3BA3}"/>
    <hyperlink ref="A10" r:id="rId9" display="https://www.ahd.com/free_profile/050455/Adventist_Health_Bakersfield_/Bakersfield/California/" xr:uid="{CFFF8069-7FAB-4344-869A-A160241EB6C8}"/>
    <hyperlink ref="A11" r:id="rId10" display="https://www.ahd.com/free_profile/050239/Adventist_Health_Glendale/Glendale/California/" xr:uid="{CD8DA8B8-30EC-4243-9AC6-DF1C5A881530}"/>
    <hyperlink ref="A12" r:id="rId11" display="https://www.ahd.com/free_profile/050121/Adventist_Health_Hanford/Hanford/California/" xr:uid="{1D387E2A-EE8F-2343-A977-57169C92EA05}"/>
    <hyperlink ref="A13" r:id="rId12" display="https://www.ahd.com/free_profile/050336/Adventist_Health_Lodi_Memorial_/Lodi/California/" xr:uid="{695D76C9-7798-EE4E-AA8D-49EB990EA3C8}"/>
    <hyperlink ref="A14" r:id="rId13" display="https://www.ahd.com/free_profile/050192/Adventist_Health_Reedley/Reedley/California/" xr:uid="{182B4D62-B037-DD46-B0DC-2FAB49BAAE19}"/>
    <hyperlink ref="A15" r:id="rId14" display="https://www.ahd.com/free_profile/050013/Adventist_Health_Saint_Helena_/Saint_Helena/California/" xr:uid="{C4BAB882-BEF7-8D40-A12B-A4093564FD4A}"/>
    <hyperlink ref="A16" r:id="rId15" display="https://www.ahd.com/free_profile/I41391/Adventist_Health_Selma/Selma/California/" xr:uid="{8F4096F0-696C-824E-A1F1-C663A01A0211}"/>
    <hyperlink ref="A17" r:id="rId16" display="https://www.ahd.com/free_profile/050335/Adventist_Health_Sonora/Sonora/California/" xr:uid="{F4853A44-ED4D-6340-9B68-C69741099DA0}"/>
    <hyperlink ref="A18" r:id="rId17" display="https://www.ahd.com/free_profile/050784/Adventist_Health_Tulare/Tulare/California/" xr:uid="{322D75A0-415D-CB4E-B783-D184796019E4}"/>
    <hyperlink ref="A19" r:id="rId18" display="https://www.ahd.com/free_profile/I42371/Adventist_Health_Vallejo/Vallejo/California/" xr:uid="{44BBD3E6-59A4-CE48-A92E-CF0370E9B2B4}"/>
    <hyperlink ref="A20" r:id="rId19" display="https://www.ahd.com/free_profile/050103/Adventist_Health_White_Memorial/Los_Angeles/California/" xr:uid="{48539B15-4C24-4E4D-BB9E-ABE5E646985E}"/>
    <hyperlink ref="A21" r:id="rId20" display="https://www.ahd.com/free_profile/050226/AHMC_Anaheim_Regional_Medical_Center/Anaheim/California/" xr:uid="{D06A88E2-8899-3348-8357-801AB4FC5F1D}"/>
    <hyperlink ref="A22" r:id="rId21" display="https://www.ahd.com/free_profile/050211/Alameda_Hospital/Alameda/California/" xr:uid="{BFD08FB4-211A-B048-9040-ABC21650B236}"/>
    <hyperlink ref="A23" r:id="rId22" display="https://www.ahd.com/free_profile/050281/Alhambra_Hospital_Medical_Center/Alhambra/California/" xr:uid="{D37F4E16-DDA7-C34F-94DF-62E27BDA2053}"/>
    <hyperlink ref="A24" r:id="rId23" display="https://www.ahd.com/free_profile/050043/Alta_Bates_Summit_Medical_Center/Oakland/California/" xr:uid="{08204EC9-CFD2-EA4D-950F-6EE2B8A3F436}"/>
    <hyperlink ref="A25" r:id="rId24" display="https://www.ahd.com/free_profile/I41155/Alta_Bates_Summit_Medical_Center__Herrick_Campus/Berkeley/California/" xr:uid="{AA55FB2C-BC4C-994B-8708-52F7DF808975}"/>
    <hyperlink ref="A26" r:id="rId25" display="https://www.ahd.com/free_profile/050305/Alta_Bates_Summit_Medical_Center_Alta_Bates_Campus/Berkeley/California/" xr:uid="{3D15CF9C-E39C-414A-9A5E-2C3A433C9168}"/>
    <hyperlink ref="A27" r:id="rId26" display="https://www.ahd.com/free_profile/050757/Alvarado_Hospital_Medical_Center/San_Diego/California/" xr:uid="{B7BF68A9-A20D-814A-92C9-8D59A7F08A73}"/>
    <hyperlink ref="A28" r:id="rId27" display="https://www.ahd.com/free_profile/050744/Anaheim_Global_Medical_Center/Anaheim/California/" xr:uid="{05AA6B32-4677-834B-8BDE-73FE5F6FF7DF}"/>
    <hyperlink ref="A29" r:id="rId28" display="https://www.ahd.com/free_profile/050609/Anaheim_Medical_Center_/Anaheim/California/" xr:uid="{9D5A2034-C7A7-C349-87C6-512D644053F3}"/>
    <hyperlink ref="A30" r:id="rId29" display="https://www.ahd.com/free_profile/050056/Antelope_Valley_Hospital/Lancaster/California/" xr:uid="{15E0D008-4A4B-244D-8380-4B56AFEF366F}"/>
    <hyperlink ref="A31" r:id="rId30" display="https://www.ahd.com/free_profile/050760/Antioch_Medical_Center_/Antioch/California/" xr:uid="{0DB61F7A-C389-0640-8916-778D1DC76440}"/>
    <hyperlink ref="A32" r:id="rId31" display="https://www.ahd.com/free_profile/050245/Arrowhead_Regional_Medical_Center/Colton/California/" xr:uid="{A3AA3E31-5789-7041-AD9C-CFAD7AE95509}"/>
    <hyperlink ref="A33" r:id="rId32" display="https://www.ahd.com/free_profile/050016/Arroyo_Grande_Community_Hospital/Arroyo_Grande/California/" xr:uid="{B77BB2A9-4254-4246-AF14-28FA3E83D0EA}"/>
    <hyperlink ref="A34" r:id="rId33" display="https://www.ahd.com/free_profile/050724/Bakersfield_Heart_Hospital/Bakersfield/California/" xr:uid="{01DB8C2F-9776-204F-86A4-39545669152F}"/>
    <hyperlink ref="A35" r:id="rId34" display="https://www.ahd.com/free_profile/050036/Bakersfield_Memorial_Hospital/Bakersfield/California/" xr:uid="{F42C58FF-8DB8-C945-8995-D6DAEF0FFA6B}"/>
    <hyperlink ref="A36" r:id="rId35" display="https://www.ahd.com/free_profile/050723/Baldwin_Park_Medical_Center/Baldwin_Park/California/" xr:uid="{28300F8F-110F-DA43-865C-183061DC847B}"/>
    <hyperlink ref="A37" r:id="rId36" display="https://www.ahd.com/free_profile/050298/Barstow_Community_Hospital/Barstow/California/" xr:uid="{168AF804-1ACE-C04B-B59B-00B1292FB9BE}"/>
    <hyperlink ref="A38" r:id="rId37" display="https://www.ahd.com/free_profile/050352/Barton_Memorial_Hospital/South_Lake_Tahoe/California/" xr:uid="{814FC83B-1D2E-CD48-AAA1-2271592766B3}"/>
    <hyperlink ref="A39" r:id="rId38" display="https://www.ahd.com/free_profile/050350/Beverly_Hospital/Montebello/California/" xr:uid="{D8899EE5-31EA-6A4B-8FFE-3E83E6E98F34}"/>
    <hyperlink ref="A40" r:id="rId39" display="https://www.ahd.com/free_profile/050149/California_Hospital_Medical_Center/Los_Angeles/California/" xr:uid="{86E689EC-39AD-2C4F-99AE-185CD71CBE33}"/>
    <hyperlink ref="A41" r:id="rId40" display="https://www.ahd.com/free_profile/I07817/California_Mens_Colony_Hospital/San_Luis_Obispo/California/" xr:uid="{35F35618-E94F-1242-BC07-FF6047B6EC11}"/>
    <hyperlink ref="A42" r:id="rId41" display="https://www.ahd.com/free_profile/050782/Casa_Colina_Hospital_and_Centers_for_Healthcare/Pomona/California/" xr:uid="{49B28589-5A5F-4D49-9226-9A9D08D18B2F}"/>
    <hyperlink ref="A43" r:id="rId42" display="https://www.ahd.com/free_profile/050625/Cedars-Sinai_Medical_Center/Los_Angeles/California/" xr:uid="{51E63E85-0200-6446-9ADF-27BE065B4CC9}"/>
    <hyperlink ref="A44" r:id="rId43" display="https://www.ahd.com/free_profile/050739/Centinela_Hospital_Medical_Center/Inglewood/California/" xr:uid="{2725BD6D-37CC-E345-A017-76A9FFC4688F}"/>
    <hyperlink ref="A45" r:id="rId44" display="https://www.ahd.com/free_profile/050063/CHA_Hollywood_Presbyterian_Medical_Center/Los_Angeles/California/" xr:uid="{422C47A2-2834-3F4A-A3C8-A0933BD9B49C}"/>
    <hyperlink ref="A46" r:id="rId45" display="https://www.ahd.com/free_profile/050745/Chapman_Global_Medical_Center/Orange/California/" xr:uid="{D719A958-F13A-EF40-BF39-867055182600}"/>
    <hyperlink ref="A47" r:id="rId46" display="https://www.ahd.com/free_profile/050407/Chinese_Hospital/San_Francisco/California/" xr:uid="{9F78194A-8D2B-134D-B92E-7F4E8842E149}"/>
    <hyperlink ref="A48" r:id="rId47" display="https://www.ahd.com/free_profile/050586/Chino_Valley_Medical_Center/Chino/California/" xr:uid="{4ACB1D3D-11CE-0B45-8650-DBACA27F544C}"/>
    <hyperlink ref="A49" r:id="rId48" display="https://www.ahd.com/free_profile/050146/City_of_Hope_Comprehensive_Cancer_Center/Duarte/California/" xr:uid="{097EE651-2F9F-DC44-98C2-17BAAD3DF4EB}"/>
    <hyperlink ref="A50" r:id="rId49" display="https://www.ahd.com/free_profile/050492/Clovis_Community_Medical_Center/Clovis/California/" xr:uid="{E64ADA71-DFE4-984F-ADD6-207BE8D65B6C}"/>
    <hyperlink ref="A51" r:id="rId50" display="https://www.ahd.com/free_profile/050771/Coast_Plaza_Hospital/Norwalk/California/" xr:uid="{BD38FB77-8F56-3640-B40D-1D1CCE6F6852}"/>
    <hyperlink ref="A52" r:id="rId51" display="https://www.ahd.com/free_profile/050543/College_Hospital_Costa_Mesa/Costa_Mesa/California/" xr:uid="{C629B225-412D-9D4B-BC4E-79563984D0D7}"/>
    <hyperlink ref="A53" r:id="rId52" display="https://www.ahd.com/free_profile/050776/College_Medical_Center/Long_Beach/California/" xr:uid="{4F467584-3A59-5048-9E30-2C26BB3ABE65}"/>
    <hyperlink ref="A54" r:id="rId53" display="https://www.ahd.com/free_profile/050783/Colusa_Medical_Center/Colusa/California/" xr:uid="{15C888CE-6556-2545-8595-7E361581A577}"/>
    <hyperlink ref="A55" r:id="rId54" display="https://www.ahd.com/free_profile/050091/Community_Hospital_of_Huntington_Park/Huntington_Park/California/" xr:uid="{2EF69E31-FA32-5D40-9D12-CAFBF2BF3DFC}"/>
    <hyperlink ref="A56" r:id="rId55" display="https://www.ahd.com/free_profile/050089/Community_Hospital_of_San_Bernardino/San_Bernardino/California/" xr:uid="{CA5BB533-9F19-E042-8F1E-8CCF3C6A6047}"/>
    <hyperlink ref="A57" r:id="rId56" display="https://www.ahd.com/free_profile/050145/Community_Hospital_of_the_Monterey_Peninsula/Monterey/California/" xr:uid="{ED14B13D-B0F0-9246-8FCB-E5DEA72492F0}"/>
    <hyperlink ref="A58" r:id="rId57" display="https://www.ahd.com/free_profile/050727/Community_Medical_Center_Long_Beach/Long_Beach/California/" xr:uid="{A3E3DD1C-1425-214D-B7FF-A6C5B7373198}"/>
    <hyperlink ref="A59" r:id="rId58" display="https://www.ahd.com/free_profile/050394/Community_Memorial_Hospital/Ventura/California/" xr:uid="{D4B79BA8-FCE1-A445-8E29-A07F985CA3DA}"/>
    <hyperlink ref="A60" r:id="rId59" display="https://www.ahd.com/free_profile/050060/Community_Regional_Medical_Center/Fresno/California/" xr:uid="{B8B46D0B-BDCE-2D4B-A4D4-BCD1667C05BD}"/>
    <hyperlink ref="A61" r:id="rId60" display="https://www.ahd.com/free_profile/050496/Concord_Medical_Center/Concord/California/" xr:uid="{DD8B1210-6369-FA4C-BCB0-5E4FF9FB5869}"/>
    <hyperlink ref="A62" r:id="rId61" display="https://www.ahd.com/free_profile/050276/Contra_Costa_Regional_Medical_Center/Martinez/California/" xr:uid="{5D3964A5-0C67-3D46-A7F4-824E86ED7736}"/>
    <hyperlink ref="A63" r:id="rId62" display="https://www.ahd.com/free_profile/050329/Corona_Regional_Medical_Center/Corona/California/" xr:uid="{66E0A003-E166-6B43-914D-1EE025FC7439}"/>
    <hyperlink ref="A64" r:id="rId63" display="https://www.ahd.com/free_profile/050008/CPMC_Davies_Campus/San_Francisco/California/" xr:uid="{5BE70403-FE6E-A64B-8AAD-11E05E0FF281}"/>
    <hyperlink ref="A65" r:id="rId64" display="https://www.ahd.com/free_profile/050055/CPMC_Mission_Bernal_Campus/San_Francisco/California/" xr:uid="{2F3C9D18-014F-714F-A409-A0818D164D7C}"/>
    <hyperlink ref="A66" r:id="rId65" display="https://www.ahd.com/free_profile/I42270/CPMC_Van_Ness_Campus/San_Francisco_/California/" xr:uid="{1F4C49C2-C5E0-4441-8329-3D2D7348E035}"/>
    <hyperlink ref="A67" r:id="rId66" display="https://www.ahd.com/free_profile/050122/Dameron_Hospital/Stockton/California/" xr:uid="{6BCEF8CF-946C-2B42-8F61-1DCA87B1318E}"/>
    <hyperlink ref="A68" r:id="rId67" display="https://www.ahd.com/free_profile/050608/Delano_Regional_Medical_Center/Delano/California/" xr:uid="{A91E0E67-16D7-F047-9A0A-72358438EA81}"/>
    <hyperlink ref="A69" r:id="rId68" display="https://www.ahd.com/free_profile/050243/Desert_Regional_Medical_Center/Palm_Springs/California/" xr:uid="{3AFE12F6-C9BF-414C-AF4C-289BEF77E8D1}"/>
    <hyperlink ref="A70" r:id="rId69" display="https://www.ahd.com/free_profile/050709/Desert_Valley_Hospital/Victorville/California/" xr:uid="{3E23CA10-8C99-A446-A884-65616CB2D576}"/>
    <hyperlink ref="A71" r:id="rId70" display="https://www.ahd.com/free_profile/050118/Doctors_Hospital_of_Manteca/Manteca/California/" xr:uid="{439A9195-0E3E-CC42-99E6-70BF0D49A841}"/>
    <hyperlink ref="A72" r:id="rId71" display="https://www.ahd.com/free_profile/050464/Doctors_Medical_Center_of_Modesto/Modesto/California/" xr:uid="{D4DDE008-6556-7C49-88BD-448E0D34C4E5}"/>
    <hyperlink ref="A73" r:id="rId72" display="https://www.ahd.com/free_profile/050242/Dominican_Hospital/Santa_Cruz/California/" xr:uid="{E1082346-07FA-DF46-AA2E-CACC443F5012}"/>
    <hyperlink ref="A74" r:id="rId73" display="https://www.ahd.com/free_profile/050641/East_Los_Angeles_Doctors_Hospital/Los_Angeles/California/" xr:uid="{12D78B7A-724D-D642-80B8-B34AD6013FD1}"/>
    <hyperlink ref="A75" r:id="rId74" display="https://www.ahd.com/free_profile/050488/Eden_Medical_Center/Castro_Valley/California/" xr:uid="{EEDCBB6E-BDD0-EC47-BE4D-82DF0F53AF4C}"/>
    <hyperlink ref="A76" r:id="rId75" display="https://www.ahd.com/free_profile/050573/Eisenhower_Medical_Center/Rancho_Mirage/California/" xr:uid="{C0E17E9A-A7F6-914A-BB6D-DB1F44D83E9F}"/>
    <hyperlink ref="A77" r:id="rId76" display="https://www.ahd.com/free_profile/I41650/El_Camino_Hospital_Los_Gatos_Campus/Los_Gatos/California/" xr:uid="{947DACC7-CE96-224A-91AB-DDC5C023ABDF}"/>
    <hyperlink ref="A78" r:id="rId77" display="https://www.ahd.com/free_profile/050308/El_Camino_Hospital_Mountain_View_Campus/Mountain_View/California/" xr:uid="{669F5584-02C9-7044-BE74-49351E4DAC92}"/>
    <hyperlink ref="A79" r:id="rId78" display="https://www.ahd.com/free_profile/050045/El_Centro_Regional_Medical_Center/El_Centro/California/" xr:uid="{E8F055E4-7F74-8D40-A67C-35B66795814A}"/>
    <hyperlink ref="A80" r:id="rId79" display="https://www.ahd.com/free_profile/050597/Emanate_Health_Foothill_Presbyterian_Hospital/Glendora/California/" xr:uid="{2F3CF917-23A6-394D-8710-5B827D2804AC}"/>
    <hyperlink ref="A81" r:id="rId80" display="https://www.ahd.com/free_profile/050382/Emanate_Health_Inter-Community_Hospital/Covina/California/" xr:uid="{9E49FE2F-027A-DD45-86BB-74BA6DBA5A0D}"/>
    <hyperlink ref="A82" r:id="rId81" display="https://www.ahd.com/free_profile/050369/Emanate_Health_Queen_of_the_Valley_Hospital/West_Covina/California/" xr:uid="{530730C1-EE0B-224F-81C4-B5B157F75EB5}"/>
    <hyperlink ref="A83" r:id="rId82" display="https://www.ahd.com/free_profile/050179/Emanuel_Medical_Center/Turlock/California/" xr:uid="{786DB29B-5C30-B74A-99F4-86012B16C282}"/>
    <hyperlink ref="A84" r:id="rId83" display="https://www.ahd.com/free_profile/050158/Encino_Hospital_Medical_Center/Encino/California/" xr:uid="{BA6B0CFD-05A9-7E4B-B7AB-D62AC4F4AE14}"/>
    <hyperlink ref="A85" r:id="rId84" display="https://www.ahd.com/free_profile/050039/Enloe_Medical_Center/Chico/California/" xr:uid="{6C9A9B77-5561-9B48-A7F0-AAB6D7B48245}"/>
    <hyperlink ref="A86" r:id="rId85" display="https://www.ahd.com/free_profile/I41261/Fairmont_Rehabilitation_and_Wellness/San_Leandro/California/" xr:uid="{B279A382-5BE7-0942-B542-0851DC54C6A1}"/>
    <hyperlink ref="A87" r:id="rId86" display="https://www.ahd.com/free_profile/050548/Fairview_Developmental_Center/Costa_Mesa/California/" xr:uid="{DDE71A14-A3B1-DB42-82C0-FE9193520F0A}"/>
    <hyperlink ref="A88" r:id="rId87" display="https://www.ahd.com/free_profile/050140/Fontana_Medical_Center/Fontana/California/" xr:uid="{DB2361FD-EE09-BE41-940D-92329F3FDB85}"/>
    <hyperlink ref="A89" r:id="rId88" display="https://www.ahd.com/free_profile/050780/Foothill_Regional_Medical_Center/Tustin/California/" xr:uid="{A1160459-7366-734F-A051-75DB68B98AF9}"/>
    <hyperlink ref="A90" r:id="rId89" display="https://www.ahd.com/free_profile/050570/Fountain_Valley_Regional__Hospital_and_Medical_Center/Fountain_Valley/California/" xr:uid="{EEC1629B-6EF6-9441-8164-14261A663AF7}"/>
    <hyperlink ref="A91" r:id="rId90" display="https://www.ahd.com/free_profile/050232/French_Hospital_Medical_Center_/San_Luis_Obispo/California/" xr:uid="{06F9B6E8-DB43-3745-A720-43BD466F25DE}"/>
    <hyperlink ref="A92" r:id="rId91" display="https://www.ahd.com/free_profile/050732/Fresno_Heart_%26_Surgical_Hospital/Fresno/California/" xr:uid="{09FAF444-32C3-1F47-8645-7E2B383C2ECA}"/>
    <hyperlink ref="A93" r:id="rId92" display="https://www.ahd.com/free_profile/050710/Fresno_Medical_Center/Fresno/California/" xr:uid="{1807887A-6893-3542-8CE6-542E995CEC8A}"/>
    <hyperlink ref="A94" r:id="rId93" display="https://www.ahd.com/free_profile/050708/Fresno_Surgical_Hospital/Fresno/California/" xr:uid="{3477EAB1-651A-D341-B201-5DACF68A1F43}"/>
    <hyperlink ref="A95" r:id="rId94" display="https://www.ahd.com/free_profile/050230/Garden_Grove_Hospital_and_Medical_Center/Garden_Grove/California/" xr:uid="{CF38BE8A-3710-8E49-B66F-6C3CFBDB3416}"/>
    <hyperlink ref="A96" r:id="rId95" display="https://www.ahd.com/free_profile/050737/Garfield_Medical_Center/Monterey_Park/California/" xr:uid="{8005AC66-14E1-2D4B-81DF-F2BE3B3592C8}"/>
    <hyperlink ref="A97" r:id="rId96" display="https://www.ahd.com/free_profile/050058/Glendale_Memorial_Hospital_%26_Health_Center/Glendale/California/" xr:uid="{B4CEAC08-0A8D-3040-A47C-0BA5ACC12857}"/>
    <hyperlink ref="A98" r:id="rId97" display="https://www.ahd.com/free_profile/050205/Glendora_Oaks_Behavioral_Health_Hospital/Glendora/California/" xr:uid="{AC8D29EF-781C-834D-A488-753140DD054F}"/>
    <hyperlink ref="A99" r:id="rId98" display="https://www.ahd.com/free_profile/050357/Goleta_Valley_Cottage_Hospital/Santa_Barbara/California/" xr:uid="{2B58CF0E-A20B-A345-A5A8-969A967DAFB2}"/>
    <hyperlink ref="A100" r:id="rId99" display="https://www.ahd.com/free_profile/050380/Good_Samaritan_Hospital/San_Jose/California/" xr:uid="{FB8D3725-53BF-6844-A5C7-C8FFDFB1C7EB}"/>
    <hyperlink ref="A101" r:id="rId100" display="https://www.ahd.com/free_profile/050257/Good_Samaritan_Hospital_North/Bakersfield/California/" xr:uid="{9870BBE8-6A36-EB42-93CE-78899D54B47B}"/>
    <hyperlink ref="A102" r:id="rId101" display="https://www.ahd.com/free_profile/050738/Greater_El_Monte_Community_Hospital/South_El_Monte/California/" xr:uid="{BEC1C091-7C97-1A45-B0F5-98977B3F9A0E}"/>
    <hyperlink ref="A103" r:id="rId102" display="https://www.ahd.com/free_profile/050376/Harbor-UCLA_Medical_Center/Torrance/California/" xr:uid="{04231271-4D00-6A44-B029-F20913DD2245}"/>
    <hyperlink ref="A104" r:id="rId103" display="https://www.ahd.com/free_profile/050296/Hazel_Hawkins_Memorial_Hospital/Hollister/California/" xr:uid="{2F5DBF43-3C42-B244-8E6E-D2DB8E5CCF96}"/>
    <hyperlink ref="A105" r:id="rId104" display="https://www.ahd.com/free_profile/050390/Hemet_Global_Medical_Center/Hemet/California/" xr:uid="{E446B38F-E346-6447-8A6C-EA39A4117E97}"/>
    <hyperlink ref="A106" r:id="rId105" display="https://www.ahd.com/free_profile/050624/Henry_Mayo_Newhall_Memorial_Hospital/Valencia/California/" xr:uid="{FA6880C9-C9AC-114F-82DE-5C6A651C2C3C}"/>
    <hyperlink ref="A107" r:id="rId106" display="https://www.ahd.com/free_profile/050279/Hi-Desert_Medical_Center/Joshua_Tree/California/" xr:uid="{BA2126C2-AAB2-F84E-B5D0-4CDB0119E778}"/>
    <hyperlink ref="A108" r:id="rId107" display="https://www.ahd.com/free_profile/050320/Highland_Hospital/Oakland/California/" xr:uid="{225CEC89-B3BF-4748-9814-83207496964B}"/>
    <hyperlink ref="A109" r:id="rId108" display="https://www.ahd.com/free_profile/I41949/Hoag_Hospital_Irvine/Irvine/California/" xr:uid="{2890A36B-3DFA-6E44-A805-1864EA629E42}"/>
    <hyperlink ref="A110" r:id="rId109" display="https://www.ahd.com/free_profile/050224/Hoag_Hospital_Newport_Beach/Newport_Beach/California/" xr:uid="{56F8F647-B135-C14A-88F2-E50C742E10F3}"/>
    <hyperlink ref="A111" r:id="rId110" display="https://www.ahd.com/free_profile/050769/Hoag_Orthopedic_Institute/Irvine/California/" xr:uid="{DA8E0A68-946B-854F-A5D4-51752BD09C01}"/>
    <hyperlink ref="A112" r:id="rId111" display="https://www.ahd.com/free_profile/050526/Huntington_Beach_Hospital/Huntington_Beach/California/" xr:uid="{414F9976-AC0C-AE47-8333-C8F318EAD012}"/>
    <hyperlink ref="A113" r:id="rId112" display="https://www.ahd.com/free_profile/050438/Huntington_Hospital/Pasadena/California/" xr:uid="{780639A7-8354-AE4F-BE87-34D514450309}"/>
    <hyperlink ref="A114" r:id="rId113" display="https://www.ahd.com/free_profile/I41164/Inland_Valley_Medical_Center/Wildomar/California/" xr:uid="{4370900D-1D7E-C949-8101-52B4ADBFFCEE}"/>
    <hyperlink ref="A115" r:id="rId114" display="https://www.ahd.com/free_profile/050534/John_F_Kennedy_Memorial_Hospital/Indio/California/" xr:uid="{98B9DFFA-E70D-C540-8ADC-0818DF72A3E4}"/>
    <hyperlink ref="A116" r:id="rId115" display="https://www.ahd.com/free_profile/050512/Kaiser_Permanente_Fremont_Medical_Center/Fremont/California/" xr:uid="{B4B5BA21-32EC-E642-B692-30DD18E406E4}"/>
    <hyperlink ref="A117" r:id="rId116" display="https://www.ahd.com/free_profile/050772/Kaiser_Permanente_Roseville_Medical_Center/Roseville/California/" xr:uid="{FEDFB5BF-8F23-3D47-88C7-A60D1F3F6A04}"/>
    <hyperlink ref="A118" r:id="rId117" display="https://www.ahd.com/free_profile/I42191/Kaiser_Permanente_San_Diego_Medical_Center/San_Diego/California/" xr:uid="{6FB765E9-02F5-384B-AFD4-783DCC35B40B}"/>
    <hyperlink ref="A119" r:id="rId118" display="https://www.ahd.com/free_profile/050076/Kaiser_Permanente_San_Francisco_Medical_Center/San_Francisco/California/" xr:uid="{839DD116-10AB-2348-9DE2-B72D60C599E5}"/>
    <hyperlink ref="A120" r:id="rId119" display="https://www.ahd.com/free_profile/050070/Kaiser_Permanente_South_San_Francisco_Medical_Center_/South_San_Francisco/California/" xr:uid="{7DFEFCB0-BACC-384A-B879-5537086DC80B}"/>
    <hyperlink ref="A121" r:id="rId120" display="https://www.ahd.com/free_profile/050515/Kaiser_Permanente_Zion_Medical_Center/San_Diego/California/" xr:uid="{FF79E1ED-97C7-F347-82BD-AF7503FE72F6}"/>
    <hyperlink ref="A122" r:id="rId121" display="https://www.ahd.com/free_profile/050057/Kaweah_Delta_Health_Care_District/Visalia/California/" xr:uid="{FFA0723D-1574-0441-8622-7A73235B3F32}"/>
    <hyperlink ref="A123" r:id="rId122" display="https://www.ahd.com/free_profile/050696/Keck_Hospital_of_USC/Los_Angeles/California/" xr:uid="{6ABEFCA0-0984-8B42-9A6A-30124C45C95E}"/>
    <hyperlink ref="A124" r:id="rId123" display="https://www.ahd.com/free_profile/050315/Kern_Medical_Center/Bakersfield/California/" xr:uid="{9AE581E5-C3E1-284E-8EA8-03C7F64D2EAE}"/>
    <hyperlink ref="A125" r:id="rId124" display="https://www.ahd.com/free_profile/050763/LA_Downtown_Medical_Center_Downtown_Campus/Los_Angeles/California/" xr:uid="{F74E998E-5683-834D-8527-E29EF33E40CE}"/>
    <hyperlink ref="A126" r:id="rId125" display="https://www.ahd.com/free_profile/050580/La_Palma_Intercommunity_Hospital/La_Palma/California/" xr:uid="{9B388947-E605-9947-9C12-15406ED0276B}"/>
    <hyperlink ref="A127" r:id="rId126" display="https://www.ahd.com/free_profile/050668/Laguna_Honda_Hospital_and_Rehabilitation_Center/San_Francisco/California/" xr:uid="{3408608E-ABFA-BD4D-A098-037AF254ACAA}"/>
    <hyperlink ref="A128" r:id="rId127" display="https://www.ahd.com/free_profile/050581/Lakewood_Regional_Medical_Center/Lakewood/California/" xr:uid="{C2E81392-CBAD-C741-9C5F-982EDF76BBC0}"/>
    <hyperlink ref="A129" r:id="rId128" display="https://www.ahd.com/free_profile/050778/Loma_Linda_University_Children%27s_Hospital/Loma_Linda/California/" xr:uid="{D8A88B50-BCEF-E145-8462-1FF43F2166C1}"/>
    <hyperlink ref="A130" r:id="rId129" display="https://www.ahd.com/free_profile/050327/Loma_Linda_University_Medical_Center/Loma_Linda/California/" xr:uid="{3C23020C-9569-0743-95AA-FA7DB2DC2E59}"/>
    <hyperlink ref="A131" r:id="rId130" display="https://www.ahd.com/free_profile/050770/Loma_Linda_University_Medical_Center_-_Murrieta/Murrieta/California/" xr:uid="{EA4D3EEE-9450-D448-9E1C-148EF651B7B2}"/>
    <hyperlink ref="A132" r:id="rId131" display="https://www.ahd.com/free_profile/I41579/Loma_Linda_University_Medical_Center_East_Campus/Loma_Linda/California/" xr:uid="{4A075513-A005-3140-9DFE-E6D8E3823D02}"/>
    <hyperlink ref="A133" r:id="rId132" display="https://www.ahd.com/free_profile/I41581/Loma_Linda_University_Surgical_Hospital_/Redlands/California/" xr:uid="{C91046B1-8C3B-FF43-B2F4-1FD03F88F83D}"/>
    <hyperlink ref="A134" r:id="rId133" display="https://www.ahd.com/free_profile/050110/Lompoc_Valley_Medical_Center/Lompoc/California/" xr:uid="{AC09C219-B1B7-F147-9A5D-36E74E25362D}"/>
    <hyperlink ref="A135" r:id="rId134" display="https://www.ahd.com/free_profile/050485/Long_Beach_Medical_Center/Long_Beach/California/" xr:uid="{D26056F0-BDF2-1945-8DA6-8DBB339A23E7}"/>
    <hyperlink ref="A136" r:id="rId135" display="https://www.ahd.com/free_profile/050551/Los_Alamitos_Medical_Center/Los_Alamitos/California/" xr:uid="{DA4E7612-16BE-8341-8061-E14FD4B13A82}"/>
    <hyperlink ref="A137" r:id="rId136" display="https://www.ahd.com/free_profile/050663/Los_Angeles_Community_Hospital/Los_Angeles/California/" xr:uid="{04325E55-0001-FE4F-8CEE-A2139E9553C0}"/>
    <hyperlink ref="A138" r:id="rId137" display="https://www.ahd.com/free_profile/I41902/Los_Angeles_Community_Hospital_at_Norwalk/Norwalk/California/" xr:uid="{3AA341D8-6FF5-F54F-B98C-50506CA78E97}"/>
    <hyperlink ref="A139" r:id="rId138" display="https://www.ahd.com/free_profile/050373/Los_Angeles_County_and_University_of_Southern_California_Medical_Center/Los_Angeles/California/" xr:uid="{0D5A0E1D-FA30-604E-839C-03ABAD0F05D4}"/>
    <hyperlink ref="A140" r:id="rId139" display="https://www.ahd.com/free_profile/050138/Los_Angeles_Medical_Center/Los_Angeles/California/" xr:uid="{0D3FBBBE-5EF0-2449-A1A8-24736EA3D2C4}"/>
    <hyperlink ref="A141" r:id="rId140" display="https://www.ahd.com/free_profile/050502/Los_Angeles_Surge_Hospital/Los_Angeles/California/" xr:uid="{84211E7A-0995-6843-91EE-5FAE906411CA}"/>
    <hyperlink ref="A142" r:id="rId141" display="https://www.ahd.com/free_profile/050549/Los_Robles_Regional_Medical_Center/Thousand_Oaks/California/" xr:uid="{C4C731EE-2551-E84E-BFAC-0F16C33C507A}"/>
    <hyperlink ref="A143" r:id="rId142" display="https://www.ahd.com/free_profile/050028/Mad_River_Community_Hospital/Arcata/California/" xr:uid="{AF0E17E5-0FFA-B048-B23E-2D6AB97BAA83}"/>
    <hyperlink ref="A144" r:id="rId143" display="https://www.ahd.com/free_profile/050568/Madera_Community_Hospital/Madera/California/" xr:uid="{D33B48ED-C3A9-354F-9631-CB4143F02829}"/>
    <hyperlink ref="A145" r:id="rId144" display="https://www.ahd.com/free_profile/050748/Manteca_Medical_Center_/Manteca/California/" xr:uid="{46F768BE-C624-DB45-84F7-703525633CD5}"/>
    <hyperlink ref="A146" r:id="rId145" display="https://www.ahd.com/free_profile/050107/Marian_Regional_Medical_Center/Santa_Maria/California/" xr:uid="{41E6040D-4EF4-1145-82D9-8D8A04310EAA}"/>
    <hyperlink ref="A147" r:id="rId146" display="https://www.ahd.com/free_profile/050740/Marina_Del_Rey_Hospital/Marina_Del_Rey/California/" xr:uid="{D79864D5-4BB8-8649-9F51-B7D5E6B311E0}"/>
    <hyperlink ref="A148" r:id="rId147" display="https://www.ahd.com/free_profile/050254/Marshall_Medical_Center/Placerville/California/" xr:uid="{22595F3C-7035-BE4A-85F8-5EF7D6308ACE}"/>
    <hyperlink ref="A149" r:id="rId148" display="https://www.ahd.com/free_profile/050779/Martin_Luther_King%2C_Jr_Community_Hospital_/Los_Angeles/California/" xr:uid="{7F4AF955-12D8-C14F-829F-F43F337C0E6E}"/>
    <hyperlink ref="A150" r:id="rId149" display="https://www.ahd.com/free_profile/050189/Mee_Memorial_Hospital/King_City/California/" xr:uid="{C26FFD64-3FB0-E04E-963B-90A6AD2D73F3}"/>
    <hyperlink ref="A151" r:id="rId150" display="https://www.ahd.com/free_profile/050528/Memorial_Hospital_Los_Banos/Los_Banos/California/" xr:uid="{19E522D1-1A95-5849-8689-B65F7BDD120A}"/>
    <hyperlink ref="A152" r:id="rId151" display="https://www.ahd.com/free_profile/050468/Memorial_Hospital_of_Gardena/Gardena/California/" xr:uid="{210B7051-5E44-0441-B8E9-5FD06D5E4A77}"/>
    <hyperlink ref="A153" r:id="rId152" display="https://www.ahd.com/free_profile/050557/Memorial_Medical_Center/Modesto/California/" xr:uid="{90C2D1B7-C39A-1B4D-93DA-35C23847EFD4}"/>
    <hyperlink ref="A154" r:id="rId153" display="https://www.ahd.com/free_profile/050684/Menifee_Global_Medical_Center/Menifee/California/" xr:uid="{F66E55FF-16F8-554F-B58B-1F9959A18E7C}"/>
    <hyperlink ref="A155" r:id="rId154" display="https://www.ahd.com/free_profile/050754/Menlo_Park_Surgical_Hospital/Menlo_Park/California/" xr:uid="{251BDB0F-BD78-4341-B60B-487C72997114}"/>
    <hyperlink ref="A156" r:id="rId155" display="https://www.ahd.com/free_profile/050017/Mercy_General_Hospital/Sacramento/California/" xr:uid="{B8996AA8-3F39-FA47-B7AB-039D91F9EAD2}"/>
    <hyperlink ref="A157" r:id="rId156" display="https://www.ahd.com/free_profile/050295/Mercy_Hospital_Downtown_Bakersfield/Bakersfield/California/" xr:uid="{F0EBA8CD-34AD-034C-875B-E829C803367F}"/>
    <hyperlink ref="A158" r:id="rId157" display="https://www.ahd.com/free_profile/050414/Mercy_Hospital_of_Folsom/Folsom/California/" xr:uid="{62142292-81D1-8940-91A1-6AD870ECB804}"/>
    <hyperlink ref="A159" r:id="rId158" display="https://www.ahd.com/free_profile/I41032/Mercy_Hospital_Southwest/Bakersfield/California/" xr:uid="{DE033317-6C88-0E49-BF03-D072DEEBF44E}"/>
    <hyperlink ref="A160" r:id="rId159" display="https://www.ahd.com/free_profile/050444/Mercy_Medical_Center/Merced/California/" xr:uid="{00C39DB8-D953-9C4C-AD08-8F4923734547}"/>
    <hyperlink ref="A161" r:id="rId160" display="https://www.ahd.com/free_profile/050280/Mercy_Medical_Center_Redding/Redding/California/" xr:uid="{6F9D7828-CB9D-B24E-AEDA-112E66A410C5}"/>
    <hyperlink ref="A162" r:id="rId161" display="https://www.ahd.com/free_profile/050516/Mercy_San_Juan_Medical_Center/Carmichael/California/" xr:uid="{918D0E92-96E5-C74C-9005-D73808AEF812}"/>
    <hyperlink ref="A163" r:id="rId162" display="https://www.ahd.com/free_profile/050238/Methodist_Hospital/Arcadia/California/" xr:uid="{3A87AE4B-8DE8-F240-A1F8-B1E59B61CEC9}"/>
    <hyperlink ref="A164" r:id="rId163" display="https://www.ahd.com/free_profile/050590/Methodist_Hospital_of_Sacramento/Sacramento/California/" xr:uid="{AC35BF08-8BF8-2940-8BF3-DB9ADD06409F}"/>
    <hyperlink ref="A165" r:id="rId164" display="https://www.ahd.com/free_profile/050007/Mills-Peninsula_Medical_Center/Burlingame/California/" xr:uid="{46C3F03F-5A4B-A440-B90B-F6F9B87BD591}"/>
    <hyperlink ref="A166" r:id="rId165" display="https://www.ahd.com/free_profile/050704/Mission_Community_Hospital/Panorama_City/California/" xr:uid="{930D4D42-96CF-D141-BBA3-69F421185E2D}"/>
    <hyperlink ref="A167" r:id="rId166" display="https://www.ahd.com/free_profile/050193/Mission_Hospital_Laguna_Beach/Laguna_Beach/California/" xr:uid="{08C334F0-65A9-274A-A678-D746F88D38AC}"/>
    <hyperlink ref="A168" r:id="rId167" display="https://www.ahd.com/free_profile/050567/Mission_Hospital_Mission_Viejo/Mission_Viejo/California/" xr:uid="{1B85DB52-0A6B-3742-B223-A1BC4A54246A}"/>
    <hyperlink ref="A169" r:id="rId168" display="https://www.ahd.com/free_profile/I41678/Modesto_Medical_Center/Modesto/California/" xr:uid="{1EDEC2EC-54B0-F247-952F-E64BB71D8B72}"/>
    <hyperlink ref="A170" r:id="rId169" display="https://www.ahd.com/free_profile/050758/Montclair_Hospital_Medical_Center/Montclair/California/" xr:uid="{EB741B6F-6912-3546-8F10-B3B80BA5D7CD}"/>
    <hyperlink ref="A171" r:id="rId170" display="https://www.ahd.com/free_profile/050736/Monterey_Park_Hospital/Monterey_Park/California/" xr:uid="{22F181BF-6A63-3940-9E55-E8415DB9C234}"/>
    <hyperlink ref="A172" r:id="rId171" display="https://www.ahd.com/free_profile/050765/Moreno_Valley_Medical_Center/Moreno_Valley/California/" xr:uid="{120C13E2-9CD8-EE4F-94E5-D05BF8156014}"/>
    <hyperlink ref="A173" r:id="rId172" display="https://www.ahd.com/free_profile/050248/Natividad_Medical_Center/Salinas/California/" xr:uid="{ABED8A13-359C-4B4F-B762-9F55DFC754B0}"/>
    <hyperlink ref="A174" r:id="rId173" display="https://www.ahd.com/free_profile/I08089/Naval_Health_Clinic_Lemoore/Lemoore/California/" xr:uid="{86B29C83-9F4A-584C-A11F-395FCBC60566}"/>
    <hyperlink ref="A175" r:id="rId174" display="https://www.ahd.com/free_profile/05020F/Naval_Hospital_Camp_Pendleton/Camp_Pendleton/California/" xr:uid="{BD900E7C-2F39-5E49-BAFF-5B036D151070}"/>
    <hyperlink ref="A176" r:id="rId175" display="https://www.ahd.com/free_profile/05022F/Naval_Medical_Center_San_Diego/San_Diego/California/" xr:uid="{BD912B72-EC8A-734F-9323-38CAE45F8CED}"/>
    <hyperlink ref="A177" r:id="rId176" display="https://www.ahd.com/free_profile/050367/NorthBay_Medical_Center/Fairfield/California/" xr:uid="{60851E39-FA26-5B41-8AD1-4F1067D08B8C}"/>
    <hyperlink ref="A178" r:id="rId177" display="https://www.ahd.com/free_profile/050680/NorthBay_VacaValley_Hospital/Vacaville/California/" xr:uid="{DCEF9FD7-7FB1-E846-B0C5-BB21B8962B2B}"/>
    <hyperlink ref="A179" r:id="rId178" display="https://www.ahd.com/free_profile/050116/Northridge_Hospital/Northridge/California/" xr:uid="{705C31B0-2266-E142-A1CD-37C76694B582}"/>
    <hyperlink ref="A180" r:id="rId179" display="https://www.ahd.com/free_profile/050131/Novato_Community_Hospital/Novato/California/" xr:uid="{E578F7C1-E479-F14F-A126-6EF7D8F21A1B}"/>
    <hyperlink ref="A181" r:id="rId180" display="https://www.ahd.com/free_profile/050153/O%27Connor_Hospital/San_Jose/California/" xr:uid="{FFD5B093-8A1D-2F46-B4C0-ED4C9AE2155F}"/>
    <hyperlink ref="A182" r:id="rId181" display="https://www.ahd.com/free_profile/050067/Oak_Valley_Hospital/Oakdale/California/" xr:uid="{2F938DC7-E03D-4047-8208-5EE3107118E9}"/>
    <hyperlink ref="A183" r:id="rId182" display="https://www.ahd.com/free_profile/050075/Oakland_Medical_Center/Oakland/California/" xr:uid="{BA587374-AB9D-7243-B3E3-10A73B0068CB}"/>
    <hyperlink ref="A184" r:id="rId183" display="https://www.ahd.com/free_profile/050040/Olive_View-UCLA_Medical_Center/Sylmar/California/" xr:uid="{E1F654C0-2FE5-FF4F-AB7C-1FE16502CDC6}"/>
    <hyperlink ref="A185" r:id="rId184" display="https://www.ahd.com/free_profile/050742/Olympia_Medical_Center/Los_Angeles/California/" xr:uid="{9AA2816F-760C-D44D-93B7-2652904ED607}"/>
    <hyperlink ref="A186" r:id="rId185" display="https://www.ahd.com/free_profile/I41848/Ontario_Medical_Center/Ontario/California/" xr:uid="{A1482048-D1AE-0D43-9DF1-EB1BBE71D3DF}"/>
    <hyperlink ref="A187" r:id="rId186" display="https://www.ahd.com/free_profile/050678/Orange_Coast_Memorial_Medical_Center/Fountain_Valley/California/" xr:uid="{CEA4F634-5ADC-E441-A5A4-AD23724E0FE1}"/>
    <hyperlink ref="A188" r:id="rId187" display="https://www.ahd.com/free_profile/050746/Orange_County_Global_Medical_Center/Santa_Ana/California/" xr:uid="{74AB6877-1F1A-2D4C-902C-F27A3F513427}"/>
    <hyperlink ref="A189" r:id="rId188" display="https://www.ahd.com/free_profile/I41516/Orange_County-Irvine_Medical_Center/Irvine/California/" xr:uid="{DB121207-7456-4D45-B2A6-649C02088C4B}"/>
    <hyperlink ref="A190" r:id="rId189" display="https://www.ahd.com/free_profile/050030/Oroville_Hospital/Oroville/California/" xr:uid="{242F1E11-E0B1-EE4D-8306-830EA3DB6FF9}"/>
    <hyperlink ref="A191" r:id="rId190" display="https://www.ahd.com/free_profile/050378/Pacifica_Hospital_of_the_Valley/Sun_Valley/California/" xr:uid="{270C6F72-0FEA-9A41-9AF4-068F7F1A1D56}"/>
    <hyperlink ref="A192" r:id="rId191" display="https://www.ahd.com/free_profile/050204/Palmdale_Regional_Medical_Center/Palmdale/California/" xr:uid="{7A39045B-DCE5-0F4A-A98D-C7F13E4145AC}"/>
    <hyperlink ref="A193" r:id="rId192" display="https://www.ahd.com/free_profile/050423/Palo_Verde_Hospital/Blythe/California/" xr:uid="{6DE97A4B-B410-8942-8CDA-C2612C210525}"/>
    <hyperlink ref="A194" r:id="rId193" display="https://www.ahd.com/free_profile/I42071/Palomar_Medical_Center_Downtown_Escondido/Escondido/California/" xr:uid="{7F6B5D77-F23F-E749-A69C-AF5664248559}"/>
    <hyperlink ref="A195" r:id="rId194" display="https://www.ahd.com/free_profile/050115/Palomar_Medical_Center_Escondido/Escondido/California/" xr:uid="{BFAFEEB7-D489-4042-B653-DE531D89B0DF}"/>
    <hyperlink ref="A196" r:id="rId195" display="https://www.ahd.com/free_profile/050636/Palomar_Medical_Center_Poway/Poway/California/" xr:uid="{CC1FEEDC-D9BA-6E45-AEB5-1F8A1E7103E6}"/>
    <hyperlink ref="A197" r:id="rId196" display="https://www.ahd.com/free_profile/050137/Panorama_City_Medical_Center/Panorama_City/California/" xr:uid="{B53C077A-4058-4946-84EE-A8F337980004}"/>
    <hyperlink ref="A198" r:id="rId197" display="https://www.ahd.com/free_profile/050024/Paradise_Valley_Hospital/National_City/California/" xr:uid="{25528C00-FBA9-DE43-ACED-11ABE9F2A817}"/>
    <hyperlink ref="A199" r:id="rId198" display="https://www.ahd.com/free_profile/050102/Parkview_Community_Hospital_Medical_Center/Riverside/California/" xr:uid="{31B958CD-CDA6-A54E-8A6B-B1590A792871}"/>
    <hyperlink ref="A200" r:id="rId199" display="https://www.ahd.com/free_profile/050697/Patients_Hospital_of_Redding/Redding/California/" xr:uid="{425C187F-56A6-654C-85F5-0629BC867604}"/>
    <hyperlink ref="A201" r:id="rId200" display="https://www.ahd.com/free_profile/050136/Petaluma_Valley_Hospital/Petaluma/California/" xr:uid="{3B2B1D2A-E856-414B-B2F9-0E50A03C120E}"/>
    <hyperlink ref="A202" r:id="rId201" display="https://www.ahd.com/free_profile/050471/PIH_Health_Good_Samaritan_Hospital/Los_Angeles/California/" xr:uid="{4607B906-480D-1D4D-91D4-12A5805F0970}"/>
    <hyperlink ref="A203" r:id="rId202" display="https://www.ahd.com/free_profile/050393/PIH_Health_Hospital_-_Downey/Downey/California/" xr:uid="{7E71A906-DFC0-E849-AD51-3FFDD05AD6CC}"/>
    <hyperlink ref="A204" r:id="rId203" display="https://www.ahd.com/free_profile/050169/PIH_Health_Hospital_-_Whittier/Whittier/California/" xr:uid="{491875A1-4595-9A4E-A436-6145A2320035}"/>
    <hyperlink ref="A205" r:id="rId204" display="https://www.ahd.com/free_profile/050342/Pioneers_Memorial_Hospital/Brawley/California/" xr:uid="{B6BF52F7-90BF-4242-A31A-BA22CD39FFD5}"/>
    <hyperlink ref="A206" r:id="rId205" display="https://www.ahd.com/free_profile/050589/Placentia-Linda_Hospital/Placentia/California/" xr:uid="{4464E63E-2D57-384A-87F5-90073AF32F86}"/>
    <hyperlink ref="A207" r:id="rId206" display="https://www.ahd.com/free_profile/050231/Pomona_Valley_Hospital_Medical_Center/Pomona/California/" xr:uid="{6D229D4B-CC17-7448-A7CB-0964AC7A4DDB}"/>
    <hyperlink ref="A208" r:id="rId207" display="https://www.ahd.com/free_profile/050546/Porterville_Developmental_Center/Porterville/California/" xr:uid="{8F322423-8E95-5F4B-BA23-FED834199DB4}"/>
    <hyperlink ref="A209" r:id="rId208" display="https://www.ahd.com/free_profile/050761/Providence_Cedars-Sinai_Tarzana_Medical_Center/Tarzana/California/" xr:uid="{CB1284B3-1C85-A54E-BE1E-4CD7965756D0}"/>
    <hyperlink ref="A210" r:id="rId209" display="https://www.ahd.com/free_profile/050278/Providence_Holy_Cross_Medical_Center/Mission_Hills/California/" xr:uid="{465EB567-6D81-E749-B4DF-97782595DF87}"/>
    <hyperlink ref="A211" r:id="rId210" display="https://www.ahd.com/free_profile/050078/Providence_Little_Company_of_Mary_Medical_Center_San_Pedro/San_Pedro/California/" xr:uid="{481C5035-E541-4740-93BC-A0D7A6099852}"/>
    <hyperlink ref="A212" r:id="rId211" display="https://www.ahd.com/free_profile/050353/Providence_Little_Company_of_Mary_Medical_Center_Torrance/Torrance/California/" xr:uid="{A28B0454-552E-1B46-A9D3-CB2D11256ECC}"/>
    <hyperlink ref="A213" r:id="rId212" display="https://www.ahd.com/free_profile/050235/Providence_Saint_Joseph_Medical_Center/Burbank/California/" xr:uid="{63819298-BCB4-DB40-BCDF-6D03670E5C03}"/>
    <hyperlink ref="A214" r:id="rId213" display="https://www.ahd.com/free_profile/050009/Queen_of_the_Valley_Medical_Center/Napa/California/" xr:uid="{3C2B34CA-9431-FF43-B8F3-B855AB5D9AE9}"/>
    <hyperlink ref="A215" r:id="rId214" display="https://www.ahd.com/free_profile/050717/Rancho_Los_Amigos_National_Rehabilitation_Center/Downey/California/" xr:uid="{568AF4CC-8E19-414A-8771-B10EA9ED2AA0}"/>
    <hyperlink ref="A216" r:id="rId215" display="https://www.ahd.com/free_profile/050701/Rancho_Springs_Medical_Center/Murrieta/California/" xr:uid="{9AC45BDC-F37F-E448-8582-E8ED1263E349}"/>
    <hyperlink ref="A217" r:id="rId216" display="https://www.ahd.com/free_profile/050272/Redlands_Community_Hospital/Redlands/California/" xr:uid="{A30A1D4C-2C4C-6F4B-950A-3CC12B842472}"/>
    <hyperlink ref="A218" r:id="rId217" display="https://www.ahd.com/free_profile/050541/Redwood_City_Medical_Center/Redwood_City/California/" xr:uid="{023848C5-F526-654F-A726-1FB48D7B7B5B}"/>
    <hyperlink ref="A219" r:id="rId218" display="https://www.ahd.com/free_profile/050125/Regional_Medical_Center_of_San_Jose/San_Jose/California/" xr:uid="{9DFE5FB1-3491-F341-B4A4-056A1C5F9393}"/>
    <hyperlink ref="A220" r:id="rId219" display="https://www.ahd.com/free_profile/I42028/Richmond_Medical_Center/Richmond/California/" xr:uid="{CD189CE3-BE57-8D41-BA20-52CBE7C8726B}"/>
    <hyperlink ref="A221" r:id="rId220" display="https://www.ahd.com/free_profile/050022/Riverside_Community_Hospital/Riverside/California/" xr:uid="{2C6AB70E-F453-EA48-8437-78ED39ECA71F}"/>
    <hyperlink ref="A222" r:id="rId221" display="https://www.ahd.com/free_profile/050686/Riverside_Medical_Center/Riverside/California/" xr:uid="{6D8A9443-9E09-644C-B70D-786C241D4876}"/>
    <hyperlink ref="A223" r:id="rId222" display="https://www.ahd.com/free_profile/050292/Riverside_University_Medical_Center_/Moreno_Valley/California/" xr:uid="{5BB1DF07-CCEB-E240-A450-EB65F5D53D5E}"/>
    <hyperlink ref="A224" r:id="rId223" display="https://www.ahd.com/free_profile/05039F/Robert_E_Bush_Naval_Hospital/Twentynine_Palms/California/" xr:uid="{873142DA-FBBD-6C47-A14F-D66C75124577}"/>
    <hyperlink ref="A225" r:id="rId224" display="https://www.ahd.com/free_profile/050262/Ronald_Reagan_UCLA_Medical_Center/Los_Angeles/California/" xr:uid="{95D1D431-287F-3742-B1D4-AF8E7776FA44}"/>
    <hyperlink ref="A226" r:id="rId225" display="https://www.ahd.com/free_profile/050425/Sacramento_Medical_Center/Sacramento/California/" xr:uid="{5E223622-70FA-404A-B65B-512E291374CF}"/>
    <hyperlink ref="A227" r:id="rId226" display="https://www.ahd.com/free_profile/050603/Saddleback_Medical_Center/Laguna_Hills/California/" xr:uid="{B5AC6CFB-ACC6-C74D-BADF-2C105CB4C523}"/>
    <hyperlink ref="A228" r:id="rId227" display="https://www.ahd.com/free_profile/050093/Saint_Agnes_Medical_Center/Fresno/California/" xr:uid="{8EB24B17-83C7-D542-A278-60128F481BAC}"/>
    <hyperlink ref="A229" r:id="rId228" display="https://www.ahd.com/free_profile/050129/Saint_Bernardine_Medical_Center/San_Bernardino/California/" xr:uid="{77A78B4C-7691-1446-9D24-3D3AC441BEE1}"/>
    <hyperlink ref="A230" r:id="rId229" display="https://www.ahd.com/free_profile/050042/Saint_Elizabeth_Community_Hospital/Red_Bluff/California/" xr:uid="{0BF43137-C4BD-5D4A-8D2D-7DE454E1F6D8}"/>
    <hyperlink ref="A231" r:id="rId230" display="https://www.ahd.com/free_profile/050104/Saint_Francis_Medical_Center/Lynwood/California/" xr:uid="{B2213E65-06A6-E04D-9A0C-37EB13440AAC}"/>
    <hyperlink ref="A232" r:id="rId231" display="https://www.ahd.com/free_profile/050152/Saint_Francis_Memorial_Hospital/San_Francisco/California/" xr:uid="{79298FC4-0375-6947-832C-D8B1F3BFED06}"/>
    <hyperlink ref="A233" r:id="rId232" display="https://www.ahd.com/free_profile/050616/Saint_John%27s_Pleasant_Valley_Hospital/Camarillo/California/" xr:uid="{B032E2B4-CC61-0C4D-95AE-48E70C1D10E4}"/>
    <hyperlink ref="A234" r:id="rId233" display="https://www.ahd.com/free_profile/050082/Saint_John%27s_Regional_Medical_Center/Oxnard/California/" xr:uid="{9CDB1B7C-418C-A648-9363-22916CF0DBB0}"/>
    <hyperlink ref="A235" r:id="rId234" display="https://www.ahd.com/free_profile/I42090/Saint_Joseph_Hospital_Acute_Rehabilitation_Unit/Eureka/California/" xr:uid="{9A7C7833-4DA2-8D47-A691-4251E8E53E6A}"/>
    <hyperlink ref="A236" r:id="rId235" display="https://www.ahd.com/free_profile/050006/Saint_Joseph_Hospital_Eureka/Eureka/California/" xr:uid="{57C6938D-7D0C-D04F-90DC-85CC810052ED}"/>
    <hyperlink ref="A237" r:id="rId236" display="https://www.ahd.com/free_profile/050069/Saint_Joseph_Hospital_Orange/Orange/California/" xr:uid="{A7E7DB60-3FBE-B944-8047-CEA078466B3F}"/>
    <hyperlink ref="A238" r:id="rId237" display="https://www.ahd.com/free_profile/050084/Saint_Joseph%27s_Medical_Center/Stockton/California/" xr:uid="{134C7BEC-BCB8-1949-A35C-4FADD3652AA5}"/>
    <hyperlink ref="A239" r:id="rId238" display="https://www.ahd.com/free_profile/050168/Saint_Jude_Medical_Center/Fullerton/California/" xr:uid="{FDEF1861-4522-B045-AFE3-E9CE27E0B51F}"/>
    <hyperlink ref="A240" r:id="rId239" display="https://www.ahd.com/free_profile/050688/Saint_Louise_Regional_Hospital/Gilroy/California/" xr:uid="{2F94BE8A-0FF6-334E-8E5E-EFF169B05442}"/>
    <hyperlink ref="A241" r:id="rId240" display="https://www.ahd.com/free_profile/050300/Saint_Mary_Medical_Center/Apple_Valley/California/" xr:uid="{1B6549F2-CCF5-B44F-A03D-E5C60BD5F0C8}"/>
    <hyperlink ref="A242" r:id="rId241" display="https://www.ahd.com/free_profile/050457/Saint_Mary%27s_Medical_Center/San_Francisco/California/" xr:uid="{29D15079-9B35-7D4E-A053-624EFBFF526C}"/>
    <hyperlink ref="A243" r:id="rId242" display="https://www.ahd.com/free_profile/050002/Saint_Rose_Hospital/Hayward/California/" xr:uid="{7EC5342E-E924-0747-913E-C18B77150D89}"/>
    <hyperlink ref="A244" r:id="rId243" display="https://www.ahd.com/free_profile/050334/Salinas_Valley_Memorial_Hospital/Salinas/California/" xr:uid="{06B8F141-6DC2-A04F-BFD8-263394AA3C7E}"/>
    <hyperlink ref="A245" r:id="rId244" display="https://www.ahd.com/free_profile/050099/San_Antonio_Regional_Hospital_/Upland/California/" xr:uid="{877BDC85-8D33-A44A-AA6F-C6B6EEA9B4C2}"/>
    <hyperlink ref="A246" r:id="rId245" display="https://www.ahd.com/free_profile/050588/San_Dimas_Community_Hospital/San_Dimas/California/" xr:uid="{16A4F47C-E76A-6A4D-B44F-D4530097950A}"/>
    <hyperlink ref="A247" r:id="rId246" display="https://www.ahd.com/free_profile/05130F/San_Francisco_VA_Medical_Center/San_Francisco/California/" xr:uid="{95804205-A38B-8044-88EF-9A5BCD388224}"/>
    <hyperlink ref="A248" r:id="rId247" display="https://www.ahd.com/free_profile/050132/San_Gabriel_Valley_Medical_Center/San_Gabriel/California/" xr:uid="{8FEF25AD-D80E-9C40-9498-D79A9332AAF9}"/>
    <hyperlink ref="A249" r:id="rId248" display="https://www.ahd.com/free_profile/050054/San_Gorgonio_Memorial_Hospital/Banning/California/" xr:uid="{5078F09F-C1B0-C44B-AB7D-41586BB0E030}"/>
    <hyperlink ref="A250" r:id="rId249" display="https://www.ahd.com/free_profile/050167/San_Joaquin_General_Hospital/French_Camp/California/" xr:uid="{12DDB275-5B01-8E4B-9950-1BB85B2E5F91}"/>
    <hyperlink ref="A251" r:id="rId250" display="https://www.ahd.com/free_profile/050604/San_Jose_Medical_Center_Main_Campus_/San_Jose/California/" xr:uid="{067DF09E-B5F0-E045-AE8C-52039E21F593}"/>
    <hyperlink ref="A252" r:id="rId251" display="https://www.ahd.com/free_profile/050773/San_Leandro_Hospital/San_Leandro/California/" xr:uid="{13D754D2-2AD6-9C42-9894-E0BDF0D0B2B4}"/>
    <hyperlink ref="A253" r:id="rId252" display="https://www.ahd.com/free_profile/050777/San_Leandro_Medical_Center/San_Leandro/California/" xr:uid="{25D4C2A1-7CBA-6D46-B5E7-6E672161C30E}"/>
    <hyperlink ref="A254" r:id="rId253" display="https://www.ahd.com/free_profile/050113/San_Mateo_Medical_Center/San_Mateo/California/" xr:uid="{2A6459B5-ACBE-894E-97ED-3260E637DA7B}"/>
    <hyperlink ref="A255" r:id="rId254" display="https://www.ahd.com/free_profile/050510/San_Rafael_Medical_Center/San_Rafael/California/" xr:uid="{9FFAE711-FE39-EE4A-8DF9-E5DD6466EF3C}"/>
    <hyperlink ref="A256" r:id="rId255" display="https://www.ahd.com/free_profile/050689/San_Ramon_Regional_Medical_Center/San_Ramon/California/" xr:uid="{BD9C3BD0-F7BE-CA40-970D-2E86AAF88DF1}"/>
    <hyperlink ref="A257" r:id="rId256" display="https://www.ahd.com/free_profile/050396/Santa_Barbara_Cottage_Hospital/Santa_Barbara/California/" xr:uid="{9B28CF20-B4AC-A641-81AF-104322D530B6}"/>
    <hyperlink ref="A258" r:id="rId257" display="https://www.ahd.com/free_profile/050071/Santa_Clara_Medical_Center/Santa_Clara/California/" xr:uid="{129F3BA0-AEC0-3D46-8303-20C862BA9643}"/>
    <hyperlink ref="A259" r:id="rId258" display="https://www.ahd.com/free_profile/050038/Santa_Clara_Valley_Medical_Center/San_Jose/California/" xr:uid="{88D2F78A-57BD-2249-9722-6543364EC98D}"/>
    <hyperlink ref="A260" r:id="rId259" display="https://www.ahd.com/free_profile/I42328/Santa_Paula_Hospital/Santa_Paula/California/" xr:uid="{1EE10D8B-4626-E540-A03D-258199025E73}"/>
    <hyperlink ref="A261" r:id="rId260" display="https://www.ahd.com/free_profile/050690/Santa_Rosa_Hospital/Santa_Rosa/California/" xr:uid="{27D31FE8-2AFC-1642-B3A1-F0B5666AD3FB}"/>
    <hyperlink ref="A262" r:id="rId261" display="https://www.ahd.com/free_profile/050174/Santa_Rosa_Memorial_Hospital/Santa_Rosa/California/" xr:uid="{FCFC9044-29C5-6147-9B6F-4D29C90C7844}"/>
    <hyperlink ref="A263" r:id="rId262" display="https://www.ahd.com/free_profile/050424/Scripps_Green_Hospital/La_Jolla/California/" xr:uid="{7CF6FEF0-300F-7546-9545-07247430CB9B}"/>
    <hyperlink ref="A264" r:id="rId263" display="https://www.ahd.com/free_profile/050503/Scripps_Memorial_Hospital_Encinitas/Encinitas/California/" xr:uid="{67291558-C164-9647-BC2A-2592557A231F}"/>
    <hyperlink ref="A265" r:id="rId264" display="https://www.ahd.com/free_profile/050324/Scripps_Memorial_Hospital_La_Jolla/La_Jolla/California/" xr:uid="{5ABE9674-29C0-C941-8C3A-F7E43B039D02}"/>
    <hyperlink ref="A266" r:id="rId265" display="https://www.ahd.com/free_profile/050270/Scripps_Mercy_Hospital_Chula_Vista/Chula_Vista/California/" xr:uid="{B4CA065D-F78D-E148-AC0B-2B5E76BFEBEC}"/>
    <hyperlink ref="A267" r:id="rId266" display="https://www.ahd.com/free_profile/050077/Scripps_Mercy_Hospital_San_Diego/San_Diego/California/" xr:uid="{80B27A4E-B1D1-D648-85C1-D5442C9488EE}"/>
    <hyperlink ref="A268" r:id="rId267" display="https://www.ahd.com/free_profile/050197/Sequoia_Hospital/Redwood_City/California/" xr:uid="{8510797A-F026-D943-AE6F-271CFAECFD00}"/>
    <hyperlink ref="A269" r:id="rId268" display="https://www.ahd.com/free_profile/050289/Seton_Medical_Center/Daly_City/California/" xr:uid="{C057B6C2-FC79-D047-A70B-6F5DC7C0BB5D}"/>
    <hyperlink ref="A270" r:id="rId269" display="https://www.ahd.com/free_profile/I41392/Seton_Medical_Center_Coastside/Moss_Beach/California/" xr:uid="{8090F33A-B413-3F43-A5D4-9EADC9F14C51}"/>
    <hyperlink ref="A271" r:id="rId270" display="https://www.ahd.com/free_profile/050222/Sharp_Chula_Vista_Medical_Center/Chula_Vista/California/" xr:uid="{959EF2E3-E14D-004A-8CDD-E5D88CA4F92E}"/>
    <hyperlink ref="A272" r:id="rId271" display="https://www.ahd.com/free_profile/050234/Sharp_Coronado_Hospital/Coronado/California/" xr:uid="{FA8FDAFF-42DD-A342-A8B3-D074EFA37043}"/>
    <hyperlink ref="A273" r:id="rId272" display="https://www.ahd.com/free_profile/050026/Sharp_Grossmont_Hospital/La_Mesa/California/" xr:uid="{9AA26A4E-98A0-5949-9E0E-BC919D353809}"/>
    <hyperlink ref="A274" r:id="rId273" display="https://www.ahd.com/free_profile/050722/Sharp_Mary_Birch_Hospital_for_Women_and_Newborns/San_Diego/California/" xr:uid="{0EC64168-E7DC-7F4F-9663-CFE5B92B12E1}"/>
    <hyperlink ref="A275" r:id="rId274" display="https://www.ahd.com/free_profile/050100/Sharp_Memorial_Hospital/San_Diego/California/" xr:uid="{9B4B01EF-647D-6D45-B507-E062E45CAF3C}"/>
    <hyperlink ref="A276" r:id="rId275" display="https://www.ahd.com/free_profile/050764/Shasta_Regional_Medical_Center/Redding/California/" xr:uid="{C3745546-6C6E-FB4A-8944-6DED374505A6}"/>
    <hyperlink ref="A277" r:id="rId276" display="https://www.ahd.com/free_profile/050755/Sherman_Oaks_Hospital/Sherman_Oaks/California/" xr:uid="{1778E967-1416-AB4C-8B2D-8E195F18D2E1}"/>
    <hyperlink ref="A278" r:id="rId277" display="https://www.ahd.com/free_profile/050150/Sierra_Nevada_Memorial_Hospital/Grass_Valley/California/" xr:uid="{70F5F32C-683C-7245-ABAA-29A3ADC5C978}"/>
    <hyperlink ref="A279" r:id="rId278" display="https://www.ahd.com/free_profile/050261/Sierra_View_District_Hospital/Porterville/California/" xr:uid="{DA089FB0-255A-8146-BF9B-01FF992F1837}"/>
    <hyperlink ref="A280" r:id="rId279" display="https://www.ahd.com/free_profile/050506/Sierra_Vista_Regional_Medical_Center/San_Luis_Obispo/California/" xr:uid="{1C9A0392-AF30-D441-B3F5-EEB1BDAAB719}"/>
    <hyperlink ref="A281" r:id="rId280" display="https://www.ahd.com/free_profile/050547/Sonoma_Developmental_Center/Eldridge/California/" xr:uid="{A56FFD96-F7BD-7E4E-81AD-5E511E4B909D}"/>
    <hyperlink ref="A282" r:id="rId281" display="https://www.ahd.com/free_profile/050781/Sonoma_Specialty_Hospital/Sebastopol/California/" xr:uid="{DD490612-79F0-5242-AB6E-AC5118DD33D6}"/>
    <hyperlink ref="A283" r:id="rId282" display="https://www.ahd.com/free_profile/050090/Sonoma_Valley_Hospital/Sonoma/California/" xr:uid="{EE069A9D-B37A-C345-934A-9D292647DB35}"/>
    <hyperlink ref="A284" r:id="rId283" display="https://www.ahd.com/free_profile/050411/South_Bay_Medical_Center/Harbor_City/California/" xr:uid="{BF5FECD3-BAB8-ED4F-9A18-ED8AD3888390}"/>
    <hyperlink ref="A285" r:id="rId284" display="https://www.ahd.com/free_profile/050747/South_Coast_Global_Medical_Center/Santa_Ana/California/" xr:uid="{ABF9E165-A009-7644-96A6-9C46AAC93BDA}"/>
    <hyperlink ref="A286" r:id="rId285" display="https://www.ahd.com/free_profile/050674/South_Sacramento_Medical_Center/Sacramento/California/" xr:uid="{16E17F4D-6B22-E944-A424-53B502C030AC}"/>
    <hyperlink ref="A287" r:id="rId286" display="https://www.ahd.com/free_profile/050752/Southern_California_Hospital_at_Culver_City/Culver_City/California/" xr:uid="{ADAC59AD-9288-D64D-9C9F-C8732E2DCAB3}"/>
    <hyperlink ref="A288" r:id="rId287" display="https://www.ahd.com/free_profile/050135/Southern_California_Hospital_at_Hollywood/Hollywood/California/" xr:uid="{255D1ECF-A0D6-E845-BDBD-4DAB2D0F96F7}"/>
    <hyperlink ref="A289" r:id="rId288" display="https://www.ahd.com/free_profile/050191/St_Mary_Medical_Center_Long_Beach/Long_Beach/California/" xr:uid="{696E79C4-6BAF-4246-9151-CA095CFAED0E}"/>
    <hyperlink ref="A290" r:id="rId289" display="https://www.ahd.com/free_profile/I41163/Stanford_Health_-_ValleyCare_-_Pleasanton/Pleasanton/California/" xr:uid="{C8C7AE17-2326-854A-ABAD-387FDB37E914}"/>
    <hyperlink ref="A291" r:id="rId290" display="https://www.ahd.com/free_profile/050283/Stanford_Health_Care_-_ValleyCare-Livermore/Livermore/California/" xr:uid="{B1313E75-CDA1-904B-BE24-D711490D0AD6}"/>
    <hyperlink ref="A292" r:id="rId291" display="https://www.ahd.com/free_profile/050441/Stanford_Hospital/Stanford/California/" xr:uid="{367E1B30-815D-A446-8EE9-AE08AE334551}"/>
    <hyperlink ref="A293" r:id="rId292" display="https://www.ahd.com/free_profile/050726/Stanislaus_Surgical_Hospital/Modesto/California/" xr:uid="{229E079D-496B-B240-9999-B8575583050B}"/>
    <hyperlink ref="A294" r:id="rId293" display="https://www.ahd.com/free_profile/050014/Sutter_Amador_Hospital/Jackson/California/" xr:uid="{F5677967-9D67-2448-B85A-80F95F1925CB}"/>
    <hyperlink ref="A295" r:id="rId294" display="https://www.ahd.com/free_profile/050498/Sutter_Auburn_Faith_Hospital/Auburn/California/" xr:uid="{256F4778-9CC0-C94F-A7C1-BA94EC968A3F}"/>
    <hyperlink ref="A296" r:id="rId295" display="https://www.ahd.com/free_profile/050417/Sutter_Coast_Hospital/Crescent_City/California/" xr:uid="{818368AE-8DBB-7E4B-8E54-545D179297E2}"/>
    <hyperlink ref="A297" r:id="rId296" display="https://www.ahd.com/free_profile/050537/Sutter_Davis_Hospital/Davis/California/" xr:uid="{7DCEB931-FF63-6D42-BA7D-756729264F58}"/>
    <hyperlink ref="A298" r:id="rId297" display="https://www.ahd.com/free_profile/050523/Sutter_Delta_Medical_Center/Antioch/California/" xr:uid="{538EAE79-2A60-424C-ACE6-5EA5D0E252EE}"/>
    <hyperlink ref="A299" r:id="rId298" display="https://www.ahd.com/free_profile/050714/Sutter_Maternity_and_Surgery_Center_of_Santa_Cruz/Santa_Cruz/California/" xr:uid="{4BE84415-BB2B-8842-8259-28641CFADB76}"/>
    <hyperlink ref="A300" r:id="rId299" display="https://www.ahd.com/free_profile/050108/Sutter_Medical_Center/Sacramento/California/" xr:uid="{FACA9DAB-C228-3847-8284-A2656CDC8CB3}"/>
    <hyperlink ref="A301" r:id="rId300" display="https://www.ahd.com/free_profile/050309/Sutter_Roseville_Medical_Center/Roseville/California/" xr:uid="{60BD5008-474A-E540-B814-5E5CC1C7F232}"/>
    <hyperlink ref="A302" r:id="rId301" display="https://www.ahd.com/free_profile/050291/Sutter_Santa_Rosa_Regional_Hospital/Santa_Rosa/California/" xr:uid="{60E7137C-A2A0-3549-ABDC-D83589BE1569}"/>
    <hyperlink ref="A303" r:id="rId302" display="https://www.ahd.com/free_profile/050101/Sutter_Solano_Medical_Center/Vallejo/California/" xr:uid="{90BD43D2-494E-AD4E-8477-BC846878F67B}"/>
    <hyperlink ref="A304" r:id="rId303" display="https://www.ahd.com/free_profile/050766/Sutter_Surgical_Hospital_North_Valley/Yuba_City/California/" xr:uid="{DB46C19D-BB6B-C64C-91EB-8860CA6B29AA}"/>
    <hyperlink ref="A305" r:id="rId304" display="https://www.ahd.com/free_profile/050313/Sutter_Tracy_Community_Hospital/Tracy/California/" xr:uid="{A617276D-6141-A84F-AE80-214382458F04}"/>
    <hyperlink ref="A306" r:id="rId305" display="https://www.ahd.com/free_profile/050775/Temecula_Valley_Hospital/Temecula/California/" xr:uid="{D7829E53-C385-9349-895A-0F230331396B}"/>
    <hyperlink ref="A307" r:id="rId306" display="https://www.ahd.com/free_profile/050749/Thousand_Oaks_Surgical_Hospital/Thousand_Oaks/California/" xr:uid="{DEC41D19-B30D-4749-BB15-5D3EE54DB6F3}"/>
    <hyperlink ref="A308" r:id="rId307" display="https://www.ahd.com/free_profile/050351/Torrance_Memorial_Medical_Center/Torrance/California/" xr:uid="{0FDFD8FB-19A6-254A-81A2-F631D1896D19}"/>
    <hyperlink ref="A309" r:id="rId308" display="https://www.ahd.com/free_profile/050128/Tri-City_Medical_Center/Oceanside/California/" xr:uid="{5FEF847D-4BB5-9546-9E6D-648B55AF50B9}"/>
    <hyperlink ref="A310" r:id="rId309" display="https://www.ahd.com/free_profile/050633/Twin_Cities_Community_Hospital/Templeton/California/" xr:uid="{69E8D4C0-3085-2845-8205-D14C446E9C18}"/>
    <hyperlink ref="A311" r:id="rId310" display="https://www.ahd.com/free_profile/050599/UC_Davis_Medical_Center/Sacramento/California/" xr:uid="{A45352B7-D64A-7C43-BC12-CA634E6102EC}"/>
    <hyperlink ref="A312" r:id="rId311" display="https://www.ahd.com/free_profile/I41388/UC_San_Diego_Health_-_La_Jolla_Jacobs_Medical_Center/La_Jolla/California/" xr:uid="{DF92C667-A38E-6B42-A7FC-88C2654A18FC}"/>
    <hyperlink ref="A313" r:id="rId312" display="https://www.ahd.com/free_profile/050025/UC_San_Diego_Health_System_-_Hillcrest/San_Diego/California/" xr:uid="{6485066E-E939-6042-8FE6-82D9598BCDF1}"/>
    <hyperlink ref="A314" r:id="rId313" display="https://www.ahd.com/free_profile/050348/UCI_Health/Orange/California/" xr:uid="{AC3A5626-4B2C-F04D-91A6-2C8F8224084C}"/>
    <hyperlink ref="A315" r:id="rId314" display="https://www.ahd.com/free_profile/I42273/UCLA_Mattel_Children%27s_Hospital/Los_Angeles/California/" xr:uid="{460BB0FA-A408-BD41-8A34-2BEA7AAE5BED}"/>
    <hyperlink ref="A316" r:id="rId315" display="https://www.ahd.com/free_profile/050112/UCLA_Medical_Center%2C_Santa_Monica/Santa_Monica/California/" xr:uid="{3C1C84F1-4444-D54B-AAEB-F41B9FF57AAE}"/>
    <hyperlink ref="A317" r:id="rId316" display="https://www.ahd.com/free_profile/I42237/UCSF_Medical_Center_at_Mission_Bay_/San_Francisco/California/" xr:uid="{B92A01BC-7122-6547-AF6B-4F809BD42DF8}"/>
    <hyperlink ref="A318" r:id="rId317" display="https://www.ahd.com/free_profile/050454/UCSF_Medical_Center_at_Parnassus/San_Francisco/California/" xr:uid="{B34A43AF-F5F0-4F44-86FA-A4CA2DB34F1E}"/>
    <hyperlink ref="A319" r:id="rId318" display="https://www.ahd.com/free_profile/I42016/UCSF_Medical_Center_Betty_Irene_Moore_Women%27s_Hospital/San_Francisco/California/" xr:uid="{DA1CA2F0-75B0-9544-A508-2D8B217724F3}"/>
    <hyperlink ref="A320" r:id="rId319" display="https://www.ahd.com/free_profile/050660/USC_Norris_Comprehensive_Cancer_Center/Los_Angeles/California/" xr:uid="{DBB1BA97-3193-E04B-925A-D2B9F19F28A6}"/>
    <hyperlink ref="A321" r:id="rId320" display="https://www.ahd.com/free_profile/050124/USC_Verdugo_Hills_Hospital/Glendale/California/" xr:uid="{F097C529-0A66-AE4E-97FC-226B71FE8D87}"/>
    <hyperlink ref="A322" r:id="rId321" display="https://www.ahd.com/free_profile/05025F/VA_Central_California_Health_Care_System/Fresno/California/" xr:uid="{1E581C64-E6C9-654A-8618-5A71892D0F3B}"/>
    <hyperlink ref="A323" r:id="rId322" display="https://www.ahd.com/free_profile/05128F/VA_Greater_Los_Angeles_Healthcare_System_-_West_Los_Angeles_Medical_Center/Los_Angeles/California/" xr:uid="{24FE267B-1452-0349-B3C9-8393FC108880}"/>
    <hyperlink ref="A324" r:id="rId323" display="https://www.ahd.com/free_profile/05127E/VA_Loma_Linda_Healthcare_System/Loma_Linda/California/" xr:uid="{FFF1FE09-FD3F-D141-8270-DB848C44F98F}"/>
    <hyperlink ref="A325" r:id="rId324" display="https://www.ahd.com/free_profile/05027F/VA_Long_Beach_Healthcare_System_/Long_Beach/California/" xr:uid="{7A71CC0D-5BCF-124E-8856-C750DEF7380C}"/>
    <hyperlink ref="A326" r:id="rId325" display="https://www.ahd.com/free_profile/05013F/VA_Northern_California_Health_Care_System_-_Valley_Division_-_Sacramento_VA_Medical_Center/Mather/California/" xr:uid="{829A86C5-31C3-3E4C-B481-8F7657E6CF01}"/>
    <hyperlink ref="A327" r:id="rId326" display="https://www.ahd.com/free_profile/05031F/VA_Palo_Alto_Health_Care_System_-_Palo_Alto_Division/Palo_Alto/California/" xr:uid="{3F56B8DB-DB92-4943-A1A4-69A02C900D35}"/>
    <hyperlink ref="A328" r:id="rId327" display="https://www.ahd.com/free_profile/05114F/VA_San_Diego_Healthcare_System/San_Diego/California/" xr:uid="{9D27DFFF-11E4-3D4A-9154-38496C23D0B7}"/>
    <hyperlink ref="A329" r:id="rId328" display="https://www.ahd.com/free_profile/050767/Vacaville_Medical_Center/Vacaville/California/" xr:uid="{DFEBF32F-976E-F149-B453-6C3B07E5CDD3}"/>
    <hyperlink ref="A330" r:id="rId329" display="https://www.ahd.com/free_profile/050073/Vallejo_Hospital_%26_Medical_Offices/Vallejo/California/" xr:uid="{5767E07C-9985-074F-9786-AF9FD1B240B1}"/>
    <hyperlink ref="A331" r:id="rId330" display="https://www.ahd.com/free_profile/050126/Valley_Presbyterian_Hospital/Van_Nuys/California/" xr:uid="{BAFA25D9-38BC-B24B-9F17-0DE55B808EDE}"/>
    <hyperlink ref="A332" r:id="rId331" display="https://www.ahd.com/free_profile/050159/Ventura_County_Medical_Center/Ventura/California/" xr:uid="{EE0A2B9A-8D69-5D4A-BBD1-C5FAAA1FA0A5}"/>
    <hyperlink ref="A333" r:id="rId332" display="https://www.ahd.com/free_profile/050517/Victor_Valley_Global_Medical_Center/Victorville/California/" xr:uid="{985385D8-345C-9347-BA49-6BFEAEB16757}"/>
    <hyperlink ref="A334" r:id="rId333" display="https://www.ahd.com/free_profile/050072/Walnut_Creek_Medical_Center/Walnut_Creek/California/" xr:uid="{29A6C8FE-7D4E-1D41-8923-A57E40C557BA}"/>
    <hyperlink ref="A335" r:id="rId334" display="https://www.ahd.com/free_profile/050180/Walnut_Creek_Medical_Center_/Walnut_Creek/California/" xr:uid="{8E8823F6-6363-D74B-86F5-4616660F0B9D}"/>
    <hyperlink ref="A336" r:id="rId335" display="https://www.ahd.com/free_profile/050195/Washington_Hospital/Fremont/California/" xr:uid="{9FAC74B7-ED5B-D141-8764-800C1514BDC0}"/>
    <hyperlink ref="A337" r:id="rId336" display="https://www.ahd.com/free_profile/050194/Watsonville_Community_Hospital/Watsonville/California/" xr:uid="{FE4E1EC3-D051-8B47-9B47-6CA04EA4ED6C}"/>
    <hyperlink ref="A338" r:id="rId337" display="https://www.ahd.com/free_profile/I41006/Weed_Army_Community_Hospital/Fort_Irwin/California/" xr:uid="{07F1DC12-C39B-0A4B-8B4D-7560172312BA}"/>
    <hyperlink ref="A339" r:id="rId338" display="https://www.ahd.com/free_profile/050426/West_Anaheim_Medical_Center/Anaheim/California/" xr:uid="{1D89512A-58EE-FE43-B344-2054C295A9E5}"/>
    <hyperlink ref="A340" r:id="rId339" display="https://www.ahd.com/free_profile/050096/West_Covina_Medical_Center/West_Covina/California/" xr:uid="{E0167B53-3791-7A42-947F-996D0DDAE7B7}"/>
    <hyperlink ref="A341" r:id="rId340" display="https://www.ahd.com/free_profile/050481/West_Hills_Hospital_%26_Medical_Center/West_Hills/California/" xr:uid="{E68A4FD6-7F4C-464C-AD49-A4AF9AC7DFE0}"/>
    <hyperlink ref="A342" r:id="rId341" display="https://www.ahd.com/free_profile/050561/West_Los_Angeles_Medical_Center/Los_Angeles/California/" xr:uid="{2AA956C6-6B54-C549-A409-4D227D367C3D}"/>
    <hyperlink ref="A343" r:id="rId342" display="https://www.ahd.com/free_profile/050735/Whittier_Hospital_Medical_Center/Whittier/California/" xr:uid="{57138CB7-8A69-A849-9DBC-0B10A4E3D39C}"/>
    <hyperlink ref="A344" r:id="rId343" display="https://www.ahd.com/free_profile/050127/Woodland__Memorial_Hospital/Woodland/California/" xr:uid="{37680344-7F3B-A54C-A1BC-DAF2351BFDED}"/>
    <hyperlink ref="A345" r:id="rId344" display="https://www.ahd.com/free_profile/050228/Zuckerberg_San_Francisco_General_Hospital_and_Trauma_Center/San_Francisco/California/" xr:uid="{A6C5076E-3603-AE40-A523-B674A25E6165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B1057-0A68-524C-B78B-63EEB8277F35}">
  <sheetPr codeName="Sheet7"/>
  <dimension ref="A1:G57"/>
  <sheetViews>
    <sheetView workbookViewId="0">
      <selection activeCell="G2" sqref="G2:G56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984</v>
      </c>
      <c r="B2" s="2" t="s">
        <v>985</v>
      </c>
      <c r="C2" s="2">
        <v>0</v>
      </c>
      <c r="D2" s="2">
        <v>0</v>
      </c>
      <c r="E2" s="2">
        <v>0</v>
      </c>
      <c r="F2" s="4">
        <v>0</v>
      </c>
      <c r="G2" s="11" t="str" cm="1">
        <f t="array" aca="1" ref="G2" ca="1">IFERROR(VLOOKUP("*" &amp; B2  &amp; "*" &amp; (MID(CELL("filename",A1),FIND("]",CELL("filename",A1))+1,31)) &amp; "*",CHOOSE({1,2}, Super_CBSA!$B$2:$B$1917, Super_CBSA!$A$2:$A$1917), 2,FALSE), IFERROR(VLOOKUP(B2  &amp; "*",CHOOSE({1,2}, Super_CBSA!$E$2:$E$1917, Super_CBSA!$A$2:$A$1917), 2,FALSE), ""))</f>
        <v/>
      </c>
    </row>
    <row r="3" spans="1:7" ht="17">
      <c r="A3" s="1" t="s">
        <v>986</v>
      </c>
      <c r="B3" s="2" t="s">
        <v>987</v>
      </c>
      <c r="C3" s="2">
        <v>0</v>
      </c>
      <c r="D3" s="2">
        <v>0</v>
      </c>
      <c r="E3" s="2">
        <v>0</v>
      </c>
      <c r="F3" s="4">
        <v>0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"*",CHOOSE({1,2}, Super_CBSA!$E$2:$E$1917, Super_CBSA!$A$2:$A$1917), 2,FALSE), ""))</f>
        <v>19740</v>
      </c>
    </row>
    <row r="4" spans="1:7" ht="17">
      <c r="A4" s="1" t="s">
        <v>988</v>
      </c>
      <c r="B4" s="2" t="s">
        <v>989</v>
      </c>
      <c r="C4" s="2">
        <v>12</v>
      </c>
      <c r="D4" s="2">
        <v>505</v>
      </c>
      <c r="E4" s="2">
        <v>885</v>
      </c>
      <c r="F4" s="4">
        <v>104641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"*",CHOOSE({1,2}, Super_CBSA!$E$2:$E$1917, Super_CBSA!$A$2:$A$1917), 2,FALSE), ""))</f>
        <v>20420</v>
      </c>
    </row>
    <row r="5" spans="1:7" ht="17">
      <c r="A5" s="1" t="s">
        <v>990</v>
      </c>
      <c r="B5" s="2" t="s">
        <v>991</v>
      </c>
      <c r="C5" s="2">
        <v>108</v>
      </c>
      <c r="D5" s="3">
        <v>4716</v>
      </c>
      <c r="E5" s="3">
        <v>17618</v>
      </c>
      <c r="F5" s="4">
        <v>583612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"*",CHOOSE({1,2}, Super_CBSA!$E$2:$E$1917, Super_CBSA!$A$2:$A$1917), 2,FALSE), ""))</f>
        <v>31140</v>
      </c>
    </row>
    <row r="6" spans="1:7" ht="17">
      <c r="A6" s="1" t="s">
        <v>992</v>
      </c>
      <c r="B6" s="2" t="s">
        <v>993</v>
      </c>
      <c r="C6" s="2">
        <v>23</v>
      </c>
      <c r="D6" s="3">
        <v>1202</v>
      </c>
      <c r="E6" s="3">
        <v>3717</v>
      </c>
      <c r="F6" s="4">
        <v>95113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"*",CHOOSE({1,2}, Super_CBSA!$E$2:$E$1917, Super_CBSA!$A$2:$A$1917), 2,FALSE), ""))</f>
        <v>22660</v>
      </c>
    </row>
    <row r="7" spans="1:7" ht="17">
      <c r="A7" s="1" t="s">
        <v>994</v>
      </c>
      <c r="B7" s="2" t="s">
        <v>995</v>
      </c>
      <c r="C7" s="2">
        <v>53</v>
      </c>
      <c r="D7" s="3">
        <v>3677</v>
      </c>
      <c r="E7" s="3">
        <v>11906</v>
      </c>
      <c r="F7" s="4">
        <v>480089</v>
      </c>
      <c r="G7" s="11" t="str" cm="1">
        <f t="array" aca="1" ref="G7" ca="1">IFERROR(VLOOKUP("*" &amp; B7  &amp; "*" &amp; (MID(CELL("filename",A6),FIND("]",CELL("filename",A6))+1,31)) &amp; "*",CHOOSE({1,2}, Super_CBSA!$B$2:$B$1917, Super_CBSA!$A$2:$A$1917), 2,FALSE), IFERROR(VLOOKUP(B7  &amp; "*",CHOOSE({1,2}, Super_CBSA!$E$2:$E$1917, Super_CBSA!$A$2:$A$1917), 2,FALSE), ""))</f>
        <v/>
      </c>
    </row>
    <row r="8" spans="1:7" ht="17">
      <c r="A8" s="1" t="s">
        <v>996</v>
      </c>
      <c r="B8" s="2" t="s">
        <v>997</v>
      </c>
      <c r="C8" s="2">
        <v>50</v>
      </c>
      <c r="D8" s="2">
        <v>950</v>
      </c>
      <c r="E8" s="3">
        <v>2377</v>
      </c>
      <c r="F8" s="4">
        <v>148073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"*",CHOOSE({1,2}, Super_CBSA!$E$2:$E$1917, Super_CBSA!$A$2:$A$1917), 2,FALSE), ""))</f>
        <v>22820</v>
      </c>
    </row>
    <row r="9" spans="1:7" ht="17">
      <c r="A9" s="1" t="s">
        <v>105</v>
      </c>
      <c r="B9" s="2" t="s">
        <v>998</v>
      </c>
      <c r="C9" s="2">
        <v>53</v>
      </c>
      <c r="D9" s="3">
        <v>2777</v>
      </c>
      <c r="E9" s="3">
        <v>6905</v>
      </c>
      <c r="F9" s="4">
        <v>409023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"*",CHOOSE({1,2}, Super_CBSA!$E$2:$E$1917, Super_CBSA!$A$2:$A$1917), 2,FALSE), ""))</f>
        <v>24300</v>
      </c>
    </row>
    <row r="10" spans="1:7" ht="17">
      <c r="A10" s="1" t="s">
        <v>999</v>
      </c>
      <c r="B10" s="2" t="s">
        <v>1000</v>
      </c>
      <c r="C10" s="2">
        <v>49</v>
      </c>
      <c r="D10" s="3">
        <v>1586</v>
      </c>
      <c r="E10" s="3">
        <v>5150</v>
      </c>
      <c r="F10" s="4">
        <v>191804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"*",CHOOSE({1,2}, Super_CBSA!$E$2:$E$1917, Super_CBSA!$A$2:$A$1917), 2,FALSE), ""))</f>
        <v>21540</v>
      </c>
    </row>
    <row r="11" spans="1:7" ht="17">
      <c r="A11" s="1" t="s">
        <v>1001</v>
      </c>
      <c r="B11" s="2" t="s">
        <v>1002</v>
      </c>
      <c r="C11" s="2">
        <v>453</v>
      </c>
      <c r="D11" s="3">
        <v>17751</v>
      </c>
      <c r="E11" s="3">
        <v>95409</v>
      </c>
      <c r="F11" s="4">
        <v>2423196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"*",CHOOSE({1,2}, Super_CBSA!$E$2:$E$1917, Super_CBSA!$A$2:$A$1917), 2,FALSE), ""))</f>
        <v>19740</v>
      </c>
    </row>
    <row r="12" spans="1:7" ht="17">
      <c r="A12" s="1" t="s">
        <v>1003</v>
      </c>
      <c r="B12" s="2" t="s">
        <v>1004</v>
      </c>
      <c r="C12" s="2">
        <v>168</v>
      </c>
      <c r="D12" s="3">
        <v>7637</v>
      </c>
      <c r="E12" s="3">
        <v>27028</v>
      </c>
      <c r="F12" s="4">
        <v>1628397</v>
      </c>
      <c r="G12" s="11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"*",CHOOSE({1,2}, Super_CBSA!$E$2:$E$1917, Super_CBSA!$A$2:$A$1917), 2,FALSE), ""))</f>
        <v>14500</v>
      </c>
    </row>
    <row r="13" spans="1:7" ht="17">
      <c r="A13" s="1" t="s">
        <v>1005</v>
      </c>
      <c r="B13" s="2" t="s">
        <v>1006</v>
      </c>
      <c r="C13" s="2">
        <v>183</v>
      </c>
      <c r="D13" s="3">
        <v>12173</v>
      </c>
      <c r="E13" s="3">
        <v>49927</v>
      </c>
      <c r="F13" s="4">
        <v>1491696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"*",CHOOSE({1,2}, Super_CBSA!$E$2:$E$1917, Super_CBSA!$A$2:$A$1917), 2,FALSE), ""))</f>
        <v>28140</v>
      </c>
    </row>
    <row r="14" spans="1:7" ht="17">
      <c r="A14" s="1" t="s">
        <v>1007</v>
      </c>
      <c r="B14" s="2" t="s">
        <v>1008</v>
      </c>
      <c r="C14" s="2">
        <v>176</v>
      </c>
      <c r="D14" s="3">
        <v>9833</v>
      </c>
      <c r="E14" s="3">
        <v>40909</v>
      </c>
      <c r="F14" s="4">
        <v>1441316</v>
      </c>
      <c r="G14" s="11" t="str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"*",CHOOSE({1,2}, Super_CBSA!$E$2:$E$1917, Super_CBSA!$A$2:$A$1917), 2,FALSE), ""))</f>
        <v/>
      </c>
    </row>
    <row r="15" spans="1:7" ht="17">
      <c r="A15" s="1" t="s">
        <v>1009</v>
      </c>
      <c r="B15" s="2" t="s">
        <v>1010</v>
      </c>
      <c r="C15" s="2">
        <v>131</v>
      </c>
      <c r="D15" s="3">
        <v>4621</v>
      </c>
      <c r="E15" s="3">
        <v>19426</v>
      </c>
      <c r="F15" s="4">
        <v>636732</v>
      </c>
      <c r="G15" s="11" t="str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"*",CHOOSE({1,2}, Super_CBSA!$E$2:$E$1917, Super_CBSA!$A$2:$A$1917), 2,FALSE), ""))</f>
        <v/>
      </c>
    </row>
    <row r="16" spans="1:7" ht="17">
      <c r="A16" s="1" t="s">
        <v>1011</v>
      </c>
      <c r="B16" s="2" t="s">
        <v>1012</v>
      </c>
      <c r="C16" s="2">
        <v>282</v>
      </c>
      <c r="D16" s="3">
        <v>11169</v>
      </c>
      <c r="E16" s="3">
        <v>47134</v>
      </c>
      <c r="F16" s="4">
        <v>1766450</v>
      </c>
      <c r="G16" s="11" t="str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"*",CHOOSE({1,2}, Super_CBSA!$E$2:$E$1917, Super_CBSA!$A$2:$A$1917), 2,FALSE), ""))</f>
        <v/>
      </c>
    </row>
    <row r="17" spans="1:7" ht="17">
      <c r="A17" s="1" t="s">
        <v>1013</v>
      </c>
      <c r="B17" s="2" t="s">
        <v>1014</v>
      </c>
      <c r="C17" s="2">
        <v>115</v>
      </c>
      <c r="D17" s="3">
        <v>3057</v>
      </c>
      <c r="E17" s="3">
        <v>10734</v>
      </c>
      <c r="F17" s="4">
        <v>382255</v>
      </c>
      <c r="G17" s="11" t="str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"*",CHOOSE({1,2}, Super_CBSA!$E$2:$E$1917, Super_CBSA!$A$2:$A$1917), 2,FALSE), ""))</f>
        <v/>
      </c>
    </row>
    <row r="18" spans="1:7" ht="17">
      <c r="A18" s="1" t="s">
        <v>1015</v>
      </c>
      <c r="B18" s="2" t="s">
        <v>989</v>
      </c>
      <c r="C18" s="2">
        <v>82</v>
      </c>
      <c r="D18" s="3">
        <v>4296</v>
      </c>
      <c r="E18" s="3">
        <v>14998</v>
      </c>
      <c r="F18" s="4">
        <v>724114</v>
      </c>
      <c r="G18" s="11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"*",CHOOSE({1,2}, Super_CBSA!$E$2:$E$1917, Super_CBSA!$A$2:$A$1917), 2,FALSE), ""))</f>
        <v>20420</v>
      </c>
    </row>
    <row r="19" spans="1:7" ht="17">
      <c r="A19" s="1" t="s">
        <v>1016</v>
      </c>
      <c r="B19" s="2" t="s">
        <v>1017</v>
      </c>
      <c r="C19" s="2">
        <v>60</v>
      </c>
      <c r="D19" s="3">
        <v>3031</v>
      </c>
      <c r="E19" s="3">
        <v>7382</v>
      </c>
      <c r="F19" s="4">
        <v>285694</v>
      </c>
      <c r="G19" s="11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"*",CHOOSE({1,2}, Super_CBSA!$E$2:$E$1917, Super_CBSA!$A$2:$A$1917), 2,FALSE), ""))</f>
        <v>33940</v>
      </c>
    </row>
    <row r="20" spans="1:7" ht="17">
      <c r="A20" s="1" t="s">
        <v>1018</v>
      </c>
      <c r="B20" s="2" t="s">
        <v>1002</v>
      </c>
      <c r="C20" s="2">
        <v>24</v>
      </c>
      <c r="D20" s="2">
        <v>50</v>
      </c>
      <c r="E20" s="2">
        <v>187</v>
      </c>
      <c r="F20" s="4">
        <v>254724</v>
      </c>
      <c r="G20" s="11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"*",CHOOSE({1,2}, Super_CBSA!$E$2:$E$1917, Super_CBSA!$A$2:$A$1917), 2,FALSE), ""))</f>
        <v>19740</v>
      </c>
    </row>
    <row r="21" spans="1:7" ht="17">
      <c r="A21" s="1" t="s">
        <v>1019</v>
      </c>
      <c r="B21" s="2" t="s">
        <v>1020</v>
      </c>
      <c r="C21" s="2">
        <v>225</v>
      </c>
      <c r="D21" s="3">
        <v>10375</v>
      </c>
      <c r="E21" s="3">
        <v>47757</v>
      </c>
      <c r="F21" s="4">
        <v>1129073</v>
      </c>
      <c r="G21" s="11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"*",CHOOSE({1,2}, Super_CBSA!$E$2:$E$1917, Super_CBSA!$A$2:$A$1917), 2,FALSE), ""))</f>
        <v>24540</v>
      </c>
    </row>
    <row r="22" spans="1:7" ht="17">
      <c r="A22" s="1" t="s">
        <v>1021</v>
      </c>
      <c r="B22" s="2" t="s">
        <v>1022</v>
      </c>
      <c r="C22" s="2">
        <v>127</v>
      </c>
      <c r="D22" s="3">
        <v>7623</v>
      </c>
      <c r="E22" s="3">
        <v>29693</v>
      </c>
      <c r="F22" s="4">
        <v>1575975</v>
      </c>
      <c r="G22" s="11" t="str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"*",CHOOSE({1,2}, Super_CBSA!$E$2:$E$1917, Super_CBSA!$A$2:$A$1917), 2,FALSE), ""))</f>
        <v/>
      </c>
    </row>
    <row r="23" spans="1:7" ht="17">
      <c r="A23" s="1" t="s">
        <v>1023</v>
      </c>
      <c r="B23" s="2" t="s">
        <v>652</v>
      </c>
      <c r="C23" s="2">
        <v>48</v>
      </c>
      <c r="D23" s="3">
        <v>2889</v>
      </c>
      <c r="E23" s="3">
        <v>5398</v>
      </c>
      <c r="F23" s="4">
        <v>372379</v>
      </c>
      <c r="G23" s="11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"*",CHOOSE({1,2}, Super_CBSA!$E$2:$E$1917, Super_CBSA!$A$2:$A$1917), 2,FALSE), ""))</f>
        <v>19740</v>
      </c>
    </row>
    <row r="24" spans="1:7" ht="17">
      <c r="A24" s="1" t="s">
        <v>1024</v>
      </c>
      <c r="B24" s="2" t="s">
        <v>1025</v>
      </c>
      <c r="C24" s="2">
        <v>165</v>
      </c>
      <c r="D24" s="3">
        <v>8362</v>
      </c>
      <c r="E24" s="3">
        <v>31359</v>
      </c>
      <c r="F24" s="4">
        <v>1264916</v>
      </c>
      <c r="G24" s="11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"*",CHOOSE({1,2}, Super_CBSA!$E$2:$E$1917, Super_CBSA!$A$2:$A$1917), 2,FALSE), ""))</f>
        <v>19100</v>
      </c>
    </row>
    <row r="25" spans="1:7" ht="17">
      <c r="A25" s="1" t="s">
        <v>1026</v>
      </c>
      <c r="B25" s="2" t="s">
        <v>1027</v>
      </c>
      <c r="C25" s="2">
        <v>326</v>
      </c>
      <c r="D25" s="3">
        <v>13976</v>
      </c>
      <c r="E25" s="3">
        <v>65825</v>
      </c>
      <c r="F25" s="4">
        <v>2091596</v>
      </c>
      <c r="G25" s="11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"*",CHOOSE({1,2}, Super_CBSA!$E$2:$E$1917, Super_CBSA!$A$2:$A$1917), 2,FALSE), ""))</f>
        <v>39380</v>
      </c>
    </row>
    <row r="26" spans="1:7" ht="17">
      <c r="A26" s="1" t="s">
        <v>1028</v>
      </c>
      <c r="B26" s="2" t="s">
        <v>1029</v>
      </c>
      <c r="C26" s="2">
        <v>468</v>
      </c>
      <c r="D26" s="3">
        <v>24836</v>
      </c>
      <c r="E26" s="3">
        <v>99678</v>
      </c>
      <c r="F26" s="4">
        <v>3377956</v>
      </c>
      <c r="G26" s="11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"*",CHOOSE({1,2}, Super_CBSA!$E$2:$E$1917, Super_CBSA!$A$2:$A$1917), 2,FALSE), ""))</f>
        <v>17820</v>
      </c>
    </row>
    <row r="27" spans="1:7" ht="17">
      <c r="A27" s="1" t="s">
        <v>1030</v>
      </c>
      <c r="B27" s="2" t="s">
        <v>1031</v>
      </c>
      <c r="C27" s="2">
        <v>89</v>
      </c>
      <c r="D27" s="3">
        <v>3063</v>
      </c>
      <c r="E27" s="3">
        <v>11541</v>
      </c>
      <c r="F27" s="4">
        <v>375626</v>
      </c>
      <c r="G27" s="11" t="str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"*",CHOOSE({1,2}, Super_CBSA!$E$2:$E$1917, Super_CBSA!$A$2:$A$1917), 2,FALSE), ""))</f>
        <v/>
      </c>
    </row>
    <row r="28" spans="1:7" ht="17">
      <c r="A28" s="1" t="s">
        <v>1032</v>
      </c>
      <c r="B28" s="2" t="s">
        <v>1002</v>
      </c>
      <c r="C28" s="2">
        <v>233</v>
      </c>
      <c r="D28" s="3">
        <v>7686</v>
      </c>
      <c r="E28" s="3">
        <v>32923</v>
      </c>
      <c r="F28" s="4">
        <v>1390232</v>
      </c>
      <c r="G28" s="11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"*",CHOOSE({1,2}, Super_CBSA!$E$2:$E$1917, Super_CBSA!$A$2:$A$1917), 2,FALSE), ""))</f>
        <v>19740</v>
      </c>
    </row>
    <row r="29" spans="1:7" ht="17">
      <c r="A29" s="1" t="s">
        <v>1033</v>
      </c>
      <c r="B29" s="2" t="s">
        <v>1002</v>
      </c>
      <c r="C29" s="2">
        <v>307</v>
      </c>
      <c r="D29" s="3">
        <v>10706</v>
      </c>
      <c r="E29" s="3">
        <v>83072</v>
      </c>
      <c r="F29" s="4">
        <v>3420753</v>
      </c>
      <c r="G29" s="11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"*",CHOOSE({1,2}, Super_CBSA!$E$2:$E$1917, Super_CBSA!$A$2:$A$1917), 2,FALSE), ""))</f>
        <v>19740</v>
      </c>
    </row>
    <row r="30" spans="1:7" ht="17">
      <c r="A30" s="1" t="s">
        <v>1034</v>
      </c>
      <c r="B30" s="2" t="s">
        <v>1035</v>
      </c>
      <c r="C30" s="2">
        <v>49</v>
      </c>
      <c r="D30" s="3">
        <v>1926</v>
      </c>
      <c r="E30" s="3">
        <v>7413</v>
      </c>
      <c r="F30" s="4">
        <v>204215</v>
      </c>
      <c r="G30" s="11" t="str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"*",CHOOSE({1,2}, Super_CBSA!$E$2:$E$1917, Super_CBSA!$A$2:$A$1917), 2,FALSE), ""))</f>
        <v/>
      </c>
    </row>
    <row r="31" spans="1:7" ht="17">
      <c r="A31" s="1" t="s">
        <v>1036</v>
      </c>
      <c r="B31" s="2" t="s">
        <v>1002</v>
      </c>
      <c r="C31" s="2">
        <v>226</v>
      </c>
      <c r="D31" s="3">
        <v>11221</v>
      </c>
      <c r="E31" s="3">
        <v>48255</v>
      </c>
      <c r="F31" s="4">
        <v>2189731</v>
      </c>
      <c r="G31" s="11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"*",CHOOSE({1,2}, Super_CBSA!$E$2:$E$1917, Super_CBSA!$A$2:$A$1917), 2,FALSE), ""))</f>
        <v>19740</v>
      </c>
    </row>
    <row r="32" spans="1:7" ht="17">
      <c r="A32" s="1" t="s">
        <v>1037</v>
      </c>
      <c r="B32" s="2" t="s">
        <v>652</v>
      </c>
      <c r="C32" s="2">
        <v>237</v>
      </c>
      <c r="D32" s="3">
        <v>11621</v>
      </c>
      <c r="E32" s="3">
        <v>56073</v>
      </c>
      <c r="F32" s="4">
        <v>1965749</v>
      </c>
      <c r="G32" s="11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"*",CHOOSE({1,2}, Super_CBSA!$E$2:$E$1917, Super_CBSA!$A$2:$A$1917), 2,FALSE), ""))</f>
        <v>19740</v>
      </c>
    </row>
    <row r="33" spans="1:7" ht="17">
      <c r="A33" s="1" t="s">
        <v>1038</v>
      </c>
      <c r="B33" s="2" t="s">
        <v>1039</v>
      </c>
      <c r="C33" s="2">
        <v>92</v>
      </c>
      <c r="D33" s="3">
        <v>5982</v>
      </c>
      <c r="E33" s="3">
        <v>20389</v>
      </c>
      <c r="F33" s="4">
        <v>946287</v>
      </c>
      <c r="G33" s="11" t="str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"*",CHOOSE({1,2}, Super_CBSA!$E$2:$E$1917, Super_CBSA!$A$2:$A$1917), 2,FALSE), ""))</f>
        <v/>
      </c>
    </row>
    <row r="34" spans="1:7" ht="17">
      <c r="A34" s="1" t="s">
        <v>1040</v>
      </c>
      <c r="B34" s="2" t="s">
        <v>1041</v>
      </c>
      <c r="C34" s="2">
        <v>34</v>
      </c>
      <c r="D34" s="3">
        <v>1286</v>
      </c>
      <c r="E34" s="3">
        <v>3824</v>
      </c>
      <c r="F34" s="4">
        <v>293823</v>
      </c>
      <c r="G34" s="11" t="str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"*",CHOOSE({1,2}, Super_CBSA!$E$2:$E$1917, Super_CBSA!$A$2:$A$1917), 2,FALSE), ""))</f>
        <v/>
      </c>
    </row>
    <row r="35" spans="1:7" ht="17">
      <c r="A35" s="1" t="s">
        <v>817</v>
      </c>
      <c r="B35" s="2" t="s">
        <v>1029</v>
      </c>
      <c r="C35" s="2">
        <v>0</v>
      </c>
      <c r="D35" s="2">
        <v>0</v>
      </c>
      <c r="E35" s="2">
        <v>0</v>
      </c>
      <c r="F35" s="4">
        <v>0</v>
      </c>
      <c r="G35" s="11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"*",CHOOSE({1,2}, Super_CBSA!$E$2:$E$1917, Super_CBSA!$A$2:$A$1917), 2,FALSE), ""))</f>
        <v>17820</v>
      </c>
    </row>
    <row r="36" spans="1:7" ht="17">
      <c r="A36" s="1" t="s">
        <v>1042</v>
      </c>
      <c r="B36" s="2" t="s">
        <v>1002</v>
      </c>
      <c r="C36" s="2">
        <v>361</v>
      </c>
      <c r="D36" s="3">
        <v>18901</v>
      </c>
      <c r="E36" s="3">
        <v>91305</v>
      </c>
      <c r="F36" s="4">
        <v>2515305</v>
      </c>
      <c r="G36" s="11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"*",CHOOSE({1,2}, Super_CBSA!$E$2:$E$1917, Super_CBSA!$A$2:$A$1917), 2,FALSE), ""))</f>
        <v>19740</v>
      </c>
    </row>
    <row r="37" spans="1:7" ht="17">
      <c r="A37" s="1" t="s">
        <v>1043</v>
      </c>
      <c r="B37" s="2" t="s">
        <v>998</v>
      </c>
      <c r="C37" s="2">
        <v>281</v>
      </c>
      <c r="D37" s="3">
        <v>15864</v>
      </c>
      <c r="E37" s="3">
        <v>53745</v>
      </c>
      <c r="F37" s="4">
        <v>1336003</v>
      </c>
      <c r="G37" s="11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"*",CHOOSE({1,2}, Super_CBSA!$E$2:$E$1917, Super_CBSA!$A$2:$A$1917), 2,FALSE), ""))</f>
        <v>24300</v>
      </c>
    </row>
    <row r="38" spans="1:7" ht="17">
      <c r="A38" s="1" t="s">
        <v>1044</v>
      </c>
      <c r="B38" s="2" t="s">
        <v>1027</v>
      </c>
      <c r="C38" s="2">
        <v>42</v>
      </c>
      <c r="D38" s="3">
        <v>2027</v>
      </c>
      <c r="E38" s="3">
        <v>8032</v>
      </c>
      <c r="F38" s="4">
        <v>653097</v>
      </c>
      <c r="G38" s="11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"*",CHOOSE({1,2}, Super_CBSA!$E$2:$E$1917, Super_CBSA!$A$2:$A$1917), 2,FALSE), ""))</f>
        <v>39380</v>
      </c>
    </row>
    <row r="39" spans="1:7" ht="17">
      <c r="A39" s="1" t="s">
        <v>1045</v>
      </c>
      <c r="B39" s="2" t="s">
        <v>1046</v>
      </c>
      <c r="C39" s="2">
        <v>272</v>
      </c>
      <c r="D39" s="3">
        <v>16241</v>
      </c>
      <c r="E39" s="3">
        <v>58257</v>
      </c>
      <c r="F39" s="4">
        <v>3546303</v>
      </c>
      <c r="G39" s="11" t="str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"*",CHOOSE({1,2}, Super_CBSA!$E$2:$E$1917, Super_CBSA!$A$2:$A$1917), 2,FALSE), ""))</f>
        <v/>
      </c>
    </row>
    <row r="40" spans="1:7" ht="17">
      <c r="A40" s="1" t="s">
        <v>1047</v>
      </c>
      <c r="B40" s="2" t="s">
        <v>1048</v>
      </c>
      <c r="C40" s="2">
        <v>25</v>
      </c>
      <c r="D40" s="3">
        <v>1100</v>
      </c>
      <c r="E40" s="3">
        <v>3298</v>
      </c>
      <c r="F40" s="4">
        <v>119469</v>
      </c>
      <c r="G40" s="11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"*",CHOOSE({1,2}, Super_CBSA!$E$2:$E$1917, Super_CBSA!$A$2:$A$1917), 2,FALSE), ""))</f>
        <v>44540</v>
      </c>
    </row>
    <row r="41" spans="1:7" ht="17">
      <c r="A41" s="1" t="s">
        <v>1049</v>
      </c>
      <c r="B41" s="2" t="s">
        <v>1050</v>
      </c>
      <c r="C41" s="2">
        <v>348</v>
      </c>
      <c r="D41" s="3">
        <v>19362</v>
      </c>
      <c r="E41" s="3">
        <v>94778</v>
      </c>
      <c r="F41" s="4">
        <v>4704434</v>
      </c>
      <c r="G41" s="11" t="str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"*",CHOOSE({1,2}, Super_CBSA!$E$2:$E$1917, Super_CBSA!$A$2:$A$1917), 2,FALSE), ""))</f>
        <v/>
      </c>
    </row>
    <row r="42" spans="1:7" ht="17">
      <c r="A42" s="1" t="s">
        <v>1051</v>
      </c>
      <c r="B42" s="2" t="s">
        <v>987</v>
      </c>
      <c r="C42" s="2">
        <v>329</v>
      </c>
      <c r="D42" s="3">
        <v>16424</v>
      </c>
      <c r="E42" s="3">
        <v>78676</v>
      </c>
      <c r="F42" s="4">
        <v>2959834</v>
      </c>
      <c r="G42" s="11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"*",CHOOSE({1,2}, Super_CBSA!$E$2:$E$1917, Super_CBSA!$A$2:$A$1917), 2,FALSE), ""))</f>
        <v>19740</v>
      </c>
    </row>
    <row r="43" spans="1:7" ht="17">
      <c r="A43" s="1" t="s">
        <v>1052</v>
      </c>
      <c r="B43" s="2" t="s">
        <v>1053</v>
      </c>
      <c r="C43" s="2">
        <v>22</v>
      </c>
      <c r="D43" s="2">
        <v>280</v>
      </c>
      <c r="E43" s="3">
        <v>2304</v>
      </c>
      <c r="F43" s="4">
        <v>88158</v>
      </c>
      <c r="G43" s="11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"*",CHOOSE({1,2}, Super_CBSA!$E$2:$E$1917, Super_CBSA!$A$2:$A$1917), 2,FALSE), ""))</f>
        <v>19740</v>
      </c>
    </row>
    <row r="44" spans="1:7" ht="17">
      <c r="A44" s="1" t="s">
        <v>1054</v>
      </c>
      <c r="B44" s="2" t="s">
        <v>1029</v>
      </c>
      <c r="C44" s="2">
        <v>22</v>
      </c>
      <c r="D44" s="2">
        <v>890</v>
      </c>
      <c r="E44" s="3">
        <v>1970</v>
      </c>
      <c r="F44" s="4">
        <v>150909</v>
      </c>
      <c r="G44" s="11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"*",CHOOSE({1,2}, Super_CBSA!$E$2:$E$1917, Super_CBSA!$A$2:$A$1917), 2,FALSE), ""))</f>
        <v>17820</v>
      </c>
    </row>
    <row r="45" spans="1:7" ht="17">
      <c r="A45" s="1" t="s">
        <v>1055</v>
      </c>
      <c r="B45" s="2" t="s">
        <v>1020</v>
      </c>
      <c r="C45" s="2">
        <v>0</v>
      </c>
      <c r="D45" s="2">
        <v>0</v>
      </c>
      <c r="E45" s="2">
        <v>0</v>
      </c>
      <c r="F45" s="4">
        <v>0</v>
      </c>
      <c r="G45" s="11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"*",CHOOSE({1,2}, Super_CBSA!$E$2:$E$1917, Super_CBSA!$A$2:$A$1917), 2,FALSE), ""))</f>
        <v>24540</v>
      </c>
    </row>
    <row r="46" spans="1:7" ht="17">
      <c r="A46" s="1" t="s">
        <v>1056</v>
      </c>
      <c r="B46" s="2" t="s">
        <v>1057</v>
      </c>
      <c r="C46" s="2">
        <v>0</v>
      </c>
      <c r="D46" s="2">
        <v>0</v>
      </c>
      <c r="E46" s="2">
        <v>0</v>
      </c>
      <c r="F46" s="4">
        <v>0</v>
      </c>
      <c r="G46" s="11" t="str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"*",CHOOSE({1,2}, Super_CBSA!$E$2:$E$1917, Super_CBSA!$A$2:$A$1917), 2,FALSE), ""))</f>
        <v/>
      </c>
    </row>
    <row r="47" spans="1:7" ht="17">
      <c r="A47" s="1" t="s">
        <v>1058</v>
      </c>
      <c r="B47" s="2" t="s">
        <v>1010</v>
      </c>
      <c r="C47" s="2">
        <v>50</v>
      </c>
      <c r="D47" s="3">
        <v>2011</v>
      </c>
      <c r="E47" s="3">
        <v>10533</v>
      </c>
      <c r="F47" s="4">
        <v>385222</v>
      </c>
      <c r="G47" s="11" t="str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"*",CHOOSE({1,2}, Super_CBSA!$E$2:$E$1917, Super_CBSA!$A$2:$A$1917), 2,FALSE), ""))</f>
        <v/>
      </c>
    </row>
    <row r="48" spans="1:7" ht="17">
      <c r="A48" s="1" t="s">
        <v>1059</v>
      </c>
      <c r="B48" s="2" t="s">
        <v>1014</v>
      </c>
      <c r="C48" s="2">
        <v>174</v>
      </c>
      <c r="D48" s="3">
        <v>12220</v>
      </c>
      <c r="E48" s="3">
        <v>52016</v>
      </c>
      <c r="F48" s="4">
        <v>1632957</v>
      </c>
      <c r="G48" s="11" t="str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"*",CHOOSE({1,2}, Super_CBSA!$E$2:$E$1917, Super_CBSA!$A$2:$A$1917), 2,FALSE), ""))</f>
        <v/>
      </c>
    </row>
    <row r="49" spans="1:7" ht="17">
      <c r="A49" s="1" t="s">
        <v>1060</v>
      </c>
      <c r="B49" s="2" t="s">
        <v>1029</v>
      </c>
      <c r="C49" s="2">
        <v>537</v>
      </c>
      <c r="D49" s="3">
        <v>25575</v>
      </c>
      <c r="E49" s="3">
        <v>124771</v>
      </c>
      <c r="F49" s="4">
        <v>4079635</v>
      </c>
      <c r="G49" s="11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"*",CHOOSE({1,2}, Super_CBSA!$E$2:$E$1917, Super_CBSA!$A$2:$A$1917), 2,FALSE), ""))</f>
        <v>17820</v>
      </c>
    </row>
    <row r="50" spans="1:7" ht="17">
      <c r="A50" s="1" t="s">
        <v>1061</v>
      </c>
      <c r="B50" s="2" t="s">
        <v>1029</v>
      </c>
      <c r="C50" s="2">
        <v>0</v>
      </c>
      <c r="D50" s="2">
        <v>0</v>
      </c>
      <c r="E50" s="2">
        <v>0</v>
      </c>
      <c r="F50" s="4">
        <v>0</v>
      </c>
      <c r="G50" s="11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"*",CHOOSE({1,2}, Super_CBSA!$E$2:$E$1917, Super_CBSA!$A$2:$A$1917), 2,FALSE), ""))</f>
        <v>17820</v>
      </c>
    </row>
    <row r="51" spans="1:7" ht="17">
      <c r="A51" s="1" t="s">
        <v>1062</v>
      </c>
      <c r="B51" s="2" t="s">
        <v>993</v>
      </c>
      <c r="C51" s="2">
        <v>280</v>
      </c>
      <c r="D51" s="3">
        <v>12300</v>
      </c>
      <c r="E51" s="3">
        <v>52587</v>
      </c>
      <c r="F51" s="4">
        <v>1837750</v>
      </c>
      <c r="G51" s="11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"*",CHOOSE({1,2}, Super_CBSA!$E$2:$E$1917, Super_CBSA!$A$2:$A$1917), 2,FALSE), ""))</f>
        <v>22660</v>
      </c>
    </row>
    <row r="52" spans="1:7" ht="17">
      <c r="A52" s="1" t="s">
        <v>1063</v>
      </c>
      <c r="B52" s="2" t="s">
        <v>987</v>
      </c>
      <c r="C52" s="2">
        <v>662</v>
      </c>
      <c r="D52" s="3">
        <v>34516</v>
      </c>
      <c r="E52" s="3">
        <v>195282</v>
      </c>
      <c r="F52" s="4">
        <v>8959464</v>
      </c>
      <c r="G52" s="11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"*",CHOOSE({1,2}, Super_CBSA!$E$2:$E$1917, Super_CBSA!$A$2:$A$1917), 2,FALSE), ""))</f>
        <v>19740</v>
      </c>
    </row>
    <row r="53" spans="1:7" ht="17">
      <c r="A53" s="1" t="s">
        <v>1064</v>
      </c>
      <c r="B53" s="2" t="s">
        <v>1065</v>
      </c>
      <c r="C53" s="2">
        <v>39</v>
      </c>
      <c r="D53" s="3">
        <v>1334</v>
      </c>
      <c r="E53" s="3">
        <v>3686</v>
      </c>
      <c r="F53" s="4">
        <v>164614</v>
      </c>
      <c r="G53" s="11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"*",CHOOSE({1,2}, Super_CBSA!$E$2:$E$1917, Super_CBSA!$A$2:$A$1917), 2,FALSE), ""))</f>
        <v>44460</v>
      </c>
    </row>
    <row r="54" spans="1:7" ht="17">
      <c r="A54" s="1" t="s">
        <v>1066</v>
      </c>
      <c r="B54" s="2" t="s">
        <v>998</v>
      </c>
      <c r="C54" s="2">
        <v>0</v>
      </c>
      <c r="D54" s="2">
        <v>0</v>
      </c>
      <c r="E54" s="2">
        <v>0</v>
      </c>
      <c r="F54" s="4">
        <v>0</v>
      </c>
      <c r="G54" s="11" cm="1">
        <f t="array" aca="1" ref="G54" ca="1">IFERROR(VLOOKUP("*" &amp; B54  &amp; "*" &amp; (MID(CELL("filename",A53),FIND("]",CELL("filename",A53))+1,31)) &amp; "*",CHOOSE({1,2}, Super_CBSA!$B$2:$B$1917, Super_CBSA!$A$2:$A$1917), 2,FALSE), IFERROR(VLOOKUP(B54  &amp; "*",CHOOSE({1,2}, Super_CBSA!$E$2:$E$1917, Super_CBSA!$A$2:$A$1917), 2,FALSE), ""))</f>
        <v>24300</v>
      </c>
    </row>
    <row r="55" spans="1:7" ht="17">
      <c r="A55" s="1" t="s">
        <v>1067</v>
      </c>
      <c r="B55" s="2" t="s">
        <v>1068</v>
      </c>
      <c r="C55" s="2">
        <v>56</v>
      </c>
      <c r="D55" s="3">
        <v>2077</v>
      </c>
      <c r="E55" s="3">
        <v>6143</v>
      </c>
      <c r="F55" s="4">
        <v>291972</v>
      </c>
      <c r="G55" s="11" t="str" cm="1">
        <f t="array" aca="1" ref="G55" ca="1">IFERROR(VLOOKUP("*" &amp; B55  &amp; "*" &amp; (MID(CELL("filename",A54),FIND("]",CELL("filename",A54))+1,31)) &amp; "*",CHOOSE({1,2}, Super_CBSA!$B$2:$B$1917, Super_CBSA!$A$2:$A$1917), 2,FALSE), IFERROR(VLOOKUP(B55  &amp; "*",CHOOSE({1,2}, Super_CBSA!$E$2:$E$1917, Super_CBSA!$A$2:$A$1917), 2,FALSE), ""))</f>
        <v/>
      </c>
    </row>
    <row r="56" spans="1:7" ht="17">
      <c r="A56" s="1" t="s">
        <v>1069</v>
      </c>
      <c r="B56" s="2" t="s">
        <v>1070</v>
      </c>
      <c r="C56" s="2">
        <v>41</v>
      </c>
      <c r="D56" s="3">
        <v>3028</v>
      </c>
      <c r="E56" s="3">
        <v>13232</v>
      </c>
      <c r="F56" s="4">
        <v>463048</v>
      </c>
      <c r="G56" s="11" cm="1">
        <f t="array" aca="1" ref="G56" ca="1">IFERROR(VLOOKUP("*" &amp; B56  &amp; "*" &amp; (MID(CELL("filename",A55),FIND("]",CELL("filename",A55))+1,31)) &amp; "*",CHOOSE({1,2}, Super_CBSA!$B$2:$B$1917, Super_CBSA!$A$2:$A$1917), 2,FALSE), IFERROR(VLOOKUP(B56  &amp; "*",CHOOSE({1,2}, Super_CBSA!$E$2:$E$1917, Super_CBSA!$A$2:$A$1917), 2,FALSE), ""))</f>
        <v>24060</v>
      </c>
    </row>
    <row r="57" spans="1:7" ht="17">
      <c r="A57" s="2" t="s">
        <v>56</v>
      </c>
      <c r="B57" s="2"/>
      <c r="C57" s="3">
        <v>8189</v>
      </c>
      <c r="D57" s="3">
        <v>394733</v>
      </c>
      <c r="E57" s="3">
        <v>1755507</v>
      </c>
      <c r="F57" s="4">
        <v>67533414</v>
      </c>
    </row>
  </sheetData>
  <hyperlinks>
    <hyperlink ref="A2" r:id="rId1" display="https://www.ahd.com/free_profile/06003F/_Evans_United_States_Army_Hospital/Fort_Carson/Colorado/" xr:uid="{4E7A33DF-984E-D441-9496-473FA93E9A73}"/>
    <hyperlink ref="A3" r:id="rId2" display="https://www.ahd.com/free_profile/06005F/_Rocky_Mountain_Regional_VA_Medical_Center/Aurora/Colorado/" xr:uid="{E7648236-227F-CC4D-AD5A-5C6715FB136C}"/>
    <hyperlink ref="A4" r:id="rId3" display="https://www.ahd.com/free_profile/060117/Animas_Surgical_Hospital/Durango/Colorado/" xr:uid="{1E40D7FC-D088-DE4E-8C69-5CA6ADEF5DC7}"/>
    <hyperlink ref="A5" r:id="rId4" display="https://www.ahd.com/free_profile/060103/Avista_Adventist_Hospital/Louisville/Colorado/" xr:uid="{CDC910D3-115C-2D44-B69E-2A06E6336F11}"/>
    <hyperlink ref="A6" r:id="rId5" display="https://www.ahd.com/free_profile/060126/Banner_Fort_Collins_Medical_Center/Fort_Collins/Colorado/" xr:uid="{45561BEA-B184-C145-8029-FD46D147057A}"/>
    <hyperlink ref="A7" r:id="rId6" display="https://www.ahd.com/free_profile/060125/Castle_Rock_Adventist_Hospital/Castle_Rock/Colorado/" xr:uid="{92CF7A97-5C37-2345-B882-20EB454118B4}"/>
    <hyperlink ref="A8" r:id="rId7" display="https://www.ahd.com/free_profile/060044/Colorado_Plains_Medical_Center/Fort_Morgan/Colorado/" xr:uid="{21399C6F-EEE4-1449-85FC-BEB59F535731}"/>
    <hyperlink ref="A9" r:id="rId8" display="https://www.ahd.com/free_profile/060054/Community_Hospital/Grand_Junction/Colorado/" xr:uid="{E71839F5-DA5A-114D-94DA-626FCC2AC82C}"/>
    <hyperlink ref="A10" r:id="rId9" display="https://www.ahd.com/free_profile/060071/Delta_County_Memorial_Hospital/Delta/Colorado/" xr:uid="{9A83B66B-23F9-6247-98EB-6D2529BC6CD0}"/>
    <hyperlink ref="A11" r:id="rId10" display="https://www.ahd.com/free_profile/060011/Denver_Health/Denver/Colorado/" xr:uid="{42A780E8-E2F5-DC45-BADA-254A4F832DE5}"/>
    <hyperlink ref="A12" r:id="rId11" display="https://www.ahd.com/free_profile/060027/Foothills_Hospital/Boulder/Colorado/" xr:uid="{D2934CE5-90B9-C140-9E49-FDA88821C896}"/>
    <hyperlink ref="A13" r:id="rId12" display="https://www.ahd.com/free_profile/060116/Good_Samaritan_Medical_Center/Lafayette/Colorado/" xr:uid="{9B046549-FBFB-CD45-A309-448432F74516}"/>
    <hyperlink ref="A14" r:id="rId13" display="https://www.ahd.com/free_profile/060113/Littleton_Adventist_Hospital/Littleton/Colorado/" xr:uid="{B8617B68-E96B-7E4B-82BB-677237C11082}"/>
    <hyperlink ref="A15" r:id="rId14" display="https://www.ahd.com/free_profile/060003/Longmont_United_Hospital/Longmont/Colorado/" xr:uid="{14B17F22-F44A-7C43-8C7C-69A245030E92}"/>
    <hyperlink ref="A16" r:id="rId15" display="https://www.ahd.com/free_profile/060009/Lutheran_Medical_Center/Wheat_Ridge/Colorado/" xr:uid="{0655538D-DE32-F24F-9414-A420EC4E29AC}"/>
    <hyperlink ref="A17" r:id="rId16" display="https://www.ahd.com/free_profile/060030/McKee_Medical_Center/Loveland/Colorado/" xr:uid="{A94EAEEC-6C4E-7E49-A027-F8893399DB68}"/>
    <hyperlink ref="A18" r:id="rId17" display="https://www.ahd.com/free_profile/060013/Mercy_Regional_Medical_Center/Durango/Colorado/" xr:uid="{57A6579D-B481-944A-8B47-A59E4E23DD7F}"/>
    <hyperlink ref="A19" r:id="rId18" display="https://www.ahd.com/free_profile/060006/Montrose_Memorial_Hospital/Montrose/Colorado/" xr:uid="{C6708C9C-AE9F-344E-8633-6CD32CF4C01F}"/>
    <hyperlink ref="A20" r:id="rId19" display="https://www.ahd.com/free_profile/060107/National_Jewish_Health_Main_Campus/Denver/Colorado/" xr:uid="{7EFA3B1D-9C61-B149-A911-A0D6C725C50B}"/>
    <hyperlink ref="A21" r:id="rId20" display="https://www.ahd.com/free_profile/060001/North_Colorado_Medical_Center/Greeley/Colorado/" xr:uid="{9BD865F1-168B-E242-A33E-E5A5A5316CB4}"/>
    <hyperlink ref="A22" r:id="rId21" display="https://www.ahd.com/free_profile/060065/North_Suburban_Medical_Center/Thornton/Colorado/" xr:uid="{1274D5FB-FE55-AE4F-8D6F-5CCDAC49B557}"/>
    <hyperlink ref="A23" r:id="rId22" display="https://www.ahd.com/free_profile/060124/OrthoColorado_Hospital/Lakewood/Colorado/" xr:uid="{D46C3BCA-6329-4343-8443-A04CCD098ED4}"/>
    <hyperlink ref="A24" r:id="rId23" display="https://www.ahd.com/free_profile/060114/Parker_Adventist_Hospital/Parker/Colorado/" xr:uid="{8C3D11AD-7987-CB4E-9438-7A7836F7C1DF}"/>
    <hyperlink ref="A25" r:id="rId24" display="https://www.ahd.com/free_profile/060020/Parkview_Medical_Center/Pueblo/Colorado/" xr:uid="{934613F9-EDC3-F042-9C12-82FA5C2416F8}"/>
    <hyperlink ref="A26" r:id="rId25" display="https://www.ahd.com/free_profile/060031/Penrose-St_Francis_Health_Services/Colorado_Springs/Colorado/" xr:uid="{781A0155-B4FE-3448-ACA1-EF93F58AB68A}"/>
    <hyperlink ref="A27" r:id="rId26" display="https://www.ahd.com/free_profile/060004/Platte_Valley_Medical_Center/Brighton/Colorado/" xr:uid="{FDD7A320-9247-DA48-A3F8-CB81FAA2F771}"/>
    <hyperlink ref="A28" r:id="rId27" display="https://www.ahd.com/free_profile/060064/Porter_Adventist_Hospital/Denver/Colorado/" xr:uid="{D59AE485-61A6-9140-98FA-9A4641A3BFE4}"/>
    <hyperlink ref="A29" r:id="rId28" display="https://www.ahd.com/free_profile/060014/Presbyterian%2FSaint_Luke%27s_Medical_Center/Denver/Colorado/" xr:uid="{05712FB0-578F-2542-926E-D2D404288D38}"/>
    <hyperlink ref="A30" r:id="rId29" display="https://www.ahd.com/free_profile/060008/Regional_Medical_Center/Alamosa/Colorado/" xr:uid="{2C54BDFC-8EE8-D446-B026-73EDC7D9926F}"/>
    <hyperlink ref="A31" r:id="rId30" display="https://www.ahd.com/free_profile/060032/Rose_Medical_Center/Denver/Colorado/" xr:uid="{B01BECF9-E1C6-C94B-A928-3ACA25814BD3}"/>
    <hyperlink ref="A32" r:id="rId31" display="https://www.ahd.com/free_profile/060015/Saint_Anthony_Hospital/Lakewood/Colorado/" xr:uid="{A620A69A-CF99-024B-BE4D-6C002F0BFE1E}"/>
    <hyperlink ref="A33" r:id="rId32" display="https://www.ahd.com/free_profile/060104/Saint_Anthony_North_Hospital/Westminster/Colorado/" xr:uid="{C75028DE-DD5F-2743-BB6B-5495663294CA}"/>
    <hyperlink ref="A34" r:id="rId33" display="https://www.ahd.com/free_profile/060118/Saint_Anthony_Summit_Medical_Center/Frisco/Colorado/" xr:uid="{780C1EAD-D8D2-6841-93B8-8CE253419A13}"/>
    <hyperlink ref="A35" r:id="rId34" display="https://www.ahd.com/free_profile/I41540/Saint_Francis_Medical_Center/Colorado_Springs/Colorado/" xr:uid="{A1024EBE-AB78-A94A-AAD9-5557CA9A8EE2}"/>
    <hyperlink ref="A36" r:id="rId35" display="https://www.ahd.com/free_profile/060028/Saint_Joseph_Hospital/Denver/Colorado/" xr:uid="{80A8B77D-42D1-2D4C-BEE5-687C82E30650}"/>
    <hyperlink ref="A37" r:id="rId36" display="https://www.ahd.com/free_profile/060023/Saint_Mary%27s_Medical_Center_-_SCL_Health/Grand_Junction/Colorado/" xr:uid="{ED4A3FA9-BCC5-804F-BCC5-3666B9D6C9EB}"/>
    <hyperlink ref="A38" r:id="rId37" display="https://www.ahd.com/free_profile/060012/Saint_Mary-Corwin_Medical_Center/Pueblo/Colorado/" xr:uid="{FBC85AFB-3CE9-EC43-BF95-509C50802015}"/>
    <hyperlink ref="A39" r:id="rId38" display="https://www.ahd.com/free_profile/060112/Sky_Ridge_Medical_Center/Lone_Tree/Colorado/" xr:uid="{F14ADFC8-B7C1-EA40-AB74-08F606544B4E}"/>
    <hyperlink ref="A40" r:id="rId39" display="https://www.ahd.com/free_profile/060076/Sterling_Regional_MedCenter/Sterling/Colorado/" xr:uid="{276F44B3-5F07-784C-8DF4-0154A2D10DEC}"/>
    <hyperlink ref="A41" r:id="rId40" display="https://www.ahd.com/free_profile/060034/Swedish_Medical_Center/Englewood/Colorado/" xr:uid="{421E8559-F3BE-3649-AD85-619876E9C965}"/>
    <hyperlink ref="A42" r:id="rId41" display="https://www.ahd.com/free_profile/060100/The_Medical_Center_of_Aurora/Aurora/Colorado/" xr:uid="{881BEE33-22DD-D14A-828E-8ADA7AC603AD}"/>
    <hyperlink ref="A43" r:id="rId42" display="https://www.ahd.com/free_profile/060129/UCHealth_Broomfield_Hospital/Broomfield/Colorado/" xr:uid="{2DF04EC8-BB1E-664A-B475-910F159BE5B6}"/>
    <hyperlink ref="A44" r:id="rId43" display="https://www.ahd.com/free_profile/060130/UCHealth_Grandview_Hospital/Colorado_Springs_/Colorado/" xr:uid="{2500B74D-78B2-6446-821D-7893ECDB76A9}"/>
    <hyperlink ref="A45" r:id="rId44" display="https://www.ahd.com/free_profile/060131/UCHealth_Greeley_Hospital/Greeley/Colorado/" xr:uid="{AFEB332E-1D9C-D345-8268-C48A60A535CC}"/>
    <hyperlink ref="A46" r:id="rId45" display="https://www.ahd.com/free_profile/060132/UCHealth_Highlands_Ranch_Hospital_/Highlands_Ranch/Colorado/" xr:uid="{3654DFD2-D484-EE45-B6D1-6A7F34B889CF}"/>
    <hyperlink ref="A47" r:id="rId46" display="https://www.ahd.com/free_profile/060128/UCHealth_Longs_Peak_Hospital_/Longmont_/Colorado/" xr:uid="{35251FF7-1AAC-AE4A-B853-2D8B943CB045}"/>
    <hyperlink ref="A48" r:id="rId47" display="https://www.ahd.com/free_profile/060119/UCHealth_Medical_Center_of_the_Rockies/Loveland/Colorado/" xr:uid="{1E67384B-5165-0B48-AFCF-DB5F662770A8}"/>
    <hyperlink ref="A49" r:id="rId48" display="https://www.ahd.com/free_profile/060022/UCHealth_Memorial_Hospital_Central/Colorado_Springs/Colorado/" xr:uid="{B9C248C4-E47C-A044-85C2-C2C6E2FDB0F8}"/>
    <hyperlink ref="A50" r:id="rId49" display="https://www.ahd.com/free_profile/I41272/UCHealth_Memorial_Hospital_North/Colorado_Springs/Colorado/" xr:uid="{8751EDB3-5B94-2747-8881-87247AB322D1}"/>
    <hyperlink ref="A51" r:id="rId50" display="https://www.ahd.com/free_profile/060010/UCHealth_Poudre_Valley_Hospital/Fort_Collins/Colorado/" xr:uid="{21BCBB9F-E7A8-B347-BB2C-7F1C3E016976}"/>
    <hyperlink ref="A52" r:id="rId51" display="https://www.ahd.com/free_profile/060024/UCHealth_University_of_Colorado_Hospital_/Aurora/Colorado/" xr:uid="{77160CA1-A60A-344E-AB92-AB62AE87B568}"/>
    <hyperlink ref="A53" r:id="rId52" display="https://www.ahd.com/free_profile/060049/UCHealth_Yampa_Valley_Medical_Center/Steamboat_Springs/Colorado/" xr:uid="{DF146955-C836-6E4E-9025-99EC01509EBA}"/>
    <hyperlink ref="A54" r:id="rId53" display="https://www.ahd.com/free_profile/06007F/VA_Western_Colorado_Health_Care_System/Grand_Junction/Colorado/" xr:uid="{9709F4F1-4673-3344-B63C-DCA992EBFCB7}"/>
    <hyperlink ref="A55" r:id="rId54" display="https://www.ahd.com/free_profile/060096/Vail_Health_Hospital/Vail/Colorado/" xr:uid="{92E4D61F-C6E6-ED40-96A2-B6EDA441AE71}"/>
    <hyperlink ref="A56" r:id="rId55" display="https://www.ahd.com/free_profile/060075/Valley_View_Hospital/Glenwood_Springs/Colorado/" xr:uid="{F77FAAA6-B3CD-BF43-9F90-7AFB8DC4610E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F73CB-4F94-0B4B-8CC3-1139A7597F57}">
  <sheetPr codeName="Sheet8"/>
  <dimension ref="A1:G36"/>
  <sheetViews>
    <sheetView workbookViewId="0">
      <selection activeCell="G2" sqref="G2:G35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1071</v>
      </c>
      <c r="B2" s="2" t="s">
        <v>1072</v>
      </c>
      <c r="C2" s="2">
        <v>183</v>
      </c>
      <c r="D2" s="3">
        <v>10236</v>
      </c>
      <c r="E2" s="3">
        <v>44372</v>
      </c>
      <c r="F2" s="4">
        <v>1022192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"*",CHOOSE({1,2}, Super_CBSA!$E$2:$E$1917, Super_CBSA!$A$2:$A$1917), 2,FALSE), ""))</f>
        <v>35980</v>
      </c>
    </row>
    <row r="3" spans="1:7" ht="17">
      <c r="A3" s="1" t="s">
        <v>1073</v>
      </c>
      <c r="B3" s="2" t="s">
        <v>1074</v>
      </c>
      <c r="C3" s="2">
        <v>387</v>
      </c>
      <c r="D3" s="3">
        <v>19997</v>
      </c>
      <c r="E3" s="3">
        <v>94592</v>
      </c>
      <c r="F3" s="4">
        <v>2105288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"*",CHOOSE({1,2}, Super_CBSA!$E$2:$E$1917, Super_CBSA!$A$2:$A$1917), 2,FALSE), ""))</f>
        <v>14860</v>
      </c>
    </row>
    <row r="4" spans="1:7" ht="17">
      <c r="A4" s="1" t="s">
        <v>1075</v>
      </c>
      <c r="B4" s="2" t="s">
        <v>1076</v>
      </c>
      <c r="C4" s="2">
        <v>106</v>
      </c>
      <c r="D4" s="3">
        <v>2032</v>
      </c>
      <c r="E4" s="3">
        <v>9873</v>
      </c>
      <c r="F4" s="4">
        <v>157278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"*",CHOOSE({1,2}, Super_CBSA!$E$2:$E$1917, Super_CBSA!$A$2:$A$1917), 2,FALSE), ""))</f>
        <v>35300</v>
      </c>
    </row>
    <row r="5" spans="1:7" ht="17">
      <c r="A5" s="1" t="s">
        <v>1077</v>
      </c>
      <c r="B5" s="2" t="s">
        <v>1078</v>
      </c>
      <c r="C5" s="2">
        <v>121</v>
      </c>
      <c r="D5" s="3">
        <v>6425</v>
      </c>
      <c r="E5" s="3">
        <v>23770</v>
      </c>
      <c r="F5" s="4">
        <v>0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"*",CHOOSE({1,2}, Super_CBSA!$E$2:$E$1917, Super_CBSA!$A$2:$A$1917), 2,FALSE), ""))</f>
        <v>28700</v>
      </c>
    </row>
    <row r="6" spans="1:7" ht="17">
      <c r="A6" s="1" t="s">
        <v>1079</v>
      </c>
      <c r="B6" s="2" t="s">
        <v>1080</v>
      </c>
      <c r="C6" s="2">
        <v>108</v>
      </c>
      <c r="D6" s="3">
        <v>5023</v>
      </c>
      <c r="E6" s="3">
        <v>21063</v>
      </c>
      <c r="F6" s="4">
        <v>371895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"*",CHOOSE({1,2}, Super_CBSA!$E$2:$E$1917, Super_CBSA!$A$2:$A$1917), 2,FALSE), ""))</f>
        <v>45860</v>
      </c>
    </row>
    <row r="7" spans="1:7" ht="17">
      <c r="A7" s="1" t="s">
        <v>1081</v>
      </c>
      <c r="B7" s="2" t="s">
        <v>1082</v>
      </c>
      <c r="C7" s="2">
        <v>386</v>
      </c>
      <c r="D7" s="3">
        <v>19036</v>
      </c>
      <c r="E7" s="3">
        <v>83061</v>
      </c>
      <c r="F7" s="4">
        <v>1956861</v>
      </c>
      <c r="G7" s="11" t="str" cm="1">
        <f t="array" aca="1" ref="G7" ca="1">IFERROR(VLOOKUP("*" &amp; B7  &amp; "*" &amp; (MID(CELL("filename",A6),FIND("]",CELL("filename",A6))+1,31)) &amp; "*",CHOOSE({1,2}, Super_CBSA!$B$2:$B$1917, Super_CBSA!$A$2:$A$1917), 2,FALSE), IFERROR(VLOOKUP(B7  &amp; "*",CHOOSE({1,2}, Super_CBSA!$E$2:$E$1917, Super_CBSA!$A$2:$A$1917), 2,FALSE), ""))</f>
        <v/>
      </c>
    </row>
    <row r="8" spans="1:7" ht="17">
      <c r="A8" s="1" t="s">
        <v>1083</v>
      </c>
      <c r="B8" s="2" t="s">
        <v>1084</v>
      </c>
      <c r="C8" s="2">
        <v>104</v>
      </c>
      <c r="D8" s="3">
        <v>3619</v>
      </c>
      <c r="E8" s="3">
        <v>14806</v>
      </c>
      <c r="F8" s="4">
        <v>292658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"*",CHOOSE({1,2}, Super_CBSA!$E$2:$E$1917, Super_CBSA!$A$2:$A$1917), 2,FALSE), ""))</f>
        <v>18260</v>
      </c>
    </row>
    <row r="9" spans="1:7" ht="17">
      <c r="A9" s="1" t="s">
        <v>1085</v>
      </c>
      <c r="B9" s="2" t="s">
        <v>1086</v>
      </c>
      <c r="C9" s="2">
        <v>181</v>
      </c>
      <c r="D9" s="3">
        <v>10325</v>
      </c>
      <c r="E9" s="3">
        <v>46605</v>
      </c>
      <c r="F9" s="4">
        <v>1257622</v>
      </c>
      <c r="G9" s="11" t="str" cm="1">
        <f t="array" aca="1" ref="G9" ca="1">IFERROR(VLOOKUP("*" &amp; B9  &amp; "*" &amp; (MID(CELL("filename",A8),FIND("]",CELL("filename",A8))+1,31)) &amp; "*",CHOOSE({1,2}, Super_CBSA!$B$2:$B$1917, Super_CBSA!$A$2:$A$1917), 2,FALSE), IFERROR(VLOOKUP(B9  &amp; "*",CHOOSE({1,2}, Super_CBSA!$E$2:$E$1917, Super_CBSA!$A$2:$A$1917), 2,FALSE), ""))</f>
        <v/>
      </c>
    </row>
    <row r="10" spans="1:7" ht="17">
      <c r="A10" s="1" t="s">
        <v>1087</v>
      </c>
      <c r="B10" s="2" t="s">
        <v>1088</v>
      </c>
      <c r="C10" s="2">
        <v>117</v>
      </c>
      <c r="D10" s="3">
        <v>6296</v>
      </c>
      <c r="E10" s="3">
        <v>25471</v>
      </c>
      <c r="F10" s="4">
        <v>683394</v>
      </c>
      <c r="G10" s="11" t="str" cm="1">
        <f t="array" aca="1" ref="G10" ca="1">IFERROR(VLOOKUP("*" &amp; B10  &amp; "*" &amp; (MID(CELL("filename",A9),FIND("]",CELL("filename",A9))+1,31)) &amp; "*",CHOOSE({1,2}, Super_CBSA!$B$2:$B$1917, Super_CBSA!$A$2:$A$1917), 2,FALSE), IFERROR(VLOOKUP(B10  &amp; "*",CHOOSE({1,2}, Super_CBSA!$E$2:$E$1917, Super_CBSA!$A$2:$A$1917), 2,FALSE), ""))</f>
        <v/>
      </c>
    </row>
    <row r="11" spans="1:7" ht="17">
      <c r="A11" s="1" t="s">
        <v>1089</v>
      </c>
      <c r="B11" s="2" t="s">
        <v>1090</v>
      </c>
      <c r="C11" s="2">
        <v>937</v>
      </c>
      <c r="D11" s="3">
        <v>44019</v>
      </c>
      <c r="E11" s="3">
        <v>217024</v>
      </c>
      <c r="F11" s="4">
        <v>3820934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"*",CHOOSE({1,2}, Super_CBSA!$E$2:$E$1917, Super_CBSA!$A$2:$A$1917), 2,FALSE), ""))</f>
        <v>25540</v>
      </c>
    </row>
    <row r="12" spans="1:7" ht="17">
      <c r="A12" s="1" t="s">
        <v>1091</v>
      </c>
      <c r="B12" s="2" t="s">
        <v>1092</v>
      </c>
      <c r="C12" s="2">
        <v>70</v>
      </c>
      <c r="D12" s="3">
        <v>1944</v>
      </c>
      <c r="E12" s="3">
        <v>6784</v>
      </c>
      <c r="F12" s="4">
        <v>187645</v>
      </c>
      <c r="G12" s="11" t="str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"*",CHOOSE({1,2}, Super_CBSA!$E$2:$E$1917, Super_CBSA!$A$2:$A$1917), 2,FALSE), ""))</f>
        <v/>
      </c>
    </row>
    <row r="13" spans="1:7" ht="17">
      <c r="A13" s="1" t="s">
        <v>1093</v>
      </c>
      <c r="B13" s="2" t="s">
        <v>1094</v>
      </c>
      <c r="C13" s="2">
        <v>252</v>
      </c>
      <c r="D13" s="3">
        <v>12068</v>
      </c>
      <c r="E13" s="3">
        <v>58958</v>
      </c>
      <c r="F13" s="4">
        <v>1023380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"*",CHOOSE({1,2}, Super_CBSA!$E$2:$E$1917, Super_CBSA!$A$2:$A$1917), 2,FALSE), ""))</f>
        <v>35980</v>
      </c>
    </row>
    <row r="14" spans="1:7" ht="17">
      <c r="A14" s="1" t="s">
        <v>1095</v>
      </c>
      <c r="B14" s="2" t="s">
        <v>1096</v>
      </c>
      <c r="C14" s="2">
        <v>171</v>
      </c>
      <c r="D14" s="3">
        <v>6505</v>
      </c>
      <c r="E14" s="3">
        <v>30135</v>
      </c>
      <c r="F14" s="4">
        <v>644462</v>
      </c>
      <c r="G14" s="11" t="str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"*",CHOOSE({1,2}, Super_CBSA!$E$2:$E$1917, Super_CBSA!$A$2:$A$1917), 2,FALSE), ""))</f>
        <v/>
      </c>
    </row>
    <row r="15" spans="1:7" ht="17">
      <c r="A15" s="1" t="s">
        <v>1097</v>
      </c>
      <c r="B15" s="2" t="s">
        <v>1098</v>
      </c>
      <c r="C15" s="2">
        <v>425</v>
      </c>
      <c r="D15" s="2">
        <v>443</v>
      </c>
      <c r="E15" s="3">
        <v>2094</v>
      </c>
      <c r="F15" s="4">
        <v>100060</v>
      </c>
      <c r="G15" s="11" t="str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"*",CHOOSE({1,2}, Super_CBSA!$E$2:$E$1917, Super_CBSA!$A$2:$A$1917), 2,FALSE), ""))</f>
        <v/>
      </c>
    </row>
    <row r="16" spans="1:7" ht="17">
      <c r="A16" s="1" t="s">
        <v>1099</v>
      </c>
      <c r="B16" s="2" t="s">
        <v>1100</v>
      </c>
      <c r="C16" s="2">
        <v>207</v>
      </c>
      <c r="D16" s="3">
        <v>10920</v>
      </c>
      <c r="E16" s="3">
        <v>45034</v>
      </c>
      <c r="F16" s="4">
        <v>1309794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"*",CHOOSE({1,2}, Super_CBSA!$E$2:$E$1917, Super_CBSA!$A$2:$A$1917), 2,FALSE), ""))</f>
        <v>25540</v>
      </c>
    </row>
    <row r="17" spans="1:7" ht="17">
      <c r="A17" s="1" t="s">
        <v>1101</v>
      </c>
      <c r="B17" s="2" t="s">
        <v>1102</v>
      </c>
      <c r="C17" s="2">
        <v>144</v>
      </c>
      <c r="D17" s="3">
        <v>9504</v>
      </c>
      <c r="E17" s="3">
        <v>39108</v>
      </c>
      <c r="F17" s="4">
        <v>766391</v>
      </c>
      <c r="G17" s="11" t="str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"*",CHOOSE({1,2}, Super_CBSA!$E$2:$E$1917, Super_CBSA!$A$2:$A$1917), 2,FALSE), ""))</f>
        <v/>
      </c>
    </row>
    <row r="18" spans="1:7" ht="17">
      <c r="A18" s="1" t="s">
        <v>1103</v>
      </c>
      <c r="B18" s="2" t="s">
        <v>1104</v>
      </c>
      <c r="C18" s="2">
        <v>85</v>
      </c>
      <c r="D18" s="3">
        <v>1636</v>
      </c>
      <c r="E18" s="3">
        <v>6716</v>
      </c>
      <c r="F18" s="4">
        <v>172137</v>
      </c>
      <c r="G18" s="11" t="str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"*",CHOOSE({1,2}, Super_CBSA!$E$2:$E$1917, Super_CBSA!$A$2:$A$1917), 2,FALSE), ""))</f>
        <v/>
      </c>
    </row>
    <row r="19" spans="1:7" ht="17">
      <c r="A19" s="1" t="s">
        <v>1105</v>
      </c>
      <c r="B19" s="2" t="s">
        <v>520</v>
      </c>
      <c r="C19" s="2">
        <v>255</v>
      </c>
      <c r="D19" s="3">
        <v>10693</v>
      </c>
      <c r="E19" s="3">
        <v>45492</v>
      </c>
      <c r="F19" s="4">
        <v>1117219</v>
      </c>
      <c r="G19" s="11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"*",CHOOSE({1,2}, Super_CBSA!$E$2:$E$1917, Super_CBSA!$A$2:$A$1917), 2,FALSE), ""))</f>
        <v>14860</v>
      </c>
    </row>
    <row r="20" spans="1:7" ht="17">
      <c r="A20" s="1" t="s">
        <v>1106</v>
      </c>
      <c r="B20" s="2" t="s">
        <v>1107</v>
      </c>
      <c r="C20" s="2">
        <v>232</v>
      </c>
      <c r="D20" s="3">
        <v>2026</v>
      </c>
      <c r="E20" s="3">
        <v>15315</v>
      </c>
      <c r="F20" s="4">
        <v>253352</v>
      </c>
      <c r="G20" s="11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"*",CHOOSE({1,2}, Super_CBSA!$E$2:$E$1917, Super_CBSA!$A$2:$A$1917), 2,FALSE), ""))</f>
        <v>22860</v>
      </c>
    </row>
    <row r="21" spans="1:7" ht="17">
      <c r="A21" s="1" t="s">
        <v>1108</v>
      </c>
      <c r="B21" s="2" t="s">
        <v>1090</v>
      </c>
      <c r="C21" s="2">
        <v>552</v>
      </c>
      <c r="D21" s="3">
        <v>28738</v>
      </c>
      <c r="E21" s="3">
        <v>117019</v>
      </c>
      <c r="F21" s="4">
        <v>2760681</v>
      </c>
      <c r="G21" s="11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"*",CHOOSE({1,2}, Super_CBSA!$E$2:$E$1917, Super_CBSA!$A$2:$A$1917), 2,FALSE), ""))</f>
        <v>25540</v>
      </c>
    </row>
    <row r="22" spans="1:7" ht="17">
      <c r="A22" s="1" t="s">
        <v>396</v>
      </c>
      <c r="B22" s="2" t="s">
        <v>1109</v>
      </c>
      <c r="C22" s="2">
        <v>163</v>
      </c>
      <c r="D22" s="3">
        <v>10170</v>
      </c>
      <c r="E22" s="3">
        <v>37447</v>
      </c>
      <c r="F22" s="4">
        <v>961749</v>
      </c>
      <c r="G22" s="11" t="str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"*",CHOOSE({1,2}, Super_CBSA!$E$2:$E$1917, Super_CBSA!$A$2:$A$1917), 2,FALSE), ""))</f>
        <v/>
      </c>
    </row>
    <row r="23" spans="1:7" ht="17">
      <c r="A23" s="1" t="s">
        <v>1110</v>
      </c>
      <c r="B23" s="2" t="s">
        <v>1074</v>
      </c>
      <c r="C23" s="2">
        <v>293</v>
      </c>
      <c r="D23" s="3">
        <v>10371</v>
      </c>
      <c r="E23" s="3">
        <v>49090</v>
      </c>
      <c r="F23" s="4">
        <v>1177373</v>
      </c>
      <c r="G23" s="11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"*",CHOOSE({1,2}, Super_CBSA!$E$2:$E$1917, Super_CBSA!$A$2:$A$1917), 2,FALSE), ""))</f>
        <v>14860</v>
      </c>
    </row>
    <row r="24" spans="1:7" ht="17">
      <c r="A24" s="1" t="s">
        <v>1111</v>
      </c>
      <c r="B24" s="2" t="s">
        <v>1112</v>
      </c>
      <c r="C24" s="2">
        <v>78</v>
      </c>
      <c r="D24" s="3">
        <v>1784</v>
      </c>
      <c r="E24" s="3">
        <v>4965</v>
      </c>
      <c r="F24" s="4">
        <v>121089</v>
      </c>
      <c r="G24" s="11" t="str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"*",CHOOSE({1,2}, Super_CBSA!$E$2:$E$1917, Super_CBSA!$A$2:$A$1917), 2,FALSE), ""))</f>
        <v/>
      </c>
    </row>
    <row r="25" spans="1:7" ht="17">
      <c r="A25" s="1" t="s">
        <v>1113</v>
      </c>
      <c r="B25" s="2" t="s">
        <v>1114</v>
      </c>
      <c r="C25" s="2">
        <v>305</v>
      </c>
      <c r="D25" s="3">
        <v>14882</v>
      </c>
      <c r="E25" s="3">
        <v>67094</v>
      </c>
      <c r="F25" s="4">
        <v>2607456</v>
      </c>
      <c r="G25" s="11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"*",CHOOSE({1,2}, Super_CBSA!$E$2:$E$1917, Super_CBSA!$A$2:$A$1917), 2,FALSE), ""))</f>
        <v>14860</v>
      </c>
    </row>
    <row r="26" spans="1:7" ht="17">
      <c r="A26" s="1" t="s">
        <v>1115</v>
      </c>
      <c r="B26" s="2" t="s">
        <v>1116</v>
      </c>
      <c r="C26" s="2">
        <v>10</v>
      </c>
      <c r="D26" s="2">
        <v>159</v>
      </c>
      <c r="E26" s="3">
        <v>1814</v>
      </c>
      <c r="F26" s="4">
        <v>17690</v>
      </c>
      <c r="G26" s="11" t="str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"*",CHOOSE({1,2}, Super_CBSA!$E$2:$E$1917, Super_CBSA!$A$2:$A$1917), 2,FALSE), ""))</f>
        <v/>
      </c>
    </row>
    <row r="27" spans="1:7" ht="17">
      <c r="A27" s="1" t="s">
        <v>1117</v>
      </c>
      <c r="B27" s="2" t="s">
        <v>1118</v>
      </c>
      <c r="C27" s="2">
        <v>45</v>
      </c>
      <c r="D27" s="2">
        <v>11</v>
      </c>
      <c r="E27" s="2">
        <v>59</v>
      </c>
      <c r="F27" s="4">
        <v>8574</v>
      </c>
      <c r="G27" s="11" t="str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"*",CHOOSE({1,2}, Super_CBSA!$E$2:$E$1917, Super_CBSA!$A$2:$A$1917), 2,FALSE), ""))</f>
        <v/>
      </c>
    </row>
    <row r="28" spans="1:7" ht="17">
      <c r="A28" s="1" t="s">
        <v>1119</v>
      </c>
      <c r="B28" s="2" t="s">
        <v>1120</v>
      </c>
      <c r="C28" s="2">
        <v>42</v>
      </c>
      <c r="D28" s="3">
        <v>2371</v>
      </c>
      <c r="E28" s="3">
        <v>10176</v>
      </c>
      <c r="F28" s="4">
        <v>95778</v>
      </c>
      <c r="G28" s="11" t="str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"*",CHOOSE({1,2}, Super_CBSA!$E$2:$E$1917, Super_CBSA!$A$2:$A$1917), 2,FALSE), ""))</f>
        <v/>
      </c>
    </row>
    <row r="29" spans="1:7" ht="17">
      <c r="A29" s="1" t="s">
        <v>1121</v>
      </c>
      <c r="B29" s="2" t="s">
        <v>1122</v>
      </c>
      <c r="C29" s="2">
        <v>278</v>
      </c>
      <c r="D29" s="3">
        <v>11910</v>
      </c>
      <c r="E29" s="3">
        <v>58284</v>
      </c>
      <c r="F29" s="4">
        <v>1154001</v>
      </c>
      <c r="G29" s="11" t="str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"*",CHOOSE({1,2}, Super_CBSA!$E$2:$E$1917, Super_CBSA!$A$2:$A$1917), 2,FALSE), ""))</f>
        <v/>
      </c>
    </row>
    <row r="30" spans="1:7" ht="17">
      <c r="A30" s="1" t="s">
        <v>1123</v>
      </c>
      <c r="B30" s="2" t="s">
        <v>1124</v>
      </c>
      <c r="C30" s="2">
        <v>156</v>
      </c>
      <c r="D30" s="3">
        <v>9620</v>
      </c>
      <c r="E30" s="3">
        <v>33993</v>
      </c>
      <c r="F30" s="4">
        <v>1166755</v>
      </c>
      <c r="G30" s="11" t="str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"*",CHOOSE({1,2}, Super_CBSA!$E$2:$E$1917, Super_CBSA!$A$2:$A$1917), 2,FALSE), ""))</f>
        <v/>
      </c>
    </row>
    <row r="31" spans="1:7" ht="17">
      <c r="A31" s="1" t="s">
        <v>1125</v>
      </c>
      <c r="B31" s="2" t="s">
        <v>1126</v>
      </c>
      <c r="C31" s="2">
        <v>0</v>
      </c>
      <c r="D31" s="2">
        <v>0</v>
      </c>
      <c r="E31" s="2">
        <v>0</v>
      </c>
      <c r="F31" s="4">
        <v>0</v>
      </c>
      <c r="G31" s="11" t="str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"*",CHOOSE({1,2}, Super_CBSA!$E$2:$E$1917, Super_CBSA!$A$2:$A$1917), 2,FALSE), ""))</f>
        <v/>
      </c>
    </row>
    <row r="32" spans="1:7" ht="17">
      <c r="A32" s="1" t="s">
        <v>1127</v>
      </c>
      <c r="B32" s="2" t="s">
        <v>1109</v>
      </c>
      <c r="C32" s="2">
        <v>243</v>
      </c>
      <c r="D32" s="3">
        <v>10331</v>
      </c>
      <c r="E32" s="3">
        <v>44830</v>
      </c>
      <c r="F32" s="4">
        <v>946819</v>
      </c>
      <c r="G32" s="11" t="str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"*",CHOOSE({1,2}, Super_CBSA!$E$2:$E$1917, Super_CBSA!$A$2:$A$1917), 2,FALSE), ""))</f>
        <v/>
      </c>
    </row>
    <row r="33" spans="1:7" ht="17">
      <c r="A33" s="1" t="s">
        <v>1128</v>
      </c>
      <c r="B33" s="2" t="s">
        <v>1129</v>
      </c>
      <c r="C33" s="2">
        <v>40</v>
      </c>
      <c r="D33" s="3">
        <v>2599</v>
      </c>
      <c r="E33" s="3">
        <v>10060</v>
      </c>
      <c r="F33" s="4">
        <v>249176</v>
      </c>
      <c r="G33" s="11" t="str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"*",CHOOSE({1,2}, Super_CBSA!$E$2:$E$1917, Super_CBSA!$A$2:$A$1917), 2,FALSE), ""))</f>
        <v/>
      </c>
    </row>
    <row r="34" spans="1:7" ht="17">
      <c r="A34" s="1" t="s">
        <v>1130</v>
      </c>
      <c r="B34" s="2" t="s">
        <v>1131</v>
      </c>
      <c r="C34" s="3">
        <v>1549</v>
      </c>
      <c r="D34" s="3">
        <v>62598</v>
      </c>
      <c r="E34" s="3">
        <v>382479</v>
      </c>
      <c r="F34" s="4">
        <v>10351423</v>
      </c>
      <c r="G34" s="11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"*",CHOOSE({1,2}, Super_CBSA!$E$2:$E$1917, Super_CBSA!$A$2:$A$1917), 2,FALSE), ""))</f>
        <v>35300</v>
      </c>
    </row>
    <row r="35" spans="1:7" ht="17">
      <c r="A35" s="1" t="s">
        <v>1132</v>
      </c>
      <c r="B35" s="2" t="s">
        <v>1131</v>
      </c>
      <c r="C35" s="2">
        <v>573</v>
      </c>
      <c r="D35" s="3">
        <v>19829</v>
      </c>
      <c r="E35" s="3">
        <v>95382</v>
      </c>
      <c r="F35" s="4">
        <v>1343588</v>
      </c>
      <c r="G35" s="11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"*",CHOOSE({1,2}, Super_CBSA!$E$2:$E$1917, Super_CBSA!$A$2:$A$1917), 2,FALSE), ""))</f>
        <v>35300</v>
      </c>
    </row>
    <row r="36" spans="1:7" ht="17">
      <c r="A36" s="2" t="s">
        <v>56</v>
      </c>
      <c r="B36" s="2"/>
      <c r="C36" s="3">
        <v>8798</v>
      </c>
      <c r="D36" s="3">
        <v>368120</v>
      </c>
      <c r="E36" s="3">
        <v>1742965</v>
      </c>
      <c r="F36" s="4">
        <v>40204715</v>
      </c>
    </row>
  </sheetData>
  <hyperlinks>
    <hyperlink ref="A2" r:id="rId1" display="https://www.ahd.com/free_profile/070024/Backus_Hospital_/Norwich/Connecticut/" xr:uid="{DC26DDCB-A8A7-7F41-8E3B-76A7D7AAE7E2}"/>
    <hyperlink ref="A3" r:id="rId2" display="https://www.ahd.com/free_profile/070010/Bridgeport_Hospital/Bridgeport/Connecticut/" xr:uid="{BB1722A4-1587-1943-B023-74F259A41985}"/>
    <hyperlink ref="A4" r:id="rId3" display="https://www.ahd.com/free_profile/070019/Bridgeport_Hospital_Milford_Campus/Milford/Connecticut/" xr:uid="{6359A5C4-EA3A-5540-8B0C-65044DFAE73C}"/>
    <hyperlink ref="A5" r:id="rId4" display="https://www.ahd.com/free_profile/070029/Bristol_Hospital/Bristol/Connecticut/" xr:uid="{C362E710-13D4-664A-B20A-3FB3874E02A4}"/>
    <hyperlink ref="A6" r:id="rId5" display="https://www.ahd.com/free_profile/070011/Charlotte_Hungerford_Hospital/Torrington/Connecticut/" xr:uid="{A84B883B-AEE3-4D47-9C06-69EDB893FF4E}"/>
    <hyperlink ref="A7" r:id="rId6" display="https://www.ahd.com/free_profile/070033/Danbury_Hospital/Danbury/Connecticut/" xr:uid="{9E3ED9A3-9F2D-D44C-B3D8-7335A7C061EE}"/>
    <hyperlink ref="A8" r:id="rId7" display="https://www.ahd.com/free_profile/070003/Day_Kimball_Hospital/Putnam/Connecticut/" xr:uid="{99F59314-37C2-E14F-B42D-E3AD13E4100E}"/>
    <hyperlink ref="A9" r:id="rId8" display="https://www.ahd.com/free_profile/070018/Greenwich_Hospital/Greenwich/Connecticut/" xr:uid="{CC4975CA-1B74-D54C-A06B-2C5FFBD820A9}"/>
    <hyperlink ref="A10" r:id="rId9" display="https://www.ahd.com/free_profile/070031/Griffin_Hospital/Derby/Connecticut/" xr:uid="{A29F5BF1-E3AB-E24E-B4BD-40D564055B87}"/>
    <hyperlink ref="A11" r:id="rId10" display="https://www.ahd.com/free_profile/070025/Hartford_Hospital/Hartford/Connecticut/" xr:uid="{1E582B96-82C3-3748-94C7-14096EE7B27B}"/>
    <hyperlink ref="A12" r:id="rId11" display="https://www.ahd.com/free_profile/070008/Johnson_Memorial_Hospital/Stafford_Springs/Connecticut/" xr:uid="{E11F769A-2330-184C-92D7-7F82A1A98CA3}"/>
    <hyperlink ref="A13" r:id="rId12" display="https://www.ahd.com/free_profile/070007/Lawrence_%26_Memorial_Hospital/New_London/Connecticut/" xr:uid="{F159BF3F-ED41-A744-A9F9-1907E612C85F}"/>
    <hyperlink ref="A14" r:id="rId13" display="https://www.ahd.com/free_profile/070027/Manchester_Memorial_Hospital/Manchester/Connecticut/" xr:uid="{87F5F297-9552-8B49-A854-F62F6FCFFD34}"/>
    <hyperlink ref="A15" r:id="rId14" display="https://www.ahd.com/free_profile/070039/Masonicare_Main_Campus/Wallingford/Connecticut/" xr:uid="{F7B8AC55-6497-9544-93FF-EA4471FF53A3}"/>
    <hyperlink ref="A16" r:id="rId15" display="https://www.ahd.com/free_profile/070020/Middlesex_Hospital/Middletown/Connecticut/" xr:uid="{98D9C6B2-2E85-8040-84A1-05CAA9F91BF7}"/>
    <hyperlink ref="A17" r:id="rId16" display="https://www.ahd.com/free_profile/070017/MidState_Medical_Center/Meriden/Connecticut/" xr:uid="{5F34E6E2-3A59-E142-B65E-E8732D15BB6E}"/>
    <hyperlink ref="A18" r:id="rId17" display="https://www.ahd.com/free_profile/070015/New_Milford_Hospital/New_Milford/Connecticut/" xr:uid="{E7FF9C53-FDBB-E14B-A1EA-F6303747795B}"/>
    <hyperlink ref="A19" r:id="rId18" display="https://www.ahd.com/free_profile/070034/Norwalk_Hospital/Norwalk/Connecticut/" xr:uid="{647D1005-1615-E24E-A6FF-C26B7D7A4F6E}"/>
    <hyperlink ref="A20" r:id="rId19" display="https://www.ahd.com/free_profile/070012/Rockville_General_Hospital/Vernon/Connecticut/" xr:uid="{3821CC5B-55F4-EE47-9021-7F2511FB67D4}"/>
    <hyperlink ref="A21" r:id="rId20" display="https://www.ahd.com/free_profile/070002/Saint_Francis_Hospital/Hartford/Connecticut/" xr:uid="{BAA65EC0-D594-1F4A-8EF2-82F2BC95B3CB}"/>
    <hyperlink ref="A22" r:id="rId21" display="https://www.ahd.com/free_profile/070016/Saint_Mary%27s_Hospital/Waterbury/Connecticut/" xr:uid="{DA16BE25-D5C9-9B42-B467-4A58BD178AD2}"/>
    <hyperlink ref="A23" r:id="rId22" display="https://www.ahd.com/free_profile/070028/Saint_Vincent%27s_Medical_Center/Bridgeport/Connecticut/" xr:uid="{493BB7F4-93D2-844F-9738-DDD1ABA7232E}"/>
    <hyperlink ref="A24" r:id="rId23" display="https://www.ahd.com/free_profile/070004/Sharon_Hospital/Sharon/Connecticut/" xr:uid="{6DE7A1FF-F8FB-A442-81C2-5662E782E312}"/>
    <hyperlink ref="A25" r:id="rId24" display="https://www.ahd.com/free_profile/070006/Stamford_Hospital/Stamford/Connecticut/" xr:uid="{75E4171D-ADAD-A347-B306-6C05F564DF0E}"/>
    <hyperlink ref="A26" r:id="rId25" display="https://www.ahd.com/free_profile/070038/The_Connecticut_Hospice/Branford/Connecticut/" xr:uid="{845CF176-D3EA-CD44-AEC2-696A556BB3DC}"/>
    <hyperlink ref="A27" r:id="rId26" display="https://www.ahd.com/free_profile/070040/The_Hospital_at_Hebrew_Senior_Care/West_Hartford/Connecticut/" xr:uid="{E31072EE-2D2E-7D46-A7AC-B74B99979EA2}"/>
    <hyperlink ref="A28" r:id="rId27" display="https://www.ahd.com/free_profile/070009/The_Hospital_of_Central_Connecticut__Bradley_Memorial_Campus/Southington/Connecticut/" xr:uid="{67CABEDD-CEEC-AF4D-8E65-08650E9DDF19}"/>
    <hyperlink ref="A29" r:id="rId28" display="https://www.ahd.com/free_profile/070035/The_Hospital_of_Central_Connecticut_at_New_Britain_General/New_Britain/Connecticut/" xr:uid="{90F3260C-38C3-D540-8596-5DBFE35071A3}"/>
    <hyperlink ref="A30" r:id="rId29" display="https://www.ahd.com/free_profile/070036/UConn_John_Dempsey_Hospital/Farmington/Connecticut/" xr:uid="{F0CE3F72-3942-214F-85BE-6989AD6CF3B2}"/>
    <hyperlink ref="A31" r:id="rId30" display="https://www.ahd.com/free_profile/07003F/VA_Connecticut_Healthcare_System_-_West_Haven_Campus/West_Haven/Connecticut/" xr:uid="{163D2756-3484-2E40-989D-3FFECB53F655}"/>
    <hyperlink ref="A32" r:id="rId31" display="https://www.ahd.com/free_profile/070005/Waterbury_Hospital/Waterbury/Connecticut/" xr:uid="{93936197-DE73-A848-89E2-A7B9566CDD45}"/>
    <hyperlink ref="A33" r:id="rId32" display="https://www.ahd.com/free_profile/070021/Windham_Hospital/Willimantic/Connecticut/" xr:uid="{8077B640-FE93-7F4D-B494-C8A301CB5EEC}"/>
    <hyperlink ref="A34" r:id="rId33" display="https://www.ahd.com/free_profile/070022/Yale-New_Haven_Hospital/New_Haven/Connecticut/" xr:uid="{603E8ADC-D2F1-7C40-826B-F66BE4C7C852}"/>
    <hyperlink ref="A35" r:id="rId34" display="https://www.ahd.com/free_profile/070001/Yale-New_Haven_Hospital_Saint_Raphael_Campus/New_Haven/Connecticut/" xr:uid="{DC664EC8-E81E-E44B-BD26-DDE3FA393DAC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3CA43-2223-1A46-A59B-EE4A555CC82C}">
  <sheetPr codeName="Sheet9"/>
  <dimension ref="A1:G9"/>
  <sheetViews>
    <sheetView workbookViewId="0">
      <selection activeCell="G2" sqref="G2:G8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1133</v>
      </c>
      <c r="B2" s="2" t="s">
        <v>1134</v>
      </c>
      <c r="C2" s="2">
        <v>200</v>
      </c>
      <c r="D2" s="3">
        <v>7749</v>
      </c>
      <c r="E2" s="3">
        <v>46842</v>
      </c>
      <c r="F2" s="4">
        <v>747022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"*",CHOOSE({1,2}, Super_CBSA!$E$2:$E$1917, Super_CBSA!$A$2:$A$1917), 2,FALSE), ""))</f>
        <v>47900</v>
      </c>
    </row>
    <row r="3" spans="1:7" ht="17">
      <c r="A3" s="1" t="s">
        <v>1135</v>
      </c>
      <c r="B3" s="2" t="s">
        <v>1134</v>
      </c>
      <c r="C3" s="2">
        <v>393</v>
      </c>
      <c r="D3" s="3">
        <v>15751</v>
      </c>
      <c r="E3" s="3">
        <v>122993</v>
      </c>
      <c r="F3" s="4">
        <v>3001343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"*",CHOOSE({1,2}, Super_CBSA!$E$2:$E$1917, Super_CBSA!$A$2:$A$1917), 2,FALSE), ""))</f>
        <v>47900</v>
      </c>
    </row>
    <row r="4" spans="1:7" ht="17">
      <c r="A4" s="1" t="s">
        <v>1136</v>
      </c>
      <c r="B4" s="2" t="s">
        <v>1134</v>
      </c>
      <c r="C4" s="2">
        <v>747</v>
      </c>
      <c r="D4" s="3">
        <v>30954</v>
      </c>
      <c r="E4" s="3">
        <v>220459</v>
      </c>
      <c r="F4" s="4">
        <v>4609106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"*",CHOOSE({1,2}, Super_CBSA!$E$2:$E$1917, Super_CBSA!$A$2:$A$1917), 2,FALSE), ""))</f>
        <v>47900</v>
      </c>
    </row>
    <row r="5" spans="1:7" ht="17">
      <c r="A5" s="1" t="s">
        <v>1137</v>
      </c>
      <c r="B5" s="2" t="s">
        <v>1134</v>
      </c>
      <c r="C5" s="2">
        <v>255</v>
      </c>
      <c r="D5" s="3">
        <v>11192</v>
      </c>
      <c r="E5" s="3">
        <v>52250</v>
      </c>
      <c r="F5" s="4">
        <v>1011038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"*",CHOOSE({1,2}, Super_CBSA!$E$2:$E$1917, Super_CBSA!$A$2:$A$1917), 2,FALSE), ""))</f>
        <v>47900</v>
      </c>
    </row>
    <row r="6" spans="1:7" ht="17">
      <c r="A6" s="1" t="s">
        <v>1138</v>
      </c>
      <c r="B6" s="2" t="s">
        <v>1134</v>
      </c>
      <c r="C6" s="2">
        <v>365</v>
      </c>
      <c r="D6" s="3">
        <v>22598</v>
      </c>
      <c r="E6" s="3">
        <v>114550</v>
      </c>
      <c r="F6" s="4">
        <v>2908871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"*",CHOOSE({1,2}, Super_CBSA!$E$2:$E$1917, Super_CBSA!$A$2:$A$1917), 2,FALSE), ""))</f>
        <v>47900</v>
      </c>
    </row>
    <row r="7" spans="1:7" ht="17">
      <c r="A7" s="1" t="s">
        <v>1139</v>
      </c>
      <c r="B7" s="2" t="s">
        <v>1134</v>
      </c>
      <c r="C7" s="2">
        <v>157</v>
      </c>
      <c r="D7" s="3">
        <v>4981</v>
      </c>
      <c r="E7" s="3">
        <v>29356</v>
      </c>
      <c r="F7" s="4">
        <v>307778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"*",CHOOSE({1,2}, Super_CBSA!$E$2:$E$1917, Super_CBSA!$A$2:$A$1917), 2,FALSE), ""))</f>
        <v>47900</v>
      </c>
    </row>
    <row r="8" spans="1:7" ht="17">
      <c r="A8" s="1" t="s">
        <v>1140</v>
      </c>
      <c r="B8" s="2" t="s">
        <v>1134</v>
      </c>
      <c r="C8" s="2">
        <v>0</v>
      </c>
      <c r="D8" s="2">
        <v>0</v>
      </c>
      <c r="E8" s="2">
        <v>0</v>
      </c>
      <c r="F8" s="4">
        <v>0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"*",CHOOSE({1,2}, Super_CBSA!$E$2:$E$1917, Super_CBSA!$A$2:$A$1917), 2,FALSE), ""))</f>
        <v>47900</v>
      </c>
    </row>
    <row r="9" spans="1:7" ht="17">
      <c r="A9" s="2" t="s">
        <v>56</v>
      </c>
      <c r="B9" s="2"/>
      <c r="C9" s="3">
        <v>2117</v>
      </c>
      <c r="D9" s="3">
        <v>93225</v>
      </c>
      <c r="E9" s="3">
        <v>586450</v>
      </c>
      <c r="F9" s="4">
        <v>12585158</v>
      </c>
    </row>
  </sheetData>
  <hyperlinks>
    <hyperlink ref="A2" r:id="rId1" display="https://www.ahd.com/free_profile/090003/Howard_University_Hospital/Washington/Washington_D.C./" xr:uid="{14E01497-0B50-9F47-9DAB-A42F13B56E2E}"/>
    <hyperlink ref="A3" r:id="rId2" display="https://www.ahd.com/free_profile/090004/MedStar_Georgetown_University_Hospital/Washington/Washington_D.C./" xr:uid="{B4A12ECC-5CB3-B74B-A25F-D3AF990AB85C}"/>
    <hyperlink ref="A4" r:id="rId3" display="https://www.ahd.com/free_profile/090011/Medstar_Washington_Hospital_Center/Washington/Washington_D.C./" xr:uid="{C946C49C-1EC7-7E45-8CDD-C51D35605027}"/>
    <hyperlink ref="A5" r:id="rId4" display="https://www.ahd.com/free_profile/090005/Sibley_Memorial_Hospital/Washington/Washington_D.C./" xr:uid="{3244D06F-10CF-EE42-A907-B8570F7F79CA}"/>
    <hyperlink ref="A6" r:id="rId5" display="https://www.ahd.com/free_profile/090001/The_George_Washington_University_Hospital/Washington/Washington_D.C./" xr:uid="{0411F6D7-2EE8-FC42-AAD1-CEDC983651B3}"/>
    <hyperlink ref="A7" r:id="rId6" display="https://www.ahd.com/free_profile/090008/United_Medical_Center/Washington/Washington_D.C./" xr:uid="{C24E4210-E8A4-F249-9B66-8FA9D2FCD0D7}"/>
    <hyperlink ref="A8" r:id="rId7" display="https://www.ahd.com/free_profile/09002F/Washington_DC_VA_Medical_Center/Washington/Washington_D.C./" xr:uid="{B671A49C-E8FC-0F41-8E25-9B88AA41E365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8E627-1887-0E48-81A0-0B26B3D5D684}">
  <sheetPr codeName="Sheet10"/>
  <dimension ref="A1:G10"/>
  <sheetViews>
    <sheetView workbookViewId="0">
      <selection activeCell="G19" sqref="G19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1141</v>
      </c>
      <c r="B2" s="2" t="s">
        <v>1142</v>
      </c>
      <c r="C2" s="2">
        <v>281</v>
      </c>
      <c r="D2" s="3">
        <v>15070</v>
      </c>
      <c r="E2" s="3">
        <v>74109</v>
      </c>
      <c r="F2" s="4">
        <v>1344293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"*",CHOOSE({1,2}, Super_CBSA!$E$2:$E$1917, Super_CBSA!$A$2:$A$1917), 2,FALSE), ""))</f>
        <v>20100</v>
      </c>
    </row>
    <row r="3" spans="1:7" ht="17">
      <c r="A3" s="1" t="s">
        <v>1143</v>
      </c>
      <c r="B3" s="2" t="s">
        <v>1076</v>
      </c>
      <c r="C3" s="2">
        <v>156</v>
      </c>
      <c r="D3" s="3">
        <v>4689</v>
      </c>
      <c r="E3" s="3">
        <v>19112</v>
      </c>
      <c r="F3" s="4">
        <v>506751</v>
      </c>
      <c r="G3" s="11" t="str" cm="1">
        <f t="array" aca="1" ref="G3" ca="1">IFERROR(VLOOKUP("*" &amp; B3  &amp; "*" &amp; (MID(CELL("filename",A2),FIND("]",CELL("filename",A2))+1,31)) &amp; "*",CHOOSE({1,2}, Super_CBSA!$B$2:$B$1917, Super_CBSA!$A$2:$A$1917), 2,FALSE), IFERROR(VLOOKUP(B3  &amp; "*",CHOOSE({1,2}, Super_CBSA!$E$2:$E$1917, Super_CBSA!$A$2:$A$1917), 2,FALSE), ""))</f>
        <v/>
      </c>
    </row>
    <row r="4" spans="1:7" ht="17">
      <c r="A4" s="1" t="s">
        <v>1144</v>
      </c>
      <c r="B4" s="2" t="s">
        <v>1145</v>
      </c>
      <c r="C4" s="2">
        <v>195</v>
      </c>
      <c r="D4" s="3">
        <v>10655</v>
      </c>
      <c r="E4" s="3">
        <v>46381</v>
      </c>
      <c r="F4" s="4">
        <v>1214983</v>
      </c>
      <c r="G4" s="11" t="str" cm="1">
        <f t="array" aca="1" ref="G4" ca="1">IFERROR(VLOOKUP("*" &amp; B4  &amp; "*" &amp; (MID(CELL("filename",A3),FIND("]",CELL("filename",A3))+1,31)) &amp; "*",CHOOSE({1,2}, Super_CBSA!$B$2:$B$1917, Super_CBSA!$A$2:$A$1917), 2,FALSE), IFERROR(VLOOKUP(B4  &amp; "*",CHOOSE({1,2}, Super_CBSA!$E$2:$E$1917, Super_CBSA!$A$2:$A$1917), 2,FALSE), ""))</f>
        <v/>
      </c>
    </row>
    <row r="5" spans="1:7" ht="17">
      <c r="A5" s="1" t="s">
        <v>1146</v>
      </c>
      <c r="B5" s="2" t="s">
        <v>1147</v>
      </c>
      <c r="C5" s="3">
        <v>1166</v>
      </c>
      <c r="D5" s="3">
        <v>51262</v>
      </c>
      <c r="E5" s="3">
        <v>288636</v>
      </c>
      <c r="F5" s="4">
        <v>3985367</v>
      </c>
      <c r="G5" s="11" t="str" cm="1">
        <f t="array" aca="1" ref="G5" ca="1">IFERROR(VLOOKUP("*" &amp; B5  &amp; "*" &amp; (MID(CELL("filename",A4),FIND("]",CELL("filename",A4))+1,31)) &amp; "*",CHOOSE({1,2}, Super_CBSA!$B$2:$B$1917, Super_CBSA!$A$2:$A$1917), 2,FALSE), IFERROR(VLOOKUP(B5  &amp; "*",CHOOSE({1,2}, Super_CBSA!$E$2:$E$1917, Super_CBSA!$A$2:$A$1917), 2,FALSE), ""))</f>
        <v/>
      </c>
    </row>
    <row r="6" spans="1:7" ht="17">
      <c r="A6" s="1" t="s">
        <v>1148</v>
      </c>
      <c r="B6" s="2" t="s">
        <v>1149</v>
      </c>
      <c r="C6" s="2">
        <v>94</v>
      </c>
      <c r="D6" s="3">
        <v>6414</v>
      </c>
      <c r="E6" s="3">
        <v>20103</v>
      </c>
      <c r="F6" s="4">
        <v>351153</v>
      </c>
      <c r="G6" s="11" t="str" cm="1">
        <f t="array" aca="1" ref="G6" ca="1">IFERROR(VLOOKUP("*" &amp; B6  &amp; "*" &amp; (MID(CELL("filename",A5),FIND("]",CELL("filename",A5))+1,31)) &amp; "*",CHOOSE({1,2}, Super_CBSA!$B$2:$B$1917, Super_CBSA!$A$2:$A$1917), 2,FALSE), IFERROR(VLOOKUP(B6  &amp; "*",CHOOSE({1,2}, Super_CBSA!$E$2:$E$1917, Super_CBSA!$A$2:$A$1917), 2,FALSE), ""))</f>
        <v/>
      </c>
    </row>
    <row r="7" spans="1:7" ht="17">
      <c r="A7" s="1" t="s">
        <v>1150</v>
      </c>
      <c r="B7" s="2" t="s">
        <v>1151</v>
      </c>
      <c r="C7" s="2">
        <v>180</v>
      </c>
      <c r="D7" s="3">
        <v>5815</v>
      </c>
      <c r="E7" s="3">
        <v>22299</v>
      </c>
      <c r="F7" s="4">
        <v>524595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"*",CHOOSE({1,2}, Super_CBSA!$E$2:$E$1917, Super_CBSA!$A$2:$A$1917), 2,FALSE), ""))</f>
        <v>37980</v>
      </c>
    </row>
    <row r="8" spans="1:7" ht="17">
      <c r="A8" s="1" t="s">
        <v>1152</v>
      </c>
      <c r="B8" s="2" t="s">
        <v>1151</v>
      </c>
      <c r="C8" s="2">
        <v>0</v>
      </c>
      <c r="D8" s="2">
        <v>0</v>
      </c>
      <c r="E8" s="2">
        <v>0</v>
      </c>
      <c r="F8" s="4">
        <v>0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"*",CHOOSE({1,2}, Super_CBSA!$E$2:$E$1917, Super_CBSA!$A$2:$A$1917), 2,FALSE), ""))</f>
        <v>37980</v>
      </c>
    </row>
    <row r="9" spans="1:7" ht="17">
      <c r="A9" s="1" t="s">
        <v>1153</v>
      </c>
      <c r="B9" s="2" t="s">
        <v>1151</v>
      </c>
      <c r="C9" s="2">
        <v>0</v>
      </c>
      <c r="D9" s="2">
        <v>0</v>
      </c>
      <c r="E9" s="2">
        <v>0</v>
      </c>
      <c r="F9" s="4">
        <v>0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"*",CHOOSE({1,2}, Super_CBSA!$E$2:$E$1917, Super_CBSA!$A$2:$A$1917), 2,FALSE), ""))</f>
        <v>37980</v>
      </c>
    </row>
    <row r="10" spans="1:7" ht="17">
      <c r="A10" s="2" t="s">
        <v>56</v>
      </c>
      <c r="B10" s="2"/>
      <c r="C10" s="3">
        <v>2072</v>
      </c>
      <c r="D10" s="3">
        <v>93905</v>
      </c>
      <c r="E10" s="3">
        <v>470640</v>
      </c>
      <c r="F10" s="4">
        <v>7927141</v>
      </c>
    </row>
  </sheetData>
  <hyperlinks>
    <hyperlink ref="A2" r:id="rId1" display="https://www.ahd.com/free_profile/080004/Bayhealth_Hospital%2C_Kent_Campus/Dover/Delaware/" xr:uid="{79CB826D-CEFD-0B4B-8659-9460BB65666C}"/>
    <hyperlink ref="A3" r:id="rId2" display="https://www.ahd.com/free_profile/080009/Bayhealth_Hospital%2C_Sussex_Campus/Milford/Delaware/" xr:uid="{A9B7E19D-8FE7-A84C-B8B7-181D877E1BC4}"/>
    <hyperlink ref="A4" r:id="rId3" display="https://www.ahd.com/free_profile/080007/Beebe_Healthcare/Lewes/Delaware/" xr:uid="{C088191A-FF7D-D94C-87AF-1EFCEBDB2E5E}"/>
    <hyperlink ref="A5" r:id="rId4" display="https://www.ahd.com/free_profile/080001/Christiana_Hospital/Newark/Delaware/" xr:uid="{728ACAE6-1E4B-BC41-B7A9-93BC96FFBEE5}"/>
    <hyperlink ref="A6" r:id="rId5" display="https://www.ahd.com/free_profile/080006/Nanticoke_Memorial_Hospital/Seaford/Delaware/" xr:uid="{F6828CA4-2C82-CF41-9E0C-A84493668058}"/>
    <hyperlink ref="A7" r:id="rId6" display="https://www.ahd.com/free_profile/080003/Saint_Francis_Healthcare/Wilmington/Delaware/" xr:uid="{BC5D60E4-25DF-FB49-947B-0F394FA0F7D1}"/>
    <hyperlink ref="A8" r:id="rId7" display="https://www.ahd.com/free_profile/I08189/Wilmington_Hospital/Wilmington/Delaware/" xr:uid="{8594E2DC-B30C-A54E-AC9C-B7AF03399497}"/>
    <hyperlink ref="A9" r:id="rId8" display="https://www.ahd.com/free_profile/08002F/Wilmington_VA_Medical_Center/Wilmington/Delaware/" xr:uid="{9CFEB136-9129-DB4B-AE56-29C58331B295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309B7-CAEE-1B44-AADE-869F36A45C24}">
  <sheetPr codeName="Sheet11"/>
  <dimension ref="A1:G217"/>
  <sheetViews>
    <sheetView workbookViewId="0">
      <selection activeCell="B124" sqref="B124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1154</v>
      </c>
      <c r="B2" s="2" t="s">
        <v>1155</v>
      </c>
      <c r="C2" s="2">
        <v>0</v>
      </c>
      <c r="D2" s="2">
        <v>0</v>
      </c>
      <c r="E2" s="2">
        <v>0</v>
      </c>
      <c r="F2" s="4">
        <v>0</v>
      </c>
      <c r="G2" s="11" t="str" cm="1">
        <f t="array" aca="1" ref="G2" ca="1">IFERROR(VLOOKUP("*" &amp; B2  &amp; "*" &amp; (MID(CELL("filename",A1),FIND("]",CELL("filename",A1))+1,31)) &amp; "*",CHOOSE({1,2}, Super_CBSA!$B$2:$B$1917, Super_CBSA!$A$2:$A$1917), 2,FALSE), IFERROR(VLOOKUP(B2  &amp; "*",CHOOSE({1,2}, Super_CBSA!$E$2:$E$1917, Super_CBSA!$A$2:$A$1917), 2,FALSE), ""))</f>
        <v/>
      </c>
    </row>
    <row r="3" spans="1:7" ht="17">
      <c r="A3" s="1" t="s">
        <v>1156</v>
      </c>
      <c r="B3" s="2" t="s">
        <v>1157</v>
      </c>
      <c r="C3" s="2">
        <v>0</v>
      </c>
      <c r="D3" s="2">
        <v>0</v>
      </c>
      <c r="E3" s="2">
        <v>0</v>
      </c>
      <c r="F3" s="4">
        <v>0</v>
      </c>
      <c r="G3" s="11" t="str" cm="1">
        <f t="array" aca="1" ref="G3" ca="1">IFERROR(VLOOKUP("*" &amp; B3  &amp; "*" &amp; (MID(CELL("filename",A2),FIND("]",CELL("filename",A2))+1,31)) &amp; "*",CHOOSE({1,2}, Super_CBSA!$B$2:$B$1917, Super_CBSA!$A$2:$A$1917), 2,FALSE), IFERROR(VLOOKUP(B3  &amp; "*",CHOOSE({1,2}, Super_CBSA!$E$2:$E$1917, Super_CBSA!$A$2:$A$1917), 2,FALSE), ""))</f>
        <v/>
      </c>
    </row>
    <row r="4" spans="1:7" ht="17">
      <c r="A4" s="1" t="s">
        <v>1158</v>
      </c>
      <c r="B4" s="2" t="s">
        <v>1159</v>
      </c>
      <c r="C4" s="2">
        <v>0</v>
      </c>
      <c r="D4" s="2">
        <v>0</v>
      </c>
      <c r="E4" s="2">
        <v>0</v>
      </c>
      <c r="F4" s="4">
        <v>0</v>
      </c>
      <c r="G4" s="11" t="str" cm="1">
        <f t="array" aca="1" ref="G4" ca="1">IFERROR(VLOOKUP("*" &amp; B4  &amp; "*" &amp; (MID(CELL("filename",A3),FIND("]",CELL("filename",A3))+1,31)) &amp; "*",CHOOSE({1,2}, Super_CBSA!$B$2:$B$1917, Super_CBSA!$A$2:$A$1917), 2,FALSE), IFERROR(VLOOKUP(B4  &amp; "*",CHOOSE({1,2}, Super_CBSA!$E$2:$E$1917, Super_CBSA!$A$2:$A$1917), 2,FALSE), ""))</f>
        <v/>
      </c>
    </row>
    <row r="5" spans="1:7" ht="17">
      <c r="A5" s="1" t="s">
        <v>1160</v>
      </c>
      <c r="B5" s="2" t="s">
        <v>1161</v>
      </c>
      <c r="C5" s="2">
        <v>103</v>
      </c>
      <c r="D5" s="3">
        <v>5157</v>
      </c>
      <c r="E5" s="3">
        <v>19364</v>
      </c>
      <c r="F5" s="4">
        <v>786317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"*",CHOOSE({1,2}, Super_CBSA!$E$2:$E$1917, Super_CBSA!$A$2:$A$1917), 2,FALSE), ""))</f>
        <v>45300</v>
      </c>
    </row>
    <row r="6" spans="1:7" ht="17">
      <c r="A6" s="1" t="s">
        <v>1162</v>
      </c>
      <c r="B6" s="2" t="s">
        <v>1163</v>
      </c>
      <c r="C6" s="2">
        <v>0</v>
      </c>
      <c r="D6" s="2">
        <v>0</v>
      </c>
      <c r="E6" s="2">
        <v>0</v>
      </c>
      <c r="F6" s="4">
        <v>0</v>
      </c>
      <c r="G6" s="11" t="str" cm="1">
        <f t="array" aca="1" ref="G6" ca="1">IFERROR(VLOOKUP("*" &amp; B6  &amp; "*" &amp; (MID(CELL("filename",A5),FIND("]",CELL("filename",A5))+1,31)) &amp; "*",CHOOSE({1,2}, Super_CBSA!$B$2:$B$1917, Super_CBSA!$A$2:$A$1917), 2,FALSE), IFERROR(VLOOKUP(B6  &amp; "*",CHOOSE({1,2}, Super_CBSA!$E$2:$E$1917, Super_CBSA!$A$2:$A$1917), 2,FALSE), ""))</f>
        <v/>
      </c>
    </row>
    <row r="7" spans="1:7" ht="17">
      <c r="A7" s="1" t="s">
        <v>1164</v>
      </c>
      <c r="B7" s="2" t="s">
        <v>1165</v>
      </c>
      <c r="C7" s="2">
        <v>120</v>
      </c>
      <c r="D7" s="3">
        <v>2334</v>
      </c>
      <c r="E7" s="3">
        <v>7495</v>
      </c>
      <c r="F7" s="4">
        <v>351883</v>
      </c>
      <c r="G7" s="11" t="str" cm="1">
        <f t="array" aca="1" ref="G7" ca="1">IFERROR(VLOOKUP("*" &amp; B7  &amp; "*" &amp; (MID(CELL("filename",A6),FIND("]",CELL("filename",A6))+1,31)) &amp; "*",CHOOSE({1,2}, Super_CBSA!$B$2:$B$1917, Super_CBSA!$A$2:$A$1917), 2,FALSE), IFERROR(VLOOKUP(B7  &amp; "*",CHOOSE({1,2}, Super_CBSA!$E$2:$E$1917, Super_CBSA!$A$2:$A$1917), 2,FALSE), ""))</f>
        <v/>
      </c>
    </row>
    <row r="8" spans="1:7" ht="17">
      <c r="A8" s="1" t="s">
        <v>1166</v>
      </c>
      <c r="B8" s="2" t="s">
        <v>1167</v>
      </c>
      <c r="C8" s="2">
        <v>0</v>
      </c>
      <c r="D8" s="2">
        <v>0</v>
      </c>
      <c r="E8" s="2">
        <v>0</v>
      </c>
      <c r="F8" s="4">
        <v>0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"*",CHOOSE({1,2}, Super_CBSA!$E$2:$E$1917, Super_CBSA!$A$2:$A$1917), 2,FALSE), ""))</f>
        <v>19660</v>
      </c>
    </row>
    <row r="9" spans="1:7" ht="17">
      <c r="A9" s="1" t="s">
        <v>1168</v>
      </c>
      <c r="B9" s="2" t="s">
        <v>1169</v>
      </c>
      <c r="C9" s="2">
        <v>164</v>
      </c>
      <c r="D9" s="3">
        <v>8436</v>
      </c>
      <c r="E9" s="3">
        <v>34262</v>
      </c>
      <c r="F9" s="4">
        <v>786861</v>
      </c>
      <c r="G9" s="11" t="str" cm="1">
        <f t="array" aca="1" ref="G9" ca="1">IFERROR(VLOOKUP("*" &amp; B9  &amp; "*" &amp; (MID(CELL("filename",A8),FIND("]",CELL("filename",A8))+1,31)) &amp; "*",CHOOSE({1,2}, Super_CBSA!$B$2:$B$1917, Super_CBSA!$A$2:$A$1917), 2,FALSE), IFERROR(VLOOKUP(B9  &amp; "*",CHOOSE({1,2}, Super_CBSA!$E$2:$E$1917, Super_CBSA!$A$2:$A$1917), 2,FALSE), ""))</f>
        <v/>
      </c>
    </row>
    <row r="10" spans="1:7" ht="17">
      <c r="A10" s="1" t="s">
        <v>1170</v>
      </c>
      <c r="B10" s="2" t="s">
        <v>1171</v>
      </c>
      <c r="C10" s="2">
        <v>0</v>
      </c>
      <c r="D10" s="2">
        <v>0</v>
      </c>
      <c r="E10" s="2">
        <v>0</v>
      </c>
      <c r="F10" s="4">
        <v>0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"*",CHOOSE({1,2}, Super_CBSA!$E$2:$E$1917, Super_CBSA!$A$2:$A$1917), 2,FALSE), ""))</f>
        <v>36740</v>
      </c>
    </row>
    <row r="11" spans="1:7" ht="17">
      <c r="A11" s="1" t="s">
        <v>1172</v>
      </c>
      <c r="B11" s="2" t="s">
        <v>1173</v>
      </c>
      <c r="C11" s="2">
        <v>179</v>
      </c>
      <c r="D11" s="3">
        <v>9710</v>
      </c>
      <c r="E11" s="3">
        <v>42707</v>
      </c>
      <c r="F11" s="4">
        <v>777205</v>
      </c>
      <c r="G11" s="11" t="str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"*",CHOOSE({1,2}, Super_CBSA!$E$2:$E$1917, Super_CBSA!$A$2:$A$1917), 2,FALSE), ""))</f>
        <v/>
      </c>
    </row>
    <row r="12" spans="1:7" ht="17">
      <c r="A12" s="1" t="s">
        <v>1174</v>
      </c>
      <c r="B12" s="2" t="s">
        <v>1175</v>
      </c>
      <c r="C12" s="2">
        <v>193</v>
      </c>
      <c r="D12" s="3">
        <v>8278</v>
      </c>
      <c r="E12" s="3">
        <v>36074</v>
      </c>
      <c r="F12" s="4">
        <v>1509450</v>
      </c>
      <c r="G12" s="11" t="str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"*",CHOOSE({1,2}, Super_CBSA!$E$2:$E$1917, Super_CBSA!$A$2:$A$1917), 2,FALSE), ""))</f>
        <v/>
      </c>
    </row>
    <row r="13" spans="1:7" ht="17">
      <c r="A13" s="1" t="s">
        <v>1176</v>
      </c>
      <c r="B13" s="2" t="s">
        <v>1177</v>
      </c>
      <c r="C13" s="2">
        <v>0</v>
      </c>
      <c r="D13" s="2">
        <v>0</v>
      </c>
      <c r="E13" s="2">
        <v>0</v>
      </c>
      <c r="F13" s="4">
        <v>0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"*",CHOOSE({1,2}, Super_CBSA!$E$2:$E$1917, Super_CBSA!$A$2:$A$1917), 2,FALSE), ""))</f>
        <v>36740</v>
      </c>
    </row>
    <row r="14" spans="1:7" ht="17">
      <c r="A14" s="1" t="s">
        <v>1178</v>
      </c>
      <c r="B14" s="2" t="s">
        <v>1179</v>
      </c>
      <c r="C14" s="2">
        <v>0</v>
      </c>
      <c r="D14" s="2">
        <v>0</v>
      </c>
      <c r="E14" s="2">
        <v>0</v>
      </c>
      <c r="F14" s="4">
        <v>0</v>
      </c>
      <c r="G14" s="11" t="str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"*",CHOOSE({1,2}, Super_CBSA!$E$2:$E$1917, Super_CBSA!$A$2:$A$1917), 2,FALSE), ""))</f>
        <v/>
      </c>
    </row>
    <row r="15" spans="1:7" ht="17">
      <c r="A15" s="1" t="s">
        <v>1180</v>
      </c>
      <c r="B15" s="2" t="s">
        <v>1181</v>
      </c>
      <c r="C15" s="2">
        <v>131</v>
      </c>
      <c r="D15" s="3">
        <v>5408</v>
      </c>
      <c r="E15" s="3">
        <v>17336</v>
      </c>
      <c r="F15" s="4">
        <v>558811</v>
      </c>
      <c r="G15" s="11" t="str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"*",CHOOSE({1,2}, Super_CBSA!$E$2:$E$1917, Super_CBSA!$A$2:$A$1917), 2,FALSE), ""))</f>
        <v/>
      </c>
    </row>
    <row r="16" spans="1:7" ht="17">
      <c r="A16" s="1" t="s">
        <v>1182</v>
      </c>
      <c r="B16" s="2" t="s">
        <v>1183</v>
      </c>
      <c r="C16" s="2">
        <v>112</v>
      </c>
      <c r="D16" s="3">
        <v>5605</v>
      </c>
      <c r="E16" s="3">
        <v>24673</v>
      </c>
      <c r="F16" s="4">
        <v>414730</v>
      </c>
      <c r="G16" s="11" t="str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"*",CHOOSE({1,2}, Super_CBSA!$E$2:$E$1917, Super_CBSA!$A$2:$A$1917), 2,FALSE), ""))</f>
        <v/>
      </c>
    </row>
    <row r="17" spans="1:7" ht="17">
      <c r="A17" s="1" t="s">
        <v>1184</v>
      </c>
      <c r="B17" s="2" t="s">
        <v>1185</v>
      </c>
      <c r="C17" s="2">
        <v>168</v>
      </c>
      <c r="D17" s="3">
        <v>5389</v>
      </c>
      <c r="E17" s="3">
        <v>20947</v>
      </c>
      <c r="F17" s="4">
        <v>0</v>
      </c>
      <c r="G17" s="11" t="str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"*",CHOOSE({1,2}, Super_CBSA!$E$2:$E$1917, Super_CBSA!$A$2:$A$1917), 2,FALSE), ""))</f>
        <v/>
      </c>
    </row>
    <row r="18" spans="1:7" ht="17">
      <c r="A18" s="1" t="s">
        <v>1186</v>
      </c>
      <c r="B18" s="2" t="s">
        <v>1187</v>
      </c>
      <c r="C18" s="2">
        <v>425</v>
      </c>
      <c r="D18" s="3">
        <v>19313</v>
      </c>
      <c r="E18" s="3">
        <v>83009</v>
      </c>
      <c r="F18" s="4">
        <v>2052056</v>
      </c>
      <c r="G18" s="11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"*",CHOOSE({1,2}, Super_CBSA!$E$2:$E$1917, Super_CBSA!$A$2:$A$1917), 2,FALSE), ""))</f>
        <v>36100</v>
      </c>
    </row>
    <row r="19" spans="1:7" ht="17">
      <c r="A19" s="1" t="s">
        <v>1188</v>
      </c>
      <c r="B19" s="2" t="s">
        <v>1171</v>
      </c>
      <c r="C19" s="3">
        <v>2826</v>
      </c>
      <c r="D19" s="3">
        <v>128501</v>
      </c>
      <c r="E19" s="3">
        <v>658243</v>
      </c>
      <c r="F19" s="4">
        <v>18165611</v>
      </c>
      <c r="G19" s="11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"*",CHOOSE({1,2}, Super_CBSA!$E$2:$E$1917, Super_CBSA!$A$2:$A$1917), 2,FALSE), ""))</f>
        <v>36740</v>
      </c>
    </row>
    <row r="20" spans="1:7" ht="17">
      <c r="A20" s="1" t="s">
        <v>1189</v>
      </c>
      <c r="B20" s="2" t="s">
        <v>1190</v>
      </c>
      <c r="C20" s="2">
        <v>99</v>
      </c>
      <c r="D20" s="3">
        <v>8093</v>
      </c>
      <c r="E20" s="3">
        <v>32683</v>
      </c>
      <c r="F20" s="4">
        <v>814892</v>
      </c>
      <c r="G20" s="11" t="str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"*",CHOOSE({1,2}, Super_CBSA!$E$2:$E$1917, Super_CBSA!$A$2:$A$1917), 2,FALSE), ""))</f>
        <v/>
      </c>
    </row>
    <row r="21" spans="1:7" ht="17">
      <c r="A21" s="1" t="s">
        <v>1191</v>
      </c>
      <c r="B21" s="2" t="s">
        <v>1161</v>
      </c>
      <c r="C21" s="2">
        <v>0</v>
      </c>
      <c r="D21" s="2">
        <v>0</v>
      </c>
      <c r="E21" s="2">
        <v>0</v>
      </c>
      <c r="F21" s="4">
        <v>0</v>
      </c>
      <c r="G21" s="11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"*",CHOOSE({1,2}, Super_CBSA!$E$2:$E$1917, Super_CBSA!$A$2:$A$1917), 2,FALSE), ""))</f>
        <v>45300</v>
      </c>
    </row>
    <row r="22" spans="1:7" ht="17">
      <c r="A22" s="1" t="s">
        <v>1192</v>
      </c>
      <c r="B22" s="2" t="s">
        <v>1193</v>
      </c>
      <c r="C22" s="2">
        <v>197</v>
      </c>
      <c r="D22" s="3">
        <v>10927</v>
      </c>
      <c r="E22" s="3">
        <v>45483</v>
      </c>
      <c r="F22" s="4">
        <v>1201463</v>
      </c>
      <c r="G22" s="11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"*",CHOOSE({1,2}, Super_CBSA!$E$2:$E$1917, Super_CBSA!$A$2:$A$1917), 2,FALSE), ""))</f>
        <v>42700</v>
      </c>
    </row>
    <row r="23" spans="1:7" ht="17">
      <c r="A23" s="1" t="s">
        <v>1194</v>
      </c>
      <c r="B23" s="2" t="s">
        <v>1161</v>
      </c>
      <c r="C23" s="2">
        <v>536</v>
      </c>
      <c r="D23" s="3">
        <v>21845</v>
      </c>
      <c r="E23" s="3">
        <v>116953</v>
      </c>
      <c r="F23" s="4">
        <v>3016076</v>
      </c>
      <c r="G23" s="11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"*",CHOOSE({1,2}, Super_CBSA!$E$2:$E$1917, Super_CBSA!$A$2:$A$1917), 2,FALSE), ""))</f>
        <v>45300</v>
      </c>
    </row>
    <row r="24" spans="1:7" ht="17">
      <c r="A24" s="1" t="s">
        <v>1195</v>
      </c>
      <c r="B24" s="2" t="s">
        <v>1196</v>
      </c>
      <c r="C24" s="2">
        <v>269</v>
      </c>
      <c r="D24" s="3">
        <v>15150</v>
      </c>
      <c r="E24" s="3">
        <v>65446</v>
      </c>
      <c r="F24" s="4">
        <v>1328728</v>
      </c>
      <c r="G24" s="11" t="str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"*",CHOOSE({1,2}, Super_CBSA!$E$2:$E$1917, Super_CBSA!$A$2:$A$1917), 2,FALSE), ""))</f>
        <v/>
      </c>
    </row>
    <row r="25" spans="1:7" ht="17">
      <c r="A25" s="1" t="s">
        <v>1197</v>
      </c>
      <c r="B25" s="2" t="s">
        <v>1198</v>
      </c>
      <c r="C25" s="2">
        <v>145</v>
      </c>
      <c r="D25" s="3">
        <v>7822</v>
      </c>
      <c r="E25" s="3">
        <v>23723</v>
      </c>
      <c r="F25" s="4">
        <v>1145725</v>
      </c>
      <c r="G25" s="11" t="str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"*",CHOOSE({1,2}, Super_CBSA!$E$2:$E$1917, Super_CBSA!$A$2:$A$1917), 2,FALSE), ""))</f>
        <v/>
      </c>
    </row>
    <row r="26" spans="1:7" ht="17">
      <c r="A26" s="1" t="s">
        <v>1199</v>
      </c>
      <c r="B26" s="2" t="s">
        <v>1200</v>
      </c>
      <c r="C26" s="2">
        <v>0</v>
      </c>
      <c r="D26" s="2">
        <v>0</v>
      </c>
      <c r="E26" s="2">
        <v>0</v>
      </c>
      <c r="F26" s="4">
        <v>0</v>
      </c>
      <c r="G26" s="11" t="str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"*",CHOOSE({1,2}, Super_CBSA!$E$2:$E$1917, Super_CBSA!$A$2:$A$1917), 2,FALSE), ""))</f>
        <v/>
      </c>
    </row>
    <row r="27" spans="1:7" ht="17">
      <c r="A27" s="1" t="s">
        <v>1201</v>
      </c>
      <c r="B27" s="2" t="s">
        <v>1202</v>
      </c>
      <c r="C27" s="2">
        <v>149</v>
      </c>
      <c r="D27" s="3">
        <v>8942</v>
      </c>
      <c r="E27" s="3">
        <v>34001</v>
      </c>
      <c r="F27" s="4">
        <v>1007596</v>
      </c>
      <c r="G27" s="11" t="str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"*",CHOOSE({1,2}, Super_CBSA!$E$2:$E$1917, Super_CBSA!$A$2:$A$1917), 2,FALSE), ""))</f>
        <v/>
      </c>
    </row>
    <row r="28" spans="1:7" ht="17">
      <c r="A28" s="1" t="s">
        <v>1203</v>
      </c>
      <c r="B28" s="2" t="s">
        <v>1204</v>
      </c>
      <c r="C28" s="2">
        <v>62</v>
      </c>
      <c r="D28" s="3">
        <v>5380</v>
      </c>
      <c r="E28" s="3">
        <v>16055</v>
      </c>
      <c r="F28" s="4">
        <v>712410</v>
      </c>
      <c r="G28" s="11" t="str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"*",CHOOSE({1,2}, Super_CBSA!$E$2:$E$1917, Super_CBSA!$A$2:$A$1917), 2,FALSE), ""))</f>
        <v/>
      </c>
    </row>
    <row r="29" spans="1:7" ht="17">
      <c r="A29" s="1" t="s">
        <v>1205</v>
      </c>
      <c r="B29" s="2" t="s">
        <v>1206</v>
      </c>
      <c r="C29" s="2">
        <v>19</v>
      </c>
      <c r="D29" s="2">
        <v>396</v>
      </c>
      <c r="E29" s="3">
        <v>1049</v>
      </c>
      <c r="F29" s="4">
        <v>52340</v>
      </c>
      <c r="G29" s="11" t="str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"*",CHOOSE({1,2}, Super_CBSA!$E$2:$E$1917, Super_CBSA!$A$2:$A$1917), 2,FALSE), ""))</f>
        <v/>
      </c>
    </row>
    <row r="30" spans="1:7" ht="17">
      <c r="A30" s="1" t="s">
        <v>1207</v>
      </c>
      <c r="B30" s="2" t="s">
        <v>1208</v>
      </c>
      <c r="C30" s="2">
        <v>561</v>
      </c>
      <c r="D30" s="3">
        <v>24138</v>
      </c>
      <c r="E30" s="3">
        <v>117781</v>
      </c>
      <c r="F30" s="4">
        <v>2881563</v>
      </c>
      <c r="G30" s="11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"*",CHOOSE({1,2}, Super_CBSA!$E$2:$E$1917, Super_CBSA!$A$2:$A$1917), 2,FALSE), ""))</f>
        <v>37860</v>
      </c>
    </row>
    <row r="31" spans="1:7" ht="17">
      <c r="A31" s="1" t="s">
        <v>1209</v>
      </c>
      <c r="B31" s="2" t="s">
        <v>1210</v>
      </c>
      <c r="C31" s="2">
        <v>106</v>
      </c>
      <c r="D31" s="3">
        <v>6948</v>
      </c>
      <c r="E31" s="3">
        <v>22984</v>
      </c>
      <c r="F31" s="4">
        <v>714759</v>
      </c>
      <c r="G31" s="11" t="str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"*",CHOOSE({1,2}, Super_CBSA!$E$2:$E$1917, Super_CBSA!$A$2:$A$1917), 2,FALSE), ""))</f>
        <v/>
      </c>
    </row>
    <row r="32" spans="1:7" ht="17">
      <c r="A32" s="1" t="s">
        <v>1211</v>
      </c>
      <c r="B32" s="2" t="s">
        <v>1212</v>
      </c>
      <c r="C32" s="2">
        <v>479</v>
      </c>
      <c r="D32" s="3">
        <v>22120</v>
      </c>
      <c r="E32" s="3">
        <v>100077</v>
      </c>
      <c r="F32" s="4">
        <v>2694039</v>
      </c>
      <c r="G32" s="11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"*",CHOOSE({1,2}, Super_CBSA!$E$2:$E$1917, Super_CBSA!$A$2:$A$1917), 2,FALSE), ""))</f>
        <v>27260</v>
      </c>
    </row>
    <row r="33" spans="1:7" ht="17">
      <c r="A33" s="1" t="s">
        <v>1213</v>
      </c>
      <c r="B33" s="2" t="s">
        <v>1212</v>
      </c>
      <c r="C33" s="2">
        <v>260</v>
      </c>
      <c r="D33" s="3">
        <v>10336</v>
      </c>
      <c r="E33" s="3">
        <v>36846</v>
      </c>
      <c r="F33" s="4">
        <v>1059584</v>
      </c>
      <c r="G33" s="11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"*",CHOOSE({1,2}, Super_CBSA!$E$2:$E$1917, Super_CBSA!$A$2:$A$1917), 2,FALSE), ""))</f>
        <v>27260</v>
      </c>
    </row>
    <row r="34" spans="1:7" ht="17">
      <c r="A34" s="1" t="s">
        <v>1214</v>
      </c>
      <c r="B34" s="2" t="s">
        <v>1215</v>
      </c>
      <c r="C34" s="2">
        <v>407</v>
      </c>
      <c r="D34" s="3">
        <v>17469</v>
      </c>
      <c r="E34" s="3">
        <v>93237</v>
      </c>
      <c r="F34" s="4">
        <v>2835786</v>
      </c>
      <c r="G34" s="11" t="str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"*",CHOOSE({1,2}, Super_CBSA!$E$2:$E$1917, Super_CBSA!$A$2:$A$1917), 2,FALSE), ""))</f>
        <v/>
      </c>
    </row>
    <row r="35" spans="1:7" ht="17">
      <c r="A35" s="1" t="s">
        <v>1216</v>
      </c>
      <c r="B35" s="2" t="s">
        <v>1212</v>
      </c>
      <c r="C35" s="2">
        <v>0</v>
      </c>
      <c r="D35" s="2">
        <v>0</v>
      </c>
      <c r="E35" s="2">
        <v>0</v>
      </c>
      <c r="F35" s="4">
        <v>0</v>
      </c>
      <c r="G35" s="11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"*",CHOOSE({1,2}, Super_CBSA!$E$2:$E$1917, Super_CBSA!$A$2:$A$1917), 2,FALSE), ""))</f>
        <v>27260</v>
      </c>
    </row>
    <row r="36" spans="1:7" ht="17">
      <c r="A36" s="1" t="s">
        <v>1217</v>
      </c>
      <c r="B36" s="2" t="s">
        <v>1208</v>
      </c>
      <c r="C36" s="2">
        <v>326</v>
      </c>
      <c r="D36" s="3">
        <v>15016</v>
      </c>
      <c r="E36" s="3">
        <v>74371</v>
      </c>
      <c r="F36" s="4">
        <v>1902200</v>
      </c>
      <c r="G36" s="11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"*",CHOOSE({1,2}, Super_CBSA!$E$2:$E$1917, Super_CBSA!$A$2:$A$1917), 2,FALSE), ""))</f>
        <v>37860</v>
      </c>
    </row>
    <row r="37" spans="1:7" ht="17">
      <c r="A37" s="1" t="s">
        <v>1217</v>
      </c>
      <c r="B37" s="2" t="s">
        <v>1218</v>
      </c>
      <c r="C37" s="2">
        <v>728</v>
      </c>
      <c r="D37" s="3">
        <v>30607</v>
      </c>
      <c r="E37" s="3">
        <v>195651</v>
      </c>
      <c r="F37" s="4">
        <v>5512988</v>
      </c>
      <c r="G37" s="11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"*",CHOOSE({1,2}, Super_CBSA!$E$2:$E$1917, Super_CBSA!$A$2:$A$1917), 2,FALSE), ""))</f>
        <v>33100</v>
      </c>
    </row>
    <row r="38" spans="1:7" ht="17">
      <c r="A38" s="1" t="s">
        <v>1219</v>
      </c>
      <c r="B38" s="2" t="s">
        <v>1220</v>
      </c>
      <c r="C38" s="2">
        <v>135</v>
      </c>
      <c r="D38" s="3">
        <v>8586</v>
      </c>
      <c r="E38" s="3">
        <v>29041</v>
      </c>
      <c r="F38" s="4">
        <v>670739</v>
      </c>
      <c r="G38" s="11" t="str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"*",CHOOSE({1,2}, Super_CBSA!$E$2:$E$1917, Super_CBSA!$A$2:$A$1917), 2,FALSE), ""))</f>
        <v/>
      </c>
    </row>
    <row r="39" spans="1:7" ht="17">
      <c r="A39" s="1" t="s">
        <v>1221</v>
      </c>
      <c r="B39" s="2" t="s">
        <v>1212</v>
      </c>
      <c r="C39" s="2">
        <v>903</v>
      </c>
      <c r="D39" s="3">
        <v>47629</v>
      </c>
      <c r="E39" s="3">
        <v>244556</v>
      </c>
      <c r="F39" s="4">
        <v>6076611</v>
      </c>
      <c r="G39" s="11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"*",CHOOSE({1,2}, Super_CBSA!$E$2:$E$1917, Super_CBSA!$A$2:$A$1917), 2,FALSE), ""))</f>
        <v>27260</v>
      </c>
    </row>
    <row r="40" spans="1:7" ht="17">
      <c r="A40" s="1" t="s">
        <v>1222</v>
      </c>
      <c r="B40" s="2" t="s">
        <v>1223</v>
      </c>
      <c r="C40" s="2">
        <v>54</v>
      </c>
      <c r="D40" s="3">
        <v>3700</v>
      </c>
      <c r="E40" s="3">
        <v>11546</v>
      </c>
      <c r="F40" s="4">
        <v>342744</v>
      </c>
      <c r="G40" s="11" t="str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"*",CHOOSE({1,2}, Super_CBSA!$E$2:$E$1917, Super_CBSA!$A$2:$A$1917), 2,FALSE), ""))</f>
        <v/>
      </c>
    </row>
    <row r="41" spans="1:7" ht="17">
      <c r="A41" s="1" t="s">
        <v>88</v>
      </c>
      <c r="B41" s="2" t="s">
        <v>1212</v>
      </c>
      <c r="C41" s="2">
        <v>0</v>
      </c>
      <c r="D41" s="2">
        <v>0</v>
      </c>
      <c r="E41" s="2">
        <v>0</v>
      </c>
      <c r="F41" s="4">
        <v>0</v>
      </c>
      <c r="G41" s="11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"*",CHOOSE({1,2}, Super_CBSA!$E$2:$E$1917, Super_CBSA!$A$2:$A$1917), 2,FALSE), ""))</f>
        <v>27260</v>
      </c>
    </row>
    <row r="42" spans="1:7" ht="17">
      <c r="A42" s="1" t="s">
        <v>1224</v>
      </c>
      <c r="B42" s="2" t="s">
        <v>1225</v>
      </c>
      <c r="C42" s="2">
        <v>72</v>
      </c>
      <c r="D42" s="3">
        <v>3005</v>
      </c>
      <c r="E42" s="3">
        <v>11481</v>
      </c>
      <c r="F42" s="4">
        <v>367534</v>
      </c>
      <c r="G42" s="11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"*",CHOOSE({1,2}, Super_CBSA!$E$2:$E$1917, Super_CBSA!$A$2:$A$1917), 2,FALSE), ""))</f>
        <v>12060</v>
      </c>
    </row>
    <row r="43" spans="1:7" ht="17">
      <c r="A43" s="1" t="s">
        <v>1226</v>
      </c>
      <c r="B43" s="2" t="s">
        <v>1218</v>
      </c>
      <c r="C43" s="2">
        <v>56</v>
      </c>
      <c r="D43" s="2">
        <v>51</v>
      </c>
      <c r="E43" s="2">
        <v>165</v>
      </c>
      <c r="F43" s="4">
        <v>558211</v>
      </c>
      <c r="G43" s="11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"*",CHOOSE({1,2}, Super_CBSA!$E$2:$E$1917, Super_CBSA!$A$2:$A$1917), 2,FALSE), ""))</f>
        <v>33100</v>
      </c>
    </row>
    <row r="44" spans="1:7" ht="17">
      <c r="A44" s="1" t="s">
        <v>1227</v>
      </c>
      <c r="B44" s="2" t="s">
        <v>1228</v>
      </c>
      <c r="C44" s="2">
        <v>293</v>
      </c>
      <c r="D44" s="3">
        <v>11247</v>
      </c>
      <c r="E44" s="3">
        <v>59970</v>
      </c>
      <c r="F44" s="4">
        <v>1365212</v>
      </c>
      <c r="G44" s="11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"*",CHOOSE({1,2}, Super_CBSA!$E$2:$E$1917, Super_CBSA!$A$2:$A$1917), 2,FALSE), ""))</f>
        <v>37460</v>
      </c>
    </row>
    <row r="45" spans="1:7" ht="17">
      <c r="A45" s="1" t="s">
        <v>1229</v>
      </c>
      <c r="B45" s="2" t="s">
        <v>1230</v>
      </c>
      <c r="C45" s="2">
        <v>0</v>
      </c>
      <c r="D45" s="2">
        <v>0</v>
      </c>
      <c r="E45" s="2">
        <v>0</v>
      </c>
      <c r="F45" s="4">
        <v>0</v>
      </c>
      <c r="G45" s="11" t="str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"*",CHOOSE({1,2}, Super_CBSA!$E$2:$E$1917, Super_CBSA!$A$2:$A$1917), 2,FALSE), ""))</f>
        <v/>
      </c>
    </row>
    <row r="46" spans="1:7" ht="17">
      <c r="A46" s="1" t="s">
        <v>1231</v>
      </c>
      <c r="B46" s="2" t="s">
        <v>1232</v>
      </c>
      <c r="C46" s="2">
        <v>244</v>
      </c>
      <c r="D46" s="3">
        <v>10167</v>
      </c>
      <c r="E46" s="3">
        <v>39731</v>
      </c>
      <c r="F46" s="4">
        <v>1638282</v>
      </c>
      <c r="G46" s="11" t="str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"*",CHOOSE({1,2}, Super_CBSA!$E$2:$E$1917, Super_CBSA!$A$2:$A$1917), 2,FALSE), ""))</f>
        <v/>
      </c>
    </row>
    <row r="47" spans="1:7" ht="17">
      <c r="A47" s="1" t="s">
        <v>1233</v>
      </c>
      <c r="B47" s="2" t="s">
        <v>1234</v>
      </c>
      <c r="C47" s="2">
        <v>254</v>
      </c>
      <c r="D47" s="3">
        <v>10620</v>
      </c>
      <c r="E47" s="3">
        <v>49813</v>
      </c>
      <c r="F47" s="4">
        <v>1668703</v>
      </c>
      <c r="G47" s="11" t="str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"*",CHOOSE({1,2}, Super_CBSA!$E$2:$E$1917, Super_CBSA!$A$2:$A$1917), 2,FALSE), ""))</f>
        <v/>
      </c>
    </row>
    <row r="48" spans="1:7" ht="17">
      <c r="A48" s="1" t="s">
        <v>1235</v>
      </c>
      <c r="B48" s="2" t="s">
        <v>1236</v>
      </c>
      <c r="C48" s="2">
        <v>188</v>
      </c>
      <c r="D48" s="3">
        <v>3990</v>
      </c>
      <c r="E48" s="3">
        <v>17385</v>
      </c>
      <c r="F48" s="4">
        <v>614497</v>
      </c>
      <c r="G48" s="11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"*",CHOOSE({1,2}, Super_CBSA!$E$2:$E$1917, Super_CBSA!$A$2:$A$1917), 2,FALSE), ""))</f>
        <v>39460</v>
      </c>
    </row>
    <row r="49" spans="1:7" ht="17">
      <c r="A49" s="1" t="s">
        <v>1237</v>
      </c>
      <c r="B49" s="2" t="s">
        <v>1238</v>
      </c>
      <c r="C49" s="2">
        <v>128</v>
      </c>
      <c r="D49" s="3">
        <v>5963</v>
      </c>
      <c r="E49" s="3">
        <v>25515</v>
      </c>
      <c r="F49" s="4">
        <v>818108</v>
      </c>
      <c r="G49" s="11" t="str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"*",CHOOSE({1,2}, Super_CBSA!$E$2:$E$1917, Super_CBSA!$A$2:$A$1917), 2,FALSE), ""))</f>
        <v/>
      </c>
    </row>
    <row r="50" spans="1:7" ht="17">
      <c r="A50" s="1" t="s">
        <v>1239</v>
      </c>
      <c r="B50" s="2" t="s">
        <v>1240</v>
      </c>
      <c r="C50" s="2">
        <v>88</v>
      </c>
      <c r="D50" s="3">
        <v>4933</v>
      </c>
      <c r="E50" s="3">
        <v>19869</v>
      </c>
      <c r="F50" s="4">
        <v>90265</v>
      </c>
      <c r="G50" s="11" t="str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"*",CHOOSE({1,2}, Super_CBSA!$E$2:$E$1917, Super_CBSA!$A$2:$A$1917), 2,FALSE), ""))</f>
        <v/>
      </c>
    </row>
    <row r="51" spans="1:7" ht="17">
      <c r="A51" s="1" t="s">
        <v>1241</v>
      </c>
      <c r="B51" s="2" t="s">
        <v>1242</v>
      </c>
      <c r="C51" s="2">
        <v>364</v>
      </c>
      <c r="D51" s="3">
        <v>15392</v>
      </c>
      <c r="E51" s="3">
        <v>73960</v>
      </c>
      <c r="F51" s="4">
        <v>2125744</v>
      </c>
      <c r="G51" s="11" t="str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"*",CHOOSE({1,2}, Super_CBSA!$E$2:$E$1917, Super_CBSA!$A$2:$A$1917), 2,FALSE), ""))</f>
        <v/>
      </c>
    </row>
    <row r="52" spans="1:7" ht="17">
      <c r="A52" s="1" t="s">
        <v>1243</v>
      </c>
      <c r="B52" s="2" t="s">
        <v>1244</v>
      </c>
      <c r="C52" s="2">
        <v>467</v>
      </c>
      <c r="D52" s="3">
        <v>19077</v>
      </c>
      <c r="E52" s="3">
        <v>93119</v>
      </c>
      <c r="F52" s="4">
        <v>2205145</v>
      </c>
      <c r="G52" s="11" t="str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"*",CHOOSE({1,2}, Super_CBSA!$E$2:$E$1917, Super_CBSA!$A$2:$A$1917), 2,FALSE), ""))</f>
        <v/>
      </c>
    </row>
    <row r="53" spans="1:7" ht="17">
      <c r="A53" s="1" t="s">
        <v>1245</v>
      </c>
      <c r="B53" s="2" t="s">
        <v>1244</v>
      </c>
      <c r="C53" s="2">
        <v>0</v>
      </c>
      <c r="D53" s="2">
        <v>0</v>
      </c>
      <c r="E53" s="2">
        <v>0</v>
      </c>
      <c r="F53" s="4">
        <v>0</v>
      </c>
      <c r="G53" s="11" t="str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"*",CHOOSE({1,2}, Super_CBSA!$E$2:$E$1917, Super_CBSA!$A$2:$A$1917), 2,FALSE), ""))</f>
        <v/>
      </c>
    </row>
    <row r="54" spans="1:7" ht="17">
      <c r="A54" s="1" t="s">
        <v>1246</v>
      </c>
      <c r="B54" s="2" t="s">
        <v>1247</v>
      </c>
      <c r="C54" s="2">
        <v>383</v>
      </c>
      <c r="D54" s="3">
        <v>13892</v>
      </c>
      <c r="E54" s="3">
        <v>68516</v>
      </c>
      <c r="F54" s="4">
        <v>2028143</v>
      </c>
      <c r="G54" s="11" cm="1">
        <f t="array" aca="1" ref="G54" ca="1">IFERROR(VLOOKUP("*" &amp; B54  &amp; "*" &amp; (MID(CELL("filename",A53),FIND("]",CELL("filename",A53))+1,31)) &amp; "*",CHOOSE({1,2}, Super_CBSA!$B$2:$B$1917, Super_CBSA!$A$2:$A$1917), 2,FALSE), IFERROR(VLOOKUP(B54  &amp; "*",CHOOSE({1,2}, Super_CBSA!$E$2:$E$1917, Super_CBSA!$A$2:$A$1917), 2,FALSE), ""))</f>
        <v>35840</v>
      </c>
    </row>
    <row r="55" spans="1:7" ht="17">
      <c r="A55" s="1" t="s">
        <v>1248</v>
      </c>
      <c r="B55" s="2" t="s">
        <v>1249</v>
      </c>
      <c r="C55" s="2">
        <v>370</v>
      </c>
      <c r="D55" s="3">
        <v>19708</v>
      </c>
      <c r="E55" s="3">
        <v>90734</v>
      </c>
      <c r="F55" s="4">
        <v>2296757</v>
      </c>
      <c r="G55" s="11" t="str" cm="1">
        <f t="array" aca="1" ref="G55" ca="1">IFERROR(VLOOKUP("*" &amp; B55  &amp; "*" &amp; (MID(CELL("filename",A54),FIND("]",CELL("filename",A54))+1,31)) &amp; "*",CHOOSE({1,2}, Super_CBSA!$B$2:$B$1917, Super_CBSA!$A$2:$A$1917), 2,FALSE), IFERROR(VLOOKUP(B55  &amp; "*",CHOOSE({1,2}, Super_CBSA!$E$2:$E$1917, Super_CBSA!$A$2:$A$1917), 2,FALSE), ""))</f>
        <v/>
      </c>
    </row>
    <row r="56" spans="1:7" ht="17">
      <c r="A56" s="1" t="s">
        <v>1250</v>
      </c>
      <c r="B56" s="2" t="s">
        <v>1251</v>
      </c>
      <c r="C56" s="2">
        <v>418</v>
      </c>
      <c r="D56" s="3">
        <v>24027</v>
      </c>
      <c r="E56" s="3">
        <v>95205</v>
      </c>
      <c r="F56" s="4">
        <v>3739343</v>
      </c>
      <c r="G56" s="11" t="str" cm="1">
        <f t="array" aca="1" ref="G56" ca="1">IFERROR(VLOOKUP("*" &amp; B56  &amp; "*" &amp; (MID(CELL("filename",A55),FIND("]",CELL("filename",A55))+1,31)) &amp; "*",CHOOSE({1,2}, Super_CBSA!$B$2:$B$1917, Super_CBSA!$A$2:$A$1917), 2,FALSE), IFERROR(VLOOKUP(B56  &amp; "*",CHOOSE({1,2}, Super_CBSA!$E$2:$E$1917, Super_CBSA!$A$2:$A$1917), 2,FALSE), ""))</f>
        <v/>
      </c>
    </row>
    <row r="57" spans="1:7" ht="17">
      <c r="A57" s="1" t="s">
        <v>1252</v>
      </c>
      <c r="B57" s="2" t="s">
        <v>1253</v>
      </c>
      <c r="C57" s="2">
        <v>196</v>
      </c>
      <c r="D57" s="3">
        <v>10900</v>
      </c>
      <c r="E57" s="3">
        <v>46694</v>
      </c>
      <c r="F57" s="4">
        <v>727024</v>
      </c>
      <c r="G57" s="11" t="str" cm="1">
        <f t="array" aca="1" ref="G57" ca="1">IFERROR(VLOOKUP("*" &amp; B57  &amp; "*" &amp; (MID(CELL("filename",A56),FIND("]",CELL("filename",A56))+1,31)) &amp; "*",CHOOSE({1,2}, Super_CBSA!$B$2:$B$1917, Super_CBSA!$A$2:$A$1917), 2,FALSE), IFERROR(VLOOKUP(B57  &amp; "*",CHOOSE({1,2}, Super_CBSA!$E$2:$E$1917, Super_CBSA!$A$2:$A$1917), 2,FALSE), ""))</f>
        <v/>
      </c>
    </row>
    <row r="58" spans="1:7" ht="17">
      <c r="A58" s="1" t="s">
        <v>1254</v>
      </c>
      <c r="B58" s="2" t="s">
        <v>1255</v>
      </c>
      <c r="C58" s="2">
        <v>174</v>
      </c>
      <c r="D58" s="3">
        <v>5477</v>
      </c>
      <c r="E58" s="3">
        <v>17000</v>
      </c>
      <c r="F58" s="4">
        <v>512528</v>
      </c>
      <c r="G58" s="11" cm="1">
        <f t="array" aca="1" ref="G58" ca="1">IFERROR(VLOOKUP("*" &amp; B58  &amp; "*" &amp; (MID(CELL("filename",A57),FIND("]",CELL("filename",A57))+1,31)) &amp; "*",CHOOSE({1,2}, Super_CBSA!$B$2:$B$1917, Super_CBSA!$A$2:$A$1917), 2,FALSE), IFERROR(VLOOKUP(B58  &amp; "*",CHOOSE({1,2}, Super_CBSA!$E$2:$E$1917, Super_CBSA!$A$2:$A$1917), 2,FALSE), ""))</f>
        <v>33100</v>
      </c>
    </row>
    <row r="59" spans="1:7" ht="17">
      <c r="A59" s="1" t="s">
        <v>1256</v>
      </c>
      <c r="B59" s="2" t="s">
        <v>1255</v>
      </c>
      <c r="C59" s="2">
        <v>632</v>
      </c>
      <c r="D59" s="3">
        <v>22268</v>
      </c>
      <c r="E59" s="3">
        <v>124192</v>
      </c>
      <c r="F59" s="4">
        <v>2073846</v>
      </c>
      <c r="G59" s="11" cm="1">
        <f t="array" aca="1" ref="G59" ca="1">IFERROR(VLOOKUP("*" &amp; B59  &amp; "*" &amp; (MID(CELL("filename",A58),FIND("]",CELL("filename",A58))+1,31)) &amp; "*",CHOOSE({1,2}, Super_CBSA!$B$2:$B$1917, Super_CBSA!$A$2:$A$1917), 2,FALSE), IFERROR(VLOOKUP(B59  &amp; "*",CHOOSE({1,2}, Super_CBSA!$E$2:$E$1917, Super_CBSA!$A$2:$A$1917), 2,FALSE), ""))</f>
        <v>33100</v>
      </c>
    </row>
    <row r="60" spans="1:7" ht="17">
      <c r="A60" s="1" t="s">
        <v>1257</v>
      </c>
      <c r="B60" s="2" t="s">
        <v>1258</v>
      </c>
      <c r="C60" s="2">
        <v>334</v>
      </c>
      <c r="D60" s="3">
        <v>12749</v>
      </c>
      <c r="E60" s="3">
        <v>60958</v>
      </c>
      <c r="F60" s="4">
        <v>1014901</v>
      </c>
      <c r="G60" s="11" t="str" cm="1">
        <f t="array" aca="1" ref="G60" ca="1">IFERROR(VLOOKUP("*" &amp; B60  &amp; "*" &amp; (MID(CELL("filename",A59),FIND("]",CELL("filename",A59))+1,31)) &amp; "*",CHOOSE({1,2}, Super_CBSA!$B$2:$B$1917, Super_CBSA!$A$2:$A$1917), 2,FALSE), IFERROR(VLOOKUP(B60  &amp; "*",CHOOSE({1,2}, Super_CBSA!$E$2:$E$1917, Super_CBSA!$A$2:$A$1917), 2,FALSE), ""))</f>
        <v/>
      </c>
    </row>
    <row r="61" spans="1:7" ht="17">
      <c r="A61" s="1" t="s">
        <v>1259</v>
      </c>
      <c r="B61" s="2" t="s">
        <v>1260</v>
      </c>
      <c r="C61" s="2">
        <v>291</v>
      </c>
      <c r="D61" s="3">
        <v>16413</v>
      </c>
      <c r="E61" s="3">
        <v>68803</v>
      </c>
      <c r="F61" s="4">
        <v>1391384</v>
      </c>
      <c r="G61" s="11" cm="1">
        <f t="array" aca="1" ref="G61" ca="1">IFERROR(VLOOKUP("*" &amp; B61  &amp; "*" &amp; (MID(CELL("filename",A60),FIND("]",CELL("filename",A60))+1,31)) &amp; "*",CHOOSE({1,2}, Super_CBSA!$B$2:$B$1917, Super_CBSA!$A$2:$A$1917), 2,FALSE), IFERROR(VLOOKUP(B61  &amp; "*",CHOOSE({1,2}, Super_CBSA!$E$2:$E$1917, Super_CBSA!$A$2:$A$1917), 2,FALSE), ""))</f>
        <v>15980</v>
      </c>
    </row>
    <row r="62" spans="1:7" ht="17">
      <c r="A62" s="1" t="s">
        <v>1261</v>
      </c>
      <c r="B62" s="2" t="s">
        <v>1262</v>
      </c>
      <c r="C62" s="2">
        <v>266</v>
      </c>
      <c r="D62" s="3">
        <v>16269</v>
      </c>
      <c r="E62" s="3">
        <v>65165</v>
      </c>
      <c r="F62" s="4">
        <v>1995337</v>
      </c>
      <c r="G62" s="11" cm="1">
        <f t="array" aca="1" ref="G62" ca="1">IFERROR(VLOOKUP("*" &amp; B62  &amp; "*" &amp; (MID(CELL("filename",A61),FIND("]",CELL("filename",A61))+1,31)) &amp; "*",CHOOSE({1,2}, Super_CBSA!$B$2:$B$1917, Super_CBSA!$A$2:$A$1917), 2,FALSE), IFERROR(VLOOKUP(B62  &amp; "*",CHOOSE({1,2}, Super_CBSA!$E$2:$E$1917, Super_CBSA!$A$2:$A$1917), 2,FALSE), ""))</f>
        <v>45220</v>
      </c>
    </row>
    <row r="63" spans="1:7" ht="17">
      <c r="A63" s="1" t="s">
        <v>1263</v>
      </c>
      <c r="B63" s="2" t="s">
        <v>1264</v>
      </c>
      <c r="C63" s="2">
        <v>221</v>
      </c>
      <c r="D63" s="3">
        <v>11676</v>
      </c>
      <c r="E63" s="3">
        <v>51163</v>
      </c>
      <c r="F63" s="4">
        <v>1607491</v>
      </c>
      <c r="G63" s="11" cm="1">
        <f t="array" aca="1" ref="G63" ca="1">IFERROR(VLOOKUP("*" &amp; B63  &amp; "*" &amp; (MID(CELL("filename",A62),FIND("]",CELL("filename",A62))+1,31)) &amp; "*",CHOOSE({1,2}, Super_CBSA!$B$2:$B$1917, Super_CBSA!$A$2:$A$1917), 2,FALSE), IFERROR(VLOOKUP(B63  &amp; " city",CHOOSE({1,2}, Super_CBSA!$E$2:$E$1917, Super_CBSA!$A$2:$A$1917), 2,FALSE), ""))</f>
        <v>36740</v>
      </c>
    </row>
    <row r="64" spans="1:7" ht="17">
      <c r="A64" s="1" t="s">
        <v>1265</v>
      </c>
      <c r="B64" s="2" t="s">
        <v>1266</v>
      </c>
      <c r="C64" s="2">
        <v>204</v>
      </c>
      <c r="D64" s="3">
        <v>10707</v>
      </c>
      <c r="E64" s="3">
        <v>45670</v>
      </c>
      <c r="F64" s="4">
        <v>1821012</v>
      </c>
      <c r="G64" s="11" t="str" cm="1">
        <f t="array" aca="1" ref="G64" ca="1">IFERROR(VLOOKUP("*" &amp; B64  &amp; "*" &amp; (MID(CELL("filename",A63),FIND("]",CELL("filename",A63))+1,31)) &amp; "*",CHOOSE({1,2}, Super_CBSA!$B$2:$B$1917, Super_CBSA!$A$2:$A$1917), 2,FALSE), IFERROR(VLOOKUP(B64  &amp; "*",CHOOSE({1,2}, Super_CBSA!$E$2:$E$1917, Super_CBSA!$A$2:$A$1917), 2,FALSE), ""))</f>
        <v/>
      </c>
    </row>
    <row r="65" spans="1:7" ht="17">
      <c r="A65" s="1" t="s">
        <v>1267</v>
      </c>
      <c r="B65" s="2" t="s">
        <v>1268</v>
      </c>
      <c r="C65" s="2">
        <v>206</v>
      </c>
      <c r="D65" s="3">
        <v>11392</v>
      </c>
      <c r="E65" s="3">
        <v>51827</v>
      </c>
      <c r="F65" s="4">
        <v>1283978</v>
      </c>
      <c r="G65" s="11" cm="1">
        <f t="array" aca="1" ref="G65" ca="1">IFERROR(VLOOKUP("*" &amp; B65  &amp; "*" &amp; (MID(CELL("filename",A64),FIND("]",CELL("filename",A64))+1,31)) &amp; "*",CHOOSE({1,2}, Super_CBSA!$B$2:$B$1917, Super_CBSA!$A$2:$A$1917), 2,FALSE), IFERROR(VLOOKUP(B65  &amp; "*",CHOOSE({1,2}, Super_CBSA!$E$2:$E$1917, Super_CBSA!$A$2:$A$1917), 2,FALSE), ""))</f>
        <v>23940</v>
      </c>
    </row>
    <row r="66" spans="1:7" ht="17">
      <c r="A66" s="1" t="s">
        <v>1269</v>
      </c>
      <c r="B66" s="2" t="s">
        <v>1270</v>
      </c>
      <c r="C66" s="2">
        <v>332</v>
      </c>
      <c r="D66" s="3">
        <v>13128</v>
      </c>
      <c r="E66" s="3">
        <v>52737</v>
      </c>
      <c r="F66" s="4">
        <v>1189462</v>
      </c>
      <c r="G66" s="11" cm="1">
        <f t="array" aca="1" ref="G66" ca="1">IFERROR(VLOOKUP("*" &amp; B66  &amp; "*" &amp; (MID(CELL("filename",A65),FIND("]",CELL("filename",A65))+1,31)) &amp; "*",CHOOSE({1,2}, Super_CBSA!$B$2:$B$1917, Super_CBSA!$A$2:$A$1917), 2,FALSE), IFERROR(VLOOKUP(B66  &amp; "*",CHOOSE({1,2}, Super_CBSA!$E$2:$E$1917, Super_CBSA!$A$2:$A$1917), 2,FALSE), ""))</f>
        <v>42680</v>
      </c>
    </row>
    <row r="67" spans="1:7" ht="17">
      <c r="A67" s="1" t="s">
        <v>1271</v>
      </c>
      <c r="B67" s="2" t="s">
        <v>1272</v>
      </c>
      <c r="C67" s="2">
        <v>521</v>
      </c>
      <c r="D67" s="3">
        <v>106929</v>
      </c>
      <c r="E67" s="3">
        <v>125109</v>
      </c>
      <c r="F67" s="4">
        <v>2969077</v>
      </c>
      <c r="G67" s="11" t="str" cm="1">
        <f t="array" aca="1" ref="G67" ca="1">IFERROR(VLOOKUP("*" &amp; B67  &amp; "*" &amp; (MID(CELL("filename",A66),FIND("]",CELL("filename",A66))+1,31)) &amp; "*",CHOOSE({1,2}, Super_CBSA!$B$2:$B$1917, Super_CBSA!$A$2:$A$1917), 2,FALSE), IFERROR(VLOOKUP(B67  &amp; "*",CHOOSE({1,2}, Super_CBSA!$E$2:$E$1917, Super_CBSA!$A$2:$A$1917), 2,FALSE), ""))</f>
        <v/>
      </c>
    </row>
    <row r="68" spans="1:7" ht="17">
      <c r="A68" s="1" t="s">
        <v>1273</v>
      </c>
      <c r="B68" s="2" t="s">
        <v>1272</v>
      </c>
      <c r="C68" s="2">
        <v>0</v>
      </c>
      <c r="D68" s="2">
        <v>0</v>
      </c>
      <c r="E68" s="2">
        <v>0</v>
      </c>
      <c r="F68" s="4">
        <v>0</v>
      </c>
      <c r="G68" s="11" t="str" cm="1">
        <f t="array" aca="1" ref="G68" ca="1">IFERROR(VLOOKUP("*" &amp; B68  &amp; "*" &amp; (MID(CELL("filename",A67),FIND("]",CELL("filename",A67))+1,31)) &amp; "*",CHOOSE({1,2}, Super_CBSA!$B$2:$B$1917, Super_CBSA!$A$2:$A$1917), 2,FALSE), IFERROR(VLOOKUP(B68  &amp; "*",CHOOSE({1,2}, Super_CBSA!$E$2:$E$1917, Super_CBSA!$A$2:$A$1917), 2,FALSE), ""))</f>
        <v/>
      </c>
    </row>
    <row r="69" spans="1:7" ht="17">
      <c r="A69" s="1" t="s">
        <v>1274</v>
      </c>
      <c r="B69" s="2" t="s">
        <v>1275</v>
      </c>
      <c r="C69" s="2">
        <v>0</v>
      </c>
      <c r="D69" s="2">
        <v>0</v>
      </c>
      <c r="E69" s="2">
        <v>0</v>
      </c>
      <c r="F69" s="4">
        <v>0</v>
      </c>
      <c r="G69" s="11" cm="1">
        <f t="array" aca="1" ref="G69" ca="1">IFERROR(VLOOKUP("*" &amp; B69  &amp; "*" &amp; (MID(CELL("filename",A68),FIND("]",CELL("filename",A68))+1,31)) &amp; "*",CHOOSE({1,2}, Super_CBSA!$B$2:$B$1917, Super_CBSA!$A$2:$A$1917), 2,FALSE), IFERROR(VLOOKUP(B69  &amp; "*",CHOOSE({1,2}, Super_CBSA!$E$2:$E$1917, Super_CBSA!$A$2:$A$1917), 2,FALSE), ""))</f>
        <v>38940</v>
      </c>
    </row>
    <row r="70" spans="1:7" ht="17">
      <c r="A70" s="1" t="s">
        <v>1276</v>
      </c>
      <c r="B70" s="2" t="s">
        <v>1277</v>
      </c>
      <c r="C70" s="2">
        <v>245</v>
      </c>
      <c r="D70" s="3">
        <v>7861</v>
      </c>
      <c r="E70" s="3">
        <v>29292</v>
      </c>
      <c r="F70" s="4">
        <v>1119179</v>
      </c>
      <c r="G70" s="11" t="str" cm="1">
        <f t="array" aca="1" ref="G70" ca="1">IFERROR(VLOOKUP("*" &amp; B70  &amp; "*" &amp; (MID(CELL("filename",A69),FIND("]",CELL("filename",A69))+1,31)) &amp; "*",CHOOSE({1,2}, Super_CBSA!$B$2:$B$1917, Super_CBSA!$A$2:$A$1917), 2,FALSE), IFERROR(VLOOKUP(B70  &amp; "*",CHOOSE({1,2}, Super_CBSA!$E$2:$E$1917, Super_CBSA!$A$2:$A$1917), 2,FALSE), ""))</f>
        <v/>
      </c>
    </row>
    <row r="71" spans="1:7" ht="17">
      <c r="A71" s="1" t="s">
        <v>1278</v>
      </c>
      <c r="B71" s="2" t="s">
        <v>1279</v>
      </c>
      <c r="C71" s="2">
        <v>512</v>
      </c>
      <c r="D71" s="3">
        <v>16226</v>
      </c>
      <c r="E71" s="3">
        <v>78272</v>
      </c>
      <c r="F71" s="4">
        <v>3255475</v>
      </c>
      <c r="G71" s="11" t="str" cm="1">
        <f t="array" aca="1" ref="G71" ca="1">IFERROR(VLOOKUP("*" &amp; B71  &amp; "*" &amp; (MID(CELL("filename",A70),FIND("]",CELL("filename",A70))+1,31)) &amp; "*",CHOOSE({1,2}, Super_CBSA!$B$2:$B$1917, Super_CBSA!$A$2:$A$1917), 2,FALSE), IFERROR(VLOOKUP(B71  &amp; "*",CHOOSE({1,2}, Super_CBSA!$E$2:$E$1917, Super_CBSA!$A$2:$A$1917), 2,FALSE), ""))</f>
        <v/>
      </c>
    </row>
    <row r="72" spans="1:7" ht="17">
      <c r="A72" s="1" t="s">
        <v>1280</v>
      </c>
      <c r="B72" s="2" t="s">
        <v>709</v>
      </c>
      <c r="C72" s="2">
        <v>49</v>
      </c>
      <c r="D72" s="2">
        <v>877</v>
      </c>
      <c r="E72" s="3">
        <v>3105</v>
      </c>
      <c r="F72" s="4">
        <v>135292</v>
      </c>
      <c r="G72" s="11" cm="1">
        <f t="array" aca="1" ref="G72" ca="1">IFERROR(VLOOKUP("*" &amp; B72  &amp; "*" &amp; (MID(CELL("filename",A71),FIND("]",CELL("filename",A71))+1,31)) &amp; "*",CHOOSE({1,2}, Super_CBSA!$B$2:$B$1917, Super_CBSA!$A$2:$A$1917), 2,FALSE), IFERROR(VLOOKUP(B72  &amp; "*",CHOOSE({1,2}, Super_CBSA!$E$2:$E$1917, Super_CBSA!$A$2:$A$1917), 2,FALSE), ""))</f>
        <v>11580</v>
      </c>
    </row>
    <row r="73" spans="1:7" ht="17">
      <c r="A73" s="1" t="s">
        <v>1281</v>
      </c>
      <c r="B73" s="2" t="s">
        <v>1277</v>
      </c>
      <c r="C73" s="2">
        <v>281</v>
      </c>
      <c r="D73" s="3">
        <v>5666</v>
      </c>
      <c r="E73" s="3">
        <v>24361</v>
      </c>
      <c r="F73" s="4">
        <v>759792</v>
      </c>
      <c r="G73" s="11" t="str" cm="1">
        <f t="array" aca="1" ref="G73" ca="1">IFERROR(VLOOKUP("*" &amp; B73  &amp; "*" &amp; (MID(CELL("filename",A72),FIND("]",CELL("filename",A72))+1,31)) &amp; "*",CHOOSE({1,2}, Super_CBSA!$B$2:$B$1917, Super_CBSA!$A$2:$A$1917), 2,FALSE), IFERROR(VLOOKUP(B73  &amp; "*",CHOOSE({1,2}, Super_CBSA!$E$2:$E$1917, Super_CBSA!$A$2:$A$1917), 2,FALSE), ""))</f>
        <v/>
      </c>
    </row>
    <row r="74" spans="1:7" ht="17">
      <c r="A74" s="1" t="s">
        <v>1282</v>
      </c>
      <c r="B74" s="2" t="s">
        <v>1283</v>
      </c>
      <c r="C74" s="2">
        <v>155</v>
      </c>
      <c r="D74" s="3">
        <v>7665</v>
      </c>
      <c r="E74" s="3">
        <v>29635</v>
      </c>
      <c r="F74" s="4">
        <v>1288037</v>
      </c>
      <c r="G74" s="11" cm="1">
        <f t="array" aca="1" ref="G74" ca="1">IFERROR(VLOOKUP("*" &amp; B74  &amp; "*" &amp; (MID(CELL("filename",A73),FIND("]",CELL("filename",A73))+1,31)) &amp; "*",CHOOSE({1,2}, Super_CBSA!$B$2:$B$1917, Super_CBSA!$A$2:$A$1917), 2,FALSE), IFERROR(VLOOKUP(B74  &amp; "*",CHOOSE({1,2}, Super_CBSA!$E$2:$E$1917, Super_CBSA!$A$2:$A$1917), 2,FALSE), ""))</f>
        <v>35840</v>
      </c>
    </row>
    <row r="75" spans="1:7" ht="17">
      <c r="A75" s="1" t="s">
        <v>1284</v>
      </c>
      <c r="B75" s="2" t="s">
        <v>1285</v>
      </c>
      <c r="C75" s="2">
        <v>48</v>
      </c>
      <c r="D75" s="2">
        <v>711</v>
      </c>
      <c r="E75" s="3">
        <v>1924</v>
      </c>
      <c r="F75" s="4">
        <v>55514</v>
      </c>
      <c r="G75" s="11" cm="1">
        <f t="array" aca="1" ref="G75" ca="1">IFERROR(VLOOKUP("*" &amp; B75  &amp; "*" &amp; (MID(CELL("filename",A74),FIND("]",CELL("filename",A74))+1,31)) &amp; "*",CHOOSE({1,2}, Super_CBSA!$B$2:$B$1917, Super_CBSA!$A$2:$A$1917), 2,FALSE), IFERROR(VLOOKUP(B75  &amp; "*",CHOOSE({1,2}, Super_CBSA!$E$2:$E$1917, Super_CBSA!$A$2:$A$1917), 2,FALSE), ""))</f>
        <v>18140</v>
      </c>
    </row>
    <row r="76" spans="1:7" ht="17">
      <c r="A76" s="1" t="s">
        <v>1286</v>
      </c>
      <c r="B76" s="2" t="s">
        <v>1171</v>
      </c>
      <c r="C76" s="2">
        <v>0</v>
      </c>
      <c r="D76" s="2">
        <v>0</v>
      </c>
      <c r="E76" s="2">
        <v>0</v>
      </c>
      <c r="F76" s="4">
        <v>0</v>
      </c>
      <c r="G76" s="11" cm="1">
        <f t="array" aca="1" ref="G76" ca="1">IFERROR(VLOOKUP("*" &amp; B76  &amp; "*" &amp; (MID(CELL("filename",A75),FIND("]",CELL("filename",A75))+1,31)) &amp; "*",CHOOSE({1,2}, Super_CBSA!$B$2:$B$1917, Super_CBSA!$A$2:$A$1917), 2,FALSE), IFERROR(VLOOKUP(B76  &amp; "*",CHOOSE({1,2}, Super_CBSA!$E$2:$E$1917, Super_CBSA!$A$2:$A$1917), 2,FALSE), ""))</f>
        <v>36740</v>
      </c>
    </row>
    <row r="77" spans="1:7" ht="17">
      <c r="A77" s="1" t="s">
        <v>1287</v>
      </c>
      <c r="B77" s="2" t="s">
        <v>1288</v>
      </c>
      <c r="C77" s="2">
        <v>89</v>
      </c>
      <c r="D77" s="2">
        <v>312</v>
      </c>
      <c r="E77" s="3">
        <v>1055</v>
      </c>
      <c r="F77" s="4">
        <v>73686</v>
      </c>
      <c r="G77" s="11" t="str" cm="1">
        <f t="array" aca="1" ref="G77" ca="1">IFERROR(VLOOKUP("*" &amp; B77  &amp; "*" &amp; (MID(CELL("filename",A76),FIND("]",CELL("filename",A76))+1,31)) &amp; "*",CHOOSE({1,2}, Super_CBSA!$B$2:$B$1917, Super_CBSA!$A$2:$A$1917), 2,FALSE), IFERROR(VLOOKUP(B77  &amp; "*",CHOOSE({1,2}, Super_CBSA!$E$2:$E$1917, Super_CBSA!$A$2:$A$1917), 2,FALSE), ""))</f>
        <v/>
      </c>
    </row>
    <row r="78" spans="1:7" ht="17">
      <c r="A78" s="1" t="s">
        <v>1289</v>
      </c>
      <c r="B78" s="2" t="s">
        <v>1050</v>
      </c>
      <c r="C78" s="2">
        <v>100</v>
      </c>
      <c r="D78" s="3">
        <v>3352</v>
      </c>
      <c r="E78" s="3">
        <v>10419</v>
      </c>
      <c r="F78" s="4">
        <v>644264</v>
      </c>
      <c r="G78" s="11" t="str" cm="1">
        <f t="array" aca="1" ref="G78" ca="1">IFERROR(VLOOKUP("*" &amp; B78  &amp; "*" &amp; (MID(CELL("filename",A77),FIND("]",CELL("filename",A77))+1,31)) &amp; "*",CHOOSE({1,2}, Super_CBSA!$B$2:$B$1917, Super_CBSA!$A$2:$A$1917), 2,FALSE), IFERROR(VLOOKUP(B78  &amp; "*",CHOOSE({1,2}, Super_CBSA!$E$2:$E$1917, Super_CBSA!$A$2:$A$1917), 2,FALSE), ""))</f>
        <v/>
      </c>
    </row>
    <row r="79" spans="1:7" ht="17">
      <c r="A79" s="1" t="s">
        <v>1290</v>
      </c>
      <c r="B79" s="2" t="s">
        <v>1234</v>
      </c>
      <c r="C79" s="2">
        <v>237</v>
      </c>
      <c r="D79" s="3">
        <v>10640</v>
      </c>
      <c r="E79" s="3">
        <v>51555</v>
      </c>
      <c r="F79" s="4">
        <v>2047779</v>
      </c>
      <c r="G79" s="11" t="str" cm="1">
        <f t="array" aca="1" ref="G79" ca="1">IFERROR(VLOOKUP("*" &amp; B79  &amp; "*" &amp; (MID(CELL("filename",A78),FIND("]",CELL("filename",A78))+1,31)) &amp; "*",CHOOSE({1,2}, Super_CBSA!$B$2:$B$1917, Super_CBSA!$A$2:$A$1917), 2,FALSE), IFERROR(VLOOKUP(B79  &amp; "*",CHOOSE({1,2}, Super_CBSA!$E$2:$E$1917, Super_CBSA!$A$2:$A$1917), 2,FALSE), ""))</f>
        <v/>
      </c>
    </row>
    <row r="80" spans="1:7" ht="17">
      <c r="A80" s="1" t="s">
        <v>1291</v>
      </c>
      <c r="B80" s="2" t="s">
        <v>1292</v>
      </c>
      <c r="C80" s="2">
        <v>335</v>
      </c>
      <c r="D80" s="3">
        <v>13432</v>
      </c>
      <c r="E80" s="3">
        <v>59430</v>
      </c>
      <c r="F80" s="4">
        <v>1154197</v>
      </c>
      <c r="G80" s="11" t="str" cm="1">
        <f t="array" aca="1" ref="G80" ca="1">IFERROR(VLOOKUP("*" &amp; B80  &amp; "*" &amp; (MID(CELL("filename",A79),FIND("]",CELL("filename",A79))+1,31)) &amp; "*",CHOOSE({1,2}, Super_CBSA!$B$2:$B$1917, Super_CBSA!$A$2:$A$1917), 2,FALSE), IFERROR(VLOOKUP(B80  &amp; "*",CHOOSE({1,2}, Super_CBSA!$E$2:$E$1917, Super_CBSA!$A$2:$A$1917), 2,FALSE), ""))</f>
        <v/>
      </c>
    </row>
    <row r="81" spans="1:7" ht="17">
      <c r="A81" s="1" t="s">
        <v>1293</v>
      </c>
      <c r="B81" s="2" t="s">
        <v>1255</v>
      </c>
      <c r="C81" s="2">
        <v>434</v>
      </c>
      <c r="D81" s="3">
        <v>9083</v>
      </c>
      <c r="E81" s="3">
        <v>49815</v>
      </c>
      <c r="F81" s="4">
        <v>839316</v>
      </c>
      <c r="G81" s="11" cm="1">
        <f t="array" aca="1" ref="G81" ca="1">IFERROR(VLOOKUP("*" &amp; B81  &amp; "*" &amp; (MID(CELL("filename",A80),FIND("]",CELL("filename",A80))+1,31)) &amp; "*",CHOOSE({1,2}, Super_CBSA!$B$2:$B$1917, Super_CBSA!$A$2:$A$1917), 2,FALSE), IFERROR(VLOOKUP(B81  &amp; "*",CHOOSE({1,2}, Super_CBSA!$E$2:$E$1917, Super_CBSA!$A$2:$A$1917), 2,FALSE), ""))</f>
        <v>33100</v>
      </c>
    </row>
    <row r="82" spans="1:7" ht="17">
      <c r="A82" s="1" t="s">
        <v>1294</v>
      </c>
      <c r="B82" s="2" t="s">
        <v>1295</v>
      </c>
      <c r="C82" s="2">
        <v>58</v>
      </c>
      <c r="D82" s="2">
        <v>0</v>
      </c>
      <c r="E82" s="3">
        <v>1726</v>
      </c>
      <c r="F82" s="4">
        <v>4381</v>
      </c>
      <c r="G82" s="11" cm="1">
        <f t="array" aca="1" ref="G82" ca="1">IFERROR(VLOOKUP("*" &amp; B82  &amp; "*" &amp; (MID(CELL("filename",A81),FIND("]",CELL("filename",A81))+1,31)) &amp; "*",CHOOSE({1,2}, Super_CBSA!$B$2:$B$1917, Super_CBSA!$A$2:$A$1917), 2,FALSE), IFERROR(VLOOKUP(B82  &amp; "*",CHOOSE({1,2}, Super_CBSA!$E$2:$E$1917, Super_CBSA!$A$2:$A$1917), 2,FALSE), ""))</f>
        <v>17980</v>
      </c>
    </row>
    <row r="83" spans="1:7" ht="17">
      <c r="A83" s="1" t="s">
        <v>1296</v>
      </c>
      <c r="B83" s="2" t="s">
        <v>1297</v>
      </c>
      <c r="C83" s="2">
        <v>267</v>
      </c>
      <c r="D83" s="3">
        <v>12172</v>
      </c>
      <c r="E83" s="3">
        <v>60969</v>
      </c>
      <c r="F83" s="4">
        <v>3069238</v>
      </c>
      <c r="G83" s="11" cm="1">
        <f t="array" aca="1" ref="G83" ca="1">IFERROR(VLOOKUP("*" &amp; B83  &amp; "*" &amp; (MID(CELL("filename",A82),FIND("]",CELL("filename",A82))+1,31)) &amp; "*",CHOOSE({1,2}, Super_CBSA!$B$2:$B$1917, Super_CBSA!$A$2:$A$1917), 2,FALSE), IFERROR(VLOOKUP(B83  &amp; "*",CHOOSE({1,2}, Super_CBSA!$E$2:$E$1917, Super_CBSA!$A$2:$A$1917), 2,FALSE), ""))</f>
        <v>18880</v>
      </c>
    </row>
    <row r="84" spans="1:7" ht="17">
      <c r="A84" s="1" t="s">
        <v>1005</v>
      </c>
      <c r="B84" s="2" t="s">
        <v>1298</v>
      </c>
      <c r="C84" s="2">
        <v>333</v>
      </c>
      <c r="D84" s="3">
        <v>9845</v>
      </c>
      <c r="E84" s="3">
        <v>46573</v>
      </c>
      <c r="F84" s="4">
        <v>2019326</v>
      </c>
      <c r="G84" s="11" t="str" cm="1">
        <f t="array" aca="1" ref="G84" ca="1">IFERROR(VLOOKUP("*" &amp; B84  &amp; "*" &amp; (MID(CELL("filename",A83),FIND("]",CELL("filename",A83))+1,31)) &amp; "*",CHOOSE({1,2}, Super_CBSA!$B$2:$B$1917, Super_CBSA!$A$2:$A$1917), 2,FALSE), IFERROR(VLOOKUP(B84  &amp; "*",CHOOSE({1,2}, Super_CBSA!$E$2:$E$1917, Super_CBSA!$A$2:$A$1917), 2,FALSE), ""))</f>
        <v/>
      </c>
    </row>
    <row r="85" spans="1:7" ht="17">
      <c r="A85" s="1" t="s">
        <v>1299</v>
      </c>
      <c r="B85" s="2" t="s">
        <v>1300</v>
      </c>
      <c r="C85" s="2">
        <v>65</v>
      </c>
      <c r="D85" s="3">
        <v>3864</v>
      </c>
      <c r="E85" s="3">
        <v>14381</v>
      </c>
      <c r="F85" s="4">
        <v>579679</v>
      </c>
      <c r="G85" s="11" t="str" cm="1">
        <f t="array" aca="1" ref="G85" ca="1">IFERROR(VLOOKUP("*" &amp; B85  &amp; "*" &amp; (MID(CELL("filename",A84),FIND("]",CELL("filename",A84))+1,31)) &amp; "*",CHOOSE({1,2}, Super_CBSA!$B$2:$B$1917, Super_CBSA!$A$2:$A$1917), 2,FALSE), IFERROR(VLOOKUP(B85  &amp; "*",CHOOSE({1,2}, Super_CBSA!$E$2:$E$1917, Super_CBSA!$A$2:$A$1917), 2,FALSE), ""))</f>
        <v/>
      </c>
    </row>
    <row r="86" spans="1:7" ht="17">
      <c r="A86" s="1" t="s">
        <v>1301</v>
      </c>
      <c r="B86" s="2" t="s">
        <v>1302</v>
      </c>
      <c r="C86" s="2">
        <v>431</v>
      </c>
      <c r="D86" s="3">
        <v>21995</v>
      </c>
      <c r="E86" s="3">
        <v>99507</v>
      </c>
      <c r="F86" s="4">
        <v>2093290</v>
      </c>
      <c r="G86" s="11" cm="1">
        <f t="array" aca="1" ref="G86" ca="1">IFERROR(VLOOKUP("*" &amp; B86  &amp; "*" &amp; (MID(CELL("filename",A85),FIND("]",CELL("filename",A85))+1,31)) &amp; "*",CHOOSE({1,2}, Super_CBSA!$B$2:$B$1917, Super_CBSA!$A$2:$A$1917), 2,FALSE), IFERROR(VLOOKUP(B86  &amp; "*",CHOOSE({1,2}, Super_CBSA!$E$2:$E$1917, Super_CBSA!$A$2:$A$1917), 2,FALSE), ""))</f>
        <v>15980</v>
      </c>
    </row>
    <row r="87" spans="1:7" ht="17">
      <c r="A87" s="1" t="s">
        <v>1303</v>
      </c>
      <c r="B87" s="2" t="s">
        <v>1228</v>
      </c>
      <c r="C87" s="2">
        <v>222</v>
      </c>
      <c r="D87" s="3">
        <v>12143</v>
      </c>
      <c r="E87" s="3">
        <v>54372</v>
      </c>
      <c r="F87" s="4">
        <v>1968045</v>
      </c>
      <c r="G87" s="11" cm="1">
        <f t="array" aca="1" ref="G87" ca="1">IFERROR(VLOOKUP("*" &amp; B87  &amp; "*" &amp; (MID(CELL("filename",A86),FIND("]",CELL("filename",A86))+1,31)) &amp; "*",CHOOSE({1,2}, Super_CBSA!$B$2:$B$1917, Super_CBSA!$A$2:$A$1917), 2,FALSE), IFERROR(VLOOKUP(B87  &amp; "*",CHOOSE({1,2}, Super_CBSA!$E$2:$E$1917, Super_CBSA!$A$2:$A$1917), 2,FALSE), ""))</f>
        <v>37460</v>
      </c>
    </row>
    <row r="88" spans="1:7" ht="17">
      <c r="A88" s="1" t="s">
        <v>1304</v>
      </c>
      <c r="B88" s="2" t="s">
        <v>1167</v>
      </c>
      <c r="C88" s="2">
        <v>544</v>
      </c>
      <c r="D88" s="3">
        <v>20901</v>
      </c>
      <c r="E88" s="3">
        <v>113192</v>
      </c>
      <c r="F88" s="4">
        <v>1934464</v>
      </c>
      <c r="G88" s="11" cm="1">
        <f t="array" aca="1" ref="G88" ca="1">IFERROR(VLOOKUP("*" &amp; B88  &amp; "*" &amp; (MID(CELL("filename",A87),FIND("]",CELL("filename",A87))+1,31)) &amp; "*",CHOOSE({1,2}, Super_CBSA!$B$2:$B$1917, Super_CBSA!$A$2:$A$1917), 2,FALSE), IFERROR(VLOOKUP(B88  &amp; "*",CHOOSE({1,2}, Super_CBSA!$E$2:$E$1917, Super_CBSA!$A$2:$A$1917), 2,FALSE), ""))</f>
        <v>19660</v>
      </c>
    </row>
    <row r="89" spans="1:7" ht="17">
      <c r="A89" s="1" t="s">
        <v>1305</v>
      </c>
      <c r="B89" s="2" t="s">
        <v>1306</v>
      </c>
      <c r="C89" s="2">
        <v>0</v>
      </c>
      <c r="D89" s="2">
        <v>0</v>
      </c>
      <c r="E89" s="2">
        <v>0</v>
      </c>
      <c r="F89" s="4">
        <v>0</v>
      </c>
      <c r="G89" s="11" t="str" cm="1">
        <f t="array" aca="1" ref="G89" ca="1">IFERROR(VLOOKUP("*" &amp; B89  &amp; "*" &amp; (MID(CELL("filename",A88),FIND("]",CELL("filename",A88))+1,31)) &amp; "*",CHOOSE({1,2}, Super_CBSA!$B$2:$B$1917, Super_CBSA!$A$2:$A$1917), 2,FALSE), IFERROR(VLOOKUP(B89  &amp; "*",CHOOSE({1,2}, Super_CBSA!$E$2:$E$1917, Super_CBSA!$A$2:$A$1917), 2,FALSE), ""))</f>
        <v/>
      </c>
    </row>
    <row r="90" spans="1:7" ht="17">
      <c r="A90" s="1" t="s">
        <v>1307</v>
      </c>
      <c r="B90" s="2" t="s">
        <v>1308</v>
      </c>
      <c r="C90" s="2">
        <v>0</v>
      </c>
      <c r="D90" s="2">
        <v>0</v>
      </c>
      <c r="E90" s="2">
        <v>0</v>
      </c>
      <c r="F90" s="4">
        <v>0</v>
      </c>
      <c r="G90" s="11" cm="1">
        <f t="array" aca="1" ref="G90" ca="1">IFERROR(VLOOKUP("*" &amp; B90  &amp; "*" &amp; (MID(CELL("filename",A89),FIND("]",CELL("filename",A89))+1,31)) &amp; "*",CHOOSE({1,2}, Super_CBSA!$B$2:$B$1917, Super_CBSA!$A$2:$A$1917), 2,FALSE), IFERROR(VLOOKUP(B90  &amp; "*",CHOOSE({1,2}, Super_CBSA!$E$2:$E$1917, Super_CBSA!$A$2:$A$1917), 2,FALSE), ""))</f>
        <v>19660</v>
      </c>
    </row>
    <row r="91" spans="1:7" ht="17">
      <c r="A91" s="1" t="s">
        <v>1309</v>
      </c>
      <c r="B91" s="2" t="s">
        <v>1310</v>
      </c>
      <c r="C91" s="2">
        <v>211</v>
      </c>
      <c r="D91" s="3">
        <v>13520</v>
      </c>
      <c r="E91" s="3">
        <v>56061</v>
      </c>
      <c r="F91" s="4">
        <v>1559759</v>
      </c>
      <c r="G91" s="11" t="str" cm="1">
        <f t="array" aca="1" ref="G91" ca="1">IFERROR(VLOOKUP("*" &amp; B91  &amp; "*" &amp; (MID(CELL("filename",A90),FIND("]",CELL("filename",A90))+1,31)) &amp; "*",CHOOSE({1,2}, Super_CBSA!$B$2:$B$1917, Super_CBSA!$A$2:$A$1917), 2,FALSE), IFERROR(VLOOKUP(B91  &amp; "*",CHOOSE({1,2}, Super_CBSA!$E$2:$E$1917, Super_CBSA!$A$2:$A$1917), 2,FALSE), ""))</f>
        <v/>
      </c>
    </row>
    <row r="92" spans="1:7" ht="17">
      <c r="A92" s="1" t="s">
        <v>1311</v>
      </c>
      <c r="B92" s="2" t="s">
        <v>1312</v>
      </c>
      <c r="C92" s="2">
        <v>150</v>
      </c>
      <c r="D92" s="3">
        <v>8013</v>
      </c>
      <c r="E92" s="3">
        <v>28493</v>
      </c>
      <c r="F92" s="4">
        <v>703138</v>
      </c>
      <c r="G92" s="11" t="str" cm="1">
        <f t="array" aca="1" ref="G92" ca="1">IFERROR(VLOOKUP("*" &amp; B92  &amp; "*" &amp; (MID(CELL("filename",A91),FIND("]",CELL("filename",A91))+1,31)) &amp; "*",CHOOSE({1,2}, Super_CBSA!$B$2:$B$1917, Super_CBSA!$A$2:$A$1917), 2,FALSE), IFERROR(VLOOKUP(B92  &amp; "*",CHOOSE({1,2}, Super_CBSA!$E$2:$E$1917, Super_CBSA!$A$2:$A$1917), 2,FALSE), ""))</f>
        <v/>
      </c>
    </row>
    <row r="93" spans="1:7" ht="17">
      <c r="A93" s="1" t="s">
        <v>1313</v>
      </c>
      <c r="B93" s="2" t="s">
        <v>1314</v>
      </c>
      <c r="C93" s="2">
        <v>514</v>
      </c>
      <c r="D93" s="3">
        <v>33333</v>
      </c>
      <c r="E93" s="3">
        <v>144764</v>
      </c>
      <c r="F93" s="4">
        <v>2781767</v>
      </c>
      <c r="G93" s="11" cm="1">
        <f t="array" aca="1" ref="G93" ca="1">IFERROR(VLOOKUP("*" &amp; B93  &amp; "*" &amp; (MID(CELL("filename",A92),FIND("]",CELL("filename",A92))+1,31)) &amp; "*",CHOOSE({1,2}, Super_CBSA!$B$2:$B$1917, Super_CBSA!$A$2:$A$1917), 2,FALSE), IFERROR(VLOOKUP(B93  &amp; "*",CHOOSE({1,2}, Super_CBSA!$E$2:$E$1917, Super_CBSA!$A$2:$A$1917), 2,FALSE), ""))</f>
        <v>37340</v>
      </c>
    </row>
    <row r="94" spans="1:7" ht="17">
      <c r="A94" s="1" t="s">
        <v>1315</v>
      </c>
      <c r="B94" s="2" t="s">
        <v>1316</v>
      </c>
      <c r="C94" s="2">
        <v>50</v>
      </c>
      <c r="D94" s="2">
        <v>492</v>
      </c>
      <c r="E94" s="3">
        <v>2059</v>
      </c>
      <c r="F94" s="4">
        <v>31046</v>
      </c>
      <c r="G94" s="11" t="str" cm="1">
        <f t="array" aca="1" ref="G94" ca="1">IFERROR(VLOOKUP("*" &amp; B94  &amp; "*" &amp; (MID(CELL("filename",A93),FIND("]",CELL("filename",A93))+1,31)) &amp; "*",CHOOSE({1,2}, Super_CBSA!$B$2:$B$1917, Super_CBSA!$A$2:$A$1917), 2,FALSE), IFERROR(VLOOKUP(B94  &amp; "*",CHOOSE({1,2}, Super_CBSA!$E$2:$E$1917, Super_CBSA!$A$2:$A$1917), 2,FALSE), ""))</f>
        <v/>
      </c>
    </row>
    <row r="95" spans="1:7" ht="17">
      <c r="A95" s="1" t="s">
        <v>1317</v>
      </c>
      <c r="B95" s="2" t="s">
        <v>1302</v>
      </c>
      <c r="C95" s="2">
        <v>0</v>
      </c>
      <c r="D95" s="2">
        <v>0</v>
      </c>
      <c r="E95" s="2">
        <v>0</v>
      </c>
      <c r="F95" s="4">
        <v>0</v>
      </c>
      <c r="G95" s="11" cm="1">
        <f t="array" aca="1" ref="G95" ca="1">IFERROR(VLOOKUP("*" &amp; B95  &amp; "*" &amp; (MID(CELL("filename",A94),FIND("]",CELL("filename",A94))+1,31)) &amp; "*",CHOOSE({1,2}, Super_CBSA!$B$2:$B$1917, Super_CBSA!$A$2:$A$1917), 2,FALSE), IFERROR(VLOOKUP(B95  &amp; "*",CHOOSE({1,2}, Super_CBSA!$E$2:$E$1917, Super_CBSA!$A$2:$A$1917), 2,FALSE), ""))</f>
        <v>15980</v>
      </c>
    </row>
    <row r="96" spans="1:7" ht="17">
      <c r="A96" s="1" t="s">
        <v>1318</v>
      </c>
      <c r="B96" s="2" t="s">
        <v>1319</v>
      </c>
      <c r="C96" s="2">
        <v>362</v>
      </c>
      <c r="D96" s="3">
        <v>12735</v>
      </c>
      <c r="E96" s="3">
        <v>51546</v>
      </c>
      <c r="F96" s="4">
        <v>1396187</v>
      </c>
      <c r="G96" s="11" t="str" cm="1">
        <f t="array" aca="1" ref="G96" ca="1">IFERROR(VLOOKUP("*" &amp; B96  &amp; "*" &amp; (MID(CELL("filename",A95),FIND("]",CELL("filename",A95))+1,31)) &amp; "*",CHOOSE({1,2}, Super_CBSA!$B$2:$B$1917, Super_CBSA!$A$2:$A$1917), 2,FALSE), IFERROR(VLOOKUP(B96  &amp; "*",CHOOSE({1,2}, Super_CBSA!$E$2:$E$1917, Super_CBSA!$A$2:$A$1917), 2,FALSE), ""))</f>
        <v/>
      </c>
    </row>
    <row r="97" spans="1:7" ht="17">
      <c r="A97" s="1" t="s">
        <v>1320</v>
      </c>
      <c r="B97" s="2" t="s">
        <v>1193</v>
      </c>
      <c r="C97" s="2">
        <v>110</v>
      </c>
      <c r="D97" s="3">
        <v>3269</v>
      </c>
      <c r="E97" s="3">
        <v>13064</v>
      </c>
      <c r="F97" s="4">
        <v>416974</v>
      </c>
      <c r="G97" s="11" cm="1">
        <f t="array" aca="1" ref="G97" ca="1">IFERROR(VLOOKUP("*" &amp; B97  &amp; "*" &amp; (MID(CELL("filename",A96),FIND("]",CELL("filename",A96))+1,31)) &amp; "*",CHOOSE({1,2}, Super_CBSA!$B$2:$B$1917, Super_CBSA!$A$2:$A$1917), 2,FALSE), IFERROR(VLOOKUP(B97  &amp; "*",CHOOSE({1,2}, Super_CBSA!$E$2:$E$1917, Super_CBSA!$A$2:$A$1917), 2,FALSE), ""))</f>
        <v>42700</v>
      </c>
    </row>
    <row r="98" spans="1:7" ht="17">
      <c r="A98" s="1" t="s">
        <v>1321</v>
      </c>
      <c r="B98" s="2" t="s">
        <v>1255</v>
      </c>
      <c r="C98" s="2">
        <v>367</v>
      </c>
      <c r="D98" s="3">
        <v>15923</v>
      </c>
      <c r="E98" s="3">
        <v>67517</v>
      </c>
      <c r="F98" s="4">
        <v>1728035</v>
      </c>
      <c r="G98" s="11" cm="1">
        <f t="array" aca="1" ref="G98" ca="1">IFERROR(VLOOKUP("*" &amp; B98  &amp; "*" &amp; (MID(CELL("filename",A97),FIND("]",CELL("filename",A97))+1,31)) &amp; "*",CHOOSE({1,2}, Super_CBSA!$B$2:$B$1917, Super_CBSA!$A$2:$A$1917), 2,FALSE), IFERROR(VLOOKUP(B98  &amp; "*",CHOOSE({1,2}, Super_CBSA!$E$2:$E$1917, Super_CBSA!$A$2:$A$1917), 2,FALSE), ""))</f>
        <v>33100</v>
      </c>
    </row>
    <row r="99" spans="1:7" ht="17">
      <c r="A99" s="1" t="s">
        <v>1322</v>
      </c>
      <c r="B99" s="2" t="s">
        <v>1323</v>
      </c>
      <c r="C99" s="2">
        <v>147</v>
      </c>
      <c r="D99" s="3">
        <v>7727</v>
      </c>
      <c r="E99" s="3">
        <v>32236</v>
      </c>
      <c r="F99" s="4">
        <v>1068241</v>
      </c>
      <c r="G99" s="11" t="str" cm="1">
        <f t="array" aca="1" ref="G99" ca="1">IFERROR(VLOOKUP("*" &amp; B99  &amp; "*" &amp; (MID(CELL("filename",A98),FIND("]",CELL("filename",A98))+1,31)) &amp; "*",CHOOSE({1,2}, Super_CBSA!$B$2:$B$1917, Super_CBSA!$A$2:$A$1917), 2,FALSE), IFERROR(VLOOKUP(B99  &amp; "*",CHOOSE({1,2}, Super_CBSA!$E$2:$E$1917, Super_CBSA!$A$2:$A$1917), 2,FALSE), ""))</f>
        <v/>
      </c>
    </row>
    <row r="100" spans="1:7" ht="17">
      <c r="A100" s="1" t="s">
        <v>156</v>
      </c>
      <c r="B100" s="2" t="s">
        <v>1324</v>
      </c>
      <c r="C100" s="2">
        <v>66</v>
      </c>
      <c r="D100" s="3">
        <v>2567</v>
      </c>
      <c r="E100" s="3">
        <v>13269</v>
      </c>
      <c r="F100" s="4">
        <v>157169</v>
      </c>
      <c r="G100" s="11" t="str" cm="1">
        <f t="array" aca="1" ref="G100" ca="1">IFERROR(VLOOKUP("*" &amp; B100  &amp; "*" &amp; (MID(CELL("filename",A99),FIND("]",CELL("filename",A99))+1,31)) &amp; "*",CHOOSE({1,2}, Super_CBSA!$B$2:$B$1917, Super_CBSA!$A$2:$A$1917), 2,FALSE), IFERROR(VLOOKUP(B100  &amp; "*",CHOOSE({1,2}, Super_CBSA!$E$2:$E$1917, Super_CBSA!$A$2:$A$1917), 2,FALSE), ""))</f>
        <v/>
      </c>
    </row>
    <row r="101" spans="1:7" ht="17">
      <c r="A101" s="1" t="s">
        <v>1325</v>
      </c>
      <c r="B101" s="2" t="s">
        <v>1218</v>
      </c>
      <c r="C101" s="3">
        <v>1828</v>
      </c>
      <c r="D101" s="3">
        <v>57870</v>
      </c>
      <c r="E101" s="3">
        <v>365811</v>
      </c>
      <c r="F101" s="4">
        <v>5692257</v>
      </c>
      <c r="G101" s="11" cm="1">
        <f t="array" aca="1" ref="G101" ca="1">IFERROR(VLOOKUP("*" &amp; B101  &amp; "*" &amp; (MID(CELL("filename",A100),FIND("]",CELL("filename",A100))+1,31)) &amp; "*",CHOOSE({1,2}, Super_CBSA!$B$2:$B$1917, Super_CBSA!$A$2:$A$1917), 2,FALSE), IFERROR(VLOOKUP(B101  &amp; "*",CHOOSE({1,2}, Super_CBSA!$E$2:$E$1917, Super_CBSA!$A$2:$A$1917), 2,FALSE), ""))</f>
        <v>33100</v>
      </c>
    </row>
    <row r="102" spans="1:7" ht="17">
      <c r="A102" s="1" t="s">
        <v>1326</v>
      </c>
      <c r="B102" s="2" t="s">
        <v>1327</v>
      </c>
      <c r="C102" s="2">
        <v>0</v>
      </c>
      <c r="D102" s="2">
        <v>0</v>
      </c>
      <c r="E102" s="2">
        <v>0</v>
      </c>
      <c r="F102" s="4">
        <v>0</v>
      </c>
      <c r="G102" s="11" t="str" cm="1">
        <f t="array" aca="1" ref="G102" ca="1">IFERROR(VLOOKUP("*" &amp; B102  &amp; "*" &amp; (MID(CELL("filename",A101),FIND("]",CELL("filename",A101))+1,31)) &amp; "*",CHOOSE({1,2}, Super_CBSA!$B$2:$B$1917, Super_CBSA!$A$2:$A$1917), 2,FALSE), IFERROR(VLOOKUP(B102  &amp; "*",CHOOSE({1,2}, Super_CBSA!$E$2:$E$1917, Super_CBSA!$A$2:$A$1917), 2,FALSE), ""))</f>
        <v/>
      </c>
    </row>
    <row r="103" spans="1:7" ht="17">
      <c r="A103" s="1" t="s">
        <v>1328</v>
      </c>
      <c r="B103" s="2" t="s">
        <v>1218</v>
      </c>
      <c r="C103" s="2">
        <v>192</v>
      </c>
      <c r="D103" s="3">
        <v>8219</v>
      </c>
      <c r="E103" s="3">
        <v>40306</v>
      </c>
      <c r="F103" s="4">
        <v>164920</v>
      </c>
      <c r="G103" s="11" cm="1">
        <f t="array" aca="1" ref="G103" ca="1">IFERROR(VLOOKUP("*" &amp; B103  &amp; "*" &amp; (MID(CELL("filename",A102),FIND("]",CELL("filename",A102))+1,31)) &amp; "*",CHOOSE({1,2}, Super_CBSA!$B$2:$B$1917, Super_CBSA!$A$2:$A$1917), 2,FALSE), IFERROR(VLOOKUP(B103  &amp; "*",CHOOSE({1,2}, Super_CBSA!$E$2:$E$1917, Super_CBSA!$A$2:$A$1917), 2,FALSE), ""))</f>
        <v>33100</v>
      </c>
    </row>
    <row r="104" spans="1:7" ht="17">
      <c r="A104" s="1" t="s">
        <v>1329</v>
      </c>
      <c r="B104" s="2" t="s">
        <v>1161</v>
      </c>
      <c r="C104" s="2">
        <v>0</v>
      </c>
      <c r="D104" s="2">
        <v>0</v>
      </c>
      <c r="E104" s="2">
        <v>0</v>
      </c>
      <c r="F104" s="4">
        <v>0</v>
      </c>
      <c r="G104" s="11" cm="1">
        <f t="array" aca="1" ref="G104" ca="1">IFERROR(VLOOKUP("*" &amp; B104  &amp; "*" &amp; (MID(CELL("filename",A103),FIND("]",CELL("filename",A103))+1,31)) &amp; "*",CHOOSE({1,2}, Super_CBSA!$B$2:$B$1917, Super_CBSA!$A$2:$A$1917), 2,FALSE), IFERROR(VLOOKUP(B104  &amp; "*",CHOOSE({1,2}, Super_CBSA!$E$2:$E$1917, Super_CBSA!$A$2:$A$1917), 2,FALSE), ""))</f>
        <v>45300</v>
      </c>
    </row>
    <row r="105" spans="1:7" ht="17">
      <c r="A105" s="1" t="s">
        <v>1330</v>
      </c>
      <c r="B105" s="2" t="s">
        <v>1331</v>
      </c>
      <c r="C105" s="2">
        <v>21</v>
      </c>
      <c r="D105" s="2">
        <v>456</v>
      </c>
      <c r="E105" s="3">
        <v>2414</v>
      </c>
      <c r="F105" s="4">
        <v>49289</v>
      </c>
      <c r="G105" s="11" cm="1">
        <f t="array" aca="1" ref="G105" ca="1">IFERROR(VLOOKUP("*" &amp; B105  &amp; "*" &amp; (MID(CELL("filename",A104),FIND("]",CELL("filename",A104))+1,31)) &amp; "*",CHOOSE({1,2}, Super_CBSA!$B$2:$B$1917, Super_CBSA!$A$2:$A$1917), 2,FALSE), IFERROR(VLOOKUP(B105  &amp; "*",CHOOSE({1,2}, Super_CBSA!$E$2:$E$1917, Super_CBSA!$A$2:$A$1917), 2,FALSE), ""))</f>
        <v>27580</v>
      </c>
    </row>
    <row r="106" spans="1:7" ht="17">
      <c r="A106" s="1" t="s">
        <v>1332</v>
      </c>
      <c r="B106" s="2" t="s">
        <v>1333</v>
      </c>
      <c r="C106" s="2">
        <v>715</v>
      </c>
      <c r="D106" s="3">
        <v>32869</v>
      </c>
      <c r="E106" s="3">
        <v>144489</v>
      </c>
      <c r="F106" s="4">
        <v>5765143</v>
      </c>
      <c r="G106" s="11" t="str" cm="1">
        <f t="array" aca="1" ref="G106" ca="1">IFERROR(VLOOKUP("*" &amp; B106  &amp; "*" &amp; (MID(CELL("filename",A105),FIND("]",CELL("filename",A105))+1,31)) &amp; "*",CHOOSE({1,2}, Super_CBSA!$B$2:$B$1917, Super_CBSA!$A$2:$A$1917), 2,FALSE), IFERROR(VLOOKUP(B106  &amp; "*",CHOOSE({1,2}, Super_CBSA!$E$2:$E$1917, Super_CBSA!$A$2:$A$1917), 2,FALSE), ""))</f>
        <v/>
      </c>
    </row>
    <row r="107" spans="1:7" ht="17">
      <c r="A107" s="1" t="s">
        <v>1334</v>
      </c>
      <c r="B107" s="2" t="s">
        <v>1298</v>
      </c>
      <c r="C107" s="2">
        <v>229</v>
      </c>
      <c r="D107" s="3">
        <v>5660</v>
      </c>
      <c r="E107" s="3">
        <v>23739</v>
      </c>
      <c r="F107" s="4">
        <v>743224</v>
      </c>
      <c r="G107" s="11" t="str" cm="1">
        <f t="array" aca="1" ref="G107" ca="1">IFERROR(VLOOKUP("*" &amp; B107  &amp; "*" &amp; (MID(CELL("filename",A106),FIND("]",CELL("filename",A106))+1,31)) &amp; "*",CHOOSE({1,2}, Super_CBSA!$B$2:$B$1917, Super_CBSA!$A$2:$A$1917), 2,FALSE), IFERROR(VLOOKUP(B107  &amp; "*",CHOOSE({1,2}, Super_CBSA!$E$2:$E$1917, Super_CBSA!$A$2:$A$1917), 2,FALSE), ""))</f>
        <v/>
      </c>
    </row>
    <row r="108" spans="1:7" ht="17">
      <c r="A108" s="1" t="s">
        <v>1335</v>
      </c>
      <c r="B108" s="2" t="s">
        <v>1336</v>
      </c>
      <c r="C108" s="2">
        <v>207</v>
      </c>
      <c r="D108" s="3">
        <v>13599</v>
      </c>
      <c r="E108" s="3">
        <v>51177</v>
      </c>
      <c r="F108" s="4">
        <v>1266832</v>
      </c>
      <c r="G108" s="11" t="str" cm="1">
        <f t="array" aca="1" ref="G108" ca="1">IFERROR(VLOOKUP("*" &amp; B108  &amp; "*" &amp; (MID(CELL("filename",A107),FIND("]",CELL("filename",A107))+1,31)) &amp; "*",CHOOSE({1,2}, Super_CBSA!$B$2:$B$1917, Super_CBSA!$A$2:$A$1917), 2,FALSE), IFERROR(VLOOKUP(B108  &amp; "*",CHOOSE({1,2}, Super_CBSA!$E$2:$E$1917, Super_CBSA!$A$2:$A$1917), 2,FALSE), ""))</f>
        <v/>
      </c>
    </row>
    <row r="109" spans="1:7" ht="17">
      <c r="A109" s="1" t="s">
        <v>1337</v>
      </c>
      <c r="B109" s="2" t="s">
        <v>1218</v>
      </c>
      <c r="C109" s="2">
        <v>417</v>
      </c>
      <c r="D109" s="3">
        <v>21569</v>
      </c>
      <c r="E109" s="3">
        <v>109639</v>
      </c>
      <c r="F109" s="4">
        <v>4114556</v>
      </c>
      <c r="G109" s="11" cm="1">
        <f t="array" aca="1" ref="G109" ca="1">IFERROR(VLOOKUP("*" &amp; B109  &amp; "*" &amp; (MID(CELL("filename",A108),FIND("]",CELL("filename",A108))+1,31)) &amp; "*",CHOOSE({1,2}, Super_CBSA!$B$2:$B$1917, Super_CBSA!$A$2:$A$1917), 2,FALSE), IFERROR(VLOOKUP(B109  &amp; "*",CHOOSE({1,2}, Super_CBSA!$E$2:$E$1917, Super_CBSA!$A$2:$A$1917), 2,FALSE), ""))</f>
        <v>33100</v>
      </c>
    </row>
    <row r="110" spans="1:7" ht="17">
      <c r="A110" s="1" t="s">
        <v>1338</v>
      </c>
      <c r="B110" s="2" t="s">
        <v>1339</v>
      </c>
      <c r="C110" s="2">
        <v>91</v>
      </c>
      <c r="D110" s="3">
        <v>6083</v>
      </c>
      <c r="E110" s="3">
        <v>22216</v>
      </c>
      <c r="F110" s="4">
        <v>726800</v>
      </c>
      <c r="G110" s="11" cm="1">
        <f t="array" aca="1" ref="G110" ca="1">IFERROR(VLOOKUP("*" &amp; B110  &amp; "*" &amp; (MID(CELL("filename",A109),FIND("]",CELL("filename",A109))+1,31)) &amp; "*",CHOOSE({1,2}, Super_CBSA!$B$2:$B$1917, Super_CBSA!$A$2:$A$1917), 2,FALSE), IFERROR(VLOOKUP(B110  &amp; "*",CHOOSE({1,2}, Super_CBSA!$E$2:$E$1917, Super_CBSA!$A$2:$A$1917), 2,FALSE), ""))</f>
        <v>29380</v>
      </c>
    </row>
    <row r="111" spans="1:7" ht="17">
      <c r="A111" s="1" t="s">
        <v>1340</v>
      </c>
      <c r="B111" s="2" t="s">
        <v>1339</v>
      </c>
      <c r="C111" s="2">
        <v>0</v>
      </c>
      <c r="D111" s="2">
        <v>0</v>
      </c>
      <c r="E111" s="2">
        <v>0</v>
      </c>
      <c r="F111" s="4">
        <v>0</v>
      </c>
      <c r="G111" s="11" cm="1">
        <f t="array" aca="1" ref="G111" ca="1">IFERROR(VLOOKUP("*" &amp; B111  &amp; "*" &amp; (MID(CELL("filename",A110),FIND("]",CELL("filename",A110))+1,31)) &amp; "*",CHOOSE({1,2}, Super_CBSA!$B$2:$B$1917, Super_CBSA!$A$2:$A$1917), 2,FALSE), IFERROR(VLOOKUP(B111  &amp; "*",CHOOSE({1,2}, Super_CBSA!$E$2:$E$1917, Super_CBSA!$A$2:$A$1917), 2,FALSE), ""))</f>
        <v>29380</v>
      </c>
    </row>
    <row r="112" spans="1:7" ht="17">
      <c r="A112" s="1" t="s">
        <v>1341</v>
      </c>
      <c r="B112" s="2" t="s">
        <v>1342</v>
      </c>
      <c r="C112" s="2">
        <v>864</v>
      </c>
      <c r="D112" s="3">
        <v>41142</v>
      </c>
      <c r="E112" s="3">
        <v>179656</v>
      </c>
      <c r="F112" s="4">
        <v>4438451</v>
      </c>
      <c r="G112" s="11" cm="1">
        <f t="array" aca="1" ref="G112" ca="1">IFERROR(VLOOKUP("*" &amp; B112  &amp; "*" &amp; (MID(CELL("filename",A111),FIND("]",CELL("filename",A111))+1,31)) &amp; "*",CHOOSE({1,2}, Super_CBSA!$B$2:$B$1917, Super_CBSA!$A$2:$A$1917), 2,FALSE), IFERROR(VLOOKUP(B112  &amp; "*",CHOOSE({1,2}, Super_CBSA!$E$2:$E$1917, Super_CBSA!$A$2:$A$1917), 2,FALSE), ""))</f>
        <v>29460</v>
      </c>
    </row>
    <row r="113" spans="1:7" ht="17">
      <c r="A113" s="1" t="s">
        <v>1343</v>
      </c>
      <c r="B113" s="2" t="s">
        <v>1344</v>
      </c>
      <c r="C113" s="2">
        <v>54</v>
      </c>
      <c r="D113" s="3">
        <v>2056</v>
      </c>
      <c r="E113" s="3">
        <v>5599</v>
      </c>
      <c r="F113" s="4">
        <v>130955</v>
      </c>
      <c r="G113" s="11" t="str" cm="1">
        <f t="array" aca="1" ref="G113" ca="1">IFERROR(VLOOKUP("*" &amp; B113  &amp; "*" &amp; (MID(CELL("filename",A112),FIND("]",CELL("filename",A112))+1,31)) &amp; "*",CHOOSE({1,2}, Super_CBSA!$B$2:$B$1917, Super_CBSA!$A$2:$A$1917), 2,FALSE), IFERROR(VLOOKUP(B113  &amp; "*",CHOOSE({1,2}, Super_CBSA!$E$2:$E$1917, Super_CBSA!$A$2:$A$1917), 2,FALSE), ""))</f>
        <v/>
      </c>
    </row>
    <row r="114" spans="1:7" ht="17">
      <c r="A114" s="1" t="s">
        <v>1345</v>
      </c>
      <c r="B114" s="2" t="s">
        <v>1346</v>
      </c>
      <c r="C114" s="2">
        <v>120</v>
      </c>
      <c r="D114" s="3">
        <v>6417</v>
      </c>
      <c r="E114" s="3">
        <v>24280</v>
      </c>
      <c r="F114" s="4">
        <v>825903</v>
      </c>
      <c r="G114" s="11" t="str" cm="1">
        <f t="array" aca="1" ref="G114" ca="1">IFERROR(VLOOKUP("*" &amp; B114  &amp; "*" &amp; (MID(CELL("filename",A113),FIND("]",CELL("filename",A113))+1,31)) &amp; "*",CHOOSE({1,2}, Super_CBSA!$B$2:$B$1917, Super_CBSA!$A$2:$A$1917), 2,FALSE), IFERROR(VLOOKUP(B114  &amp; "*",CHOOSE({1,2}, Super_CBSA!$E$2:$E$1917, Super_CBSA!$A$2:$A$1917), 2,FALSE), ""))</f>
        <v/>
      </c>
    </row>
    <row r="115" spans="1:7" ht="17">
      <c r="A115" s="1" t="s">
        <v>1347</v>
      </c>
      <c r="B115" s="2" t="s">
        <v>1348</v>
      </c>
      <c r="C115" s="2">
        <v>363</v>
      </c>
      <c r="D115" s="3">
        <v>12139</v>
      </c>
      <c r="E115" s="3">
        <v>64095</v>
      </c>
      <c r="F115" s="4">
        <v>2774965</v>
      </c>
      <c r="G115" s="11" t="str" cm="1">
        <f t="array" aca="1" ref="G115" ca="1">IFERROR(VLOOKUP("*" &amp; B115  &amp; "*" &amp; (MID(CELL("filename",A114),FIND("]",CELL("filename",A114))+1,31)) &amp; "*",CHOOSE({1,2}, Super_CBSA!$B$2:$B$1917, Super_CBSA!$A$2:$A$1917), 2,FALSE), IFERROR(VLOOKUP(B115  &amp; "*",CHOOSE({1,2}, Super_CBSA!$E$2:$E$1917, Super_CBSA!$A$2:$A$1917), 2,FALSE), ""))</f>
        <v/>
      </c>
    </row>
    <row r="116" spans="1:7" ht="17">
      <c r="A116" s="1" t="s">
        <v>1349</v>
      </c>
      <c r="B116" s="2" t="s">
        <v>1348</v>
      </c>
      <c r="C116" s="2">
        <v>177</v>
      </c>
      <c r="D116" s="3">
        <v>4886</v>
      </c>
      <c r="E116" s="3">
        <v>22705</v>
      </c>
      <c r="F116" s="4">
        <v>199048</v>
      </c>
      <c r="G116" s="11" t="str" cm="1">
        <f t="array" aca="1" ref="G116" ca="1">IFERROR(VLOOKUP("*" &amp; B116  &amp; "*" &amp; (MID(CELL("filename",A115),FIND("]",CELL("filename",A115))+1,31)) &amp; "*",CHOOSE({1,2}, Super_CBSA!$B$2:$B$1917, Super_CBSA!$A$2:$A$1917), 2,FALSE), IFERROR(VLOOKUP(B116  &amp; "*",CHOOSE({1,2}, Super_CBSA!$E$2:$E$1917, Super_CBSA!$A$2:$A$1917), 2,FALSE), ""))</f>
        <v/>
      </c>
    </row>
    <row r="117" spans="1:7" ht="17">
      <c r="A117" s="1" t="s">
        <v>1350</v>
      </c>
      <c r="B117" s="2" t="s">
        <v>1319</v>
      </c>
      <c r="C117" s="2">
        <v>119</v>
      </c>
      <c r="D117" s="3">
        <v>3979</v>
      </c>
      <c r="E117" s="3">
        <v>21726</v>
      </c>
      <c r="F117" s="4">
        <v>264485</v>
      </c>
      <c r="G117" s="11" t="str" cm="1">
        <f t="array" aca="1" ref="G117" ca="1">IFERROR(VLOOKUP("*" &amp; B117  &amp; "*" &amp; (MID(CELL("filename",A116),FIND("]",CELL("filename",A116))+1,31)) &amp; "*",CHOOSE({1,2}, Super_CBSA!$B$2:$B$1917, Super_CBSA!$A$2:$A$1917), 2,FALSE), IFERROR(VLOOKUP(B117  &amp; "*",CHOOSE({1,2}, Super_CBSA!$E$2:$E$1917, Super_CBSA!$A$2:$A$1917), 2,FALSE), ""))</f>
        <v/>
      </c>
    </row>
    <row r="118" spans="1:7" ht="17">
      <c r="A118" s="1" t="s">
        <v>1351</v>
      </c>
      <c r="B118" s="2" t="s">
        <v>1352</v>
      </c>
      <c r="C118" s="2">
        <v>121</v>
      </c>
      <c r="D118" s="3">
        <v>4124</v>
      </c>
      <c r="E118" s="3">
        <v>25570</v>
      </c>
      <c r="F118" s="4">
        <v>412525</v>
      </c>
      <c r="G118" s="11" t="str" cm="1">
        <f t="array" aca="1" ref="G118" ca="1">IFERROR(VLOOKUP("*" &amp; B118  &amp; "*" &amp; (MID(CELL("filename",A117),FIND("]",CELL("filename",A117))+1,31)) &amp; "*",CHOOSE({1,2}, Super_CBSA!$B$2:$B$1917, Super_CBSA!$A$2:$A$1917), 2,FALSE), IFERROR(VLOOKUP(B118  &amp; "*",CHOOSE({1,2}, Super_CBSA!$E$2:$E$1917, Super_CBSA!$A$2:$A$1917), 2,FALSE), ""))</f>
        <v/>
      </c>
    </row>
    <row r="119" spans="1:7" ht="17">
      <c r="A119" s="1" t="s">
        <v>1353</v>
      </c>
      <c r="B119" s="2" t="s">
        <v>1354</v>
      </c>
      <c r="C119" s="2">
        <v>380</v>
      </c>
      <c r="D119" s="3">
        <v>17319</v>
      </c>
      <c r="E119" s="3">
        <v>91318</v>
      </c>
      <c r="F119" s="4">
        <v>3331174</v>
      </c>
      <c r="G119" s="11" t="str" cm="1">
        <f t="array" aca="1" ref="G119" ca="1">IFERROR(VLOOKUP("*" &amp; B119  &amp; "*" &amp; (MID(CELL("filename",A118),FIND("]",CELL("filename",A118))+1,31)) &amp; "*",CHOOSE({1,2}, Super_CBSA!$B$2:$B$1917, Super_CBSA!$A$2:$A$1917), 2,FALSE), IFERROR(VLOOKUP(B119  &amp; "*",CHOOSE({1,2}, Super_CBSA!$E$2:$E$1917, Super_CBSA!$A$2:$A$1917), 2,FALSE), ""))</f>
        <v/>
      </c>
    </row>
    <row r="120" spans="1:7" ht="17">
      <c r="A120" s="1" t="s">
        <v>1355</v>
      </c>
      <c r="B120" s="2" t="s">
        <v>1302</v>
      </c>
      <c r="C120" s="2">
        <v>832</v>
      </c>
      <c r="D120" s="3">
        <v>42141</v>
      </c>
      <c r="E120" s="3">
        <v>203654</v>
      </c>
      <c r="F120" s="4">
        <v>4947772</v>
      </c>
      <c r="G120" s="11" cm="1">
        <f t="array" aca="1" ref="G120" ca="1">IFERROR(VLOOKUP("*" &amp; B120  &amp; "*" &amp; (MID(CELL("filename",A119),FIND("]",CELL("filename",A119))+1,31)) &amp; "*",CHOOSE({1,2}, Super_CBSA!$B$2:$B$1917, Super_CBSA!$A$2:$A$1917), 2,FALSE), IFERROR(VLOOKUP(B120  &amp; "*",CHOOSE({1,2}, Super_CBSA!$E$2:$E$1917, Super_CBSA!$A$2:$A$1917), 2,FALSE), ""))</f>
        <v>15980</v>
      </c>
    </row>
    <row r="121" spans="1:7" ht="17">
      <c r="A121" s="1" t="s">
        <v>1356</v>
      </c>
      <c r="B121" s="2" t="s">
        <v>1357</v>
      </c>
      <c r="C121" s="2">
        <v>78</v>
      </c>
      <c r="D121" s="3">
        <v>2473</v>
      </c>
      <c r="E121" s="3">
        <v>9451</v>
      </c>
      <c r="F121" s="4">
        <v>291320</v>
      </c>
      <c r="G121" s="11" t="str" cm="1">
        <f t="array" aca="1" ref="G121" ca="1">IFERROR(VLOOKUP("*" &amp; B121  &amp; "*" &amp; (MID(CELL("filename",A120),FIND("]",CELL("filename",A120))+1,31)) &amp; "*",CHOOSE({1,2}, Super_CBSA!$B$2:$B$1917, Super_CBSA!$A$2:$A$1917), 2,FALSE), IFERROR(VLOOKUP(B121  &amp; "*",CHOOSE({1,2}, Super_CBSA!$E$2:$E$1917, Super_CBSA!$A$2:$A$1917), 2,FALSE), ""))</f>
        <v/>
      </c>
    </row>
    <row r="122" spans="1:7" ht="17">
      <c r="A122" s="1" t="s">
        <v>1358</v>
      </c>
      <c r="B122" s="2" t="s">
        <v>1359</v>
      </c>
      <c r="C122" s="2">
        <v>120</v>
      </c>
      <c r="D122" s="3">
        <v>2784</v>
      </c>
      <c r="E122" s="3">
        <v>10960</v>
      </c>
      <c r="F122" s="4">
        <v>414941</v>
      </c>
      <c r="G122" s="11" cm="1">
        <f t="array" aca="1" ref="G122" ca="1">IFERROR(VLOOKUP("*" &amp; B122  &amp; "*" &amp; (MID(CELL("filename",A121),FIND("]",CELL("filename",A121))+1,31)) &amp; "*",CHOOSE({1,2}, Super_CBSA!$B$2:$B$1917, Super_CBSA!$A$2:$A$1917), 2,FALSE), IFERROR(VLOOKUP(B122  &amp; "*",CHOOSE({1,2}, Super_CBSA!$E$2:$E$1917, Super_CBSA!$A$2:$A$1917), 2,FALSE), ""))</f>
        <v>28580</v>
      </c>
    </row>
    <row r="123" spans="1:7" ht="17">
      <c r="A123" s="1" t="s">
        <v>1360</v>
      </c>
      <c r="B123" s="2" t="s">
        <v>1361</v>
      </c>
      <c r="C123" s="2">
        <v>0</v>
      </c>
      <c r="D123" s="2">
        <v>0</v>
      </c>
      <c r="E123" s="2">
        <v>0</v>
      </c>
      <c r="F123" s="4">
        <v>0</v>
      </c>
      <c r="G123" s="11" cm="1">
        <f t="array" aca="1" ref="G123" ca="1">IFERROR(VLOOKUP("*" &amp; B123  &amp; "*" &amp; (MID(CELL("filename",A122),FIND("]",CELL("filename",A122))+1,31)) &amp; "*",CHOOSE({1,2}, Super_CBSA!$B$2:$B$1917, Super_CBSA!$A$2:$A$1917), 2,FALSE), IFERROR(VLOOKUP(B123  &amp; "*",CHOOSE({1,2}, Super_CBSA!$E$2:$E$1917, Super_CBSA!$A$2:$A$1917), 2,FALSE), ""))</f>
        <v>23540</v>
      </c>
    </row>
    <row r="124" spans="1:7" ht="17">
      <c r="A124" s="1" t="s">
        <v>1362</v>
      </c>
      <c r="B124" s="2" t="s">
        <v>1247</v>
      </c>
      <c r="C124" s="2">
        <v>295</v>
      </c>
      <c r="D124" s="3">
        <v>18448</v>
      </c>
      <c r="E124" s="3">
        <v>79866</v>
      </c>
      <c r="F124" s="4">
        <v>2241078</v>
      </c>
      <c r="G124" s="11" cm="1">
        <f t="array" aca="1" ref="G124" ca="1">IFERROR(VLOOKUP("*" &amp; B124  &amp; "*" &amp; (MID(CELL("filename",A123),FIND("]",CELL("filename",A123))+1,31)) &amp; "*",CHOOSE({1,2}, Super_CBSA!$B$2:$B$1917, Super_CBSA!$A$2:$A$1917), 2,FALSE), IFERROR(VLOOKUP(B124  &amp; "*",CHOOSE({1,2}, Super_CBSA!$E$2:$E$1917, Super_CBSA!$A$2:$A$1917), 2,FALSE), ""))</f>
        <v>35840</v>
      </c>
    </row>
    <row r="125" spans="1:7" ht="17">
      <c r="A125" s="1" t="s">
        <v>1363</v>
      </c>
      <c r="B125" s="2" t="s">
        <v>1212</v>
      </c>
      <c r="C125" s="2">
        <v>277</v>
      </c>
      <c r="D125" s="3">
        <v>14727</v>
      </c>
      <c r="E125" s="3">
        <v>72919</v>
      </c>
      <c r="F125" s="4">
        <v>1773514</v>
      </c>
      <c r="G125" s="11" cm="1">
        <f t="array" aca="1" ref="G125" ca="1">IFERROR(VLOOKUP("*" &amp; B125  &amp; "*" &amp; (MID(CELL("filename",A124),FIND("]",CELL("filename",A124))+1,31)) &amp; "*",CHOOSE({1,2}, Super_CBSA!$B$2:$B$1917, Super_CBSA!$A$2:$A$1917), 2,FALSE), IFERROR(VLOOKUP(B125  &amp; "*",CHOOSE({1,2}, Super_CBSA!$E$2:$E$1917, Super_CBSA!$A$2:$A$1917), 2,FALSE), ""))</f>
        <v>27260</v>
      </c>
    </row>
    <row r="126" spans="1:7" ht="17">
      <c r="A126" s="1" t="s">
        <v>1364</v>
      </c>
      <c r="B126" s="2" t="s">
        <v>1365</v>
      </c>
      <c r="C126" s="2">
        <v>311</v>
      </c>
      <c r="D126" s="3">
        <v>15981</v>
      </c>
      <c r="E126" s="3">
        <v>76785</v>
      </c>
      <c r="F126" s="4">
        <v>1509467</v>
      </c>
      <c r="G126" s="11" t="str" cm="1">
        <f t="array" aca="1" ref="G126" ca="1">IFERROR(VLOOKUP("*" &amp; B126  &amp; "*" &amp; (MID(CELL("filename",A125),FIND("]",CELL("filename",A125))+1,31)) &amp; "*",CHOOSE({1,2}, Super_CBSA!$B$2:$B$1917, Super_CBSA!$A$2:$A$1917), 2,FALSE), IFERROR(VLOOKUP(B126  &amp; "*",CHOOSE({1,2}, Super_CBSA!$E$2:$E$1917, Super_CBSA!$A$2:$A$1917), 2,FALSE), ""))</f>
        <v/>
      </c>
    </row>
    <row r="127" spans="1:7" ht="17">
      <c r="A127" s="1" t="s">
        <v>1366</v>
      </c>
      <c r="B127" s="2" t="s">
        <v>1367</v>
      </c>
      <c r="C127" s="2">
        <v>112</v>
      </c>
      <c r="D127" s="3">
        <v>6705</v>
      </c>
      <c r="E127" s="3">
        <v>28977</v>
      </c>
      <c r="F127" s="4">
        <v>456730</v>
      </c>
      <c r="G127" s="11" t="str" cm="1">
        <f t="array" aca="1" ref="G127" ca="1">IFERROR(VLOOKUP("*" &amp; B127  &amp; "*" &amp; (MID(CELL("filename",A126),FIND("]",CELL("filename",A126))+1,31)) &amp; "*",CHOOSE({1,2}, Super_CBSA!$B$2:$B$1917, Super_CBSA!$A$2:$A$1917), 2,FALSE), IFERROR(VLOOKUP(B127  &amp; "*",CHOOSE({1,2}, Super_CBSA!$E$2:$E$1917, Super_CBSA!$A$2:$A$1917), 2,FALSE), ""))</f>
        <v/>
      </c>
    </row>
    <row r="128" spans="1:7" ht="17">
      <c r="A128" s="1" t="s">
        <v>1368</v>
      </c>
      <c r="B128" s="2" t="s">
        <v>1369</v>
      </c>
      <c r="C128" s="2">
        <v>307</v>
      </c>
      <c r="D128" s="3">
        <v>13759</v>
      </c>
      <c r="E128" s="3">
        <v>61641</v>
      </c>
      <c r="F128" s="4">
        <v>2634521</v>
      </c>
      <c r="G128" s="11" t="str" cm="1">
        <f t="array" aca="1" ref="G128" ca="1">IFERROR(VLOOKUP("*" &amp; B128  &amp; "*" &amp; (MID(CELL("filename",A127),FIND("]",CELL("filename",A127))+1,31)) &amp; "*",CHOOSE({1,2}, Super_CBSA!$B$2:$B$1917, Super_CBSA!$A$2:$A$1917), 2,FALSE), IFERROR(VLOOKUP(B128  &amp; "*",CHOOSE({1,2}, Super_CBSA!$E$2:$E$1917, Super_CBSA!$A$2:$A$1917), 2,FALSE), ""))</f>
        <v/>
      </c>
    </row>
    <row r="129" spans="1:7" ht="17">
      <c r="A129" s="1" t="s">
        <v>1370</v>
      </c>
      <c r="B129" s="2" t="s">
        <v>1314</v>
      </c>
      <c r="C129" s="2">
        <v>113</v>
      </c>
      <c r="D129" s="3">
        <v>2776</v>
      </c>
      <c r="E129" s="3">
        <v>11053</v>
      </c>
      <c r="F129" s="4">
        <v>623540</v>
      </c>
      <c r="G129" s="11" cm="1">
        <f t="array" aca="1" ref="G129" ca="1">IFERROR(VLOOKUP("*" &amp; B129  &amp; "*" &amp; (MID(CELL("filename",A128),FIND("]",CELL("filename",A128))+1,31)) &amp; "*",CHOOSE({1,2}, Super_CBSA!$B$2:$B$1917, Super_CBSA!$A$2:$A$1917), 2,FALSE), IFERROR(VLOOKUP(B129  &amp; "*",CHOOSE({1,2}, Super_CBSA!$E$2:$E$1917, Super_CBSA!$A$2:$A$1917), 2,FALSE), ""))</f>
        <v>37340</v>
      </c>
    </row>
    <row r="130" spans="1:7" ht="17">
      <c r="A130" s="1" t="s">
        <v>1371</v>
      </c>
      <c r="B130" s="2" t="s">
        <v>1212</v>
      </c>
      <c r="C130" s="2">
        <v>418</v>
      </c>
      <c r="D130" s="3">
        <v>19782</v>
      </c>
      <c r="E130" s="3">
        <v>103754</v>
      </c>
      <c r="F130" s="4">
        <v>3721938</v>
      </c>
      <c r="G130" s="11" cm="1">
        <f t="array" aca="1" ref="G130" ca="1">IFERROR(VLOOKUP("*" &amp; B130  &amp; "*" &amp; (MID(CELL("filename",A129),FIND("]",CELL("filename",A129))+1,31)) &amp; "*",CHOOSE({1,2}, Super_CBSA!$B$2:$B$1917, Super_CBSA!$A$2:$A$1917), 2,FALSE), IFERROR(VLOOKUP(B130  &amp; "*",CHOOSE({1,2}, Super_CBSA!$E$2:$E$1917, Super_CBSA!$A$2:$A$1917), 2,FALSE), ""))</f>
        <v>27260</v>
      </c>
    </row>
    <row r="131" spans="1:7" ht="17">
      <c r="A131" s="1" t="s">
        <v>1372</v>
      </c>
      <c r="B131" s="2" t="s">
        <v>1373</v>
      </c>
      <c r="C131" s="2">
        <v>178</v>
      </c>
      <c r="D131" s="3">
        <v>8883</v>
      </c>
      <c r="E131" s="3">
        <v>37257</v>
      </c>
      <c r="F131" s="4">
        <v>1186123</v>
      </c>
      <c r="G131" s="11" t="str" cm="1">
        <f t="array" aca="1" ref="G131" ca="1">IFERROR(VLOOKUP("*" &amp; B131  &amp; "*" &amp; (MID(CELL("filename",A130),FIND("]",CELL("filename",A130))+1,31)) &amp; "*",CHOOSE({1,2}, Super_CBSA!$B$2:$B$1917, Super_CBSA!$A$2:$A$1917), 2,FALSE), IFERROR(VLOOKUP(B131  &amp; "*",CHOOSE({1,2}, Super_CBSA!$E$2:$E$1917, Super_CBSA!$A$2:$A$1917), 2,FALSE), ""))</f>
        <v/>
      </c>
    </row>
    <row r="132" spans="1:7" ht="17">
      <c r="A132" s="1" t="s">
        <v>1374</v>
      </c>
      <c r="B132" s="2" t="s">
        <v>1161</v>
      </c>
      <c r="C132" s="2">
        <v>183</v>
      </c>
      <c r="D132" s="3">
        <v>4039</v>
      </c>
      <c r="E132" s="3">
        <v>16067</v>
      </c>
      <c r="F132" s="4">
        <v>884848</v>
      </c>
      <c r="G132" s="11" cm="1">
        <f t="array" aca="1" ref="G132" ca="1">IFERROR(VLOOKUP("*" &amp; B132  &amp; "*" &amp; (MID(CELL("filename",A131),FIND("]",CELL("filename",A131))+1,31)) &amp; "*",CHOOSE({1,2}, Super_CBSA!$B$2:$B$1917, Super_CBSA!$A$2:$A$1917), 2,FALSE), IFERROR(VLOOKUP(B132  &amp; "*",CHOOSE({1,2}, Super_CBSA!$E$2:$E$1917, Super_CBSA!$A$2:$A$1917), 2,FALSE), ""))</f>
        <v>45300</v>
      </c>
    </row>
    <row r="133" spans="1:7" ht="17">
      <c r="A133" s="1" t="s">
        <v>1375</v>
      </c>
      <c r="B133" s="2" t="s">
        <v>1376</v>
      </c>
      <c r="C133" s="2">
        <v>301</v>
      </c>
      <c r="D133" s="3">
        <v>6501</v>
      </c>
      <c r="E133" s="3">
        <v>31335</v>
      </c>
      <c r="F133" s="4">
        <v>1024004</v>
      </c>
      <c r="G133" s="11" t="str" cm="1">
        <f t="array" aca="1" ref="G133" ca="1">IFERROR(VLOOKUP("*" &amp; B133  &amp; "*" &amp; (MID(CELL("filename",A132),FIND("]",CELL("filename",A132))+1,31)) &amp; "*",CHOOSE({1,2}, Super_CBSA!$B$2:$B$1917, Super_CBSA!$A$2:$A$1917), 2,FALSE), IFERROR(VLOOKUP(B133  &amp; "*",CHOOSE({1,2}, Super_CBSA!$E$2:$E$1917, Super_CBSA!$A$2:$A$1917), 2,FALSE), ""))</f>
        <v/>
      </c>
    </row>
    <row r="134" spans="1:7" ht="17">
      <c r="A134" s="1" t="s">
        <v>1377</v>
      </c>
      <c r="B134" s="2" t="s">
        <v>1376</v>
      </c>
      <c r="C134" s="2">
        <v>486</v>
      </c>
      <c r="D134" s="3">
        <v>19937</v>
      </c>
      <c r="E134" s="3">
        <v>108612</v>
      </c>
      <c r="F134" s="4">
        <v>3700417</v>
      </c>
      <c r="G134" s="11" t="str" cm="1">
        <f t="array" aca="1" ref="G134" ca="1">IFERROR(VLOOKUP("*" &amp; B134  &amp; "*" &amp; (MID(CELL("filename",A133),FIND("]",CELL("filename",A133))+1,31)) &amp; "*",CHOOSE({1,2}, Super_CBSA!$B$2:$B$1917, Super_CBSA!$A$2:$A$1917), 2,FALSE), IFERROR(VLOOKUP(B134  &amp; "*",CHOOSE({1,2}, Super_CBSA!$E$2:$E$1917, Super_CBSA!$A$2:$A$1917), 2,FALSE), ""))</f>
        <v/>
      </c>
    </row>
    <row r="135" spans="1:7" ht="17">
      <c r="A135" s="1" t="s">
        <v>1378</v>
      </c>
      <c r="B135" s="2" t="s">
        <v>908</v>
      </c>
      <c r="C135" s="3">
        <v>1013</v>
      </c>
      <c r="D135" s="3">
        <v>30148</v>
      </c>
      <c r="E135" s="3">
        <v>194862</v>
      </c>
      <c r="F135" s="4">
        <v>6680129</v>
      </c>
      <c r="G135" s="11" t="str" cm="1">
        <f t="array" aca="1" ref="G135" ca="1">IFERROR(VLOOKUP("*" &amp; B135  &amp; "*" &amp; (MID(CELL("filename",A134),FIND("]",CELL("filename",A134))+1,31)) &amp; "*",CHOOSE({1,2}, Super_CBSA!$B$2:$B$1917, Super_CBSA!$A$2:$A$1917), 2,FALSE), IFERROR(VLOOKUP(B135  &amp; "*",CHOOSE({1,2}, Super_CBSA!$E$2:$E$1917, Super_CBSA!$A$2:$A$1917), 2,FALSE), ""))</f>
        <v/>
      </c>
    </row>
    <row r="136" spans="1:7" ht="17">
      <c r="A136" s="1" t="s">
        <v>1379</v>
      </c>
      <c r="B136" s="2" t="s">
        <v>908</v>
      </c>
      <c r="C136" s="2">
        <v>0</v>
      </c>
      <c r="D136" s="2">
        <v>0</v>
      </c>
      <c r="E136" s="2">
        <v>0</v>
      </c>
      <c r="F136" s="4">
        <v>0</v>
      </c>
      <c r="G136" s="11" t="str" cm="1">
        <f t="array" aca="1" ref="G136" ca="1">IFERROR(VLOOKUP("*" &amp; B136  &amp; "*" &amp; (MID(CELL("filename",A135),FIND("]",CELL("filename",A135))+1,31)) &amp; "*",CHOOSE({1,2}, Super_CBSA!$B$2:$B$1917, Super_CBSA!$A$2:$A$1917), 2,FALSE), IFERROR(VLOOKUP(B136  &amp; "*",CHOOSE({1,2}, Super_CBSA!$E$2:$E$1917, Super_CBSA!$A$2:$A$1917), 2,FALSE), ""))</f>
        <v/>
      </c>
    </row>
    <row r="137" spans="1:7" ht="17">
      <c r="A137" s="1" t="s">
        <v>1380</v>
      </c>
      <c r="B137" s="2" t="s">
        <v>1218</v>
      </c>
      <c r="C137" s="2">
        <v>343</v>
      </c>
      <c r="D137" s="3">
        <v>15269</v>
      </c>
      <c r="E137" s="3">
        <v>77813</v>
      </c>
      <c r="F137" s="4">
        <v>1107218</v>
      </c>
      <c r="G137" s="11" cm="1">
        <f t="array" aca="1" ref="G137" ca="1">IFERROR(VLOOKUP("*" &amp; B137  &amp; "*" &amp; (MID(CELL("filename",A136),FIND("]",CELL("filename",A136))+1,31)) &amp; "*",CHOOSE({1,2}, Super_CBSA!$B$2:$B$1917, Super_CBSA!$A$2:$A$1917), 2,FALSE), IFERROR(VLOOKUP(B137  &amp; "*",CHOOSE({1,2}, Super_CBSA!$E$2:$E$1917, Super_CBSA!$A$2:$A$1917), 2,FALSE), ""))</f>
        <v>33100</v>
      </c>
    </row>
    <row r="138" spans="1:7" ht="17">
      <c r="A138" s="1" t="s">
        <v>1381</v>
      </c>
      <c r="B138" s="2" t="s">
        <v>1218</v>
      </c>
      <c r="C138" s="2">
        <v>454</v>
      </c>
      <c r="D138" s="2">
        <v>295</v>
      </c>
      <c r="E138" s="3">
        <v>1467</v>
      </c>
      <c r="F138" s="4">
        <v>73858</v>
      </c>
      <c r="G138" s="11" cm="1">
        <f t="array" aca="1" ref="G138" ca="1">IFERROR(VLOOKUP("*" &amp; B138  &amp; "*" &amp; (MID(CELL("filename",A137),FIND("]",CELL("filename",A137))+1,31)) &amp; "*",CHOOSE({1,2}, Super_CBSA!$B$2:$B$1917, Super_CBSA!$A$2:$A$1917), 2,FALSE), IFERROR(VLOOKUP(B138  &amp; "*",CHOOSE({1,2}, Super_CBSA!$E$2:$E$1917, Super_CBSA!$A$2:$A$1917), 2,FALSE), ""))</f>
        <v>33100</v>
      </c>
    </row>
    <row r="139" spans="1:7" ht="17">
      <c r="A139" s="1" t="s">
        <v>1382</v>
      </c>
      <c r="B139" s="2" t="s">
        <v>1218</v>
      </c>
      <c r="C139" s="2">
        <v>0</v>
      </c>
      <c r="D139" s="2">
        <v>0</v>
      </c>
      <c r="E139" s="2">
        <v>0</v>
      </c>
      <c r="F139" s="4">
        <v>0</v>
      </c>
      <c r="G139" s="11" cm="1">
        <f t="array" aca="1" ref="G139" ca="1">IFERROR(VLOOKUP("*" &amp; B139  &amp; "*" &amp; (MID(CELL("filename",A138),FIND("]",CELL("filename",A138))+1,31)) &amp; "*",CHOOSE({1,2}, Super_CBSA!$B$2:$B$1917, Super_CBSA!$A$2:$A$1917), 2,FALSE), IFERROR(VLOOKUP(B139  &amp; "*",CHOOSE({1,2}, Super_CBSA!$E$2:$E$1917, Super_CBSA!$A$2:$A$1917), 2,FALSE), ""))</f>
        <v>33100</v>
      </c>
    </row>
    <row r="140" spans="1:7" ht="17">
      <c r="A140" s="1" t="s">
        <v>1383</v>
      </c>
      <c r="B140" s="2" t="s">
        <v>1161</v>
      </c>
      <c r="C140" s="2">
        <v>206</v>
      </c>
      <c r="D140" s="3">
        <v>9422</v>
      </c>
      <c r="E140" s="3">
        <v>60293</v>
      </c>
      <c r="F140" s="4">
        <v>4041468</v>
      </c>
      <c r="G140" s="11" cm="1">
        <f t="array" aca="1" ref="G140" ca="1">IFERROR(VLOOKUP("*" &amp; B140  &amp; "*" &amp; (MID(CELL("filename",A139),FIND("]",CELL("filename",A139))+1,31)) &amp; "*",CHOOSE({1,2}, Super_CBSA!$B$2:$B$1917, Super_CBSA!$A$2:$A$1917), 2,FALSE), IFERROR(VLOOKUP(B140  &amp; "*",CHOOSE({1,2}, Super_CBSA!$E$2:$E$1917, Super_CBSA!$A$2:$A$1917), 2,FALSE), ""))</f>
        <v>45300</v>
      </c>
    </row>
    <row r="141" spans="1:7" ht="17">
      <c r="A141" s="1" t="s">
        <v>1384</v>
      </c>
      <c r="B141" s="2" t="s">
        <v>1385</v>
      </c>
      <c r="C141" s="2">
        <v>650</v>
      </c>
      <c r="D141" s="3">
        <v>24682</v>
      </c>
      <c r="E141" s="3">
        <v>124626</v>
      </c>
      <c r="F141" s="4">
        <v>2771943</v>
      </c>
      <c r="G141" s="11" cm="1">
        <f t="array" aca="1" ref="G141" ca="1">IFERROR(VLOOKUP("*" &amp; B141  &amp; "*" &amp; (MID(CELL("filename",A140),FIND("]",CELL("filename",A140))+1,31)) &amp; "*",CHOOSE({1,2}, Super_CBSA!$B$2:$B$1917, Super_CBSA!$A$2:$A$1917), 2,FALSE), IFERROR(VLOOKUP(B141  &amp; "*",CHOOSE({1,2}, Super_CBSA!$E$2:$E$1917, Super_CBSA!$A$2:$A$1917), 2,FALSE), ""))</f>
        <v>45300</v>
      </c>
    </row>
    <row r="142" spans="1:7" ht="17">
      <c r="A142" s="1" t="s">
        <v>1386</v>
      </c>
      <c r="B142" s="2" t="s">
        <v>1387</v>
      </c>
      <c r="C142" s="2">
        <v>217</v>
      </c>
      <c r="D142" s="3">
        <v>12375</v>
      </c>
      <c r="E142" s="3">
        <v>53266</v>
      </c>
      <c r="F142" s="4">
        <v>727146</v>
      </c>
      <c r="G142" s="11" t="str" cm="1">
        <f t="array" aca="1" ref="G142" ca="1">IFERROR(VLOOKUP("*" &amp; B142  &amp; "*" &amp; (MID(CELL("filename",A141),FIND("]",CELL("filename",A141))+1,31)) &amp; "*",CHOOSE({1,2}, Super_CBSA!$B$2:$B$1917, Super_CBSA!$A$2:$A$1917), 2,FALSE), IFERROR(VLOOKUP(B142  &amp; "*",CHOOSE({1,2}, Super_CBSA!$E$2:$E$1917, Super_CBSA!$A$2:$A$1917), 2,FALSE), ""))</f>
        <v/>
      </c>
    </row>
    <row r="143" spans="1:7" ht="17">
      <c r="A143" s="1" t="s">
        <v>1388</v>
      </c>
      <c r="B143" s="2" t="s">
        <v>1389</v>
      </c>
      <c r="C143" s="2">
        <v>589</v>
      </c>
      <c r="D143" s="3">
        <v>22517</v>
      </c>
      <c r="E143" s="3">
        <v>102736</v>
      </c>
      <c r="F143" s="4">
        <v>2506116</v>
      </c>
      <c r="G143" s="11" t="str" cm="1">
        <f t="array" aca="1" ref="G143" ca="1">IFERROR(VLOOKUP("*" &amp; B143  &amp; "*" &amp; (MID(CELL("filename",A142),FIND("]",CELL("filename",A142))+1,31)) &amp; "*",CHOOSE({1,2}, Super_CBSA!$B$2:$B$1917, Super_CBSA!$A$2:$A$1917), 2,FALSE), IFERROR(VLOOKUP(B143  &amp; "*",CHOOSE({1,2}, Super_CBSA!$E$2:$E$1917, Super_CBSA!$A$2:$A$1917), 2,FALSE), ""))</f>
        <v/>
      </c>
    </row>
    <row r="144" spans="1:7" ht="17">
      <c r="A144" s="1" t="s">
        <v>1390</v>
      </c>
      <c r="B144" s="2" t="s">
        <v>1212</v>
      </c>
      <c r="C144" s="2">
        <v>0</v>
      </c>
      <c r="D144" s="2">
        <v>0</v>
      </c>
      <c r="E144" s="2">
        <v>0</v>
      </c>
      <c r="F144" s="4">
        <v>0</v>
      </c>
      <c r="G144" s="11" cm="1">
        <f t="array" aca="1" ref="G144" ca="1">IFERROR(VLOOKUP("*" &amp; B144  &amp; "*" &amp; (MID(CELL("filename",A143),FIND("]",CELL("filename",A143))+1,31)) &amp; "*",CHOOSE({1,2}, Super_CBSA!$B$2:$B$1917, Super_CBSA!$A$2:$A$1917), 2,FALSE), IFERROR(VLOOKUP(B144  &amp; "*",CHOOSE({1,2}, Super_CBSA!$E$2:$E$1917, Super_CBSA!$A$2:$A$1917), 2,FALSE), ""))</f>
        <v>27260</v>
      </c>
    </row>
    <row r="145" spans="1:7" ht="17">
      <c r="A145" s="1" t="s">
        <v>1391</v>
      </c>
      <c r="B145" s="2" t="s">
        <v>1208</v>
      </c>
      <c r="C145" s="2">
        <v>0</v>
      </c>
      <c r="D145" s="2">
        <v>0</v>
      </c>
      <c r="E145" s="2">
        <v>0</v>
      </c>
      <c r="F145" s="4">
        <v>0</v>
      </c>
      <c r="G145" s="11" cm="1">
        <f t="array" aca="1" ref="G145" ca="1">IFERROR(VLOOKUP("*" &amp; B145  &amp; "*" &amp; (MID(CELL("filename",A144),FIND("]",CELL("filename",A144))+1,31)) &amp; "*",CHOOSE({1,2}, Super_CBSA!$B$2:$B$1917, Super_CBSA!$A$2:$A$1917), 2,FALSE), IFERROR(VLOOKUP(B145  &amp; "*",CHOOSE({1,2}, Super_CBSA!$E$2:$E$1917, Super_CBSA!$A$2:$A$1917), 2,FALSE), ""))</f>
        <v>37860</v>
      </c>
    </row>
    <row r="146" spans="1:7" ht="17">
      <c r="A146" s="1" t="s">
        <v>1392</v>
      </c>
      <c r="B146" s="2" t="s">
        <v>1393</v>
      </c>
      <c r="C146" s="2">
        <v>602</v>
      </c>
      <c r="D146" s="3">
        <v>24467</v>
      </c>
      <c r="E146" s="3">
        <v>130500</v>
      </c>
      <c r="F146" s="4">
        <v>2283437</v>
      </c>
      <c r="G146" s="11" cm="1">
        <f t="array" aca="1" ref="G146" ca="1">IFERROR(VLOOKUP("*" &amp; B146  &amp; "*" &amp; (MID(CELL("filename",A145),FIND("]",CELL("filename",A145))+1,31)) &amp; "*",CHOOSE({1,2}, Super_CBSA!$B$2:$B$1917, Super_CBSA!$A$2:$A$1917), 2,FALSE), IFERROR(VLOOKUP(B146  &amp; "*",CHOOSE({1,2}, Super_CBSA!$E$2:$E$1917, Super_CBSA!$A$2:$A$1917), 2,FALSE), ""))</f>
        <v>34940</v>
      </c>
    </row>
    <row r="147" spans="1:7" ht="17">
      <c r="A147" s="1" t="s">
        <v>1394</v>
      </c>
      <c r="B147" s="2" t="s">
        <v>1393</v>
      </c>
      <c r="C147" s="2">
        <v>0</v>
      </c>
      <c r="D147" s="2">
        <v>0</v>
      </c>
      <c r="E147" s="2">
        <v>0</v>
      </c>
      <c r="F147" s="4">
        <v>0</v>
      </c>
      <c r="G147" s="11" cm="1">
        <f t="array" aca="1" ref="G147" ca="1">IFERROR(VLOOKUP("*" &amp; B147  &amp; "*" &amp; (MID(CELL("filename",A146),FIND("]",CELL("filename",A146))+1,31)) &amp; "*",CHOOSE({1,2}, Super_CBSA!$B$2:$B$1917, Super_CBSA!$A$2:$A$1917), 2,FALSE), IFERROR(VLOOKUP(B147  &amp; "*",CHOOSE({1,2}, Super_CBSA!$E$2:$E$1917, Super_CBSA!$A$2:$A$1917), 2,FALSE), ""))</f>
        <v>34940</v>
      </c>
    </row>
    <row r="148" spans="1:7" ht="17">
      <c r="A148" s="1" t="s">
        <v>1395</v>
      </c>
      <c r="B148" s="2" t="s">
        <v>1361</v>
      </c>
      <c r="C148" s="2">
        <v>414</v>
      </c>
      <c r="D148" s="3">
        <v>23847</v>
      </c>
      <c r="E148" s="3">
        <v>118860</v>
      </c>
      <c r="F148" s="4">
        <v>4696861</v>
      </c>
      <c r="G148" s="11" cm="1">
        <f t="array" aca="1" ref="G148" ca="1">IFERROR(VLOOKUP("*" &amp; B148  &amp; "*" &amp; (MID(CELL("filename",A147),FIND("]",CELL("filename",A147))+1,31)) &amp; "*",CHOOSE({1,2}, Super_CBSA!$B$2:$B$1917, Super_CBSA!$A$2:$A$1917), 2,FALSE), IFERROR(VLOOKUP(B148  &amp; "*",CHOOSE({1,2}, Super_CBSA!$E$2:$E$1917, Super_CBSA!$A$2:$A$1917), 2,FALSE), ""))</f>
        <v>23540</v>
      </c>
    </row>
    <row r="149" spans="1:7" ht="17">
      <c r="A149" s="1" t="s">
        <v>1396</v>
      </c>
      <c r="B149" s="2" t="s">
        <v>1397</v>
      </c>
      <c r="C149" s="2">
        <v>110</v>
      </c>
      <c r="D149" s="3">
        <v>5130</v>
      </c>
      <c r="E149" s="3">
        <v>21143</v>
      </c>
      <c r="F149" s="4">
        <v>1210299</v>
      </c>
      <c r="G149" s="11" cm="1">
        <f t="array" aca="1" ref="G149" ca="1">IFERROR(VLOOKUP("*" &amp; B149  &amp; "*" &amp; (MID(CELL("filename",A148),FIND("]",CELL("filename",A148))+1,31)) &amp; "*",CHOOSE({1,2}, Super_CBSA!$B$2:$B$1917, Super_CBSA!$A$2:$A$1917), 2,FALSE), IFERROR(VLOOKUP(B149  &amp; "*",CHOOSE({1,2}, Super_CBSA!$E$2:$E$1917, Super_CBSA!$A$2:$A$1917), 2,FALSE), ""))</f>
        <v>18880</v>
      </c>
    </row>
    <row r="150" spans="1:7" ht="17">
      <c r="A150" s="1" t="s">
        <v>1398</v>
      </c>
      <c r="B150" s="2" t="s">
        <v>1218</v>
      </c>
      <c r="C150" s="2">
        <v>748</v>
      </c>
      <c r="D150" s="3">
        <v>23084</v>
      </c>
      <c r="E150" s="3">
        <v>104740</v>
      </c>
      <c r="F150" s="4">
        <v>3033231</v>
      </c>
      <c r="G150" s="11" cm="1">
        <f t="array" aca="1" ref="G150" ca="1">IFERROR(VLOOKUP("*" &amp; B150  &amp; "*" &amp; (MID(CELL("filename",A149),FIND("]",CELL("filename",A149))+1,31)) &amp; "*",CHOOSE({1,2}, Super_CBSA!$B$2:$B$1917, Super_CBSA!$A$2:$A$1917), 2,FALSE), IFERROR(VLOOKUP(B150  &amp; "*",CHOOSE({1,2}, Super_CBSA!$E$2:$E$1917, Super_CBSA!$A$2:$A$1917), 2,FALSE), ""))</f>
        <v>33100</v>
      </c>
    </row>
    <row r="151" spans="1:7" ht="17">
      <c r="A151" s="1" t="s">
        <v>1399</v>
      </c>
      <c r="B151" s="2" t="s">
        <v>1242</v>
      </c>
      <c r="C151" s="2">
        <v>221</v>
      </c>
      <c r="D151" s="3">
        <v>10180</v>
      </c>
      <c r="E151" s="3">
        <v>47465</v>
      </c>
      <c r="F151" s="4">
        <v>1920910</v>
      </c>
      <c r="G151" s="11" t="str" cm="1">
        <f t="array" aca="1" ref="G151" ca="1">IFERROR(VLOOKUP("*" &amp; B151  &amp; "*" &amp; (MID(CELL("filename",A150),FIND("]",CELL("filename",A150))+1,31)) &amp; "*",CHOOSE({1,2}, Super_CBSA!$B$2:$B$1917, Super_CBSA!$A$2:$A$1917), 2,FALSE), IFERROR(VLOOKUP(B151  &amp; "*",CHOOSE({1,2}, Super_CBSA!$E$2:$E$1917, Super_CBSA!$A$2:$A$1917), 2,FALSE), ""))</f>
        <v/>
      </c>
    </row>
    <row r="152" spans="1:7" ht="17">
      <c r="A152" s="1" t="s">
        <v>193</v>
      </c>
      <c r="B152" s="2" t="s">
        <v>1400</v>
      </c>
      <c r="C152" s="2">
        <v>228</v>
      </c>
      <c r="D152" s="3">
        <v>14230</v>
      </c>
      <c r="E152" s="3">
        <v>60740</v>
      </c>
      <c r="F152" s="4">
        <v>2295671</v>
      </c>
      <c r="G152" s="11" t="str" cm="1">
        <f t="array" aca="1" ref="G152" ca="1">IFERROR(VLOOKUP("*" &amp; B152  &amp; "*" &amp; (MID(CELL("filename",A151),FIND("]",CELL("filename",A151))+1,31)) &amp; "*",CHOOSE({1,2}, Super_CBSA!$B$2:$B$1917, Super_CBSA!$A$2:$A$1917), 2,FALSE), IFERROR(VLOOKUP(B152  &amp; "*",CHOOSE({1,2}, Super_CBSA!$E$2:$E$1917, Super_CBSA!$A$2:$A$1917), 2,FALSE), ""))</f>
        <v/>
      </c>
    </row>
    <row r="153" spans="1:7" ht="17">
      <c r="A153" s="1" t="s">
        <v>1401</v>
      </c>
      <c r="B153" s="2" t="s">
        <v>1232</v>
      </c>
      <c r="C153" s="2">
        <v>280</v>
      </c>
      <c r="D153" s="3">
        <v>19220</v>
      </c>
      <c r="E153" s="3">
        <v>88074</v>
      </c>
      <c r="F153" s="4">
        <v>3053319</v>
      </c>
      <c r="G153" s="11" t="str" cm="1">
        <f t="array" aca="1" ref="G153" ca="1">IFERROR(VLOOKUP("*" &amp; B153  &amp; "*" &amp; (MID(CELL("filename",A152),FIND("]",CELL("filename",A152))+1,31)) &amp; "*",CHOOSE({1,2}, Super_CBSA!$B$2:$B$1917, Super_CBSA!$A$2:$A$1917), 2,FALSE), IFERROR(VLOOKUP(B153  &amp; "*",CHOOSE({1,2}, Super_CBSA!$E$2:$E$1917, Super_CBSA!$A$2:$A$1917), 2,FALSE), ""))</f>
        <v/>
      </c>
    </row>
    <row r="154" spans="1:7" ht="17">
      <c r="A154" s="1" t="s">
        <v>1402</v>
      </c>
      <c r="B154" s="2" t="s">
        <v>1187</v>
      </c>
      <c r="C154" s="2">
        <v>430</v>
      </c>
      <c r="D154" s="3">
        <v>27527</v>
      </c>
      <c r="E154" s="3">
        <v>124493</v>
      </c>
      <c r="F154" s="4">
        <v>4189760</v>
      </c>
      <c r="G154" s="11" cm="1">
        <f t="array" aca="1" ref="G154" ca="1">IFERROR(VLOOKUP("*" &amp; B154  &amp; "*" &amp; (MID(CELL("filename",A153),FIND("]",CELL("filename",A153))+1,31)) &amp; "*",CHOOSE({1,2}, Super_CBSA!$B$2:$B$1917, Super_CBSA!$A$2:$A$1917), 2,FALSE), IFERROR(VLOOKUP(B154  &amp; "*",CHOOSE({1,2}, Super_CBSA!$E$2:$E$1917, Super_CBSA!$A$2:$A$1917), 2,FALSE), ""))</f>
        <v>36100</v>
      </c>
    </row>
    <row r="155" spans="1:7" ht="17">
      <c r="A155" s="1" t="s">
        <v>1403</v>
      </c>
      <c r="B155" s="2" t="s">
        <v>1404</v>
      </c>
      <c r="C155" s="2">
        <v>317</v>
      </c>
      <c r="D155" s="3">
        <v>17604</v>
      </c>
      <c r="E155" s="3">
        <v>81759</v>
      </c>
      <c r="F155" s="4">
        <v>3790797</v>
      </c>
      <c r="G155" s="11" t="str" cm="1">
        <f t="array" aca="1" ref="G155" ca="1">IFERROR(VLOOKUP("*" &amp; B155  &amp; "*" &amp; (MID(CELL("filename",A154),FIND("]",CELL("filename",A154))+1,31)) &amp; "*",CHOOSE({1,2}, Super_CBSA!$B$2:$B$1917, Super_CBSA!$A$2:$A$1917), 2,FALSE), IFERROR(VLOOKUP(B155  &amp; "*",CHOOSE({1,2}, Super_CBSA!$E$2:$E$1917, Super_CBSA!$A$2:$A$1917), 2,FALSE), ""))</f>
        <v/>
      </c>
    </row>
    <row r="156" spans="1:7" ht="17">
      <c r="A156" s="1" t="s">
        <v>1405</v>
      </c>
      <c r="B156" s="2" t="s">
        <v>1406</v>
      </c>
      <c r="C156" s="2">
        <v>84</v>
      </c>
      <c r="D156" s="3">
        <v>4051</v>
      </c>
      <c r="E156" s="3">
        <v>15898</v>
      </c>
      <c r="F156" s="4">
        <v>474436</v>
      </c>
      <c r="G156" s="11" t="str" cm="1">
        <f t="array" aca="1" ref="G156" ca="1">IFERROR(VLOOKUP("*" &amp; B156  &amp; "*" &amp; (MID(CELL("filename",A155),FIND("]",CELL("filename",A155))+1,31)) &amp; "*",CHOOSE({1,2}, Super_CBSA!$B$2:$B$1917, Super_CBSA!$A$2:$A$1917), 2,FALSE), IFERROR(VLOOKUP(B156  &amp; "*",CHOOSE({1,2}, Super_CBSA!$E$2:$E$1917, Super_CBSA!$A$2:$A$1917), 2,FALSE), ""))</f>
        <v/>
      </c>
    </row>
    <row r="157" spans="1:7" ht="17">
      <c r="A157" s="1" t="s">
        <v>1407</v>
      </c>
      <c r="B157" s="2" t="s">
        <v>1171</v>
      </c>
      <c r="C157" s="3">
        <v>1593</v>
      </c>
      <c r="D157" s="3">
        <v>92416</v>
      </c>
      <c r="E157" s="3">
        <v>402267</v>
      </c>
      <c r="F157" s="4">
        <v>11828934</v>
      </c>
      <c r="G157" s="11" cm="1">
        <f t="array" aca="1" ref="G157" ca="1">IFERROR(VLOOKUP("*" &amp; B157  &amp; "*" &amp; (MID(CELL("filename",A156),FIND("]",CELL("filename",A156))+1,31)) &amp; "*",CHOOSE({1,2}, Super_CBSA!$B$2:$B$1917, Super_CBSA!$A$2:$A$1917), 2,FALSE), IFERROR(VLOOKUP(B157  &amp; "*",CHOOSE({1,2}, Super_CBSA!$E$2:$E$1917, Super_CBSA!$A$2:$A$1917), 2,FALSE), ""))</f>
        <v>36740</v>
      </c>
    </row>
    <row r="158" spans="1:7" ht="17">
      <c r="A158" s="1" t="s">
        <v>1408</v>
      </c>
      <c r="B158" s="2" t="s">
        <v>1171</v>
      </c>
      <c r="C158" s="2">
        <v>0</v>
      </c>
      <c r="D158" s="2">
        <v>0</v>
      </c>
      <c r="E158" s="2">
        <v>0</v>
      </c>
      <c r="F158" s="4">
        <v>0</v>
      </c>
      <c r="G158" s="11" cm="1">
        <f t="array" aca="1" ref="G158" ca="1">IFERROR(VLOOKUP("*" &amp; B158  &amp; "*" &amp; (MID(CELL("filename",A157),FIND("]",CELL("filename",A157))+1,31)) &amp; "*",CHOOSE({1,2}, Super_CBSA!$B$2:$B$1917, Super_CBSA!$A$2:$A$1917), 2,FALSE), IFERROR(VLOOKUP(B158  &amp; "*",CHOOSE({1,2}, Super_CBSA!$E$2:$E$1917, Super_CBSA!$A$2:$A$1917), 2,FALSE), ""))</f>
        <v>36740</v>
      </c>
    </row>
    <row r="159" spans="1:7" ht="17">
      <c r="A159" s="1" t="s">
        <v>1409</v>
      </c>
      <c r="B159" s="2" t="s">
        <v>1177</v>
      </c>
      <c r="C159" s="2">
        <v>404</v>
      </c>
      <c r="D159" s="3">
        <v>22863</v>
      </c>
      <c r="E159" s="3">
        <v>106404</v>
      </c>
      <c r="F159" s="4">
        <v>3851794</v>
      </c>
      <c r="G159" s="11" cm="1">
        <f t="array" aca="1" ref="G159" ca="1">IFERROR(VLOOKUP("*" &amp; B159  &amp; "*" &amp; (MID(CELL("filename",A158),FIND("]",CELL("filename",A158))+1,31)) &amp; "*",CHOOSE({1,2}, Super_CBSA!$B$2:$B$1917, Super_CBSA!$A$2:$A$1917), 2,FALSE), IFERROR(VLOOKUP(B159  &amp; "*",CHOOSE({1,2}, Super_CBSA!$E$2:$E$1917, Super_CBSA!$A$2:$A$1917), 2,FALSE), ""))</f>
        <v>36740</v>
      </c>
    </row>
    <row r="160" spans="1:7" ht="17">
      <c r="A160" s="1" t="s">
        <v>1410</v>
      </c>
      <c r="B160" s="2" t="s">
        <v>1411</v>
      </c>
      <c r="C160" s="2">
        <v>64</v>
      </c>
      <c r="D160" s="3">
        <v>3140</v>
      </c>
      <c r="E160" s="3">
        <v>11846</v>
      </c>
      <c r="F160" s="4">
        <v>466029</v>
      </c>
      <c r="G160" s="11" t="str" cm="1">
        <f t="array" aca="1" ref="G160" ca="1">IFERROR(VLOOKUP("*" &amp; B160  &amp; "*" &amp; (MID(CELL("filename",A159),FIND("]",CELL("filename",A159))+1,31)) &amp; "*",CHOOSE({1,2}, Super_CBSA!$B$2:$B$1917, Super_CBSA!$A$2:$A$1917), 2,FALSE), IFERROR(VLOOKUP(B160  &amp; "*",CHOOSE({1,2}, Super_CBSA!$E$2:$E$1917, Super_CBSA!$A$2:$A$1917), 2,FALSE), ""))</f>
        <v/>
      </c>
    </row>
    <row r="161" spans="1:7" ht="17">
      <c r="A161" s="1" t="s">
        <v>1412</v>
      </c>
      <c r="B161" s="2" t="s">
        <v>1413</v>
      </c>
      <c r="C161" s="2">
        <v>120</v>
      </c>
      <c r="D161" s="3">
        <v>6865</v>
      </c>
      <c r="E161" s="3">
        <v>25796</v>
      </c>
      <c r="F161" s="4">
        <v>621563</v>
      </c>
      <c r="G161" s="11" cm="1">
        <f t="array" aca="1" ref="G161" ca="1">IFERROR(VLOOKUP("*" &amp; B161  &amp; "*" &amp; (MID(CELL("filename",A160),FIND("]",CELL("filename",A160))+1,31)) &amp; "*",CHOOSE({1,2}, Super_CBSA!$B$2:$B$1917, Super_CBSA!$A$2:$A$1917), 2,FALSE), IFERROR(VLOOKUP(B161  &amp; "*",CHOOSE({1,2}, Super_CBSA!$E$2:$E$1917, Super_CBSA!$A$2:$A$1917), 2,FALSE), ""))</f>
        <v>37340</v>
      </c>
    </row>
    <row r="162" spans="1:7" ht="17">
      <c r="A162" s="1" t="s">
        <v>1414</v>
      </c>
      <c r="B162" s="2" t="s">
        <v>1415</v>
      </c>
      <c r="C162" s="2">
        <v>199</v>
      </c>
      <c r="D162" s="3">
        <v>10297</v>
      </c>
      <c r="E162" s="3">
        <v>47526</v>
      </c>
      <c r="F162" s="4">
        <v>1721868</v>
      </c>
      <c r="G162" s="11" t="str" cm="1">
        <f t="array" aca="1" ref="G162" ca="1">IFERROR(VLOOKUP("*" &amp; B162  &amp; "*" &amp; (MID(CELL("filename",A161),FIND("]",CELL("filename",A161))+1,31)) &amp; "*",CHOOSE({1,2}, Super_CBSA!$B$2:$B$1917, Super_CBSA!$A$2:$A$1917), 2,FALSE), IFERROR(VLOOKUP(B162  &amp; "*",CHOOSE({1,2}, Super_CBSA!$E$2:$E$1917, Super_CBSA!$A$2:$A$1917), 2,FALSE), ""))</f>
        <v/>
      </c>
    </row>
    <row r="163" spans="1:7" ht="17">
      <c r="A163" s="1" t="s">
        <v>1416</v>
      </c>
      <c r="B163" s="2" t="s">
        <v>1319</v>
      </c>
      <c r="C163" s="2">
        <v>367</v>
      </c>
      <c r="D163" s="3">
        <v>19282</v>
      </c>
      <c r="E163" s="3">
        <v>77738</v>
      </c>
      <c r="F163" s="4">
        <v>2360562</v>
      </c>
      <c r="G163" s="11" t="str" cm="1">
        <f t="array" aca="1" ref="G163" ca="1">IFERROR(VLOOKUP("*" &amp; B163  &amp; "*" &amp; (MID(CELL("filename",A162),FIND("]",CELL("filename",A162))+1,31)) &amp; "*",CHOOSE({1,2}, Super_CBSA!$B$2:$B$1917, Super_CBSA!$A$2:$A$1917), 2,FALSE), IFERROR(VLOOKUP(B163  &amp; "*",CHOOSE({1,2}, Super_CBSA!$E$2:$E$1917, Super_CBSA!$A$2:$A$1917), 2,FALSE), ""))</f>
        <v/>
      </c>
    </row>
    <row r="164" spans="1:7" ht="17">
      <c r="A164" s="1" t="s">
        <v>1417</v>
      </c>
      <c r="B164" s="2" t="s">
        <v>1242</v>
      </c>
      <c r="C164" s="2">
        <v>187</v>
      </c>
      <c r="D164" s="3">
        <v>5180</v>
      </c>
      <c r="E164" s="3">
        <v>25996</v>
      </c>
      <c r="F164" s="4">
        <v>1085886</v>
      </c>
      <c r="G164" s="11" t="str" cm="1">
        <f t="array" aca="1" ref="G164" ca="1">IFERROR(VLOOKUP("*" &amp; B164  &amp; "*" &amp; (MID(CELL("filename",A163),FIND("]",CELL("filename",A163))+1,31)) &amp; "*",CHOOSE({1,2}, Super_CBSA!$B$2:$B$1917, Super_CBSA!$A$2:$A$1917), 2,FALSE), IFERROR(VLOOKUP(B164  &amp; "*",CHOOSE({1,2}, Super_CBSA!$E$2:$E$1917, Super_CBSA!$A$2:$A$1917), 2,FALSE), ""))</f>
        <v/>
      </c>
    </row>
    <row r="165" spans="1:7" ht="17">
      <c r="A165" s="1" t="s">
        <v>1418</v>
      </c>
      <c r="B165" s="2" t="s">
        <v>1419</v>
      </c>
      <c r="C165" s="2">
        <v>204</v>
      </c>
      <c r="D165" s="3">
        <v>13440</v>
      </c>
      <c r="E165" s="3">
        <v>56335</v>
      </c>
      <c r="F165" s="4">
        <v>1718009</v>
      </c>
      <c r="G165" s="11" t="str" cm="1">
        <f t="array" aca="1" ref="G165" ca="1">IFERROR(VLOOKUP("*" &amp; B165  &amp; "*" &amp; (MID(CELL("filename",A164),FIND("]",CELL("filename",A164))+1,31)) &amp; "*",CHOOSE({1,2}, Super_CBSA!$B$2:$B$1917, Super_CBSA!$A$2:$A$1917), 2,FALSE), IFERROR(VLOOKUP(B165  &amp; "*",CHOOSE({1,2}, Super_CBSA!$E$2:$E$1917, Super_CBSA!$A$2:$A$1917), 2,FALSE), ""))</f>
        <v/>
      </c>
    </row>
    <row r="166" spans="1:7" ht="17">
      <c r="A166" s="1" t="s">
        <v>1420</v>
      </c>
      <c r="B166" s="2" t="s">
        <v>1421</v>
      </c>
      <c r="C166" s="2">
        <v>210</v>
      </c>
      <c r="D166" s="3">
        <v>6279</v>
      </c>
      <c r="E166" s="3">
        <v>27089</v>
      </c>
      <c r="F166" s="4">
        <v>651167</v>
      </c>
      <c r="G166" s="11" cm="1">
        <f t="array" aca="1" ref="G166" ca="1">IFERROR(VLOOKUP("*" &amp; B166  &amp; "*" &amp; (MID(CELL("filename",A165),FIND("]",CELL("filename",A165))+1,31)) &amp; "*",CHOOSE({1,2}, Super_CBSA!$B$2:$B$1917, Super_CBSA!$A$2:$A$1917), 2,FALSE), IFERROR(VLOOKUP(B166  &amp; "*",CHOOSE({1,2}, Super_CBSA!$E$2:$E$1917, Super_CBSA!$A$2:$A$1917), 2,FALSE), ""))</f>
        <v>37340</v>
      </c>
    </row>
    <row r="167" spans="1:7" ht="17">
      <c r="A167" s="1" t="s">
        <v>1422</v>
      </c>
      <c r="B167" s="2" t="s">
        <v>1393</v>
      </c>
      <c r="C167" s="2">
        <v>0</v>
      </c>
      <c r="D167" s="2">
        <v>0</v>
      </c>
      <c r="E167" s="2">
        <v>0</v>
      </c>
      <c r="F167" s="4">
        <v>0</v>
      </c>
      <c r="G167" s="11" cm="1">
        <f t="array" aca="1" ref="G167" ca="1">IFERROR(VLOOKUP("*" &amp; B167  &amp; "*" &amp; (MID(CELL("filename",A166),FIND("]",CELL("filename",A166))+1,31)) &amp; "*",CHOOSE({1,2}, Super_CBSA!$B$2:$B$1917, Super_CBSA!$A$2:$A$1917), 2,FALSE), IFERROR(VLOOKUP(B167  &amp; "*",CHOOSE({1,2}, Super_CBSA!$E$2:$E$1917, Super_CBSA!$A$2:$A$1917), 2,FALSE), ""))</f>
        <v>34940</v>
      </c>
    </row>
    <row r="168" spans="1:7" ht="17">
      <c r="A168" s="1" t="s">
        <v>1423</v>
      </c>
      <c r="B168" s="2" t="s">
        <v>1393</v>
      </c>
      <c r="C168" s="2">
        <v>201</v>
      </c>
      <c r="D168" s="3">
        <v>12571</v>
      </c>
      <c r="E168" s="3">
        <v>51786</v>
      </c>
      <c r="F168" s="4">
        <v>2392793</v>
      </c>
      <c r="G168" s="11" cm="1">
        <f t="array" aca="1" ref="G168" ca="1">IFERROR(VLOOKUP("*" &amp; B168  &amp; "*" &amp; (MID(CELL("filename",A167),FIND("]",CELL("filename",A167))+1,31)) &amp; "*",CHOOSE({1,2}, Super_CBSA!$B$2:$B$1917, Super_CBSA!$A$2:$A$1917), 2,FALSE), IFERROR(VLOOKUP(B168  &amp; "*",CHOOSE({1,2}, Super_CBSA!$E$2:$E$1917, Super_CBSA!$A$2:$A$1917), 2,FALSE), ""))</f>
        <v>34940</v>
      </c>
    </row>
    <row r="169" spans="1:7" ht="17">
      <c r="A169" s="1" t="s">
        <v>1424</v>
      </c>
      <c r="B169" s="2" t="s">
        <v>1425</v>
      </c>
      <c r="C169" s="2">
        <v>660</v>
      </c>
      <c r="D169" s="3">
        <v>21688</v>
      </c>
      <c r="E169" s="3">
        <v>109540</v>
      </c>
      <c r="F169" s="4">
        <v>4102082</v>
      </c>
      <c r="G169" s="11" t="str" cm="1">
        <f t="array" aca="1" ref="G169" ca="1">IFERROR(VLOOKUP("*" &amp; B169  &amp; "*" &amp; (MID(CELL("filename",A168),FIND("]",CELL("filename",A168))+1,31)) &amp; "*",CHOOSE({1,2}, Super_CBSA!$B$2:$B$1917, Super_CBSA!$A$2:$A$1917), 2,FALSE), IFERROR(VLOOKUP(B169  &amp; "*",CHOOSE({1,2}, Super_CBSA!$E$2:$E$1917, Super_CBSA!$A$2:$A$1917), 2,FALSE), ""))</f>
        <v/>
      </c>
    </row>
    <row r="170" spans="1:7" ht="17">
      <c r="A170" s="1" t="s">
        <v>1426</v>
      </c>
      <c r="B170" s="2" t="s">
        <v>1177</v>
      </c>
      <c r="C170" s="2">
        <v>76</v>
      </c>
      <c r="D170" s="3">
        <v>4207</v>
      </c>
      <c r="E170" s="3">
        <v>15817</v>
      </c>
      <c r="F170" s="4">
        <v>1029193</v>
      </c>
      <c r="G170" s="11" cm="1">
        <f t="array" aca="1" ref="G170" ca="1">IFERROR(VLOOKUP("*" &amp; B170  &amp; "*" &amp; (MID(CELL("filename",A169),FIND("]",CELL("filename",A169))+1,31)) &amp; "*",CHOOSE({1,2}, Super_CBSA!$B$2:$B$1917, Super_CBSA!$A$2:$A$1917), 2,FALSE), IFERROR(VLOOKUP(B170  &amp; "*",CHOOSE({1,2}, Super_CBSA!$E$2:$E$1917, Super_CBSA!$A$2:$A$1917), 2,FALSE), ""))</f>
        <v>36740</v>
      </c>
    </row>
    <row r="171" spans="1:7" ht="17">
      <c r="A171" s="1" t="s">
        <v>1427</v>
      </c>
      <c r="B171" s="2" t="s">
        <v>1428</v>
      </c>
      <c r="C171" s="2">
        <v>99</v>
      </c>
      <c r="D171" s="3">
        <v>5873</v>
      </c>
      <c r="E171" s="3">
        <v>24017</v>
      </c>
      <c r="F171" s="4">
        <v>731545</v>
      </c>
      <c r="G171" s="11" cm="1">
        <f t="array" aca="1" ref="G171" ca="1">IFERROR(VLOOKUP("*" &amp; B171  &amp; "*" &amp; (MID(CELL("filename",A170),FIND("]",CELL("filename",A170))+1,31)) &amp; "*",CHOOSE({1,2}, Super_CBSA!$B$2:$B$1917, Super_CBSA!$A$2:$A$1917), 2,FALSE), IFERROR(VLOOKUP(B171  &amp; "*",CHOOSE({1,2}, Super_CBSA!$E$2:$E$1917, Super_CBSA!$A$2:$A$1917), 2,FALSE), ""))</f>
        <v>37260</v>
      </c>
    </row>
    <row r="172" spans="1:7" ht="17">
      <c r="A172" s="1" t="s">
        <v>1429</v>
      </c>
      <c r="B172" s="2" t="s">
        <v>1430</v>
      </c>
      <c r="C172" s="2">
        <v>100</v>
      </c>
      <c r="D172" s="3">
        <v>4383</v>
      </c>
      <c r="E172" s="3">
        <v>17327</v>
      </c>
      <c r="F172" s="4">
        <v>600776</v>
      </c>
      <c r="G172" s="11" cm="1">
        <f t="array" aca="1" ref="G172" ca="1">IFERROR(VLOOKUP("*" &amp; B172  &amp; "*" &amp; (MID(CELL("filename",A171),FIND("]",CELL("filename",A171))+1,31)) &amp; "*",CHOOSE({1,2}, Super_CBSA!$B$2:$B$1917, Super_CBSA!$A$2:$A$1917), 2,FALSE), IFERROR(VLOOKUP(B172  &amp; "*",CHOOSE({1,2}, Super_CBSA!$E$2:$E$1917, Super_CBSA!$A$2:$A$1917), 2,FALSE), ""))</f>
        <v>36380</v>
      </c>
    </row>
    <row r="173" spans="1:7" ht="17">
      <c r="A173" s="1" t="s">
        <v>1431</v>
      </c>
      <c r="B173" s="2" t="s">
        <v>1432</v>
      </c>
      <c r="C173" s="2">
        <v>0</v>
      </c>
      <c r="D173" s="2">
        <v>0</v>
      </c>
      <c r="E173" s="2">
        <v>0</v>
      </c>
      <c r="F173" s="4">
        <v>0</v>
      </c>
      <c r="G173" s="11" t="str" cm="1">
        <f t="array" aca="1" ref="G173" ca="1">IFERROR(VLOOKUP("*" &amp; B173  &amp; "*" &amp; (MID(CELL("filename",A172),FIND("]",CELL("filename",A172))+1,31)) &amp; "*",CHOOSE({1,2}, Super_CBSA!$B$2:$B$1917, Super_CBSA!$A$2:$A$1917), 2,FALSE), IFERROR(VLOOKUP(B173  &amp; "*",CHOOSE({1,2}, Super_CBSA!$E$2:$E$1917, Super_CBSA!$A$2:$A$1917), 2,FALSE), ""))</f>
        <v/>
      </c>
    </row>
    <row r="174" spans="1:7" ht="17">
      <c r="A174" s="1" t="s">
        <v>1433</v>
      </c>
      <c r="B174" s="2" t="s">
        <v>1434</v>
      </c>
      <c r="C174" s="2">
        <v>290</v>
      </c>
      <c r="D174" s="3">
        <v>16433</v>
      </c>
      <c r="E174" s="3">
        <v>74093</v>
      </c>
      <c r="F174" s="4">
        <v>2727954</v>
      </c>
      <c r="G174" s="11" cm="1">
        <f t="array" aca="1" ref="G174" ca="1">IFERROR(VLOOKUP("*" &amp; B174  &amp; "*" &amp; (MID(CELL("filename",A173),FIND("]",CELL("filename",A173))+1,31)) &amp; "*",CHOOSE({1,2}, Super_CBSA!$B$2:$B$1917, Super_CBSA!$A$2:$A$1917), 2,FALSE), IFERROR(VLOOKUP(B174  &amp; "*",CHOOSE({1,2}, Super_CBSA!$E$2:$E$1917, Super_CBSA!$A$2:$A$1917), 2,FALSE), ""))</f>
        <v>35620</v>
      </c>
    </row>
    <row r="175" spans="1:7" ht="17">
      <c r="A175" s="1" t="s">
        <v>1435</v>
      </c>
      <c r="B175" s="2" t="s">
        <v>1436</v>
      </c>
      <c r="C175" s="2">
        <v>298</v>
      </c>
      <c r="D175" s="3">
        <v>7766</v>
      </c>
      <c r="E175" s="3">
        <v>41296</v>
      </c>
      <c r="F175" s="4">
        <v>1378174</v>
      </c>
      <c r="G175" s="11" t="str" cm="1">
        <f t="array" aca="1" ref="G175" ca="1">IFERROR(VLOOKUP("*" &amp; B175  &amp; "*" &amp; (MID(CELL("filename",A174),FIND("]",CELL("filename",A174))+1,31)) &amp; "*",CHOOSE({1,2}, Super_CBSA!$B$2:$B$1917, Super_CBSA!$A$2:$A$1917), 2,FALSE), IFERROR(VLOOKUP(B175  &amp; "*",CHOOSE({1,2}, Super_CBSA!$E$2:$E$1917, Super_CBSA!$A$2:$A$1917), 2,FALSE), ""))</f>
        <v/>
      </c>
    </row>
    <row r="176" spans="1:7" ht="17">
      <c r="A176" s="1" t="s">
        <v>1437</v>
      </c>
      <c r="B176" s="2" t="s">
        <v>1242</v>
      </c>
      <c r="C176" s="2">
        <v>358</v>
      </c>
      <c r="D176" s="3">
        <v>20441</v>
      </c>
      <c r="E176" s="3">
        <v>87153</v>
      </c>
      <c r="F176" s="4">
        <v>1912981</v>
      </c>
      <c r="G176" s="11" t="str" cm="1">
        <f t="array" aca="1" ref="G176" ca="1">IFERROR(VLOOKUP("*" &amp; B176  &amp; "*" &amp; (MID(CELL("filename",A175),FIND("]",CELL("filename",A175))+1,31)) &amp; "*",CHOOSE({1,2}, Super_CBSA!$B$2:$B$1917, Super_CBSA!$A$2:$A$1917), 2,FALSE), IFERROR(VLOOKUP(B176  &amp; "*",CHOOSE({1,2}, Super_CBSA!$E$2:$E$1917, Super_CBSA!$A$2:$A$1917), 2,FALSE), ""))</f>
        <v/>
      </c>
    </row>
    <row r="177" spans="1:7" ht="17">
      <c r="A177" s="1" t="s">
        <v>393</v>
      </c>
      <c r="B177" s="2" t="s">
        <v>1161</v>
      </c>
      <c r="C177" s="3">
        <v>1062</v>
      </c>
      <c r="D177" s="3">
        <v>51623</v>
      </c>
      <c r="E177" s="3">
        <v>272183</v>
      </c>
      <c r="F177" s="4">
        <v>5173653</v>
      </c>
      <c r="G177" s="11" cm="1">
        <f t="array" aca="1" ref="G177" ca="1">IFERROR(VLOOKUP("*" &amp; B177  &amp; "*" &amp; (MID(CELL("filename",A176),FIND("]",CELL("filename",A176))+1,31)) &amp; "*",CHOOSE({1,2}, Super_CBSA!$B$2:$B$1917, Super_CBSA!$A$2:$A$1917), 2,FALSE), IFERROR(VLOOKUP(B177  &amp; "*",CHOOSE({1,2}, Super_CBSA!$E$2:$E$1917, Super_CBSA!$A$2:$A$1917), 2,FALSE), ""))</f>
        <v>45300</v>
      </c>
    </row>
    <row r="178" spans="1:7" ht="17">
      <c r="A178" s="1" t="s">
        <v>1438</v>
      </c>
      <c r="B178" s="2" t="s">
        <v>1439</v>
      </c>
      <c r="C178" s="2">
        <v>0</v>
      </c>
      <c r="D178" s="2">
        <v>0</v>
      </c>
      <c r="E178" s="2">
        <v>0</v>
      </c>
      <c r="F178" s="4">
        <v>0</v>
      </c>
      <c r="G178" s="11" t="str" cm="1">
        <f t="array" aca="1" ref="G178" ca="1">IFERROR(VLOOKUP("*" &amp; B178  &amp; "*" &amp; (MID(CELL("filename",A177),FIND("]",CELL("filename",A177))+1,31)) &amp; "*",CHOOSE({1,2}, Super_CBSA!$B$2:$B$1917, Super_CBSA!$A$2:$A$1917), 2,FALSE), IFERROR(VLOOKUP(B178  &amp; "*",CHOOSE({1,2}, Super_CBSA!$E$2:$E$1917, Super_CBSA!$A$2:$A$1917), 2,FALSE), ""))</f>
        <v/>
      </c>
    </row>
    <row r="179" spans="1:7" ht="17">
      <c r="A179" s="1" t="s">
        <v>1440</v>
      </c>
      <c r="B179" s="2" t="s">
        <v>1441</v>
      </c>
      <c r="C179" s="2">
        <v>0</v>
      </c>
      <c r="D179" s="2">
        <v>0</v>
      </c>
      <c r="E179" s="2">
        <v>0</v>
      </c>
      <c r="F179" s="4">
        <v>0</v>
      </c>
      <c r="G179" s="11" t="str" cm="1">
        <f t="array" aca="1" ref="G179" ca="1">IFERROR(VLOOKUP("*" &amp; B179  &amp; "*" &amp; (MID(CELL("filename",A178),FIND("]",CELL("filename",A178))+1,31)) &amp; "*",CHOOSE({1,2}, Super_CBSA!$B$2:$B$1917, Super_CBSA!$A$2:$A$1917), 2,FALSE), IFERROR(VLOOKUP(B179  &amp; "*",CHOOSE({1,2}, Super_CBSA!$E$2:$E$1917, Super_CBSA!$A$2:$A$1917), 2,FALSE), ""))</f>
        <v/>
      </c>
    </row>
    <row r="180" spans="1:7" ht="17">
      <c r="A180" s="1" t="s">
        <v>1442</v>
      </c>
      <c r="B180" s="2" t="s">
        <v>1161</v>
      </c>
      <c r="C180" s="2">
        <v>0</v>
      </c>
      <c r="D180" s="2">
        <v>0</v>
      </c>
      <c r="E180" s="2">
        <v>0</v>
      </c>
      <c r="F180" s="4">
        <v>0</v>
      </c>
      <c r="G180" s="11" cm="1">
        <f t="array" aca="1" ref="G180" ca="1">IFERROR(VLOOKUP("*" &amp; B180  &amp; "*" &amp; (MID(CELL("filename",A179),FIND("]",CELL("filename",A179))+1,31)) &amp; "*",CHOOSE({1,2}, Super_CBSA!$B$2:$B$1917, Super_CBSA!$A$2:$A$1917), 2,FALSE), IFERROR(VLOOKUP(B180  &amp; "*",CHOOSE({1,2}, Super_CBSA!$E$2:$E$1917, Super_CBSA!$A$2:$A$1917), 2,FALSE), ""))</f>
        <v>45300</v>
      </c>
    </row>
    <row r="181" spans="1:7" ht="17">
      <c r="A181" s="1" t="s">
        <v>1443</v>
      </c>
      <c r="B181" s="2" t="s">
        <v>1444</v>
      </c>
      <c r="C181" s="2">
        <v>229</v>
      </c>
      <c r="D181" s="3">
        <v>12416</v>
      </c>
      <c r="E181" s="3">
        <v>51975</v>
      </c>
      <c r="F181" s="4">
        <v>1941244</v>
      </c>
      <c r="G181" s="11" t="str" cm="1">
        <f t="array" aca="1" ref="G181" ca="1">IFERROR(VLOOKUP("*" &amp; B181  &amp; "*" &amp; (MID(CELL("filename",A180),FIND("]",CELL("filename",A180))+1,31)) &amp; "*",CHOOSE({1,2}, Super_CBSA!$B$2:$B$1917, Super_CBSA!$A$2:$A$1917), 2,FALSE), IFERROR(VLOOKUP(B181  &amp; "*",CHOOSE({1,2}, Super_CBSA!$E$2:$E$1917, Super_CBSA!$A$2:$A$1917), 2,FALSE), ""))</f>
        <v/>
      </c>
    </row>
    <row r="182" spans="1:7" ht="17">
      <c r="A182" s="1" t="s">
        <v>835</v>
      </c>
      <c r="B182" s="2" t="s">
        <v>1298</v>
      </c>
      <c r="C182" s="2">
        <v>460</v>
      </c>
      <c r="D182" s="3">
        <v>16283</v>
      </c>
      <c r="E182" s="3">
        <v>88365</v>
      </c>
      <c r="F182" s="4">
        <v>2220127</v>
      </c>
      <c r="G182" s="11" t="str" cm="1">
        <f t="array" aca="1" ref="G182" ca="1">IFERROR(VLOOKUP("*" &amp; B182  &amp; "*" &amp; (MID(CELL("filename",A181),FIND("]",CELL("filename",A181))+1,31)) &amp; "*",CHOOSE({1,2}, Super_CBSA!$B$2:$B$1917, Super_CBSA!$A$2:$A$1917), 2,FALSE), IFERROR(VLOOKUP(B182  &amp; "*",CHOOSE({1,2}, Super_CBSA!$E$2:$E$1917, Super_CBSA!$A$2:$A$1917), 2,FALSE), ""))</f>
        <v/>
      </c>
    </row>
    <row r="183" spans="1:7" ht="17">
      <c r="A183" s="1" t="s">
        <v>1445</v>
      </c>
      <c r="B183" s="2" t="s">
        <v>1242</v>
      </c>
      <c r="C183" s="2">
        <v>168</v>
      </c>
      <c r="D183" s="3">
        <v>5482</v>
      </c>
      <c r="E183" s="3">
        <v>24046</v>
      </c>
      <c r="F183" s="4">
        <v>1191761</v>
      </c>
      <c r="G183" s="11" t="str" cm="1">
        <f t="array" aca="1" ref="G183" ca="1">IFERROR(VLOOKUP("*" &amp; B183  &amp; "*" &amp; (MID(CELL("filename",A182),FIND("]",CELL("filename",A182))+1,31)) &amp; "*",CHOOSE({1,2}, Super_CBSA!$B$2:$B$1917, Super_CBSA!$A$2:$A$1917), 2,FALSE), IFERROR(VLOOKUP(B183  &amp; "*",CHOOSE({1,2}, Super_CBSA!$E$2:$E$1917, Super_CBSA!$A$2:$A$1917), 2,FALSE), ""))</f>
        <v/>
      </c>
    </row>
    <row r="184" spans="1:7" ht="17">
      <c r="A184" s="1" t="s">
        <v>1446</v>
      </c>
      <c r="B184" s="2" t="s">
        <v>1447</v>
      </c>
      <c r="C184" s="2">
        <v>108</v>
      </c>
      <c r="D184" s="3">
        <v>4399</v>
      </c>
      <c r="E184" s="3">
        <v>15065</v>
      </c>
      <c r="F184" s="4">
        <v>770229</v>
      </c>
      <c r="G184" s="11" t="str" cm="1">
        <f t="array" aca="1" ref="G184" ca="1">IFERROR(VLOOKUP("*" &amp; B184  &amp; "*" &amp; (MID(CELL("filename",A183),FIND("]",CELL("filename",A183))+1,31)) &amp; "*",CHOOSE({1,2}, Super_CBSA!$B$2:$B$1917, Super_CBSA!$A$2:$A$1917), 2,FALSE), IFERROR(VLOOKUP(B184  &amp; "*",CHOOSE({1,2}, Super_CBSA!$E$2:$E$1917, Super_CBSA!$A$2:$A$1917), 2,FALSE), ""))</f>
        <v/>
      </c>
    </row>
    <row r="185" spans="1:7" ht="17">
      <c r="A185" s="1" t="s">
        <v>1448</v>
      </c>
      <c r="B185" s="2" t="s">
        <v>1283</v>
      </c>
      <c r="C185" s="2">
        <v>811</v>
      </c>
      <c r="D185" s="3">
        <v>42832</v>
      </c>
      <c r="E185" s="3">
        <v>173353</v>
      </c>
      <c r="F185" s="4">
        <v>4852456</v>
      </c>
      <c r="G185" s="11" cm="1">
        <f t="array" aca="1" ref="G185" ca="1">IFERROR(VLOOKUP("*" &amp; B185  &amp; "*" &amp; (MID(CELL("filename",A184),FIND("]",CELL("filename",A184))+1,31)) &amp; "*",CHOOSE({1,2}, Super_CBSA!$B$2:$B$1917, Super_CBSA!$A$2:$A$1917), 2,FALSE), IFERROR(VLOOKUP(B185  &amp; "*",CHOOSE({1,2}, Super_CBSA!$E$2:$E$1917, Super_CBSA!$A$2:$A$1917), 2,FALSE), ""))</f>
        <v>35840</v>
      </c>
    </row>
    <row r="186" spans="1:7" ht="17">
      <c r="A186" s="1" t="s">
        <v>1449</v>
      </c>
      <c r="B186" s="2" t="s">
        <v>1450</v>
      </c>
      <c r="C186" s="2">
        <v>154</v>
      </c>
      <c r="D186" s="3">
        <v>4738</v>
      </c>
      <c r="E186" s="3">
        <v>20752</v>
      </c>
      <c r="F186" s="4">
        <v>992336</v>
      </c>
      <c r="G186" s="11" cm="1">
        <f t="array" aca="1" ref="G186" ca="1">IFERROR(VLOOKUP("*" &amp; B186  &amp; "*" &amp; (MID(CELL("filename",A185),FIND("]",CELL("filename",A185))+1,31)) &amp; "*",CHOOSE({1,2}, Super_CBSA!$B$2:$B$1917, Super_CBSA!$A$2:$A$1917), 2,FALSE), IFERROR(VLOOKUP(B186  &amp; "*",CHOOSE({1,2}, Super_CBSA!$E$2:$E$1917, Super_CBSA!$A$2:$A$1917), 2,FALSE), ""))</f>
        <v>42680</v>
      </c>
    </row>
    <row r="187" spans="1:7" ht="17">
      <c r="A187" s="1" t="s">
        <v>1451</v>
      </c>
      <c r="B187" s="2" t="s">
        <v>1339</v>
      </c>
      <c r="C187" s="2">
        <v>87</v>
      </c>
      <c r="D187" s="3">
        <v>2311</v>
      </c>
      <c r="E187" s="3">
        <v>10381</v>
      </c>
      <c r="F187" s="4">
        <v>246802</v>
      </c>
      <c r="G187" s="11" cm="1">
        <f t="array" aca="1" ref="G187" ca="1">IFERROR(VLOOKUP("*" &amp; B187  &amp; "*" &amp; (MID(CELL("filename",A186),FIND("]",CELL("filename",A186))+1,31)) &amp; "*",CHOOSE({1,2}, Super_CBSA!$B$2:$B$1917, Super_CBSA!$A$2:$A$1917), 2,FALSE), IFERROR(VLOOKUP(B187  &amp; "*",CHOOSE({1,2}, Super_CBSA!$E$2:$E$1917, Super_CBSA!$A$2:$A$1917), 2,FALSE), ""))</f>
        <v>29380</v>
      </c>
    </row>
    <row r="188" spans="1:7" ht="17">
      <c r="A188" s="1" t="s">
        <v>1452</v>
      </c>
      <c r="B188" s="2" t="s">
        <v>1453</v>
      </c>
      <c r="C188" s="2">
        <v>138</v>
      </c>
      <c r="D188" s="3">
        <v>6366</v>
      </c>
      <c r="E188" s="3">
        <v>24575</v>
      </c>
      <c r="F188" s="4">
        <v>837505</v>
      </c>
      <c r="G188" s="11" t="str" cm="1">
        <f t="array" aca="1" ref="G188" ca="1">IFERROR(VLOOKUP("*" &amp; B188  &amp; "*" &amp; (MID(CELL("filename",A187),FIND("]",CELL("filename",A187))+1,31)) &amp; "*",CHOOSE({1,2}, Super_CBSA!$B$2:$B$1917, Super_CBSA!$A$2:$A$1917), 2,FALSE), IFERROR(VLOOKUP(B188  &amp; "*",CHOOSE({1,2}, Super_CBSA!$E$2:$E$1917, Super_CBSA!$A$2:$A$1917), 2,FALSE), ""))</f>
        <v/>
      </c>
    </row>
    <row r="189" spans="1:7" ht="17">
      <c r="A189" s="1" t="s">
        <v>1454</v>
      </c>
      <c r="B189" s="2" t="s">
        <v>1455</v>
      </c>
      <c r="C189" s="2">
        <v>147</v>
      </c>
      <c r="D189" s="3">
        <v>7317</v>
      </c>
      <c r="E189" s="3">
        <v>27339</v>
      </c>
      <c r="F189" s="4">
        <v>672739</v>
      </c>
      <c r="G189" s="11" t="str" cm="1">
        <f t="array" aca="1" ref="G189" ca="1">IFERROR(VLOOKUP("*" &amp; B189  &amp; "*" &amp; (MID(CELL("filename",A188),FIND("]",CELL("filename",A188))+1,31)) &amp; "*",CHOOSE({1,2}, Super_CBSA!$B$2:$B$1917, Super_CBSA!$A$2:$A$1917), 2,FALSE), IFERROR(VLOOKUP(B189  &amp; "*",CHOOSE({1,2}, Super_CBSA!$E$2:$E$1917, Super_CBSA!$A$2:$A$1917), 2,FALSE), ""))</f>
        <v/>
      </c>
    </row>
    <row r="190" spans="1:7" ht="17">
      <c r="A190" s="1" t="s">
        <v>1456</v>
      </c>
      <c r="B190" s="2" t="s">
        <v>1457</v>
      </c>
      <c r="C190" s="2">
        <v>170</v>
      </c>
      <c r="D190" s="3">
        <v>14409</v>
      </c>
      <c r="E190" s="3">
        <v>45977</v>
      </c>
      <c r="F190" s="4">
        <v>1740684</v>
      </c>
      <c r="G190" s="11" cm="1">
        <f t="array" aca="1" ref="G190" ca="1">IFERROR(VLOOKUP("*" &amp; B190  &amp; "*" &amp; (MID(CELL("filename",A189),FIND("]",CELL("filename",A189))+1,31)) &amp; "*",CHOOSE({1,2}, Super_CBSA!$B$2:$B$1917, Super_CBSA!$A$2:$A$1917), 2,FALSE), IFERROR(VLOOKUP(B190  &amp; "*",CHOOSE({1,2}, Super_CBSA!$E$2:$E$1917, Super_CBSA!$A$2:$A$1917), 2,FALSE), ""))</f>
        <v>17140</v>
      </c>
    </row>
    <row r="191" spans="1:7" ht="17">
      <c r="A191" s="1" t="s">
        <v>1458</v>
      </c>
      <c r="B191" s="2" t="s">
        <v>1352</v>
      </c>
      <c r="C191" s="2">
        <v>436</v>
      </c>
      <c r="D191" s="3">
        <v>13935</v>
      </c>
      <c r="E191" s="3">
        <v>78709</v>
      </c>
      <c r="F191" s="4">
        <v>2059143</v>
      </c>
      <c r="G191" s="11" t="str" cm="1">
        <f t="array" aca="1" ref="G191" ca="1">IFERROR(VLOOKUP("*" &amp; B191  &amp; "*" &amp; (MID(CELL("filename",A190),FIND("]",CELL("filename",A190))+1,31)) &amp; "*",CHOOSE({1,2}, Super_CBSA!$B$2:$B$1917, Super_CBSA!$A$2:$A$1917), 2,FALSE), IFERROR(VLOOKUP(B191  &amp; "*",CHOOSE({1,2}, Super_CBSA!$E$2:$E$1917, Super_CBSA!$A$2:$A$1917), 2,FALSE), ""))</f>
        <v/>
      </c>
    </row>
    <row r="192" spans="1:7" ht="17">
      <c r="A192" s="1" t="s">
        <v>1459</v>
      </c>
      <c r="B192" s="2" t="s">
        <v>1460</v>
      </c>
      <c r="C192" s="2">
        <v>0</v>
      </c>
      <c r="D192" s="2">
        <v>0</v>
      </c>
      <c r="E192" s="2">
        <v>0</v>
      </c>
      <c r="F192" s="4">
        <v>0</v>
      </c>
      <c r="G192" s="11" t="str" cm="1">
        <f t="array" aca="1" ref="G192" ca="1">IFERROR(VLOOKUP("*" &amp; B192  &amp; "*" &amp; (MID(CELL("filename",A191),FIND("]",CELL("filename",A191))+1,31)) &amp; "*",CHOOSE({1,2}, Super_CBSA!$B$2:$B$1917, Super_CBSA!$A$2:$A$1917), 2,FALSE), IFERROR(VLOOKUP(B192  &amp; "*",CHOOSE({1,2}, Super_CBSA!$E$2:$E$1917, Super_CBSA!$A$2:$A$1917), 2,FALSE), ""))</f>
        <v/>
      </c>
    </row>
    <row r="193" spans="1:7" ht="17">
      <c r="A193" s="1" t="s">
        <v>1461</v>
      </c>
      <c r="B193" s="2" t="s">
        <v>1218</v>
      </c>
      <c r="C193" s="2">
        <v>0</v>
      </c>
      <c r="D193" s="2">
        <v>0</v>
      </c>
      <c r="E193" s="2">
        <v>0</v>
      </c>
      <c r="F193" s="4">
        <v>0</v>
      </c>
      <c r="G193" s="11" cm="1">
        <f t="array" aca="1" ref="G193" ca="1">IFERROR(VLOOKUP("*" &amp; B193  &amp; "*" &amp; (MID(CELL("filename",A192),FIND("]",CELL("filename",A192))+1,31)) &amp; "*",CHOOSE({1,2}, Super_CBSA!$B$2:$B$1917, Super_CBSA!$A$2:$A$1917), 2,FALSE), IFERROR(VLOOKUP(B193  &amp; "*",CHOOSE({1,2}, Super_CBSA!$E$2:$E$1917, Super_CBSA!$A$2:$A$1917), 2,FALSE), ""))</f>
        <v>33100</v>
      </c>
    </row>
    <row r="194" spans="1:7" ht="17">
      <c r="A194" s="1" t="s">
        <v>1462</v>
      </c>
      <c r="B194" s="2" t="s">
        <v>1262</v>
      </c>
      <c r="C194" s="2">
        <v>475</v>
      </c>
      <c r="D194" s="3">
        <v>29878</v>
      </c>
      <c r="E194" s="3">
        <v>126831</v>
      </c>
      <c r="F194" s="4">
        <v>2927304</v>
      </c>
      <c r="G194" s="11" cm="1">
        <f t="array" aca="1" ref="G194" ca="1">IFERROR(VLOOKUP("*" &amp; B194  &amp; "*" &amp; (MID(CELL("filename",A193),FIND("]",CELL("filename",A193))+1,31)) &amp; "*",CHOOSE({1,2}, Super_CBSA!$B$2:$B$1917, Super_CBSA!$A$2:$A$1917), 2,FALSE), IFERROR(VLOOKUP(B194  &amp; "*",CHOOSE({1,2}, Super_CBSA!$E$2:$E$1917, Super_CBSA!$A$2:$A$1917), 2,FALSE), ""))</f>
        <v>45220</v>
      </c>
    </row>
    <row r="195" spans="1:7" ht="17">
      <c r="A195" s="1" t="s">
        <v>1463</v>
      </c>
      <c r="B195" s="2" t="s">
        <v>1161</v>
      </c>
      <c r="C195" s="2">
        <v>201</v>
      </c>
      <c r="D195" s="3">
        <v>3184</v>
      </c>
      <c r="E195" s="3">
        <v>14911</v>
      </c>
      <c r="F195" s="4">
        <v>545181</v>
      </c>
      <c r="G195" s="11" cm="1">
        <f t="array" aca="1" ref="G195" ca="1">IFERROR(VLOOKUP("*" &amp; B195  &amp; "*" &amp; (MID(CELL("filename",A194),FIND("]",CELL("filename",A194))+1,31)) &amp; "*",CHOOSE({1,2}, Super_CBSA!$B$2:$B$1917, Super_CBSA!$A$2:$A$1917), 2,FALSE), IFERROR(VLOOKUP(B195  &amp; "*",CHOOSE({1,2}, Super_CBSA!$E$2:$E$1917, Super_CBSA!$A$2:$A$1917), 2,FALSE), ""))</f>
        <v>45300</v>
      </c>
    </row>
    <row r="196" spans="1:7" ht="17">
      <c r="A196" s="1" t="s">
        <v>1464</v>
      </c>
      <c r="B196" s="2" t="s">
        <v>1161</v>
      </c>
      <c r="C196" s="2">
        <v>979</v>
      </c>
      <c r="D196" s="3">
        <v>47752</v>
      </c>
      <c r="E196" s="3">
        <v>275019</v>
      </c>
      <c r="F196" s="4">
        <v>6913901</v>
      </c>
      <c r="G196" s="11" cm="1">
        <f t="array" aca="1" ref="G196" ca="1">IFERROR(VLOOKUP("*" &amp; B196  &amp; "*" &amp; (MID(CELL("filename",A195),FIND("]",CELL("filename",A195))+1,31)) &amp; "*",CHOOSE({1,2}, Super_CBSA!$B$2:$B$1917, Super_CBSA!$A$2:$A$1917), 2,FALSE), IFERROR(VLOOKUP(B196  &amp; "*",CHOOSE({1,2}, Super_CBSA!$E$2:$E$1917, Super_CBSA!$A$2:$A$1917), 2,FALSE), ""))</f>
        <v>45300</v>
      </c>
    </row>
    <row r="197" spans="1:7" ht="17">
      <c r="A197" s="1" t="s">
        <v>1465</v>
      </c>
      <c r="B197" s="2" t="s">
        <v>1466</v>
      </c>
      <c r="C197" s="2">
        <v>65</v>
      </c>
      <c r="D197" s="3">
        <v>2282</v>
      </c>
      <c r="E197" s="3">
        <v>8503</v>
      </c>
      <c r="F197" s="4">
        <v>646265</v>
      </c>
      <c r="G197" s="11" t="str" cm="1">
        <f t="array" aca="1" ref="G197" ca="1">IFERROR(VLOOKUP("*" &amp; B197  &amp; "*" &amp; (MID(CELL("filename",A196),FIND("]",CELL("filename",A196))+1,31)) &amp; "*",CHOOSE({1,2}, Super_CBSA!$B$2:$B$1917, Super_CBSA!$A$2:$A$1917), 2,FALSE), IFERROR(VLOOKUP(B197  &amp; "*",CHOOSE({1,2}, Super_CBSA!$E$2:$E$1917, Super_CBSA!$A$2:$A$1917), 2,FALSE), ""))</f>
        <v/>
      </c>
    </row>
    <row r="198" spans="1:7" ht="17">
      <c r="A198" s="1" t="s">
        <v>1467</v>
      </c>
      <c r="B198" s="2" t="s">
        <v>1171</v>
      </c>
      <c r="C198" s="2">
        <v>0</v>
      </c>
      <c r="D198" s="2">
        <v>0</v>
      </c>
      <c r="E198" s="2">
        <v>0</v>
      </c>
      <c r="F198" s="4">
        <v>0</v>
      </c>
      <c r="G198" s="11" cm="1">
        <f t="array" aca="1" ref="G198" ca="1">IFERROR(VLOOKUP("*" &amp; B198  &amp; "*" &amp; (MID(CELL("filename",A197),FIND("]",CELL("filename",A197))+1,31)) &amp; "*",CHOOSE({1,2}, Super_CBSA!$B$2:$B$1917, Super_CBSA!$A$2:$A$1917), 2,FALSE), IFERROR(VLOOKUP(B198  &amp; "*",CHOOSE({1,2}, Super_CBSA!$E$2:$E$1917, Super_CBSA!$A$2:$A$1917), 2,FALSE), ""))</f>
        <v>36740</v>
      </c>
    </row>
    <row r="199" spans="1:7" ht="17">
      <c r="A199" s="1" t="s">
        <v>1468</v>
      </c>
      <c r="B199" s="2" t="s">
        <v>1212</v>
      </c>
      <c r="C199" s="2">
        <v>589</v>
      </c>
      <c r="D199" s="3">
        <v>29255</v>
      </c>
      <c r="E199" s="3">
        <v>154674</v>
      </c>
      <c r="F199" s="4">
        <v>3612469</v>
      </c>
      <c r="G199" s="11" cm="1">
        <f t="array" aca="1" ref="G199" ca="1">IFERROR(VLOOKUP("*" &amp; B199  &amp; "*" &amp; (MID(CELL("filename",A198),FIND("]",CELL("filename",A198))+1,31)) &amp; "*",CHOOSE({1,2}, Super_CBSA!$B$2:$B$1917, Super_CBSA!$A$2:$A$1917), 2,FALSE), IFERROR(VLOOKUP(B199  &amp; "*",CHOOSE({1,2}, Super_CBSA!$E$2:$E$1917, Super_CBSA!$A$2:$A$1917), 2,FALSE), ""))</f>
        <v>27260</v>
      </c>
    </row>
    <row r="200" spans="1:7" ht="17">
      <c r="A200" s="1" t="s">
        <v>1469</v>
      </c>
      <c r="B200" s="2" t="s">
        <v>1470</v>
      </c>
      <c r="C200" s="2">
        <v>329</v>
      </c>
      <c r="D200" s="3">
        <v>13986</v>
      </c>
      <c r="E200" s="3">
        <v>67813</v>
      </c>
      <c r="F200" s="4">
        <v>846890</v>
      </c>
      <c r="G200" s="11" t="str" cm="1">
        <f t="array" aca="1" ref="G200" ca="1">IFERROR(VLOOKUP("*" &amp; B200  &amp; "*" &amp; (MID(CELL("filename",A199),FIND("]",CELL("filename",A199))+1,31)) &amp; "*",CHOOSE({1,2}, Super_CBSA!$B$2:$B$1917, Super_CBSA!$A$2:$A$1917), 2,FALSE), IFERROR(VLOOKUP(B200  &amp; "*",CHOOSE({1,2}, Super_CBSA!$E$2:$E$1917, Super_CBSA!$A$2:$A$1917), 2,FALSE), ""))</f>
        <v/>
      </c>
    </row>
    <row r="201" spans="1:7" ht="17">
      <c r="A201" s="1" t="s">
        <v>1471</v>
      </c>
      <c r="B201" s="2" t="s">
        <v>1361</v>
      </c>
      <c r="C201" s="3">
        <v>1050</v>
      </c>
      <c r="D201" s="3">
        <v>47352</v>
      </c>
      <c r="E201" s="3">
        <v>271617</v>
      </c>
      <c r="F201" s="4">
        <v>5586238</v>
      </c>
      <c r="G201" s="11" cm="1">
        <f t="array" aca="1" ref="G201" ca="1">IFERROR(VLOOKUP("*" &amp; B201  &amp; "*" &amp; (MID(CELL("filename",A200),FIND("]",CELL("filename",A200))+1,31)) &amp; "*",CHOOSE({1,2}, Super_CBSA!$B$2:$B$1917, Super_CBSA!$A$2:$A$1917), 2,FALSE), IFERROR(VLOOKUP(B201  &amp; "*",CHOOSE({1,2}, Super_CBSA!$E$2:$E$1917, Super_CBSA!$A$2:$A$1917), 2,FALSE), ""))</f>
        <v>23540</v>
      </c>
    </row>
    <row r="202" spans="1:7" ht="17">
      <c r="A202" s="1" t="s">
        <v>1472</v>
      </c>
      <c r="B202" s="2" t="s">
        <v>1473</v>
      </c>
      <c r="C202" s="2">
        <v>307</v>
      </c>
      <c r="D202" s="3">
        <v>12745</v>
      </c>
      <c r="E202" s="3">
        <v>58992</v>
      </c>
      <c r="F202" s="4">
        <v>759219</v>
      </c>
      <c r="G202" s="11" cm="1">
        <f t="array" aca="1" ref="G202" ca="1">IFERROR(VLOOKUP("*" &amp; B202  &amp; "*" &amp; (MID(CELL("filename",A201),FIND("]",CELL("filename",A201))+1,31)) &amp; "*",CHOOSE({1,2}, Super_CBSA!$B$2:$B$1917, Super_CBSA!$A$2:$A$1917), 2,FALSE), IFERROR(VLOOKUP(B202  &amp; "*",CHOOSE({1,2}, Super_CBSA!$E$2:$E$1917, Super_CBSA!$A$2:$A$1917), 2,FALSE), ""))</f>
        <v>45540</v>
      </c>
    </row>
    <row r="203" spans="1:7" ht="17">
      <c r="A203" s="1" t="s">
        <v>1474</v>
      </c>
      <c r="B203" s="2" t="s">
        <v>1218</v>
      </c>
      <c r="C203" s="2">
        <v>524</v>
      </c>
      <c r="D203" s="3">
        <v>18851</v>
      </c>
      <c r="E203" s="3">
        <v>110826</v>
      </c>
      <c r="F203" s="4">
        <v>7572475</v>
      </c>
      <c r="G203" s="11" cm="1">
        <f t="array" aca="1" ref="G203" ca="1">IFERROR(VLOOKUP("*" &amp; B203  &amp; "*" &amp; (MID(CELL("filename",A202),FIND("]",CELL("filename",A202))+1,31)) &amp; "*",CHOOSE({1,2}, Super_CBSA!$B$2:$B$1917, Super_CBSA!$A$2:$A$1917), 2,FALSE), IFERROR(VLOOKUP(B203  &amp; "*",CHOOSE({1,2}, Super_CBSA!$E$2:$E$1917, Super_CBSA!$A$2:$A$1917), 2,FALSE), ""))</f>
        <v>33100</v>
      </c>
    </row>
    <row r="204" spans="1:7" ht="17">
      <c r="A204" s="1" t="s">
        <v>1475</v>
      </c>
      <c r="B204" s="2" t="s">
        <v>1476</v>
      </c>
      <c r="C204" s="2">
        <v>305</v>
      </c>
      <c r="D204" s="3">
        <v>7158</v>
      </c>
      <c r="E204" s="3">
        <v>29681</v>
      </c>
      <c r="F204" s="4">
        <v>1143902</v>
      </c>
      <c r="G204" s="11" t="str" cm="1">
        <f t="array" aca="1" ref="G204" ca="1">IFERROR(VLOOKUP("*" &amp; B204  &amp; "*" &amp; (MID(CELL("filename",A203),FIND("]",CELL("filename",A203))+1,31)) &amp; "*",CHOOSE({1,2}, Super_CBSA!$B$2:$B$1917, Super_CBSA!$A$2:$A$1917), 2,FALSE), IFERROR(VLOOKUP(B204  &amp; "*",CHOOSE({1,2}, Super_CBSA!$E$2:$E$1917, Super_CBSA!$A$2:$A$1917), 2,FALSE), ""))</f>
        <v/>
      </c>
    </row>
    <row r="205" spans="1:7" ht="17">
      <c r="A205" s="1" t="s">
        <v>1477</v>
      </c>
      <c r="B205" s="2" t="s">
        <v>1478</v>
      </c>
      <c r="C205" s="2">
        <v>229</v>
      </c>
      <c r="D205" s="3">
        <v>8315</v>
      </c>
      <c r="E205" s="3">
        <v>34319</v>
      </c>
      <c r="F205" s="4">
        <v>1387995</v>
      </c>
      <c r="G205" s="11" t="str" cm="1">
        <f t="array" aca="1" ref="G205" ca="1">IFERROR(VLOOKUP("*" &amp; B205  &amp; "*" &amp; (MID(CELL("filename",A204),FIND("]",CELL("filename",A204))+1,31)) &amp; "*",CHOOSE({1,2}, Super_CBSA!$B$2:$B$1917, Super_CBSA!$A$2:$A$1917), 2,FALSE), IFERROR(VLOOKUP(B205  &amp; "*",CHOOSE({1,2}, Super_CBSA!$E$2:$E$1917, Super_CBSA!$A$2:$A$1917), 2,FALSE), ""))</f>
        <v/>
      </c>
    </row>
    <row r="206" spans="1:7" ht="17">
      <c r="A206" s="1" t="s">
        <v>1479</v>
      </c>
      <c r="B206" s="2" t="s">
        <v>1314</v>
      </c>
      <c r="C206" s="2">
        <v>84</v>
      </c>
      <c r="D206" s="3">
        <v>5137</v>
      </c>
      <c r="E206" s="3">
        <v>17887</v>
      </c>
      <c r="F206" s="4">
        <v>601198</v>
      </c>
      <c r="G206" s="11" cm="1">
        <f t="array" aca="1" ref="G206" ca="1">IFERROR(VLOOKUP("*" &amp; B206  &amp; "*" &amp; (MID(CELL("filename",A205),FIND("]",CELL("filename",A205))+1,31)) &amp; "*",CHOOSE({1,2}, Super_CBSA!$B$2:$B$1917, Super_CBSA!$A$2:$A$1917), 2,FALSE), IFERROR(VLOOKUP(B206  &amp; "*",CHOOSE({1,2}, Super_CBSA!$E$2:$E$1917, Super_CBSA!$A$2:$A$1917), 2,FALSE), ""))</f>
        <v>37340</v>
      </c>
    </row>
    <row r="207" spans="1:7" ht="17">
      <c r="A207" s="1" t="s">
        <v>1480</v>
      </c>
      <c r="B207" s="2" t="s">
        <v>1481</v>
      </c>
      <c r="C207" s="2">
        <v>233</v>
      </c>
      <c r="D207" s="3">
        <v>13631</v>
      </c>
      <c r="E207" s="3">
        <v>56094</v>
      </c>
      <c r="F207" s="4">
        <v>1401617</v>
      </c>
      <c r="G207" s="11" t="str" cm="1">
        <f t="array" aca="1" ref="G207" ca="1">IFERROR(VLOOKUP("*" &amp; B207  &amp; "*" &amp; (MID(CELL("filename",A206),FIND("]",CELL("filename",A206))+1,31)) &amp; "*",CHOOSE({1,2}, Super_CBSA!$B$2:$B$1917, Super_CBSA!$A$2:$A$1917), 2,FALSE), IFERROR(VLOOKUP(B207  &amp; "*",CHOOSE({1,2}, Super_CBSA!$E$2:$E$1917, Super_CBSA!$A$2:$A$1917), 2,FALSE), ""))</f>
        <v/>
      </c>
    </row>
    <row r="208" spans="1:7" ht="17">
      <c r="A208" s="1" t="s">
        <v>1482</v>
      </c>
      <c r="B208" s="2" t="s">
        <v>1483</v>
      </c>
      <c r="C208" s="2">
        <v>194</v>
      </c>
      <c r="D208" s="3">
        <v>10905</v>
      </c>
      <c r="E208" s="3">
        <v>39408</v>
      </c>
      <c r="F208" s="4">
        <v>1194850</v>
      </c>
      <c r="G208" s="11" t="str" cm="1">
        <f t="array" aca="1" ref="G208" ca="1">IFERROR(VLOOKUP("*" &amp; B208  &amp; "*" &amp; (MID(CELL("filename",A207),FIND("]",CELL("filename",A207))+1,31)) &amp; "*",CHOOSE({1,2}, Super_CBSA!$B$2:$B$1917, Super_CBSA!$A$2:$A$1917), 2,FALSE), IFERROR(VLOOKUP(B208  &amp; "*",CHOOSE({1,2}, Super_CBSA!$E$2:$E$1917, Super_CBSA!$A$2:$A$1917), 2,FALSE), ""))</f>
        <v/>
      </c>
    </row>
    <row r="209" spans="1:7" ht="17">
      <c r="A209" s="1" t="s">
        <v>1484</v>
      </c>
      <c r="B209" s="2" t="s">
        <v>1208</v>
      </c>
      <c r="C209" s="2">
        <v>397</v>
      </c>
      <c r="D209" s="3">
        <v>19029</v>
      </c>
      <c r="E209" s="3">
        <v>84999</v>
      </c>
      <c r="F209" s="4">
        <v>2698229</v>
      </c>
      <c r="G209" s="11" cm="1">
        <f t="array" aca="1" ref="G209" ca="1">IFERROR(VLOOKUP("*" &amp; B209  &amp; "*" &amp; (MID(CELL("filename",A208),FIND("]",CELL("filename",A208))+1,31)) &amp; "*",CHOOSE({1,2}, Super_CBSA!$B$2:$B$1917, Super_CBSA!$A$2:$A$1917), 2,FALSE), IFERROR(VLOOKUP(B209  &amp; "*",CHOOSE({1,2}, Super_CBSA!$E$2:$E$1917, Super_CBSA!$A$2:$A$1917), 2,FALSE), ""))</f>
        <v>37860</v>
      </c>
    </row>
    <row r="210" spans="1:7" ht="17">
      <c r="A210" s="1" t="s">
        <v>1485</v>
      </c>
      <c r="B210" s="2" t="s">
        <v>1218</v>
      </c>
      <c r="C210" s="2">
        <v>133</v>
      </c>
      <c r="D210" s="3">
        <v>8006</v>
      </c>
      <c r="E210" s="3">
        <v>33578</v>
      </c>
      <c r="F210" s="4">
        <v>978917</v>
      </c>
      <c r="G210" s="11" cm="1">
        <f t="array" aca="1" ref="G210" ca="1">IFERROR(VLOOKUP("*" &amp; B210  &amp; "*" &amp; (MID(CELL("filename",A209),FIND("]",CELL("filename",A209))+1,31)) &amp; "*",CHOOSE({1,2}, Super_CBSA!$B$2:$B$1917, Super_CBSA!$A$2:$A$1917), 2,FALSE), IFERROR(VLOOKUP(B210  &amp; "*",CHOOSE({1,2}, Super_CBSA!$E$2:$E$1917, Super_CBSA!$A$2:$A$1917), 2,FALSE), ""))</f>
        <v>33100</v>
      </c>
    </row>
    <row r="211" spans="1:7" ht="17">
      <c r="A211" s="1" t="s">
        <v>1486</v>
      </c>
      <c r="B211" s="2" t="s">
        <v>1187</v>
      </c>
      <c r="C211" s="2">
        <v>0</v>
      </c>
      <c r="D211" s="2">
        <v>0</v>
      </c>
      <c r="E211" s="2">
        <v>0</v>
      </c>
      <c r="F211" s="4">
        <v>0</v>
      </c>
      <c r="G211" s="11" cm="1">
        <f t="array" aca="1" ref="G211" ca="1">IFERROR(VLOOKUP("*" &amp; B211  &amp; "*" &amp; (MID(CELL("filename",A210),FIND("]",CELL("filename",A210))+1,31)) &amp; "*",CHOOSE({1,2}, Super_CBSA!$B$2:$B$1917, Super_CBSA!$A$2:$A$1917), 2,FALSE), IFERROR(VLOOKUP(B211  &amp; "*",CHOOSE({1,2}, Super_CBSA!$E$2:$E$1917, Super_CBSA!$A$2:$A$1917), 2,FALSE), ""))</f>
        <v>36100</v>
      </c>
    </row>
    <row r="212" spans="1:7" ht="17">
      <c r="A212" s="1" t="s">
        <v>1487</v>
      </c>
      <c r="B212" s="2" t="s">
        <v>1298</v>
      </c>
      <c r="C212" s="2">
        <v>0</v>
      </c>
      <c r="D212" s="2">
        <v>0</v>
      </c>
      <c r="E212" s="2">
        <v>0</v>
      </c>
      <c r="F212" s="4">
        <v>0</v>
      </c>
      <c r="G212" s="11" t="str" cm="1">
        <f t="array" aca="1" ref="G212" ca="1">IFERROR(VLOOKUP("*" &amp; B212  &amp; "*" &amp; (MID(CELL("filename",A211),FIND("]",CELL("filename",A211))+1,31)) &amp; "*",CHOOSE({1,2}, Super_CBSA!$B$2:$B$1917, Super_CBSA!$A$2:$A$1917), 2,FALSE), IFERROR(VLOOKUP(B212  &amp; "*",CHOOSE({1,2}, Super_CBSA!$E$2:$E$1917, Super_CBSA!$A$2:$A$1917), 2,FALSE), ""))</f>
        <v/>
      </c>
    </row>
    <row r="213" spans="1:7" ht="17">
      <c r="A213" s="1" t="s">
        <v>1488</v>
      </c>
      <c r="B213" s="2" t="s">
        <v>1218</v>
      </c>
      <c r="C213" s="2">
        <v>125</v>
      </c>
      <c r="D213" s="3">
        <v>3099</v>
      </c>
      <c r="E213" s="3">
        <v>15256</v>
      </c>
      <c r="F213" s="4">
        <v>178828</v>
      </c>
      <c r="G213" s="11" cm="1">
        <f t="array" aca="1" ref="G213" ca="1">IFERROR(VLOOKUP("*" &amp; B213  &amp; "*" &amp; (MID(CELL("filename",A212),FIND("]",CELL("filename",A212))+1,31)) &amp; "*",CHOOSE({1,2}, Super_CBSA!$B$2:$B$1917, Super_CBSA!$A$2:$A$1917), 2,FALSE), IFERROR(VLOOKUP(B213  &amp; "*",CHOOSE({1,2}, Super_CBSA!$E$2:$E$1917, Super_CBSA!$A$2:$A$1917), 2,FALSE), ""))</f>
        <v>33100</v>
      </c>
    </row>
    <row r="214" spans="1:7" ht="17">
      <c r="A214" s="1" t="s">
        <v>1489</v>
      </c>
      <c r="B214" s="2" t="s">
        <v>1425</v>
      </c>
      <c r="C214" s="2">
        <v>224</v>
      </c>
      <c r="D214" s="3">
        <v>13562</v>
      </c>
      <c r="E214" s="3">
        <v>59869</v>
      </c>
      <c r="F214" s="4">
        <v>2190095</v>
      </c>
      <c r="G214" s="11" t="str" cm="1">
        <f t="array" aca="1" ref="G214" ca="1">IFERROR(VLOOKUP("*" &amp; B214  &amp; "*" &amp; (MID(CELL("filename",A213),FIND("]",CELL("filename",A213))+1,31)) &amp; "*",CHOOSE({1,2}, Super_CBSA!$B$2:$B$1917, Super_CBSA!$A$2:$A$1917), 2,FALSE), IFERROR(VLOOKUP(B214  &amp; "*",CHOOSE({1,2}, Super_CBSA!$E$2:$E$1917, Super_CBSA!$A$2:$A$1917), 2,FALSE), ""))</f>
        <v/>
      </c>
    </row>
    <row r="215" spans="1:7" ht="17">
      <c r="A215" s="1" t="s">
        <v>1490</v>
      </c>
      <c r="B215" s="2" t="s">
        <v>1491</v>
      </c>
      <c r="C215" s="2">
        <v>476</v>
      </c>
      <c r="D215" s="3">
        <v>19025</v>
      </c>
      <c r="E215" s="3">
        <v>87178</v>
      </c>
      <c r="F215" s="4">
        <v>1821156</v>
      </c>
      <c r="G215" s="11" cm="1">
        <f t="array" aca="1" ref="G215" ca="1">IFERROR(VLOOKUP("*" &amp; B215  &amp; "*" &amp; (MID(CELL("filename",A214),FIND("]",CELL("filename",A214))+1,31)) &amp; "*",CHOOSE({1,2}, Super_CBSA!$B$2:$B$1917, Super_CBSA!$A$2:$A$1917), 2,FALSE), IFERROR(VLOOKUP(B215  &amp; "*",CHOOSE({1,2}, Super_CBSA!$E$2:$E$1917, Super_CBSA!$A$2:$A$1917), 2,FALSE), ""))</f>
        <v>29460</v>
      </c>
    </row>
    <row r="216" spans="1:7" ht="17">
      <c r="A216" s="1" t="s">
        <v>1492</v>
      </c>
      <c r="B216" s="2" t="s">
        <v>1491</v>
      </c>
      <c r="C216" s="2">
        <v>0</v>
      </c>
      <c r="D216" s="2">
        <v>0</v>
      </c>
      <c r="E216" s="2">
        <v>0</v>
      </c>
      <c r="F216" s="4">
        <v>0</v>
      </c>
      <c r="G216" s="11" cm="1">
        <f t="array" aca="1" ref="G216" ca="1">IFERROR(VLOOKUP("*" &amp; B216  &amp; "*" &amp; (MID(CELL("filename",A215),FIND("]",CELL("filename",A215))+1,31)) &amp; "*",CHOOSE({1,2}, Super_CBSA!$B$2:$B$1917, Super_CBSA!$A$2:$A$1917), 2,FALSE), IFERROR(VLOOKUP(B216  &amp; "*",CHOOSE({1,2}, Super_CBSA!$E$2:$E$1917, Super_CBSA!$A$2:$A$1917), 2,FALSE), ""))</f>
        <v>29460</v>
      </c>
    </row>
    <row r="217" spans="1:7" ht="17">
      <c r="A217" s="2" t="s">
        <v>56</v>
      </c>
      <c r="B217" s="2"/>
      <c r="C217" s="3">
        <v>56074</v>
      </c>
      <c r="D217" s="3">
        <v>2567297</v>
      </c>
      <c r="E217" s="3">
        <v>11736973</v>
      </c>
      <c r="F217" s="4">
        <v>334412480</v>
      </c>
    </row>
  </sheetData>
  <hyperlinks>
    <hyperlink ref="A2" r:id="rId1" display="https://www.ahd.com/free_profile/I07965/96th_Medical_Group_-_United_States_Air_Force_Eglin_Regional_Hospital/Eglin_Air_Force_Base/Florida/" xr:uid="{BEF25FC3-7F3D-0248-896E-B69CA7D62F75}"/>
    <hyperlink ref="A3" r:id="rId2" display="https://www.ahd.com/free_profile/I08132/AdventHealth_Altamonte_Springs/Altamonte_Springs/Florida/" xr:uid="{6716F38B-6B94-FE49-AE02-CE35F52D5DE8}"/>
    <hyperlink ref="A4" r:id="rId3" display="https://www.ahd.com/free_profile/I08054/AdventHealth_Apopka/Apopka/Florida/" xr:uid="{A664AE24-517C-D94E-993E-DDFAE00473E8}"/>
    <hyperlink ref="A5" r:id="rId4" display="https://www.ahd.com/free_profile/100069/AdventHealth_Carrollwood/Tampa/Florida/" xr:uid="{FC4E6207-54A6-9349-8CD9-2FE300FE376B}"/>
    <hyperlink ref="A6" r:id="rId5" display="https://www.ahd.com/free_profile/I07823/AdventHealth_Celebration/Celebration/Florida/" xr:uid="{1FC736A7-7292-294F-9517-D6EACAE0D038}"/>
    <hyperlink ref="A7" r:id="rId6" display="https://www.ahd.com/free_profile/100211/AdventHealth_Dade_City/Dade_City/Florida/" xr:uid="{B584BF52-0FEF-2F4B-9AF3-58826086EF1A}"/>
    <hyperlink ref="A8" r:id="rId7" display="https://www.ahd.com/free_profile/I41652/AdventHealth_Daytona_Beach/Daytona_Beach/Florida/" xr:uid="{8FE4DE53-59F5-5841-89C8-366C7149E6A4}"/>
    <hyperlink ref="A9" r:id="rId8" display="https://www.ahd.com/free_profile/100045/AdventHealth_DeLand/DeLand/Florida/" xr:uid="{1881E8F7-FA21-894E-A086-DB91D4868C42}"/>
    <hyperlink ref="A10" r:id="rId9" display="https://www.ahd.com/free_profile/I08175/AdventHealth_East_Orlando/Orlando/Florida/" xr:uid="{CD492872-3DFE-B046-B3F4-D9A56EA9CFA9}"/>
    <hyperlink ref="A11" r:id="rId10" display="https://www.ahd.com/free_profile/100072/AdventHealth_Fish_Memorial/Orange_City/Florida/" xr:uid="{8947526F-A3C9-BA4E-BA52-88A5E9F9B419}"/>
    <hyperlink ref="A12" r:id="rId11" display="https://www.ahd.com/free_profile/100137/AdventHealth_Heart_of_Florida/Davenport/Florida/" xr:uid="{DEDABFB8-487F-C144-8112-C5509D0B203F}"/>
    <hyperlink ref="A13" r:id="rId12" display="https://www.ahd.com/free_profile/I08177/AdventHealth_Kissimmee/Kissimmee/Florida/" xr:uid="{BCC1E9BB-1C2F-4845-B8D5-696DD8FFCD81}"/>
    <hyperlink ref="A14" r:id="rId13" display="https://www.ahd.com/free_profile/I08181/AdventHealth_Lake_Placid/Lake_Placid/Florida/" xr:uid="{CFB267DB-58E9-2B44-B058-C6BE4EE2E19B}"/>
    <hyperlink ref="A15" r:id="rId14" display="https://www.ahd.com/free_profile/100099/AdventHealth_Lake_Wales/Lake_Wales/Florida/" xr:uid="{FB21317E-90FE-E14B-98B9-4F8F51ACB3C9}"/>
    <hyperlink ref="A16" r:id="rId15" display="https://www.ahd.com/free_profile/100014/AdventHealth_New_Smyrna_Beach/New_Smyrna_Beach/Florida/" xr:uid="{DEA1C0B8-B09F-A147-B3DC-0E82656C2429}"/>
    <hyperlink ref="A17" r:id="rId16" display="https://www.ahd.com/free_profile/100055/AdventHealth_North_Pinellas/Tarpon_Springs/Florida/" xr:uid="{DE382136-AC61-D74A-B84C-FE6B93CD2596}"/>
    <hyperlink ref="A18" r:id="rId17" display="https://www.ahd.com/free_profile/100062/AdventHealth_Ocala/Ocala/Florida/" xr:uid="{461E21A0-8A13-4945-8AC9-CEED728E89C1}"/>
    <hyperlink ref="A19" r:id="rId18" display="https://www.ahd.com/free_profile/100007/AdventHealth_Orlando/Orlando/Florida/" xr:uid="{6C849966-29E9-864F-886C-F32952644FC9}"/>
    <hyperlink ref="A20" r:id="rId19" display="https://www.ahd.com/free_profile/100118/AdventHealth_Palm_Coast/Palm_Coast/Florida/" xr:uid="{234ABABE-A3D5-BA45-85C4-83D90E816A1A}"/>
    <hyperlink ref="A21" r:id="rId20" display="https://www.ahd.com/free_profile/I41726/AdventHealth_Pepin_Heart_Institute/Tampa/Florida/" xr:uid="{B0451731-9D64-254F-A037-F2A77CEB13BC}"/>
    <hyperlink ref="A22" r:id="rId21" display="https://www.ahd.com/free_profile/100109/AdventHealth_Sebring/Sebring/Florida/" xr:uid="{5C6E3DDD-3984-9940-AA55-0DC2289D4C5F}"/>
    <hyperlink ref="A23" r:id="rId22" display="https://www.ahd.com/free_profile/100173/AdventHealth_Tampa/Tampa/Florida/" xr:uid="{99780D9E-1588-DB40-B51C-7411C643E2FD}"/>
    <hyperlink ref="A24" r:id="rId23" display="https://www.ahd.com/free_profile/100057/AdventHealth_Waterman/Tavares/Florida/" xr:uid="{FA93F357-FC83-E049-98CE-D134ACD43C45}"/>
    <hyperlink ref="A25" r:id="rId24" display="https://www.ahd.com/free_profile/100319/AdventHealth_Wesley_Chapel/Wesley_Chapel/Florida/" xr:uid="{4EBCA379-DD05-5B4D-966F-AB06FA931C3F}"/>
    <hyperlink ref="A26" r:id="rId25" display="https://www.ahd.com/free_profile/I41172/AdventHealth_Winter_Park/Winter_Park/Florida/" xr:uid="{7AF2FC9A-2378-9D44-BD5E-7E67B76278E2}"/>
    <hyperlink ref="A27" r:id="rId26" display="https://www.ahd.com/free_profile/100046/AdventHealth_Zephyrhills/Zephyrhills/Florida/" xr:uid="{46C99C85-51DD-6A47-93AA-877F213B4D03}"/>
    <hyperlink ref="A28" r:id="rId27" display="https://www.ahd.com/free_profile/100292/Ascension_Sacred_Heart_Hospital_on_the_Emerald_Coast/Miramar_Beach/Florida/" xr:uid="{ECB6D0C9-7061-634B-BAB0-6FE1E9EECEF1}"/>
    <hyperlink ref="A29" r:id="rId28" display="https://www.ahd.com/free_profile/100313/Ascension_Sacred_Heart_Hospital_on_the_Gulf/Port_Saint_Joe/Florida/" xr:uid="{D236F91C-6003-EC48-8BB4-29FFCCD65969}"/>
    <hyperlink ref="A30" r:id="rId29" display="https://www.ahd.com/free_profile/100025/Ascension_Sacred_Heart_Hospital_Pensacola/Pensacola/Florida/" xr:uid="{D10BEDE7-3B99-3D48-A973-1B00FBC2BD73}"/>
    <hyperlink ref="A31" r:id="rId30" display="https://www.ahd.com/free_profile/100321/Ascension_St_Vincent%27s_Clay_County_Hospital/Middleburg/Florida/" xr:uid="{29A818E9-FB24-5345-9428-E7594C059C6C}"/>
    <hyperlink ref="A32" r:id="rId31" display="https://www.ahd.com/free_profile/100040/Ascension_St_Vincent%27s_Riverside_Hospital/Jacksonville/Florida/" xr:uid="{2DC229AE-9EBC-B84E-B79A-E46D7339B129}"/>
    <hyperlink ref="A33" r:id="rId32" display="https://www.ahd.com/free_profile/100307/Ascension_St_Vincent%27s_Southside_Hospital/Jacksonville/Florida/" xr:uid="{F552508D-3D6A-4649-A499-EF871E55635F}"/>
    <hyperlink ref="A34" r:id="rId33" display="https://www.ahd.com/free_profile/100131/Aventura_Hospital_and_Medical_Center/Aventura/Florida/" xr:uid="{E8D0E33E-0520-8D43-ACB7-E7AD167329C4}"/>
    <hyperlink ref="A35" r:id="rId34" display="https://www.ahd.com/free_profile/I41963/Baptist_Heart_Hospital/Jacksonville_/Florida/" xr:uid="{CEA565D6-2EFE-2147-B84B-A19DC4BA3FA9}"/>
    <hyperlink ref="A36" r:id="rId35" display="https://www.ahd.com/free_profile/100093/Baptist_Hospital/Pensacola/Florida/" xr:uid="{CA8372BA-044A-F54B-BF59-954BB35020D5}"/>
    <hyperlink ref="A37" r:id="rId36" display="https://www.ahd.com/free_profile/100008/Baptist_Hospital_/Miami/Florida/" xr:uid="{B55E5DC1-7EC5-2044-9EE6-4192F54B3B0D}"/>
    <hyperlink ref="A38" r:id="rId37" display="https://www.ahd.com/free_profile/100117/Baptist_Medical_Center_Beaches/Jacksonville_Beach/Florida/" xr:uid="{6BF64097-1DED-A744-BFDB-352213F406EF}"/>
    <hyperlink ref="A39" r:id="rId38" display="https://www.ahd.com/free_profile/100088/Baptist_Medical_Center_Jacksonville/Jacksonville/Florida/" xr:uid="{0BB56B1F-334C-3149-81C2-43148C94A22B}"/>
    <hyperlink ref="A40" r:id="rId39" display="https://www.ahd.com/free_profile/100140/Baptist_Medical_Center_Nassau/Fernandina_Beach/Florida/" xr:uid="{D4DE0647-6222-3D43-961A-B22F74AF46AA}"/>
    <hyperlink ref="A41" r:id="rId40" display="https://www.ahd.com/free_profile/I08186/Baptist_Medical_Center_South/Jacksonville/Florida/" xr:uid="{3B3FD7CB-36A6-884B-911E-EAA7F7688A75}"/>
    <hyperlink ref="A42" r:id="rId41" display="https://www.ahd.com/free_profile/100121/Bartow_Regional_Medical_Center/Bartow/Florida/" xr:uid="{B85D10CA-F219-2343-B5FF-E53105343EE4}"/>
    <hyperlink ref="A43" r:id="rId42" display="https://www.ahd.com/free_profile/100240/Bascom_Palmer_Eye_Institute/Miami/Florida/" xr:uid="{12FFB873-2F34-B643-8891-08E4DEF330C1}"/>
    <hyperlink ref="A44" r:id="rId43" display="https://www.ahd.com/free_profile/100026/Bay_Medical_Sacred_Heart/Panama_City/Florida/" xr:uid="{062A3700-A5A2-D54E-9E60-07EB27ADE14D}"/>
    <hyperlink ref="A45" r:id="rId44" display="https://www.ahd.com/free_profile/10009F/Bay_Pines_VA_Healthcare_System/Bay_Pines/Florida/" xr:uid="{F9637E78-01C0-F345-A952-6ECE3B08F224}"/>
    <hyperlink ref="A46" r:id="rId45" display="https://www.ahd.com/free_profile/100071/Bayfront_Health_Brooksville/Brooksville/Florida/" xr:uid="{74C127A4-3DC6-524C-A257-4FEB56087CD7}"/>
    <hyperlink ref="A47" r:id="rId46" display="https://www.ahd.com/free_profile/100077/Bayfront_Health_Port_Charlotte/Port_Charlotte/Florida/" xr:uid="{CCEA8905-4586-444F-86E1-5B95C5F6D590}"/>
    <hyperlink ref="A48" r:id="rId47" display="https://www.ahd.com/free_profile/100047/Bayfront_Health_Punta_Gorda/Punta_Gorda/Florida/" xr:uid="{255B52EB-6E70-CC4E-BA42-67AC460F2B2B}"/>
    <hyperlink ref="A49" r:id="rId48" display="https://www.ahd.com/free_profile/100249/Bayfront_Health_Seven_Rivers/Crystal_River/Florida/" xr:uid="{C27867EC-6337-DC48-94AC-ED1F933F8F60}"/>
    <hyperlink ref="A50" r:id="rId49" display="https://www.ahd.com/free_profile/100280/Bayfront_Health_Spring_Hill/Spring_Hill/Florida/" xr:uid="{C4CD0B18-0551-554E-8A75-C7EE87305A7E}"/>
    <hyperlink ref="A51" r:id="rId50" display="https://www.ahd.com/free_profile/100032/Bayfront_Health_St_Petersburg/Saint_Petersburg/Florida/" xr:uid="{83A14670-84A7-5749-B281-578583C8E205}"/>
    <hyperlink ref="A52" r:id="rId51" display="https://www.ahd.com/free_profile/100002/Bethesda_Hospital_East/Boynton_Beach/Florida/" xr:uid="{E976C644-E2A3-EF42-B8B9-2FC367C79EA5}"/>
    <hyperlink ref="A53" r:id="rId52" display="https://www.ahd.com/free_profile/I42053/Bethesda_Hospital_West/Boynton_Beach_/Florida/" xr:uid="{81675AE8-83FF-4A46-A816-217EF225EA14}"/>
    <hyperlink ref="A54" r:id="rId53" display="https://www.ahd.com/free_profile/100213/Blake_Medical_Center/Bradenton/Florida/" xr:uid="{07E5C0C7-466D-2E4B-BBED-3E73BF08578A}"/>
    <hyperlink ref="A55" r:id="rId54" display="https://www.ahd.com/free_profile/100168/Boca_Raton_Regional_Hospital/Boca_Raton/Florida/" xr:uid="{0538CDAB-DCAB-7F40-8202-71AA5FD130EE}"/>
    <hyperlink ref="A56" r:id="rId55" display="https://www.ahd.com/free_profile/100243/Brandon_Regional_Hospital/Brandon/Florida/" xr:uid="{BB1B169D-B8B3-5345-95B3-2B40F5305D32}"/>
    <hyperlink ref="A57" r:id="rId56" display="https://www.ahd.com/free_profile/100276/Broward_Health_Coral_Springs/Coral_Springs/Florida/" xr:uid="{2CE50042-6573-9445-8A99-4935087B0DB8}"/>
    <hyperlink ref="A58" r:id="rId57" display="https://www.ahd.com/free_profile/100200/Broward_Health_Imperial_Point/Fort_Lauderdale/Florida/" xr:uid="{4FCF8AE2-071A-AB49-A4B5-618ECB9B38EC}"/>
    <hyperlink ref="A59" r:id="rId58" display="https://www.ahd.com/free_profile/100039/Broward_Health_Medical_Center/Fort_Lauderdale/Florida/" xr:uid="{9CEAB7BA-2C4A-0443-9D24-5E6B87D3846E}"/>
    <hyperlink ref="A60" r:id="rId59" display="https://www.ahd.com/free_profile/100086/Broward_Health_North/Deerfield_Beach/Florida/" xr:uid="{8D3BC3BF-341E-3347-8033-24BAEC496AD0}"/>
    <hyperlink ref="A61" r:id="rId60" display="https://www.ahd.com/free_profile/100244/Cape_Coral_Hospital/Cape_Coral/Florida/" xr:uid="{CF76D471-CA33-4548-BAE6-5253824911E5}"/>
    <hyperlink ref="A62" r:id="rId61" display="https://www.ahd.com/free_profile/100254/Capital_Regional_Medical_Center/Tallahassee/Florida/" xr:uid="{72ED5493-258C-694F-9D68-ADB4CB23F2A8}"/>
    <hyperlink ref="A63" r:id="rId62" display="https://www.ahd.com/free_profile/100161/Central_Florida_Regional_Hospital/Sanford/Florida/" xr:uid="{FC34829F-547A-2543-835B-4814F738D014}"/>
    <hyperlink ref="A64" r:id="rId63" display="https://www.ahd.com/free_profile/100023/Citrus_Memorial_Hospital/Inverness/Florida/" xr:uid="{E9A01903-5CD2-F149-AEEE-B6B73B022F6F}"/>
    <hyperlink ref="A65" r:id="rId64" display="https://www.ahd.com/free_profile/100289/Cleveland_Clinic_in_Florida_-_Weston/Weston/Florida/" xr:uid="{CA16378F-AA77-264D-A981-991ED08BA72B}"/>
    <hyperlink ref="A66" r:id="rId65" display="https://www.ahd.com/free_profile/100105/Cleveland_Clinic_Indian_River_Hospital/Vero_Beach/Florida/" xr:uid="{8F2D9AA7-9825-FA4D-B215-342256F6DCD4}"/>
    <hyperlink ref="A67" r:id="rId66" display="https://www.ahd.com/free_profile/100044/Cleveland_Clinic_Martin_Medical_Center/Stuart/Florida/" xr:uid="{B01E451D-95A9-1041-AD59-E72A7C3DADA5}"/>
    <hyperlink ref="A68" r:id="rId67" display="https://www.ahd.com/free_profile/I41188/Cleveland_Clinic_Martin_South_Hospital/Stuart/Florida/" xr:uid="{D0B34ADB-BE5E-FD40-AEA9-4793114489CE}"/>
    <hyperlink ref="A69" r:id="rId68" display="https://www.ahd.com/free_profile/I41954/Cleveland_Clinic_Tradition_Hospital/Port_St._Lucie/Florida/" xr:uid="{076C75F1-B9C9-0F41-9AD1-491913F27699}"/>
    <hyperlink ref="A70" r:id="rId69" display="https://www.ahd.com/free_profile/100183/Coral_Gables_Hospital/Coral_Gables/Florida/" xr:uid="{ECDFAE2C-9DCE-5647-BEAA-28712AB324D4}"/>
    <hyperlink ref="A71" r:id="rId70" display="https://www.ahd.com/free_profile/100258/Delray_Medical_Center/Delray_Beach/Florida/" xr:uid="{0410E432-9E62-C043-B32A-035CD9BE083A}"/>
    <hyperlink ref="A72" r:id="rId71" display="https://www.ahd.com/free_profile/100175/DeSoto_Memorial_Hospital/Arcadia/Florida/" xr:uid="{1BA2E99F-25E1-8D4F-9E44-6B5D7DA37F5B}"/>
    <hyperlink ref="A73" r:id="rId72" display="https://www.ahd.com/free_profile/100296/Doctors_Hospital/Coral_Gables/Florida/" xr:uid="{C17C00B6-746A-9B43-B185-6508AB5E776F}"/>
    <hyperlink ref="A74" r:id="rId73" display="https://www.ahd.com/free_profile/100166/Doctors_Hospital_of_Sarasota/Sarasota/Florida/" xr:uid="{8F63B48D-8801-6B40-813F-EED4884DBD0A}"/>
    <hyperlink ref="A75" r:id="rId74" display="https://www.ahd.com/free_profile/100106/Doctors%27_Memorial_Hospital/Perry/Florida/" xr:uid="{05ED3BCF-1439-164E-8E42-CC170075B90E}"/>
    <hyperlink ref="A76" r:id="rId75" display="https://www.ahd.com/free_profile/I16398/Dr_P_Phillips_Hospital/Orlando/Florida/" xr:uid="{7D91762C-99CB-B443-A55D-DF8BCB27A5A3}"/>
    <hyperlink ref="A77" r:id="rId76" display="https://www.ahd.com/free_profile/100134/Ed_Fraser_Memorial_Hospital/MacClenny/Florida/" xr:uid="{99A76237-8A61-8145-8BE1-2EB87F3A22D2}"/>
    <hyperlink ref="A78" r:id="rId77" display="https://www.ahd.com/free_profile/100267/Englewood_Community_Hospital/Englewood/Florida/" xr:uid="{5153B397-2F46-044D-AEFA-FEF57DA468E6}"/>
    <hyperlink ref="A79" r:id="rId78" display="https://www.ahd.com/free_profile/100236/Fawcett_Memorial_Hospital/Port_Charlotte/Florida/" xr:uid="{E46C5C31-446D-3A47-8E52-445EA1FC4750}"/>
    <hyperlink ref="A80" r:id="rId79" display="https://www.ahd.com/free_profile/100090/Flagler_Hospital/Saint_Augustine/Florida/" xr:uid="{8F9CD43D-6543-B743-8CFD-632B5B3F0BFD}"/>
    <hyperlink ref="A81" r:id="rId80" display="https://www.ahd.com/free_profile/100210/Florida_Medical_Center/Fort_Lauderdale/Florida/" xr:uid="{B194508E-DEDE-FB48-B463-3CEA73D79FCA}"/>
    <hyperlink ref="A82" r:id="rId81" display="https://www.ahd.com/free_profile/100298/Florida_State_Hospital/Chattahoochee/Florida/" xr:uid="{0D3E2A8E-3C21-9C48-8982-30044557E8DD}"/>
    <hyperlink ref="A83" r:id="rId82" display="https://www.ahd.com/free_profile/100223/Fort_Walton_Beach_Medical_Center/Fort_Walton_Beach/Florida/" xr:uid="{A31FF22B-4522-B74E-B8FE-C5CA1117C56B}"/>
    <hyperlink ref="A84" r:id="rId83" display="https://www.ahd.com/free_profile/100287/Good_Samaritan_Medical_Center/West_Palm_Beach/Florida/" xr:uid="{7636CDE1-83F2-6642-ABCC-4B3412682125}"/>
    <hyperlink ref="A85" r:id="rId84" display="https://www.ahd.com/free_profile/100266/Gulf_Breeze_Hospital/Gulf_Breeze/Florida/" xr:uid="{6E27817E-59D3-BC42-80D4-D9F56B8F1F77}"/>
    <hyperlink ref="A86" r:id="rId85" display="https://www.ahd.com/free_profile/100220/Gulf_Coast_Medical_Center/Fort_Myers/Florida/" xr:uid="{62F62B4C-109A-714F-93F3-291A7E6A82A9}"/>
    <hyperlink ref="A87" r:id="rId86" display="https://www.ahd.com/free_profile/100242/Gulf_Coast_Regional_Medical_Center/Panama_City/Florida/" xr:uid="{649AC2E0-2C0E-BB4D-9FB7-AE723A4FB071}"/>
    <hyperlink ref="A88" r:id="rId87" display="https://www.ahd.com/free_profile/100017/Halifax_Health_Medical_Center_of_Daytona_Beach/Daytona_Beach/Florida/" xr:uid="{6184BB62-E713-F34F-BFF5-D09C4F1EFDDD}"/>
    <hyperlink ref="A89" r:id="rId88" display="https://www.ahd.com/free_profile/I41312/Halifax_Health_Medical_Center_of_Port_Orange/Port_Orange/Florida/" xr:uid="{B0BF279B-9418-5D4E-B373-E016A306AC7B}"/>
    <hyperlink ref="A90" r:id="rId89" display="https://www.ahd.com/free_profile/100330/Halifax_Health%2FUF_Health_Medical_Center_of_Deltona/Deltona/Florida/" xr:uid="{4514F9D2-5BF2-3544-B35A-58A986803EA6}"/>
    <hyperlink ref="A91" r:id="rId90" display="https://www.ahd.com/free_profile/100030/Health_Central_Hospital_/Ocoee/Florida/" xr:uid="{A0CCC6F3-B8AE-A44D-91E7-CABF1680B227}"/>
    <hyperlink ref="A92" r:id="rId91" display="https://www.ahd.com/free_profile/100177/Health_First_Cape_Canaveral_Hospital/Cocoa_Beach/Florida/" xr:uid="{A9B5E4CB-6E68-234A-AF13-B06164595A2E}"/>
    <hyperlink ref="A93" r:id="rId92" display="https://www.ahd.com/free_profile/100019/Health_First_Holmes_Regional_Medical_Center/Melbourne/Florida/" xr:uid="{425B8351-2F5F-AF41-83A6-C20F271CA4C7}"/>
    <hyperlink ref="A94" r:id="rId93" display="https://www.ahd.com/free_profile/100081/Healthmark_Regional_Medical_Center/Defuniak_Springs/Florida/" xr:uid="{1B2B921D-3B76-F64B-BA21-D97EDBA82ACA}"/>
    <hyperlink ref="A95" r:id="rId94" display="https://www.ahd.com/free_profile/I41292/HealthPark_Medical_Center/Fort_Myers/Florida/" xr:uid="{0235C1E6-C3F6-1E4A-88FC-289EC9CCEAC9}"/>
    <hyperlink ref="A96" r:id="rId95" display="https://www.ahd.com/free_profile/100053/Hialeah_Hospital/Hialeah/Florida/" xr:uid="{D0CB0FD1-1BFB-BF47-86CF-24E024440F52}"/>
    <hyperlink ref="A97" r:id="rId96" display="https://www.ahd.com/free_profile/100049/Highlands_Regional_Medical_Center/Sebring/Florida/" xr:uid="{9F402BAC-706D-8146-96EA-9819C7D9E661}"/>
    <hyperlink ref="A98" r:id="rId97" display="https://www.ahd.com/free_profile/100073/Holy_Cross_Hospital/Fort_Lauderdale/Florida/" xr:uid="{DEE0F6AD-3D8C-2143-B441-957120B3D57C}"/>
    <hyperlink ref="A99" r:id="rId98" display="https://www.ahd.com/free_profile/100125/Homestead_Hospital/Homestead/Florida/" xr:uid="{074AC400-CCD1-4840-B2C4-4B052BAAE968}"/>
    <hyperlink ref="A100" r:id="rId99" display="https://www.ahd.com/free_profile/100142/Jackson_Hospital/Marianna/Florida/" xr:uid="{048C5EA0-F8DE-354C-9864-D0831E88C9E4}"/>
    <hyperlink ref="A101" r:id="rId100" display="https://www.ahd.com/free_profile/100022/Jackson_Memorial_Hospital/Miami/Florida/" xr:uid="{361CBF01-EF02-074B-BF98-BEA847952170}"/>
    <hyperlink ref="A102" r:id="rId101" display="https://www.ahd.com/free_profile/I41572/Jackson_North_Medical_Center/North_Miami_Beach/Florida/" xr:uid="{8AB700D5-AF42-594D-ADF4-7914AC2D849D}"/>
    <hyperlink ref="A103" r:id="rId102" display="https://www.ahd.com/free_profile/100208/Jackson_South_Medical_Center/Miami/Florida/" xr:uid="{F19F8B0E-6C53-C542-875E-D50BD4BBE1EC}"/>
    <hyperlink ref="A104" r:id="rId103" display="https://www.ahd.com/free_profile/10063F/James_A_Haley_Veterans%27_Hospital/Tampa/Florida/" xr:uid="{99187703-3948-7740-B285-4A44F857D6E0}"/>
    <hyperlink ref="A105" r:id="rId104" display="https://www.ahd.com/free_profile/100048/Jay_Hospital/Jay/Florida/" xr:uid="{FD2ADA9E-F0B0-6A45-B9FB-BCE0C9432F72}"/>
    <hyperlink ref="A106" r:id="rId105" display="https://www.ahd.com/free_profile/100080/JFK_Medical_Center_-_Main/Atlantis/Florida/" xr:uid="{F480ADB8-0D7F-864A-A8BB-49DC23B7488A}"/>
    <hyperlink ref="A107" r:id="rId106" display="https://www.ahd.com/free_profile/100234/JFK_Medical_Center_-_North_Campus/West_Palm_Beach/Florida/" xr:uid="{987A214C-17CD-934D-940E-69F931CAB01E}"/>
    <hyperlink ref="A108" r:id="rId107" display="https://www.ahd.com/free_profile/100253/Jupiter_Medical_Center/Jupiter/Florida/" xr:uid="{D3E07C1C-E620-7D40-908F-621F9171D00A}"/>
    <hyperlink ref="A109" r:id="rId108" display="https://www.ahd.com/free_profile/100209/Kendall_Regional_Medical_Center/Miami/Florida/" xr:uid="{EE2E8D0E-59B6-CE45-A580-97525F95BE88}"/>
    <hyperlink ref="A110" r:id="rId109" display="https://www.ahd.com/free_profile/100156/Lake_City_Medical_Center/Lake_City/Florida/" xr:uid="{41E9B810-B72C-E748-95F0-6BB907C97B5B}"/>
    <hyperlink ref="A111" r:id="rId110" display="https://www.ahd.com/free_profile/10015F/Lake_City_VA_Medical_Center/Lake_City/Florida/" xr:uid="{7DFC4627-AF13-1E43-BE21-93A9D81043CD}"/>
    <hyperlink ref="A112" r:id="rId111" display="https://www.ahd.com/free_profile/100157/Lakeland_Regional_Health_Medical_Center/Lakeland/Florida/" xr:uid="{61068941-0921-7743-A1BE-49B0AD995367}"/>
    <hyperlink ref="A113" r:id="rId112" display="https://www.ahd.com/free_profile/100130/Lakeside_Medical_Center/Belle_Glade/Florida/" xr:uid="{DF029075-9445-0746-864E-89E14C901578}"/>
    <hyperlink ref="A114" r:id="rId113" display="https://www.ahd.com/free_profile/100299/Lakewood_Ranch_Medical_Center/Lakewood_Ranch/Florida/" xr:uid="{24D64A29-7958-1848-9790-0D901BEBF583}"/>
    <hyperlink ref="A115" r:id="rId114" display="https://www.ahd.com/free_profile/100248/Largo_Medical_Center/Largo/Florida/" xr:uid="{BA29FCB2-BC3A-0E43-8B69-03F8E0261A9C}"/>
    <hyperlink ref="A116" r:id="rId115" display="https://www.ahd.com/free_profile/100015/Largo_Medical_Center_-_Indian_Rocks_Campus/Largo/Florida/" xr:uid="{C0643C9B-9151-3944-8A4F-A90481EB51D0}"/>
    <hyperlink ref="A117" r:id="rId116" display="https://www.ahd.com/free_profile/100050/Larkin_Community_Hospital_Palm_Springs_Campus/Hialeah/Florida/" xr:uid="{5C51EE63-988A-BB42-8732-FCE55EB9731F}"/>
    <hyperlink ref="A118" r:id="rId117" display="https://www.ahd.com/free_profile/100181/Larkin_Community_Hospital_South_Miami/South_Miami/Florida/" xr:uid="{A4BA2B7B-82E5-3044-8009-1D75E082AF3D}"/>
    <hyperlink ref="A119" r:id="rId118" display="https://www.ahd.com/free_profile/100246/Lawnwood_Regional_Medical_Center_%26_Heart_Institute/Fort_Pierce/Florida/" xr:uid="{B74FAECC-FF92-E142-8A8F-00F45C1F726D}"/>
    <hyperlink ref="A120" r:id="rId119" display="https://www.ahd.com/free_profile/100012/Lee_Memorial_Hospital/Fort_Myers/Florida/" xr:uid="{BCF30FA7-FF0B-3A40-8D06-96CAA3D079D9}"/>
    <hyperlink ref="A121" r:id="rId120" display="https://www.ahd.com/free_profile/100107/Lehigh_Regional_Medical_Center/Lehigh_Acres/Florida/" xr:uid="{4CBC36F5-CF9D-134C-BA32-B514294B8235}"/>
    <hyperlink ref="A122" r:id="rId121" display="https://www.ahd.com/free_profile/100150/Lower_Keys_Medical_Center/Key_West/Florida/" xr:uid="{B4159433-9AAA-7442-A431-2F7ABACAF2B6}"/>
    <hyperlink ref="A123" r:id="rId122" display="https://www.ahd.com/free_profile/10057F/Malcom_Randall_VA_Medical_Center/Gainesville/Florida/" xr:uid="{830B1F58-243B-2043-9156-60627C5C60A3}"/>
    <hyperlink ref="A124" r:id="rId123" display="https://www.ahd.com/free_profile/100035/Manatee_Memorial_Hospital/Bradenton/Florida/" xr:uid="{7CEC6276-87F6-2A4F-AD94-809DDC3CE375}"/>
    <hyperlink ref="A125" r:id="rId124" display="https://www.ahd.com/free_profile/100151/Mayo_Clinic_Hospital_in_Florida/Jacksonville/Florida/" xr:uid="{56B9BD0E-8EBE-AD47-BA7B-597ABE827AD3}"/>
    <hyperlink ref="A126" r:id="rId125" display="https://www.ahd.com/free_profile/100265/Mease_Countryside_Hospital/Safety_Harbor/Florida/" xr:uid="{A3E77A6B-A924-304F-B36C-498EA93A053C}"/>
    <hyperlink ref="A127" r:id="rId126" display="https://www.ahd.com/free_profile/100043/Mease_Dunedin_Hospital/Dunedin/Florida/" xr:uid="{81FF1BA4-AD46-6F47-A62B-F395B44E1785}"/>
    <hyperlink ref="A128" r:id="rId127" display="https://www.ahd.com/free_profile/100191/Medical_Center_of_Trinity/Trinity/Florida/" xr:uid="{E9CBCC5C-EBA9-6343-B3DC-AE5DB7A243CA}"/>
    <hyperlink ref="A129" r:id="rId128" display="https://www.ahd.com/free_profile/100291/Melbourne_Regional_Medical_Center/Melbourne/Florida/" xr:uid="{2101E0C5-3F1A-C149-8075-8792E301769F}"/>
    <hyperlink ref="A130" r:id="rId129" display="https://www.ahd.com/free_profile/100179/Memorial_Hospital_/Jacksonville/Florida/" xr:uid="{609268FC-AB51-144C-89A3-DFF0D8121538}"/>
    <hyperlink ref="A131" r:id="rId130" display="https://www.ahd.com/free_profile/100285/Memorial_Hospital_Miramar/Miramar/Florida/" xr:uid="{5C28BA8B-E619-964B-AF8B-A9C183A5D94A}"/>
    <hyperlink ref="A132" r:id="rId131" display="https://www.ahd.com/free_profile/100206/Memorial_Hospital_of_Tampa/Tampa/Florida/" xr:uid="{5DF2F0D0-855A-024E-89B9-D7DD3C1CDB63}"/>
    <hyperlink ref="A133" r:id="rId132" display="https://www.ahd.com/free_profile/100230/Memorial_Hospital_Pembroke/Pembroke_Pines/Florida/" xr:uid="{9C27826F-C07A-9249-A02B-5EEFBA0477F2}"/>
    <hyperlink ref="A134" r:id="rId133" display="https://www.ahd.com/free_profile/100281/Memorial_Hospital_West/Pembroke_Pines/Florida/" xr:uid="{35D94A51-67EF-424E-A37C-94A14F9D0F63}"/>
    <hyperlink ref="A135" r:id="rId134" display="https://www.ahd.com/free_profile/100038/Memorial_Regional_Hospital/Hollywood/Florida/" xr:uid="{615EB906-4812-8143-8886-BCDF204B491C}"/>
    <hyperlink ref="A136" r:id="rId135" display="https://www.ahd.com/free_profile/I41595/Memorial_Regional_Hospital_South/Hollywood/Florida/" xr:uid="{424CB3A2-4068-8B43-AF01-59E7B4FCA756}"/>
    <hyperlink ref="A137" r:id="rId136" display="https://www.ahd.com/free_profile/100061/Mercy_Hospital/Miami/Florida/" xr:uid="{C9A2B5B7-8660-E04B-909A-50C1D5CFADCE}"/>
    <hyperlink ref="A138" r:id="rId137" display="https://www.ahd.com/free_profile/100277/Miami_Jewish_Health_Systems/Miami/Florida/" xr:uid="{2802666C-00CE-ED4B-8ABE-D69039E527CA}"/>
    <hyperlink ref="A139" r:id="rId138" display="https://www.ahd.com/free_profile/10064F/Miami_VA_Healthcare_System/Miami/Florida/" xr:uid="{08AD7AAD-DF85-F544-97C5-E193B8AE5267}"/>
    <hyperlink ref="A140" r:id="rId139" display="https://www.ahd.com/free_profile/100271/Moffitt_Cancer_Center_/Tampa/Florida/" xr:uid="{1A654F5F-79E2-E943-AF7A-BFC168479909}"/>
    <hyperlink ref="A141" r:id="rId140" display="https://www.ahd.com/free_profile/100127/Morton_Plant_Hospital/Clearwater/Florida/" xr:uid="{56461163-866C-7A40-8474-57AEE0E7F805}"/>
    <hyperlink ref="A142" r:id="rId141" display="https://www.ahd.com/free_profile/100063/Morton_Plant_North_Bay_Hospital/New_Port_Richey/Florida/" xr:uid="{76E3B425-E996-A54E-823E-0E0DA65A2A8A}"/>
    <hyperlink ref="A143" r:id="rId142" display="https://www.ahd.com/free_profile/100034/Mount_Sinai_Medical_Center/Miami_Beach/Florida/" xr:uid="{429B91BA-C837-654D-BD6E-740C59D18600}"/>
    <hyperlink ref="A144" r:id="rId143" display="https://www.ahd.com/free_profile/10013F/Naval_Hospital_Jacksonville/Jacksonville/Florida/" xr:uid="{C7B6F929-CFEB-9144-8A2F-E072C5C51666}"/>
    <hyperlink ref="A145" r:id="rId144" display="https://www.ahd.com/free_profile/10018F/Naval_Hospital_Pensacola/Pensacola/Florida/" xr:uid="{3DBE2904-2297-8C4A-A2EE-8B0A0023316E}"/>
    <hyperlink ref="A146" r:id="rId145" display="https://www.ahd.com/free_profile/100018/NCH_Baker_Hospital_Downtown/Naples/Florida/" xr:uid="{0448260C-0B54-2B46-94E0-01B9DA84C240}"/>
    <hyperlink ref="A147" r:id="rId146" display="https://www.ahd.com/free_profile/I41289/NCH_North_Naples_Hospital/Naples/Florida/" xr:uid="{B993B47E-9861-2048-B035-7F3B7F01DDB8}"/>
    <hyperlink ref="A148" r:id="rId147" display="https://www.ahd.com/free_profile/100204/North_Florida_Regional_Medical_Center/Gainesville/Florida/" xr:uid="{68B9918B-AA7C-B94E-B7E3-BB91E04F462D}"/>
    <hyperlink ref="A149" r:id="rId148" display="https://www.ahd.com/free_profile/100122/North_Okaloosa_Medical_Center/Crestview/Florida/" xr:uid="{E9FBB6AD-AE7B-8248-A5C6-593F4EA6F750}"/>
    <hyperlink ref="A150" r:id="rId149" display="https://www.ahd.com/free_profile/100029/North_Shore_Medical_Center/Miami/Florida/" xr:uid="{9D81908A-7CE5-244B-8701-E5E366ECF103}"/>
    <hyperlink ref="A151" r:id="rId150" display="https://www.ahd.com/free_profile/100238/Northside_Hospital_%26_Tampa_Bay_Heart_Institute/Saint_Petersburg/Florida/" xr:uid="{D2049E8E-F306-E446-9D2E-34649852A736}"/>
    <hyperlink ref="A152" r:id="rId151" display="https://www.ahd.com/free_profile/100189/Northwest_Medical_Center/Margate/Florida/" xr:uid="{492733CD-DF22-B34A-A403-EBA9DE20FC83}"/>
    <hyperlink ref="A153" r:id="rId152" display="https://www.ahd.com/free_profile/100264/Oak_Hill_Hospital/Brooksville/Florida/" xr:uid="{681F8CA6-B56F-C842-B502-3FC70051EEEF}"/>
    <hyperlink ref="A154" r:id="rId153" display="https://www.ahd.com/free_profile/100212/Ocala_Regional_Medical_Center/Ocala/Florida/" xr:uid="{A6526967-7DEE-294B-8F8B-A5A444C789F1}"/>
    <hyperlink ref="A155" r:id="rId154" display="https://www.ahd.com/free_profile/100226/Orange_Park_Medical_Center/Orange_Park/Florida/" xr:uid="{DC6BDA3D-D35F-6D47-A213-215C8A5F7E2D}"/>
    <hyperlink ref="A156" r:id="rId155" display="https://www.ahd.com/free_profile/100302/Orlando_Health_St_Cloud_Hospital/Saint_Cloud/Florida/" xr:uid="{A4EE98B2-909E-EB42-A8E2-3D6CBC41D88F}"/>
    <hyperlink ref="A157" r:id="rId156" display="https://www.ahd.com/free_profile/100006/Orlando_Regional_Medical_Center/Orlando/Florida/" xr:uid="{2A1BF70F-8052-FD4E-BB93-BE58C5457AC4}"/>
    <hyperlink ref="A158" r:id="rId157" display="https://www.ahd.com/free_profile/10099F/Orlando_VA_Medical_Center/Orlando/Florida/" xr:uid="{AF4B65CA-E3B9-984A-81A2-5D4E0DEC02BB}"/>
    <hyperlink ref="A159" r:id="rId158" display="https://www.ahd.com/free_profile/100110/Osceola_Regional_Medical_Center/Kissimmee/Florida/" xr:uid="{2024DA8A-892E-CA44-ADCB-EC7C39C537EF}"/>
    <hyperlink ref="A160" r:id="rId159" display="https://www.ahd.com/free_profile/100329/Oviedo_Medical_Center/Oviedo/Florida/" xr:uid="{7E22AD4B-B4B7-D84B-B4D3-87D6A0B1B4F2}"/>
    <hyperlink ref="A161" r:id="rId160" display="https://www.ahd.com/free_profile/100316/Palm_Bay_Hospital/Palm_Bay/Florida/" xr:uid="{ABCDEAC3-5855-A742-8FC1-3A7977F67560}"/>
    <hyperlink ref="A162" r:id="rId161" display="https://www.ahd.com/free_profile/100176/Palm_Beach_Gardens_Medical_Center/Palm_Beach_Gardens/Florida/" xr:uid="{6F9C041C-D6F1-9C4D-96C5-9CC4ED5CCFB7}"/>
    <hyperlink ref="A163" r:id="rId162" display="https://www.ahd.com/free_profile/100187/Palmetto_General_Hospital/Hialeah/Florida/" xr:uid="{C0E4008A-9E9E-C442-8F70-D5C5A332E66A}"/>
    <hyperlink ref="A164" r:id="rId163" display="https://www.ahd.com/free_profile/100126/Palms_of_Pasadena_Hospital/Saint_Petersburg/Florida/" xr:uid="{53304A34-0716-C04C-814B-67C634B76E7C}"/>
    <hyperlink ref="A165" r:id="rId164" display="https://www.ahd.com/free_profile/100269/Palms_West_Hospital/Loxahatchee/Florida/" xr:uid="{FEFE25E2-9C41-0147-92E4-C53E57C92082}"/>
    <hyperlink ref="A166" r:id="rId165" display="https://www.ahd.com/free_profile/100028/Parrish_Medical_Center/Titusville/Florida/" xr:uid="{FC2874B9-DA8F-4448-8927-60E1B5974A2C}"/>
    <hyperlink ref="A167" r:id="rId166" display="https://www.ahd.com/free_profile/I41075/Physicians_Regional_-_Collier_Boulevard/Naples/Florida/" xr:uid="{5CF3528E-41EC-AC4F-9F6B-A2C89BCAB938}"/>
    <hyperlink ref="A168" r:id="rId167" display="https://www.ahd.com/free_profile/100286/Physicians_Regional_-_Pine_Ridge/Naples/Florida/" xr:uid="{C69D462D-D879-0346-88E3-0955F6D8F7EA}"/>
    <hyperlink ref="A169" r:id="rId168" display="https://www.ahd.com/free_profile/100167/Plantation_General_Hospital/Plantation/Florida/" xr:uid="{78A3A30A-05E7-F042-BECB-EC37AE7B1F3B}"/>
    <hyperlink ref="A170" r:id="rId169" display="https://www.ahd.com/free_profile/100320/Poinciana_Medical_Center/Kissimmee/Florida/" xr:uid="{0459489B-F648-2642-9688-B55C22868B72}"/>
    <hyperlink ref="A171" r:id="rId170" display="https://www.ahd.com/free_profile/100232/Putnam_Community_Medical_Center/Palatka/Florida/" xr:uid="{245CED85-9313-664E-8E1E-55D35461BEE2}"/>
    <hyperlink ref="A172" r:id="rId171" display="https://www.ahd.com/free_profile/100252/Raulerson_Hospital/Okeechobee/Florida/" xr:uid="{0EF392FC-BBE6-614A-B8CD-72052F81D7E8}"/>
    <hyperlink ref="A173" r:id="rId172" display="https://www.ahd.com/free_profile/I07230/Reception_and_Medical_Center/Lake_Butler/Florida/" xr:uid="{4013C1DC-5AC4-6A4A-96EA-C78FF30FBBF7}"/>
    <hyperlink ref="A174" r:id="rId173" display="https://www.ahd.com/free_profile/100256/Regional_Medical_Center_Bayonet_Point/Hudson/Florida/" xr:uid="{C610F280-AFF1-6C4E-AD32-4F9FA931D718}"/>
    <hyperlink ref="A175" r:id="rId174" display="https://www.ahd.com/free_profile/100092/Rockledge_Regional_Medical_Center/Rockledge/Florida/" xr:uid="{A1480479-49D3-EA43-A616-50ACC4842574}"/>
    <hyperlink ref="A176" r:id="rId175" display="https://www.ahd.com/free_profile/100067/Saint_Anthony%27s_Hospital/Saint_Petersburg/Florida/" xr:uid="{51C0113A-A3D0-264D-9EBA-0451DCC776E9}"/>
    <hyperlink ref="A177" r:id="rId176" display="https://www.ahd.com/free_profile/100075/Saint_Joseph%27s_Hospital/Tampa/Florida/" xr:uid="{F9E3545D-A2FF-8946-B96D-06C6E694694C}"/>
    <hyperlink ref="A178" r:id="rId177" display="https://www.ahd.com/free_profile/I41709/Saint_Joseph%27s_Hospital_-_North/Lutz/Florida/" xr:uid="{ADE9E71B-6242-504E-8149-397A4AAB864B}"/>
    <hyperlink ref="A179" r:id="rId178" display="https://www.ahd.com/free_profile/I42089/Saint_Joseph%27s_Hospital_-_South/Riverview/Florida/" xr:uid="{EAD122E6-1A28-FA46-9F86-64D695000D69}"/>
    <hyperlink ref="A180" r:id="rId179" display="https://www.ahd.com/free_profile/100227/Saint_Joseph%27s_Women%27s_Hospital/Tampa/Florida/" xr:uid="{7AB4E3B1-8278-E241-ABBB-56777A959513}"/>
    <hyperlink ref="A181" r:id="rId180" display="https://www.ahd.com/free_profile/100260/Saint_Lucie_Medical_Center/Port_Saint_Lucie/Florida/" xr:uid="{171BA8CC-757E-6D4D-B80D-143DCD3F8D93}"/>
    <hyperlink ref="A182" r:id="rId181" display="https://www.ahd.com/free_profile/100288/Saint_Mary%27s_Medical_Center/West_Palm_Beach/Florida/" xr:uid="{63E4E552-B90C-434E-AD1D-B5AFBFE07C27}"/>
    <hyperlink ref="A183" r:id="rId182" display="https://www.ahd.com/free_profile/100180/Saint_Petersburg_General_Hospital/Saint_Petersburg/Florida/" xr:uid="{DA60688A-2662-554E-A718-A092A79BEF2E}"/>
    <hyperlink ref="A184" r:id="rId183" display="https://www.ahd.com/free_profile/100124/Santa_Rosa_Medical_Center/Milton/Florida/" xr:uid="{B105FA03-1C63-9E43-9259-6858ADE93AD3}"/>
    <hyperlink ref="A185" r:id="rId184" display="https://www.ahd.com/free_profile/100087/Sarasota_Memorial_Hospital/Sarasota/Florida/" xr:uid="{5D8B3993-3E5D-C34F-84EF-B11C6577483A}"/>
    <hyperlink ref="A186" r:id="rId185" display="https://www.ahd.com/free_profile/100217/Sebastian_River_Medical_Center/Sebastian/Florida/" xr:uid="{E847DA3F-6259-D54D-8385-A1460E33B315}"/>
    <hyperlink ref="A187" r:id="rId186" display="https://www.ahd.com/free_profile/100102/Shands_Lake_Shore_Regional_Medical_Center/Lake_City/Florida/" xr:uid="{B4462036-00F6-F74A-97D7-BA1393AF496B}"/>
    <hyperlink ref="A188" r:id="rId187" display="https://www.ahd.com/free_profile/100259/South_Bay_Hospital/Sun_City_Center/Florida/" xr:uid="{123E2B54-0AF9-6846-90F1-5FA3FEB746C8}"/>
    <hyperlink ref="A189" r:id="rId188" display="https://www.ahd.com/free_profile/100132/South_Florida_Baptist_Hospital/Plant_City/Florida/" xr:uid="{EF43C8A8-ED3D-6C41-9223-183C39203A5E}"/>
    <hyperlink ref="A190" r:id="rId189" display="https://www.ahd.com/free_profile/100051/South_Lake_Hospital/Clermont/Florida/" xr:uid="{C0803947-2E8C-0040-AD16-90E76984A0E1}"/>
    <hyperlink ref="A191" r:id="rId190" display="https://www.ahd.com/free_profile/100154/South_Miami_Hospital/South_Miami/Florida/" xr:uid="{19F78A40-5DE3-874B-B8AA-46F48E674794}"/>
    <hyperlink ref="A192" r:id="rId191" display="https://www.ahd.com/free_profile/I08456/South_Seminole_Hospital/Longwood/Florida/" xr:uid="{295AE069-F1F2-B148-9A37-6A4C0A715DC3}"/>
    <hyperlink ref="A193" r:id="rId192" display="https://www.ahd.com/free_profile/I42361/Sylvester_Comprehensive_Cancer_Center/Miami/Florida/" xr:uid="{E273F1AD-B2D5-1942-AE47-92F5FB2C5FE6}"/>
    <hyperlink ref="A194" r:id="rId193" display="https://www.ahd.com/free_profile/100135/Tallahassee_Memorial_Healthcare/Tallahassee/Florida/" xr:uid="{A0C508F0-4DD8-7C4C-8440-0DD3D288ED2F}"/>
    <hyperlink ref="A195" r:id="rId194" display="https://www.ahd.com/free_profile/100255/Tampa_Community_Hospital/Tampa/Florida/" xr:uid="{7E14BFF3-8E17-3D4B-A8C0-F3639373A291}"/>
    <hyperlink ref="A196" r:id="rId195" display="https://www.ahd.com/free_profile/100128/Tampa_General_Hospital/Tampa/Florida/" xr:uid="{B198D58A-DE47-0A4A-93A2-73515405B928}"/>
    <hyperlink ref="A197" r:id="rId196" display="https://www.ahd.com/free_profile/100054/Twin_Cities_Hospital/Niceville/Florida/" xr:uid="{2F5FF00E-0E0C-E44B-94E8-B055B0E7E272}"/>
    <hyperlink ref="A198" r:id="rId197" display="https://www.ahd.com/free_profile/I16399/UF_Health_Cancer_Center_at_Orlando_Health/Orlando/Florida/" xr:uid="{56FE6B1D-83D7-BC47-B577-91559EFA3815}"/>
    <hyperlink ref="A199" r:id="rId198" display="https://www.ahd.com/free_profile/100001/UF_Health_Jacksonville/Jacksonville/Florida/" xr:uid="{D690292F-4EA4-F944-B09B-2774985DE67C}"/>
    <hyperlink ref="A200" r:id="rId199" display="https://www.ahd.com/free_profile/100084/UF_Health_Leesburg/Leesburg/Florida/" xr:uid="{AFCB1495-4F42-DB44-9A54-8B6C6485FF6A}"/>
    <hyperlink ref="A201" r:id="rId200" display="https://www.ahd.com/free_profile/100113/UF_Health_Shands_Florida/Gainesville/Florida/" xr:uid="{08317915-5EE3-C640-B9FE-7E9D79CD8833}"/>
    <hyperlink ref="A202" r:id="rId201" display="https://www.ahd.com/free_profile/100290/UF_Health_The_Villages_Hospital/The_Villages/Florida/" xr:uid="{5EEA0B9E-9C4D-4E4F-855F-C3548BEC6A76}"/>
    <hyperlink ref="A203" r:id="rId202" display="https://www.ahd.com/free_profile/100079/UHealth_Tower/Miami/Florida/" xr:uid="{E2CADCB8-41E8-694B-BB31-8C66C7FE6D4A}"/>
    <hyperlink ref="A204" r:id="rId203" display="https://www.ahd.com/free_profile/100224/University_Hospital_and_Medical_Center/Tamarac/Florida/" xr:uid="{60174464-0425-F741-9EA3-7993BC68D31C}"/>
    <hyperlink ref="A205" r:id="rId204" display="https://www.ahd.com/free_profile/100070/Venice_Regional_Bayfront_Health/Venice/Florida/" xr:uid="{AB988E75-3BB6-2E4B-8F61-C38D52AEEDAF}"/>
    <hyperlink ref="A206" r:id="rId205" display="https://www.ahd.com/free_profile/100315/Viera_Hospital/Melbourne/Florida/" xr:uid="{5EB5AB98-2D1A-9246-B989-54888DDDDE37}"/>
    <hyperlink ref="A207" r:id="rId206" display="https://www.ahd.com/free_profile/100275/Wellington_Regional_Medical_Center/Wellington/Florida/" xr:uid="{00F9E7CD-01FC-A84C-936A-D41834F1228C}"/>
    <hyperlink ref="A208" r:id="rId207" display="https://www.ahd.com/free_profile/100268/West_Boca_Medical_Center/West_Boca_Raton/Florida/" xr:uid="{F4637C9B-7924-4D47-950D-45CE20954397}"/>
    <hyperlink ref="A209" r:id="rId208" display="https://www.ahd.com/free_profile/100231/West_Florida_Hospital/Pensacola/Florida/" xr:uid="{EF101565-90D9-284B-9C94-65FF96B907F3}"/>
    <hyperlink ref="A210" r:id="rId209" display="https://www.ahd.com/free_profile/100314/West_Kendall_Baptist_Hospital/Miami/Florida/" xr:uid="{15943BA6-35FF-724A-B9FA-0EA02FC43516}"/>
    <hyperlink ref="A211" r:id="rId210" display="https://www.ahd.com/free_profile/I41133/West_Marion_Community_Hospital/Ocala/Florida/" xr:uid="{3351C75F-7AFA-5241-BA5F-D40FB99DF368}"/>
    <hyperlink ref="A212" r:id="rId211" display="https://www.ahd.com/free_profile/10065F/West_Palm_Beach_VA_Medical_Center/West_Palm_Beach/Florida/" xr:uid="{7077FDBD-A04F-FF4C-9BD2-8BC2AA2E87ED}"/>
    <hyperlink ref="A213" r:id="rId212" display="https://www.ahd.com/free_profile/100284/Westchester_General_Hospital/Miami/Florida/" xr:uid="{B685930F-0D4A-7940-B3F9-9BFE24ECC9AA}"/>
    <hyperlink ref="A214" r:id="rId213" display="https://www.ahd.com/free_profile/100228/Westside_Regional_Medical_Center/Plantation/Florida/" xr:uid="{42E51104-F1DB-184A-8C18-185C815B2C85}"/>
    <hyperlink ref="A215" r:id="rId214" display="https://www.ahd.com/free_profile/100052/Winter_Haven_Hospital/Winter_Haven/Florida/" xr:uid="{16672BB2-A1E4-CD48-9DEC-9216B1BFB28F}"/>
    <hyperlink ref="A216" r:id="rId215" display="https://www.ahd.com/free_profile/I42201/Winter_Haven_Women%27s_Hospital/Winter_Haven_/Florida/" xr:uid="{FAEFECAF-4616-854A-849A-2BCD9AFAA4AC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ED584-7DA3-FE42-A92B-BDC55BDC9526}">
  <sheetPr codeName="Sheet12"/>
  <dimension ref="A1:G114"/>
  <sheetViews>
    <sheetView topLeftCell="A50" workbookViewId="0">
      <selection activeCell="G63" sqref="G63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1493</v>
      </c>
      <c r="B2" s="2" t="s">
        <v>1494</v>
      </c>
      <c r="C2" s="2">
        <v>90</v>
      </c>
      <c r="D2" s="3">
        <v>4032</v>
      </c>
      <c r="E2" s="3">
        <v>17796</v>
      </c>
      <c r="F2" s="4">
        <v>370426</v>
      </c>
      <c r="G2" s="11" t="str" cm="1">
        <f t="array" aca="1" ref="G2" ca="1">IFERROR(VLOOKUP("*" &amp; B2  &amp; "*" &amp; (MID(CELL("filename",A1),FIND("]",CELL("filename",A1))+1,31)) &amp; "*",CHOOSE({1,2}, Super_CBSA!$B$2:$B$1917, Super_CBSA!$A$2:$A$1917), 2,FALSE), IFERROR(VLOOKUP(B2  &amp; "*",CHOOSE({1,2}, Super_CBSA!$E$2:$E$1917, Super_CBSA!$A$2:$A$1917), 2,FALSE), ""))</f>
        <v/>
      </c>
    </row>
    <row r="3" spans="1:7" ht="17">
      <c r="A3" s="1" t="s">
        <v>1495</v>
      </c>
      <c r="B3" s="2" t="s">
        <v>1496</v>
      </c>
      <c r="C3" s="2">
        <v>69</v>
      </c>
      <c r="D3" s="3">
        <v>3996</v>
      </c>
      <c r="E3" s="3">
        <v>17232</v>
      </c>
      <c r="F3" s="4">
        <v>681997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"*",CHOOSE({1,2}, Super_CBSA!$E$2:$E$1917, Super_CBSA!$A$2:$A$1917), 2,FALSE), ""))</f>
        <v>15660</v>
      </c>
    </row>
    <row r="4" spans="1:7" ht="17">
      <c r="A4" s="1" t="s">
        <v>1497</v>
      </c>
      <c r="B4" s="2" t="s">
        <v>1498</v>
      </c>
      <c r="C4" s="2">
        <v>29</v>
      </c>
      <c r="D4" s="2">
        <v>536</v>
      </c>
      <c r="E4" s="3">
        <v>1575</v>
      </c>
      <c r="F4" s="4">
        <v>108881</v>
      </c>
      <c r="G4" s="11" t="str" cm="1">
        <f t="array" aca="1" ref="G4" ca="1">IFERROR(VLOOKUP("*" &amp; B4  &amp; "*" &amp; (MID(CELL("filename",A3),FIND("]",CELL("filename",A3))+1,31)) &amp; "*",CHOOSE({1,2}, Super_CBSA!$B$2:$B$1917, Super_CBSA!$A$2:$A$1917), 2,FALSE), IFERROR(VLOOKUP(B4  &amp; "*",CHOOSE({1,2}, Super_CBSA!$E$2:$E$1917, Super_CBSA!$A$2:$A$1917), 2,FALSE), ""))</f>
        <v/>
      </c>
    </row>
    <row r="5" spans="1:7" ht="17">
      <c r="A5" s="1" t="s">
        <v>1499</v>
      </c>
      <c r="B5" s="2" t="s">
        <v>1500</v>
      </c>
      <c r="C5" s="2">
        <v>165</v>
      </c>
      <c r="D5" s="2">
        <v>541</v>
      </c>
      <c r="E5" s="3">
        <v>1773</v>
      </c>
      <c r="F5" s="4">
        <v>55408</v>
      </c>
      <c r="G5" s="11" t="str" cm="1">
        <f t="array" aca="1" ref="G5" ca="1">IFERROR(VLOOKUP("*" &amp; B5  &amp; "*" &amp; (MID(CELL("filename",A4),FIND("]",CELL("filename",A4))+1,31)) &amp; "*",CHOOSE({1,2}, Super_CBSA!$B$2:$B$1917, Super_CBSA!$A$2:$A$1917), 2,FALSE), IFERROR(VLOOKUP(B5  &amp; "*",CHOOSE({1,2}, Super_CBSA!$E$2:$E$1917, Super_CBSA!$A$2:$A$1917), 2,FALSE), ""))</f>
        <v/>
      </c>
    </row>
    <row r="6" spans="1:7" ht="17">
      <c r="A6" s="1" t="s">
        <v>1501</v>
      </c>
      <c r="B6" s="2" t="s">
        <v>1502</v>
      </c>
      <c r="C6" s="2">
        <v>328</v>
      </c>
      <c r="D6" s="3">
        <v>8555</v>
      </c>
      <c r="E6" s="3">
        <v>53861</v>
      </c>
      <c r="F6" s="4">
        <v>819911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"*",CHOOSE({1,2}, Super_CBSA!$E$2:$E$1917, Super_CBSA!$A$2:$A$1917), 2,FALSE), ""))</f>
        <v>45620</v>
      </c>
    </row>
    <row r="7" spans="1:7" ht="17">
      <c r="A7" s="1" t="s">
        <v>1503</v>
      </c>
      <c r="B7" s="2" t="s">
        <v>122</v>
      </c>
      <c r="C7" s="2">
        <v>0</v>
      </c>
      <c r="D7" s="2">
        <v>0</v>
      </c>
      <c r="E7" s="2">
        <v>0</v>
      </c>
      <c r="F7" s="4">
        <v>0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"*",CHOOSE({1,2}, Super_CBSA!$E$2:$E$1917, Super_CBSA!$A$2:$A$1917), 2,FALSE), ""))</f>
        <v>12460</v>
      </c>
    </row>
    <row r="8" spans="1:7" ht="17">
      <c r="A8" s="1" t="s">
        <v>1504</v>
      </c>
      <c r="B8" s="2" t="s">
        <v>1505</v>
      </c>
      <c r="C8" s="2">
        <v>466</v>
      </c>
      <c r="D8" s="3">
        <v>21456</v>
      </c>
      <c r="E8" s="3">
        <v>119314</v>
      </c>
      <c r="F8" s="4">
        <v>2700778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"*",CHOOSE({1,2}, Super_CBSA!$E$2:$E$1917, Super_CBSA!$A$2:$A$1917), 2,FALSE), ""))</f>
        <v>12260</v>
      </c>
    </row>
    <row r="9" spans="1:7" ht="17">
      <c r="A9" s="1" t="s">
        <v>1506</v>
      </c>
      <c r="B9" s="2" t="s">
        <v>1507</v>
      </c>
      <c r="C9" s="2">
        <v>40</v>
      </c>
      <c r="D9" s="2">
        <v>233</v>
      </c>
      <c r="E9" s="2">
        <v>810</v>
      </c>
      <c r="F9" s="4">
        <v>38375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"*",CHOOSE({1,2}, Super_CBSA!$E$2:$E$1917, Super_CBSA!$A$2:$A$1917), 2,FALSE), ""))</f>
        <v>44420</v>
      </c>
    </row>
    <row r="10" spans="1:7" ht="17">
      <c r="A10" s="1" t="s">
        <v>1508</v>
      </c>
      <c r="B10" s="2" t="s">
        <v>1509</v>
      </c>
      <c r="C10" s="2">
        <v>50</v>
      </c>
      <c r="D10" s="3">
        <v>1734</v>
      </c>
      <c r="E10" s="3">
        <v>8701</v>
      </c>
      <c r="F10" s="4">
        <v>0</v>
      </c>
      <c r="G10" s="11" t="str" cm="1">
        <f t="array" aca="1" ref="G10" ca="1">IFERROR(VLOOKUP("*" &amp; B10  &amp; "*" &amp; (MID(CELL("filename",A9),FIND("]",CELL("filename",A9))+1,31)) &amp; "*",CHOOSE({1,2}, Super_CBSA!$B$2:$B$1917, Super_CBSA!$A$2:$A$1917), 2,FALSE), IFERROR(VLOOKUP(B10  &amp; "*",CHOOSE({1,2}, Super_CBSA!$E$2:$E$1917, Super_CBSA!$A$2:$A$1917), 2,FALSE), ""))</f>
        <v/>
      </c>
    </row>
    <row r="11" spans="1:7" ht="17">
      <c r="A11" s="1" t="s">
        <v>1510</v>
      </c>
      <c r="B11" s="2" t="s">
        <v>1511</v>
      </c>
      <c r="C11" s="2">
        <v>246</v>
      </c>
      <c r="D11" s="3">
        <v>10464</v>
      </c>
      <c r="E11" s="3">
        <v>59842</v>
      </c>
      <c r="F11" s="4">
        <v>1475447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"*",CHOOSE({1,2}, Super_CBSA!$E$2:$E$1917, Super_CBSA!$A$2:$A$1917), 2,FALSE), ""))</f>
        <v>42340</v>
      </c>
    </row>
    <row r="12" spans="1:7" ht="17">
      <c r="A12" s="1" t="s">
        <v>1512</v>
      </c>
      <c r="B12" s="2" t="s">
        <v>1513</v>
      </c>
      <c r="C12" s="2">
        <v>119</v>
      </c>
      <c r="D12" s="3">
        <v>7974</v>
      </c>
      <c r="E12" s="3">
        <v>35641</v>
      </c>
      <c r="F12" s="4">
        <v>1336862</v>
      </c>
      <c r="G12" s="11" t="str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"*",CHOOSE({1,2}, Super_CBSA!$E$2:$E$1917, Super_CBSA!$A$2:$A$1917), 2,FALSE), ""))</f>
        <v/>
      </c>
    </row>
    <row r="13" spans="1:7" ht="17">
      <c r="A13" s="1" t="s">
        <v>1514</v>
      </c>
      <c r="B13" s="2" t="s">
        <v>1505</v>
      </c>
      <c r="C13" s="2">
        <v>0</v>
      </c>
      <c r="D13" s="2">
        <v>0</v>
      </c>
      <c r="E13" s="2">
        <v>0</v>
      </c>
      <c r="F13" s="4">
        <v>0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"*",CHOOSE({1,2}, Super_CBSA!$E$2:$E$1917, Super_CBSA!$A$2:$A$1917), 2,FALSE), ""))</f>
        <v>12260</v>
      </c>
    </row>
    <row r="14" spans="1:7" ht="17">
      <c r="A14" s="1" t="s">
        <v>1515</v>
      </c>
      <c r="B14" s="2" t="s">
        <v>1516</v>
      </c>
      <c r="C14" s="2">
        <v>36</v>
      </c>
      <c r="D14" s="2">
        <v>440</v>
      </c>
      <c r="E14" s="3">
        <v>1415</v>
      </c>
      <c r="F14" s="4">
        <v>96950</v>
      </c>
      <c r="G14" s="11" t="str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"*",CHOOSE({1,2}, Super_CBSA!$E$2:$E$1917, Super_CBSA!$A$2:$A$1917), 2,FALSE), ""))</f>
        <v/>
      </c>
    </row>
    <row r="15" spans="1:7" ht="17">
      <c r="A15" s="1" t="s">
        <v>1517</v>
      </c>
      <c r="B15" s="2" t="s">
        <v>1518</v>
      </c>
      <c r="C15" s="2">
        <v>86</v>
      </c>
      <c r="D15" s="3">
        <v>4801</v>
      </c>
      <c r="E15" s="3">
        <v>17537</v>
      </c>
      <c r="F15" s="4">
        <v>385348</v>
      </c>
      <c r="G15" s="11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"*",CHOOSE({1,2}, Super_CBSA!$E$2:$E$1917, Super_CBSA!$A$2:$A$1917), 2,FALSE), ""))</f>
        <v>20060</v>
      </c>
    </row>
    <row r="16" spans="1:7" ht="17">
      <c r="A16" s="1" t="s">
        <v>1519</v>
      </c>
      <c r="B16" s="2" t="s">
        <v>1520</v>
      </c>
      <c r="C16" s="2">
        <v>250</v>
      </c>
      <c r="D16" s="3">
        <v>10985</v>
      </c>
      <c r="E16" s="3">
        <v>55774</v>
      </c>
      <c r="F16" s="4">
        <v>1454101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"*",CHOOSE({1,2}, Super_CBSA!$E$2:$E$1917, Super_CBSA!$A$2:$A$1917), 2,FALSE), ""))</f>
        <v>31420</v>
      </c>
    </row>
    <row r="17" spans="1:7" ht="17">
      <c r="A17" s="1" t="s">
        <v>1521</v>
      </c>
      <c r="B17" s="2" t="s">
        <v>1520</v>
      </c>
      <c r="C17" s="2">
        <v>85</v>
      </c>
      <c r="D17" s="3">
        <v>3186</v>
      </c>
      <c r="E17" s="3">
        <v>10937</v>
      </c>
      <c r="F17" s="4">
        <v>500349</v>
      </c>
      <c r="G17" s="11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"*",CHOOSE({1,2}, Super_CBSA!$E$2:$E$1917, Super_CBSA!$A$2:$A$1917), 2,FALSE), ""))</f>
        <v>31420</v>
      </c>
    </row>
    <row r="18" spans="1:7" ht="17">
      <c r="A18" s="1" t="s">
        <v>1522</v>
      </c>
      <c r="B18" s="2" t="s">
        <v>1523</v>
      </c>
      <c r="C18" s="2">
        <v>94</v>
      </c>
      <c r="D18" s="3">
        <v>4796</v>
      </c>
      <c r="E18" s="3">
        <v>21216</v>
      </c>
      <c r="F18" s="4">
        <v>424495</v>
      </c>
      <c r="G18" s="11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"*",CHOOSE({1,2}, Super_CBSA!$E$2:$E$1917, Super_CBSA!$A$2:$A$1917), 2,FALSE), ""))</f>
        <v>34220</v>
      </c>
    </row>
    <row r="19" spans="1:7" ht="17">
      <c r="A19" s="1" t="s">
        <v>1524</v>
      </c>
      <c r="B19" s="2" t="s">
        <v>1525</v>
      </c>
      <c r="C19" s="2">
        <v>208</v>
      </c>
      <c r="D19" s="3">
        <v>3052</v>
      </c>
      <c r="E19" s="3">
        <v>12780</v>
      </c>
      <c r="F19" s="4">
        <v>274270</v>
      </c>
      <c r="G19" s="11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"*",CHOOSE({1,2}, Super_CBSA!$E$2:$E$1917, Super_CBSA!$A$2:$A$1917), 2,FALSE), ""))</f>
        <v>18380</v>
      </c>
    </row>
    <row r="20" spans="1:7" ht="17">
      <c r="A20" s="1" t="s">
        <v>1526</v>
      </c>
      <c r="B20" s="2" t="s">
        <v>1505</v>
      </c>
      <c r="C20" s="2">
        <v>288</v>
      </c>
      <c r="D20" s="3">
        <v>15668</v>
      </c>
      <c r="E20" s="3">
        <v>79684</v>
      </c>
      <c r="F20" s="4">
        <v>3087673</v>
      </c>
      <c r="G20" s="11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"*",CHOOSE({1,2}, Super_CBSA!$E$2:$E$1917, Super_CBSA!$A$2:$A$1917), 2,FALSE), ""))</f>
        <v>12260</v>
      </c>
    </row>
    <row r="21" spans="1:7" ht="17">
      <c r="A21" s="1" t="s">
        <v>1527</v>
      </c>
      <c r="B21" s="2" t="s">
        <v>1528</v>
      </c>
      <c r="C21" s="2">
        <v>50</v>
      </c>
      <c r="D21" s="3">
        <v>1212</v>
      </c>
      <c r="E21" s="3">
        <v>5541</v>
      </c>
      <c r="F21" s="4">
        <v>75158</v>
      </c>
      <c r="G21" s="11" t="str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"*",CHOOSE({1,2}, Super_CBSA!$E$2:$E$1917, Super_CBSA!$A$2:$A$1917), 2,FALSE), ""))</f>
        <v/>
      </c>
    </row>
    <row r="22" spans="1:7" ht="17">
      <c r="A22" s="1" t="s">
        <v>1529</v>
      </c>
      <c r="B22" s="2" t="s">
        <v>1530</v>
      </c>
      <c r="C22" s="2">
        <v>140</v>
      </c>
      <c r="D22" s="3">
        <v>1101</v>
      </c>
      <c r="E22" s="3">
        <v>3857</v>
      </c>
      <c r="F22" s="4">
        <v>105851</v>
      </c>
      <c r="G22" s="11" t="str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"*",CHOOSE({1,2}, Super_CBSA!$E$2:$E$1917, Super_CBSA!$A$2:$A$1917), 2,FALSE), ""))</f>
        <v/>
      </c>
    </row>
    <row r="23" spans="1:7" ht="17">
      <c r="A23" s="1" t="s">
        <v>1531</v>
      </c>
      <c r="B23" s="2" t="s">
        <v>1532</v>
      </c>
      <c r="C23" s="2">
        <v>60</v>
      </c>
      <c r="D23" s="3">
        <v>1102</v>
      </c>
      <c r="E23" s="3">
        <v>3747</v>
      </c>
      <c r="F23" s="4">
        <v>104778</v>
      </c>
      <c r="G23" s="11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"*",CHOOSE({1,2}, Super_CBSA!$E$2:$E$1917, Super_CBSA!$A$2:$A$1917), 2,FALSE), ""))</f>
        <v>22340</v>
      </c>
    </row>
    <row r="24" spans="1:7" ht="17">
      <c r="A24" s="1" t="s">
        <v>1533</v>
      </c>
      <c r="B24" s="2" t="s">
        <v>1534</v>
      </c>
      <c r="C24" s="2">
        <v>0</v>
      </c>
      <c r="D24" s="2">
        <v>0</v>
      </c>
      <c r="E24" s="2">
        <v>0</v>
      </c>
      <c r="F24" s="4">
        <v>0</v>
      </c>
      <c r="G24" s="11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"*",CHOOSE({1,2}, Super_CBSA!$E$2:$E$1917, Super_CBSA!$A$2:$A$1917), 2,FALSE), ""))</f>
        <v>20140</v>
      </c>
    </row>
    <row r="25" spans="1:7" ht="17">
      <c r="A25" s="1" t="s">
        <v>1535</v>
      </c>
      <c r="B25" s="2" t="s">
        <v>1536</v>
      </c>
      <c r="C25" s="2">
        <v>144</v>
      </c>
      <c r="D25" s="3">
        <v>7952</v>
      </c>
      <c r="E25" s="3">
        <v>32604</v>
      </c>
      <c r="F25" s="4">
        <v>1069725</v>
      </c>
      <c r="G25" s="11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"*",CHOOSE({1,2}, Super_CBSA!$E$2:$E$1917, Super_CBSA!$A$2:$A$1917), 2,FALSE), ""))</f>
        <v>44340</v>
      </c>
    </row>
    <row r="26" spans="1:7" ht="17">
      <c r="A26" s="1" t="s">
        <v>1537</v>
      </c>
      <c r="B26" s="2" t="s">
        <v>1538</v>
      </c>
      <c r="C26" s="2">
        <v>287</v>
      </c>
      <c r="D26" s="3">
        <v>11229</v>
      </c>
      <c r="E26" s="3">
        <v>47224</v>
      </c>
      <c r="F26" s="4">
        <v>1565351</v>
      </c>
      <c r="G26" s="11" t="str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"*",CHOOSE({1,2}, Super_CBSA!$E$2:$E$1917, Super_CBSA!$A$2:$A$1917), 2,FALSE), ""))</f>
        <v/>
      </c>
    </row>
    <row r="27" spans="1:7" ht="17">
      <c r="A27" s="1" t="s">
        <v>1539</v>
      </c>
      <c r="B27" s="2" t="s">
        <v>1540</v>
      </c>
      <c r="C27" s="2">
        <v>0</v>
      </c>
      <c r="D27" s="2">
        <v>0</v>
      </c>
      <c r="E27" s="2">
        <v>0</v>
      </c>
      <c r="F27" s="4">
        <v>0</v>
      </c>
      <c r="G27" s="11" t="str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"*",CHOOSE({1,2}, Super_CBSA!$E$2:$E$1917, Super_CBSA!$A$2:$A$1917), 2,FALSE), ""))</f>
        <v/>
      </c>
    </row>
    <row r="28" spans="1:7" ht="17">
      <c r="A28" s="1" t="s">
        <v>1541</v>
      </c>
      <c r="B28" s="2" t="s">
        <v>1542</v>
      </c>
      <c r="C28" s="2">
        <v>52</v>
      </c>
      <c r="D28" s="2">
        <v>457</v>
      </c>
      <c r="E28" s="3">
        <v>1841</v>
      </c>
      <c r="F28" s="4">
        <v>32653</v>
      </c>
      <c r="G28" s="11" t="str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"*",CHOOSE({1,2}, Super_CBSA!$E$2:$E$1917, Super_CBSA!$A$2:$A$1917), 2,FALSE), ""))</f>
        <v/>
      </c>
    </row>
    <row r="29" spans="1:7" ht="17">
      <c r="A29" s="1" t="s">
        <v>578</v>
      </c>
      <c r="B29" s="2" t="s">
        <v>1543</v>
      </c>
      <c r="C29" s="2">
        <v>109</v>
      </c>
      <c r="D29" s="2">
        <v>931</v>
      </c>
      <c r="E29" s="3">
        <v>2880</v>
      </c>
      <c r="F29" s="4">
        <v>126077</v>
      </c>
      <c r="G29" s="11" t="str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"*",CHOOSE({1,2}, Super_CBSA!$E$2:$E$1917, Super_CBSA!$A$2:$A$1917), 2,FALSE), ""))</f>
        <v/>
      </c>
    </row>
    <row r="30" spans="1:7" ht="17">
      <c r="A30" s="1" t="s">
        <v>1544</v>
      </c>
      <c r="B30" s="2" t="s">
        <v>122</v>
      </c>
      <c r="C30" s="2">
        <v>422</v>
      </c>
      <c r="D30" s="3">
        <v>18197</v>
      </c>
      <c r="E30" s="3">
        <v>78061</v>
      </c>
      <c r="F30" s="4">
        <v>1164367</v>
      </c>
      <c r="G30" s="11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"*",CHOOSE({1,2}, Super_CBSA!$E$2:$E$1917, Super_CBSA!$A$2:$A$1917), 2,FALSE), ""))</f>
        <v>12460</v>
      </c>
    </row>
    <row r="31" spans="1:7" ht="17">
      <c r="A31" s="1" t="s">
        <v>1545</v>
      </c>
      <c r="B31" s="2" t="s">
        <v>1546</v>
      </c>
      <c r="C31" s="2">
        <v>118</v>
      </c>
      <c r="D31" s="3">
        <v>8525</v>
      </c>
      <c r="E31" s="3">
        <v>36773</v>
      </c>
      <c r="F31" s="4">
        <v>606083</v>
      </c>
      <c r="G31" s="11" t="str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"*",CHOOSE({1,2}, Super_CBSA!$E$2:$E$1917, Super_CBSA!$A$2:$A$1917), 2,FALSE), ""))</f>
        <v/>
      </c>
    </row>
    <row r="32" spans="1:7" ht="17">
      <c r="A32" s="1" t="s">
        <v>1547</v>
      </c>
      <c r="B32" s="2" t="s">
        <v>1548</v>
      </c>
      <c r="C32" s="2">
        <v>356</v>
      </c>
      <c r="D32" s="3">
        <v>18913</v>
      </c>
      <c r="E32" s="3">
        <v>89724</v>
      </c>
      <c r="F32" s="4">
        <v>1597910</v>
      </c>
      <c r="G32" s="11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"*",CHOOSE({1,2}, Super_CBSA!$E$2:$E$1917, Super_CBSA!$A$2:$A$1917), 2,FALSE), ""))</f>
        <v>12060</v>
      </c>
    </row>
    <row r="33" spans="1:7" ht="17">
      <c r="A33" s="1" t="s">
        <v>1549</v>
      </c>
      <c r="B33" s="2" t="s">
        <v>1548</v>
      </c>
      <c r="C33" s="2">
        <v>645</v>
      </c>
      <c r="D33" s="3">
        <v>27956</v>
      </c>
      <c r="E33" s="3">
        <v>190519</v>
      </c>
      <c r="F33" s="4">
        <v>3092393</v>
      </c>
      <c r="G33" s="11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"*",CHOOSE({1,2}, Super_CBSA!$E$2:$E$1917, Super_CBSA!$A$2:$A$1917), 2,FALSE), ""))</f>
        <v>12060</v>
      </c>
    </row>
    <row r="34" spans="1:7" ht="17">
      <c r="A34" s="1" t="s">
        <v>1550</v>
      </c>
      <c r="B34" s="2" t="s">
        <v>1548</v>
      </c>
      <c r="C34" s="2">
        <v>71</v>
      </c>
      <c r="D34" s="2">
        <v>2</v>
      </c>
      <c r="E34" s="2">
        <v>12</v>
      </c>
      <c r="F34" s="4">
        <v>55353</v>
      </c>
      <c r="G34" s="11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"*",CHOOSE({1,2}, Super_CBSA!$E$2:$E$1917, Super_CBSA!$A$2:$A$1917), 2,FALSE), ""))</f>
        <v>12060</v>
      </c>
    </row>
    <row r="35" spans="1:7" ht="17">
      <c r="A35" s="1" t="s">
        <v>1551</v>
      </c>
      <c r="B35" s="2" t="s">
        <v>1548</v>
      </c>
      <c r="C35" s="2">
        <v>529</v>
      </c>
      <c r="D35" s="3">
        <v>32224</v>
      </c>
      <c r="E35" s="3">
        <v>149569</v>
      </c>
      <c r="F35" s="4">
        <v>2987610</v>
      </c>
      <c r="G35" s="11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"*",CHOOSE({1,2}, Super_CBSA!$E$2:$E$1917, Super_CBSA!$A$2:$A$1917), 2,FALSE), ""))</f>
        <v>12060</v>
      </c>
    </row>
    <row r="36" spans="1:7" ht="17">
      <c r="A36" s="1" t="s">
        <v>1552</v>
      </c>
      <c r="B36" s="2" t="s">
        <v>1553</v>
      </c>
      <c r="C36" s="2">
        <v>0</v>
      </c>
      <c r="D36" s="2">
        <v>0</v>
      </c>
      <c r="E36" s="2">
        <v>0</v>
      </c>
      <c r="F36" s="4">
        <v>0</v>
      </c>
      <c r="G36" s="11" t="str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"*",CHOOSE({1,2}, Super_CBSA!$E$2:$E$1917, Super_CBSA!$A$2:$A$1917), 2,FALSE), ""))</f>
        <v/>
      </c>
    </row>
    <row r="37" spans="1:7" ht="17">
      <c r="A37" s="1" t="s">
        <v>1554</v>
      </c>
      <c r="B37" s="2" t="s">
        <v>1555</v>
      </c>
      <c r="C37" s="2">
        <v>59</v>
      </c>
      <c r="D37" s="2">
        <v>408</v>
      </c>
      <c r="E37" s="3">
        <v>1212</v>
      </c>
      <c r="F37" s="4">
        <v>52785</v>
      </c>
      <c r="G37" s="11" t="str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"*",CHOOSE({1,2}, Super_CBSA!$E$2:$E$1917, Super_CBSA!$A$2:$A$1917), 2,FALSE), ""))</f>
        <v/>
      </c>
    </row>
    <row r="38" spans="1:7" ht="17">
      <c r="A38" s="1" t="s">
        <v>1556</v>
      </c>
      <c r="B38" s="2" t="s">
        <v>1534</v>
      </c>
      <c r="C38" s="2">
        <v>160</v>
      </c>
      <c r="D38" s="3">
        <v>7425</v>
      </c>
      <c r="E38" s="3">
        <v>30394</v>
      </c>
      <c r="F38" s="4">
        <v>1005130</v>
      </c>
      <c r="G38" s="11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"*",CHOOSE({1,2}, Super_CBSA!$E$2:$E$1917, Super_CBSA!$A$2:$A$1917), 2,FALSE), ""))</f>
        <v>20140</v>
      </c>
    </row>
    <row r="39" spans="1:7" ht="17">
      <c r="A39" s="1" t="s">
        <v>1557</v>
      </c>
      <c r="B39" s="2" t="s">
        <v>1558</v>
      </c>
      <c r="C39" s="2">
        <v>50</v>
      </c>
      <c r="D39" s="3">
        <v>1137</v>
      </c>
      <c r="E39" s="3">
        <v>3378</v>
      </c>
      <c r="F39" s="4">
        <v>231697</v>
      </c>
      <c r="G39" s="11" t="str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"*",CHOOSE({1,2}, Super_CBSA!$E$2:$E$1917, Super_CBSA!$A$2:$A$1917), 2,FALSE), ""))</f>
        <v/>
      </c>
    </row>
    <row r="40" spans="1:7" ht="17">
      <c r="A40" s="1" t="s">
        <v>1559</v>
      </c>
      <c r="B40" s="2" t="s">
        <v>1560</v>
      </c>
      <c r="C40" s="2">
        <v>46</v>
      </c>
      <c r="D40" s="2">
        <v>41</v>
      </c>
      <c r="E40" s="2">
        <v>195</v>
      </c>
      <c r="F40" s="4">
        <v>20014</v>
      </c>
      <c r="G40" s="11" t="str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"*",CHOOSE({1,2}, Super_CBSA!$E$2:$E$1917, Super_CBSA!$A$2:$A$1917), 2,FALSE), ""))</f>
        <v/>
      </c>
    </row>
    <row r="41" spans="1:7" ht="17">
      <c r="A41" s="1" t="s">
        <v>1561</v>
      </c>
      <c r="B41" s="2" t="s">
        <v>1562</v>
      </c>
      <c r="C41" s="2">
        <v>299</v>
      </c>
      <c r="D41" s="3">
        <v>13772</v>
      </c>
      <c r="E41" s="3">
        <v>69725</v>
      </c>
      <c r="F41" s="4">
        <v>1617592</v>
      </c>
      <c r="G41" s="11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"*",CHOOSE({1,2}, Super_CBSA!$E$2:$E$1917, Super_CBSA!$A$2:$A$1917), 2,FALSE), ""))</f>
        <v>40660</v>
      </c>
    </row>
    <row r="42" spans="1:7" ht="17">
      <c r="A42" s="1" t="s">
        <v>1563</v>
      </c>
      <c r="B42" s="2" t="s">
        <v>1564</v>
      </c>
      <c r="C42" s="2">
        <v>44</v>
      </c>
      <c r="D42" s="3">
        <v>1024</v>
      </c>
      <c r="E42" s="3">
        <v>3423</v>
      </c>
      <c r="F42" s="4">
        <v>78277</v>
      </c>
      <c r="G42" s="11" t="str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"*",CHOOSE({1,2}, Super_CBSA!$E$2:$E$1917, Super_CBSA!$A$2:$A$1917), 2,FALSE), ""))</f>
        <v/>
      </c>
    </row>
    <row r="43" spans="1:7" ht="17">
      <c r="A43" s="1" t="s">
        <v>1565</v>
      </c>
      <c r="B43" s="2" t="s">
        <v>1548</v>
      </c>
      <c r="C43" s="2">
        <v>974</v>
      </c>
      <c r="D43" s="3">
        <v>33496</v>
      </c>
      <c r="E43" s="3">
        <v>225285</v>
      </c>
      <c r="F43" s="4">
        <v>5475688</v>
      </c>
      <c r="G43" s="11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"*",CHOOSE({1,2}, Super_CBSA!$E$2:$E$1917, Super_CBSA!$A$2:$A$1917), 2,FALSE), ""))</f>
        <v>12060</v>
      </c>
    </row>
    <row r="44" spans="1:7" ht="17">
      <c r="A44" s="1" t="s">
        <v>1566</v>
      </c>
      <c r="B44" s="2" t="s">
        <v>1567</v>
      </c>
      <c r="C44" s="2">
        <v>137</v>
      </c>
      <c r="D44" s="3">
        <v>1640</v>
      </c>
      <c r="E44" s="3">
        <v>6348</v>
      </c>
      <c r="F44" s="4">
        <v>113035</v>
      </c>
      <c r="G44" s="11" t="str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"*",CHOOSE({1,2}, Super_CBSA!$E$2:$E$1917, Super_CBSA!$A$2:$A$1917), 2,FALSE), ""))</f>
        <v/>
      </c>
    </row>
    <row r="45" spans="1:7" ht="17">
      <c r="A45" s="1" t="s">
        <v>1568</v>
      </c>
      <c r="B45" s="2" t="s">
        <v>1569</v>
      </c>
      <c r="C45" s="2">
        <v>272</v>
      </c>
      <c r="D45" s="3">
        <v>9308</v>
      </c>
      <c r="E45" s="3">
        <v>43780</v>
      </c>
      <c r="F45" s="4">
        <v>1147455</v>
      </c>
      <c r="G45" s="11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"*",CHOOSE({1,2}, Super_CBSA!$E$2:$E$1917, Super_CBSA!$A$2:$A$1917), 2,FALSE), ""))</f>
        <v>19140</v>
      </c>
    </row>
    <row r="46" spans="1:7" ht="17">
      <c r="A46" s="1" t="s">
        <v>1570</v>
      </c>
      <c r="B46" s="2" t="s">
        <v>1571</v>
      </c>
      <c r="C46" s="2">
        <v>237</v>
      </c>
      <c r="D46" s="3">
        <v>13111</v>
      </c>
      <c r="E46" s="3">
        <v>64966</v>
      </c>
      <c r="F46" s="4">
        <v>716183</v>
      </c>
      <c r="G46" s="11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"*",CHOOSE({1,2}, Super_CBSA!$E$2:$E$1917, Super_CBSA!$A$2:$A$1917), 2,FALSE), ""))</f>
        <v>47580</v>
      </c>
    </row>
    <row r="47" spans="1:7" ht="17">
      <c r="A47" s="1" t="s">
        <v>1572</v>
      </c>
      <c r="B47" s="2" t="s">
        <v>1573</v>
      </c>
      <c r="C47" s="2">
        <v>64</v>
      </c>
      <c r="D47" s="3">
        <v>1006</v>
      </c>
      <c r="E47" s="3">
        <v>2204</v>
      </c>
      <c r="F47" s="4">
        <v>48046</v>
      </c>
      <c r="G47" s="11" t="str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"*",CHOOSE({1,2}, Super_CBSA!$E$2:$E$1917, Super_CBSA!$A$2:$A$1917), 2,FALSE), ""))</f>
        <v/>
      </c>
    </row>
    <row r="48" spans="1:7" ht="17">
      <c r="A48" s="1" t="s">
        <v>1574</v>
      </c>
      <c r="B48" s="2" t="s">
        <v>991</v>
      </c>
      <c r="C48" s="2">
        <v>37</v>
      </c>
      <c r="D48" s="2">
        <v>385</v>
      </c>
      <c r="E48" s="3">
        <v>1368</v>
      </c>
      <c r="F48" s="4">
        <v>25800</v>
      </c>
      <c r="G48" s="11" t="str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"*",CHOOSE({1,2}, Super_CBSA!$E$2:$E$1917, Super_CBSA!$A$2:$A$1917), 2,FALSE), ""))</f>
        <v/>
      </c>
    </row>
    <row r="49" spans="1:7" ht="17">
      <c r="A49" s="1" t="s">
        <v>1575</v>
      </c>
      <c r="B49" s="2" t="s">
        <v>1576</v>
      </c>
      <c r="C49" s="2">
        <v>0</v>
      </c>
      <c r="D49" s="2">
        <v>0</v>
      </c>
      <c r="E49" s="2">
        <v>0</v>
      </c>
      <c r="F49" s="4">
        <v>0</v>
      </c>
      <c r="G49" s="11" t="str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"*",CHOOSE({1,2}, Super_CBSA!$E$2:$E$1917, Super_CBSA!$A$2:$A$1917), 2,FALSE), ""))</f>
        <v/>
      </c>
    </row>
    <row r="50" spans="1:7" ht="17">
      <c r="A50" s="1" t="s">
        <v>1577</v>
      </c>
      <c r="B50" s="2" t="s">
        <v>1578</v>
      </c>
      <c r="C50" s="2">
        <v>52</v>
      </c>
      <c r="D50" s="3">
        <v>4160</v>
      </c>
      <c r="E50" s="3">
        <v>16135</v>
      </c>
      <c r="F50" s="4">
        <v>471391</v>
      </c>
      <c r="G50" s="11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"*",CHOOSE({1,2}, Super_CBSA!$E$2:$E$1917, Super_CBSA!$A$2:$A$1917), 2,FALSE), ""))</f>
        <v>47080</v>
      </c>
    </row>
    <row r="51" spans="1:7" ht="17">
      <c r="A51" s="1" t="s">
        <v>1579</v>
      </c>
      <c r="B51" s="2" t="s">
        <v>1520</v>
      </c>
      <c r="C51" s="2">
        <v>640</v>
      </c>
      <c r="D51" s="3">
        <v>32989</v>
      </c>
      <c r="E51" s="3">
        <v>186664</v>
      </c>
      <c r="F51" s="4">
        <v>2867854</v>
      </c>
      <c r="G51" s="11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"*",CHOOSE({1,2}, Super_CBSA!$E$2:$E$1917, Super_CBSA!$A$2:$A$1917), 2,FALSE), ""))</f>
        <v>31420</v>
      </c>
    </row>
    <row r="52" spans="1:7" ht="17">
      <c r="A52" s="1" t="s">
        <v>1580</v>
      </c>
      <c r="B52" s="2" t="s">
        <v>1511</v>
      </c>
      <c r="C52" s="2">
        <v>535</v>
      </c>
      <c r="D52" s="3">
        <v>26827</v>
      </c>
      <c r="E52" s="3">
        <v>144779</v>
      </c>
      <c r="F52" s="4">
        <v>2436058</v>
      </c>
      <c r="G52" s="11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"*",CHOOSE({1,2}, Super_CBSA!$E$2:$E$1917, Super_CBSA!$A$2:$A$1917), 2,FALSE), ""))</f>
        <v>42340</v>
      </c>
    </row>
    <row r="53" spans="1:7" ht="17">
      <c r="A53" s="1" t="s">
        <v>1581</v>
      </c>
      <c r="B53" s="2" t="s">
        <v>1582</v>
      </c>
      <c r="C53" s="2">
        <v>187</v>
      </c>
      <c r="D53" s="3">
        <v>2201</v>
      </c>
      <c r="E53" s="3">
        <v>5233</v>
      </c>
      <c r="F53" s="4">
        <v>124760</v>
      </c>
      <c r="G53" s="11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"*",CHOOSE({1,2}, Super_CBSA!$E$2:$E$1917, Super_CBSA!$A$2:$A$1917), 2,FALSE), ""))</f>
        <v>12460</v>
      </c>
    </row>
    <row r="54" spans="1:7" ht="17">
      <c r="A54" s="1" t="s">
        <v>1583</v>
      </c>
      <c r="B54" s="2" t="s">
        <v>1584</v>
      </c>
      <c r="C54" s="2">
        <v>159</v>
      </c>
      <c r="D54" s="3">
        <v>7143</v>
      </c>
      <c r="E54" s="3">
        <v>25370</v>
      </c>
      <c r="F54" s="4">
        <v>641900</v>
      </c>
      <c r="G54" s="11" cm="1">
        <f t="array" aca="1" ref="G54" ca="1">IFERROR(VLOOKUP("*" &amp; B54  &amp; "*" &amp; (MID(CELL("filename",A53),FIND("]",CELL("filename",A53))+1,31)) &amp; "*",CHOOSE({1,2}, Super_CBSA!$B$2:$B$1917, Super_CBSA!$A$2:$A$1917), 2,FALSE), IFERROR(VLOOKUP(B54  &amp; "*",CHOOSE({1,2}, Super_CBSA!$E$2:$E$1917, Super_CBSA!$A$2:$A$1917), 2,FALSE), ""))</f>
        <v>48180</v>
      </c>
    </row>
    <row r="55" spans="1:7" ht="17">
      <c r="A55" s="1" t="s">
        <v>1585</v>
      </c>
      <c r="B55" s="2" t="s">
        <v>1586</v>
      </c>
      <c r="C55" s="2">
        <v>118</v>
      </c>
      <c r="D55" s="3">
        <v>3023</v>
      </c>
      <c r="E55" s="3">
        <v>14204</v>
      </c>
      <c r="F55" s="4">
        <v>172517</v>
      </c>
      <c r="G55" s="11" cm="1">
        <f t="array" aca="1" ref="G55" ca="1">IFERROR(VLOOKUP("*" &amp; B55  &amp; "*" &amp; (MID(CELL("filename",A54),FIND("]",CELL("filename",A54))+1,31)) &amp; "*",CHOOSE({1,2}, Super_CBSA!$B$2:$B$1917, Super_CBSA!$A$2:$A$1917), 2,FALSE), IFERROR(VLOOKUP(B55  &amp; "*",CHOOSE({1,2}, Super_CBSA!$E$2:$E$1917, Super_CBSA!$A$2:$A$1917), 2,FALSE), ""))</f>
        <v>33300</v>
      </c>
    </row>
    <row r="56" spans="1:7" ht="17">
      <c r="A56" s="1" t="s">
        <v>1587</v>
      </c>
      <c r="B56" s="2" t="s">
        <v>1588</v>
      </c>
      <c r="C56" s="2">
        <v>56</v>
      </c>
      <c r="D56" s="3">
        <v>1384</v>
      </c>
      <c r="E56" s="3">
        <v>4171</v>
      </c>
      <c r="F56" s="4">
        <v>199785</v>
      </c>
      <c r="G56" s="11" t="str" cm="1">
        <f t="array" aca="1" ref="G56" ca="1">IFERROR(VLOOKUP("*" &amp; B56  &amp; "*" &amp; (MID(CELL("filename",A55),FIND("]",CELL("filename",A55))+1,31)) &amp; "*",CHOOSE({1,2}, Super_CBSA!$B$2:$B$1917, Super_CBSA!$A$2:$A$1917), 2,FALSE), IFERROR(VLOOKUP(B56  &amp; "*",CHOOSE({1,2}, Super_CBSA!$E$2:$E$1917, Super_CBSA!$A$2:$A$1917), 2,FALSE), ""))</f>
        <v/>
      </c>
    </row>
    <row r="57" spans="1:7" ht="17">
      <c r="A57" s="1" t="s">
        <v>1589</v>
      </c>
      <c r="B57" s="2" t="s">
        <v>1590</v>
      </c>
      <c r="C57" s="2">
        <v>0</v>
      </c>
      <c r="D57" s="2">
        <v>0</v>
      </c>
      <c r="E57" s="2">
        <v>0</v>
      </c>
      <c r="F57" s="4">
        <v>0</v>
      </c>
      <c r="G57" s="11" t="str" cm="1">
        <f t="array" aca="1" ref="G57" ca="1">IFERROR(VLOOKUP("*" &amp; B57  &amp; "*" &amp; (MID(CELL("filename",A56),FIND("]",CELL("filename",A56))+1,31)) &amp; "*",CHOOSE({1,2}, Super_CBSA!$B$2:$B$1917, Super_CBSA!$A$2:$A$1917), 2,FALSE), IFERROR(VLOOKUP(B57  &amp; "*",CHOOSE({1,2}, Super_CBSA!$E$2:$E$1917, Super_CBSA!$A$2:$A$1917), 2,FALSE), ""))</f>
        <v/>
      </c>
    </row>
    <row r="58" spans="1:7" ht="17">
      <c r="A58" s="1" t="s">
        <v>1591</v>
      </c>
      <c r="B58" s="2" t="s">
        <v>1361</v>
      </c>
      <c r="C58" s="2">
        <v>872</v>
      </c>
      <c r="D58" s="3">
        <v>36193</v>
      </c>
      <c r="E58" s="3">
        <v>178878</v>
      </c>
      <c r="F58" s="4">
        <v>4889818</v>
      </c>
      <c r="G58" s="11" cm="1">
        <f t="array" aca="1" ref="G58" ca="1">IFERROR(VLOOKUP("*" &amp; B58  &amp; "*" &amp; (MID(CELL("filename",A57),FIND("]",CELL("filename",A57))+1,31)) &amp; "*",CHOOSE({1,2}, Super_CBSA!$B$2:$B$1917, Super_CBSA!$A$2:$A$1917), 2,FALSE), IFERROR(VLOOKUP(B58  &amp; "*",CHOOSE({1,2}, Super_CBSA!$E$2:$E$1917, Super_CBSA!$A$2:$A$1917), 2,FALSE), ""))</f>
        <v>23580</v>
      </c>
    </row>
    <row r="59" spans="1:7" ht="17">
      <c r="A59" s="1" t="s">
        <v>1592</v>
      </c>
      <c r="B59" s="2" t="s">
        <v>1593</v>
      </c>
      <c r="C59" s="2">
        <v>195</v>
      </c>
      <c r="D59" s="2">
        <v>327</v>
      </c>
      <c r="E59" s="3">
        <v>1180</v>
      </c>
      <c r="F59" s="4">
        <v>50252</v>
      </c>
      <c r="G59" s="11" t="str" cm="1">
        <f t="array" aca="1" ref="G59" ca="1">IFERROR(VLOOKUP("*" &amp; B59  &amp; "*" &amp; (MID(CELL("filename",A58),FIND("]",CELL("filename",A58))+1,31)) &amp; "*",CHOOSE({1,2}, Super_CBSA!$B$2:$B$1917, Super_CBSA!$A$2:$A$1917), 2,FALSE), IFERROR(VLOOKUP(B59  &amp; "*",CHOOSE({1,2}, Super_CBSA!$E$2:$E$1917, Super_CBSA!$A$2:$A$1917), 2,FALSE), ""))</f>
        <v/>
      </c>
    </row>
    <row r="60" spans="1:7" ht="17">
      <c r="A60" s="1" t="s">
        <v>1594</v>
      </c>
      <c r="B60" s="2" t="s">
        <v>1548</v>
      </c>
      <c r="C60" s="2">
        <v>506</v>
      </c>
      <c r="D60" s="3">
        <v>31243</v>
      </c>
      <c r="E60" s="3">
        <v>196272</v>
      </c>
      <c r="F60" s="4">
        <v>8017513</v>
      </c>
      <c r="G60" s="11" cm="1">
        <f t="array" aca="1" ref="G60" ca="1">IFERROR(VLOOKUP("*" &amp; B60  &amp; "*" &amp; (MID(CELL("filename",A59),FIND("]",CELL("filename",A59))+1,31)) &amp; "*",CHOOSE({1,2}, Super_CBSA!$B$2:$B$1917, Super_CBSA!$A$2:$A$1917), 2,FALSE), IFERROR(VLOOKUP(B60  &amp; "*",CHOOSE({1,2}, Super_CBSA!$E$2:$E$1917, Super_CBSA!$A$2:$A$1917), 2,FALSE), ""))</f>
        <v>12060</v>
      </c>
    </row>
    <row r="61" spans="1:7" ht="17">
      <c r="A61" s="1" t="s">
        <v>1595</v>
      </c>
      <c r="B61" s="2" t="s">
        <v>1596</v>
      </c>
      <c r="C61" s="2">
        <v>150</v>
      </c>
      <c r="D61" s="3">
        <v>10548</v>
      </c>
      <c r="E61" s="3">
        <v>57326</v>
      </c>
      <c r="F61" s="4">
        <v>1836689</v>
      </c>
      <c r="G61" s="11" t="str" cm="1">
        <f t="array" aca="1" ref="G61" ca="1">IFERROR(VLOOKUP("*" &amp; B61  &amp; "*" &amp; (MID(CELL("filename",A60),FIND("]",CELL("filename",A60))+1,31)) &amp; "*",CHOOSE({1,2}, Super_CBSA!$B$2:$B$1917, Super_CBSA!$A$2:$A$1917), 2,FALSE), IFERROR(VLOOKUP(B61  &amp; "*",CHOOSE({1,2}, Super_CBSA!$E$2:$E$1917, Super_CBSA!$A$2:$A$1917), 2,FALSE), ""))</f>
        <v/>
      </c>
    </row>
    <row r="62" spans="1:7" ht="17">
      <c r="A62" s="1" t="s">
        <v>1597</v>
      </c>
      <c r="B62" s="2" t="s">
        <v>1598</v>
      </c>
      <c r="C62" s="2">
        <v>0</v>
      </c>
      <c r="D62" s="2">
        <v>0</v>
      </c>
      <c r="E62" s="2">
        <v>0</v>
      </c>
      <c r="F62" s="4">
        <v>0</v>
      </c>
      <c r="G62" s="11" t="str" cm="1">
        <f t="array" aca="1" ref="G62" ca="1">IFERROR(VLOOKUP("*" &amp; B62  &amp; "*" &amp; (MID(CELL("filename",A61),FIND("]",CELL("filename",A61))+1,31)) &amp; "*",CHOOSE({1,2}, Super_CBSA!$B$2:$B$1917, Super_CBSA!$A$2:$A$1917), 2,FALSE), IFERROR(VLOOKUP(B62  &amp; "*",CHOOSE({1,2}, Super_CBSA!$E$2:$E$1917, Super_CBSA!$A$2:$A$1917), 2,FALSE), ""))</f>
        <v/>
      </c>
    </row>
    <row r="63" spans="1:7" ht="17">
      <c r="A63" s="1" t="s">
        <v>1599</v>
      </c>
      <c r="B63" s="2" t="s">
        <v>1600</v>
      </c>
      <c r="C63" s="2">
        <v>298</v>
      </c>
      <c r="D63" s="3">
        <v>16022</v>
      </c>
      <c r="E63" s="3">
        <v>90978</v>
      </c>
      <c r="F63" s="4">
        <v>2501279</v>
      </c>
      <c r="G63" s="11" t="str" cm="1">
        <f t="array" aca="1" ref="G63" ca="1">IFERROR(VLOOKUP("*" &amp; B63  &amp; "*" &amp; (MID(CELL("filename",A62),FIND("]",CELL("filename",A62))+1,31)) &amp; "*",CHOOSE({1,2}, Super_CBSA!$B$2:$B$1917, Super_CBSA!$A$2:$A$1917), 2,FALSE), IFERROR(VLOOKUP(B63  &amp; " city",CHOOSE({1,2}, Super_CBSA!$E$2:$E$1917, Super_CBSA!$A$2:$A$1917), 2,FALSE), ""))</f>
        <v/>
      </c>
    </row>
    <row r="64" spans="1:7" ht="17">
      <c r="A64" s="1" t="s">
        <v>1601</v>
      </c>
      <c r="B64" s="2" t="s">
        <v>1602</v>
      </c>
      <c r="C64" s="2">
        <v>556</v>
      </c>
      <c r="D64" s="3">
        <v>25797</v>
      </c>
      <c r="E64" s="3">
        <v>137830</v>
      </c>
      <c r="F64" s="4">
        <v>3634525</v>
      </c>
      <c r="G64" s="11" t="str" cm="1">
        <f t="array" aca="1" ref="G64" ca="1">IFERROR(VLOOKUP("*" &amp; B64  &amp; "*" &amp; (MID(CELL("filename",A63),FIND("]",CELL("filename",A63))+1,31)) &amp; "*",CHOOSE({1,2}, Super_CBSA!$B$2:$B$1917, Super_CBSA!$A$2:$A$1917), 2,FALSE), IFERROR(VLOOKUP(B64  &amp; "*",CHOOSE({1,2}, Super_CBSA!$E$2:$E$1917, Super_CBSA!$A$2:$A$1917), 2,FALSE), ""))</f>
        <v/>
      </c>
    </row>
    <row r="65" spans="1:7" ht="17">
      <c r="A65" s="1" t="s">
        <v>1603</v>
      </c>
      <c r="B65" s="2" t="s">
        <v>1285</v>
      </c>
      <c r="C65" s="2">
        <v>39</v>
      </c>
      <c r="D65" s="3">
        <v>1216</v>
      </c>
      <c r="E65" s="3">
        <v>5303</v>
      </c>
      <c r="F65" s="4">
        <v>98309</v>
      </c>
      <c r="G65" s="11" cm="1">
        <f t="array" aca="1" ref="G65" ca="1">IFERROR(VLOOKUP("*" &amp; B65  &amp; "*" &amp; (MID(CELL("filename",A64),FIND("]",CELL("filename",A64))+1,31)) &amp; "*",CHOOSE({1,2}, Super_CBSA!$B$2:$B$1917, Super_CBSA!$A$2:$A$1917), 2,FALSE), IFERROR(VLOOKUP(B65  &amp; "*",CHOOSE({1,2}, Super_CBSA!$E$2:$E$1917, Super_CBSA!$A$2:$A$1917), 2,FALSE), ""))</f>
        <v>18140</v>
      </c>
    </row>
    <row r="66" spans="1:7" ht="17">
      <c r="A66" s="1" t="s">
        <v>1604</v>
      </c>
      <c r="B66" s="2" t="s">
        <v>1605</v>
      </c>
      <c r="C66" s="2">
        <v>448</v>
      </c>
      <c r="D66" s="3">
        <v>17446</v>
      </c>
      <c r="E66" s="3">
        <v>104416</v>
      </c>
      <c r="F66" s="4">
        <v>1936721</v>
      </c>
      <c r="G66" s="11" cm="1">
        <f t="array" aca="1" ref="G66" ca="1">IFERROR(VLOOKUP("*" &amp; B66  &amp; "*" &amp; (MID(CELL("filename",A65),FIND("]",CELL("filename",A65))+1,31)) &amp; "*",CHOOSE({1,2}, Super_CBSA!$B$2:$B$1917, Super_CBSA!$A$2:$A$1917), 2,FALSE), IFERROR(VLOOKUP(B66  &amp; "*",CHOOSE({1,2}, Super_CBSA!$E$2:$E$1917, Super_CBSA!$A$2:$A$1917), 2,FALSE), ""))</f>
        <v>10500</v>
      </c>
    </row>
    <row r="67" spans="1:7" ht="17">
      <c r="A67" s="1" t="s">
        <v>1606</v>
      </c>
      <c r="B67" s="2" t="s">
        <v>1605</v>
      </c>
      <c r="C67" s="2">
        <v>124</v>
      </c>
      <c r="D67" s="3">
        <v>1490</v>
      </c>
      <c r="E67" s="3">
        <v>20630</v>
      </c>
      <c r="F67" s="4">
        <v>256946</v>
      </c>
      <c r="G67" s="11" cm="1">
        <f t="array" aca="1" ref="G67" ca="1">IFERROR(VLOOKUP("*" &amp; B67  &amp; "*" &amp; (MID(CELL("filename",A66),FIND("]",CELL("filename",A66))+1,31)) &amp; "*",CHOOSE({1,2}, Super_CBSA!$B$2:$B$1917, Super_CBSA!$A$2:$A$1917), 2,FALSE), IFERROR(VLOOKUP(B67  &amp; "*",CHOOSE({1,2}, Super_CBSA!$E$2:$E$1917, Super_CBSA!$A$2:$A$1917), 2,FALSE), ""))</f>
        <v>10500</v>
      </c>
    </row>
    <row r="68" spans="1:7" ht="17">
      <c r="A68" s="1" t="s">
        <v>1607</v>
      </c>
      <c r="B68" s="2" t="s">
        <v>1608</v>
      </c>
      <c r="C68" s="2">
        <v>54</v>
      </c>
      <c r="D68" s="3">
        <v>2902</v>
      </c>
      <c r="E68" s="3">
        <v>11774</v>
      </c>
      <c r="F68" s="4">
        <v>288624</v>
      </c>
      <c r="G68" s="11" cm="1">
        <f t="array" aca="1" ref="G68" ca="1">IFERROR(VLOOKUP("*" &amp; B68  &amp; "*" &amp; (MID(CELL("filename",A67),FIND("]",CELL("filename",A67))+1,31)) &amp; "*",CHOOSE({1,2}, Super_CBSA!$B$2:$B$1917, Super_CBSA!$A$2:$A$1917), 2,FALSE), IFERROR(VLOOKUP(B68  &amp; "*",CHOOSE({1,2}, Super_CBSA!$E$2:$E$1917, Super_CBSA!$A$2:$A$1917), 2,FALSE), ""))</f>
        <v>11140</v>
      </c>
    </row>
    <row r="69" spans="1:7" ht="17">
      <c r="A69" s="1" t="s">
        <v>1609</v>
      </c>
      <c r="B69" s="2" t="s">
        <v>83</v>
      </c>
      <c r="C69" s="2">
        <v>357</v>
      </c>
      <c r="D69" s="3">
        <v>20937</v>
      </c>
      <c r="E69" s="3">
        <v>99711</v>
      </c>
      <c r="F69" s="4">
        <v>1916771</v>
      </c>
      <c r="G69" s="11" cm="1">
        <f t="array" aca="1" ref="G69" ca="1">IFERROR(VLOOKUP("*" &amp; B69  &amp; "*" &amp; (MID(CELL("filename",A68),FIND("]",CELL("filename",A68))+1,31)) &amp; "*",CHOOSE({1,2}, Super_CBSA!$B$2:$B$1917, Super_CBSA!$A$2:$A$1917), 2,FALSE), IFERROR(VLOOKUP(B69  &amp; "*",CHOOSE({1,2}, Super_CBSA!$E$2:$E$1917, Super_CBSA!$A$2:$A$1917), 2,FALSE), ""))</f>
        <v>12020</v>
      </c>
    </row>
    <row r="70" spans="1:7" ht="17">
      <c r="A70" s="1" t="s">
        <v>1610</v>
      </c>
      <c r="B70" s="2" t="s">
        <v>1548</v>
      </c>
      <c r="C70" s="2">
        <v>512</v>
      </c>
      <c r="D70" s="3">
        <v>26947</v>
      </c>
      <c r="E70" s="3">
        <v>146643</v>
      </c>
      <c r="F70" s="4">
        <v>4160045</v>
      </c>
      <c r="G70" s="11" cm="1">
        <f t="array" aca="1" ref="G70" ca="1">IFERROR(VLOOKUP("*" &amp; B70  &amp; "*" &amp; (MID(CELL("filename",A69),FIND("]",CELL("filename",A69))+1,31)) &amp; "*",CHOOSE({1,2}, Super_CBSA!$B$2:$B$1917, Super_CBSA!$A$2:$A$1917), 2,FALSE), IFERROR(VLOOKUP(B70  &amp; "*",CHOOSE({1,2}, Super_CBSA!$E$2:$E$1917, Super_CBSA!$A$2:$A$1917), 2,FALSE), ""))</f>
        <v>12060</v>
      </c>
    </row>
    <row r="71" spans="1:7" ht="17">
      <c r="A71" s="1" t="s">
        <v>1611</v>
      </c>
      <c r="B71" s="2" t="s">
        <v>1612</v>
      </c>
      <c r="C71" s="2">
        <v>334</v>
      </c>
      <c r="D71" s="3">
        <v>15941</v>
      </c>
      <c r="E71" s="3">
        <v>84780</v>
      </c>
      <c r="F71" s="4">
        <v>1115219</v>
      </c>
      <c r="G71" s="11" cm="1">
        <f t="array" aca="1" ref="G71" ca="1">IFERROR(VLOOKUP("*" &amp; B71  &amp; "*" &amp; (MID(CELL("filename",A70),FIND("]",CELL("filename",A70))+1,31)) &amp; "*",CHOOSE({1,2}, Super_CBSA!$B$2:$B$1917, Super_CBSA!$A$2:$A$1917), 2,FALSE), IFERROR(VLOOKUP(B71  &amp; "*",CHOOSE({1,2}, Super_CBSA!$E$2:$E$1917, Super_CBSA!$A$2:$A$1917), 2,FALSE), ""))</f>
        <v>17980</v>
      </c>
    </row>
    <row r="72" spans="1:7" ht="17">
      <c r="A72" s="1" t="s">
        <v>1613</v>
      </c>
      <c r="B72" s="2" t="s">
        <v>1612</v>
      </c>
      <c r="C72" s="2">
        <v>87</v>
      </c>
      <c r="D72" s="3">
        <v>3144</v>
      </c>
      <c r="E72" s="3">
        <v>8643</v>
      </c>
      <c r="F72" s="4">
        <v>300198</v>
      </c>
      <c r="G72" s="11" cm="1">
        <f t="array" aca="1" ref="G72" ca="1">IFERROR(VLOOKUP("*" &amp; B72  &amp; "*" &amp; (MID(CELL("filename",A71),FIND("]",CELL("filename",A71))+1,31)) &amp; "*",CHOOSE({1,2}, Super_CBSA!$B$2:$B$1917, Super_CBSA!$A$2:$A$1917), 2,FALSE), IFERROR(VLOOKUP(B72  &amp; "*",CHOOSE({1,2}, Super_CBSA!$E$2:$E$1917, Super_CBSA!$A$2:$A$1917), 2,FALSE), ""))</f>
        <v>17980</v>
      </c>
    </row>
    <row r="73" spans="1:7" ht="17">
      <c r="A73" s="1" t="s">
        <v>1614</v>
      </c>
      <c r="B73" s="2" t="s">
        <v>236</v>
      </c>
      <c r="C73" s="2">
        <v>290</v>
      </c>
      <c r="D73" s="3">
        <v>17251</v>
      </c>
      <c r="E73" s="3">
        <v>78868</v>
      </c>
      <c r="F73" s="4">
        <v>1977081</v>
      </c>
      <c r="G73" s="11" t="str" cm="1">
        <f t="array" aca="1" ref="G73" ca="1">IFERROR(VLOOKUP("*" &amp; B73  &amp; "*" &amp; (MID(CELL("filename",A72),FIND("]",CELL("filename",A72))+1,31)) &amp; "*",CHOOSE({1,2}, Super_CBSA!$B$2:$B$1917, Super_CBSA!$A$2:$A$1917), 2,FALSE), IFERROR(VLOOKUP(B73  &amp; "*",CHOOSE({1,2}, Super_CBSA!$E$2:$E$1917, Super_CBSA!$A$2:$A$1917), 2,FALSE), ""))</f>
        <v/>
      </c>
    </row>
    <row r="74" spans="1:7" ht="17">
      <c r="A74" s="1" t="s">
        <v>1615</v>
      </c>
      <c r="B74" s="2" t="s">
        <v>1616</v>
      </c>
      <c r="C74" s="2">
        <v>341</v>
      </c>
      <c r="D74" s="3">
        <v>15434</v>
      </c>
      <c r="E74" s="3">
        <v>68661</v>
      </c>
      <c r="F74" s="4">
        <v>1594388</v>
      </c>
      <c r="G74" s="11" t="str" cm="1">
        <f t="array" aca="1" ref="G74" ca="1">IFERROR(VLOOKUP("*" &amp; B74  &amp; "*" &amp; (MID(CELL("filename",A73),FIND("]",CELL("filename",A73))+1,31)) &amp; "*",CHOOSE({1,2}, Super_CBSA!$B$2:$B$1917, Super_CBSA!$A$2:$A$1917), 2,FALSE), IFERROR(VLOOKUP(B74  &amp; "*",CHOOSE({1,2}, Super_CBSA!$E$2:$E$1917, Super_CBSA!$A$2:$A$1917), 2,FALSE), ""))</f>
        <v/>
      </c>
    </row>
    <row r="75" spans="1:7" ht="17">
      <c r="A75" s="1" t="s">
        <v>1617</v>
      </c>
      <c r="B75" s="2" t="s">
        <v>232</v>
      </c>
      <c r="C75" s="2">
        <v>52</v>
      </c>
      <c r="D75" s="3">
        <v>3767</v>
      </c>
      <c r="E75" s="3">
        <v>13858</v>
      </c>
      <c r="F75" s="4">
        <v>523495</v>
      </c>
      <c r="G75" s="11" cm="1">
        <f t="array" aca="1" ref="G75" ca="1">IFERROR(VLOOKUP("*" &amp; B75  &amp; "*" &amp; (MID(CELL("filename",A74),FIND("]",CELL("filename",A74))+1,31)) &amp; "*",CHOOSE({1,2}, Super_CBSA!$B$2:$B$1917, Super_CBSA!$A$2:$A$1917), 2,FALSE), IFERROR(VLOOKUP(B75  &amp; "*",CHOOSE({1,2}, Super_CBSA!$E$2:$E$1917, Super_CBSA!$A$2:$A$1917), 2,FALSE), ""))</f>
        <v>12060</v>
      </c>
    </row>
    <row r="76" spans="1:7" ht="17">
      <c r="A76" s="1" t="s">
        <v>1618</v>
      </c>
      <c r="B76" s="2" t="s">
        <v>1509</v>
      </c>
      <c r="C76" s="2">
        <v>150</v>
      </c>
      <c r="D76" s="3">
        <v>10607</v>
      </c>
      <c r="E76" s="3">
        <v>45300</v>
      </c>
      <c r="F76" s="4">
        <v>1300497</v>
      </c>
      <c r="G76" s="11" t="str" cm="1">
        <f t="array" aca="1" ref="G76" ca="1">IFERROR(VLOOKUP("*" &amp; B76  &amp; "*" &amp; (MID(CELL("filename",A75),FIND("]",CELL("filename",A75))+1,31)) &amp; "*",CHOOSE({1,2}, Super_CBSA!$B$2:$B$1917, Super_CBSA!$A$2:$A$1917), 2,FALSE), IFERROR(VLOOKUP(B76  &amp; "*",CHOOSE({1,2}, Super_CBSA!$E$2:$E$1917, Super_CBSA!$A$2:$A$1917), 2,FALSE), ""))</f>
        <v/>
      </c>
    </row>
    <row r="77" spans="1:7" ht="17">
      <c r="A77" s="1" t="s">
        <v>1619</v>
      </c>
      <c r="B77" s="2" t="s">
        <v>1620</v>
      </c>
      <c r="C77" s="2">
        <v>94</v>
      </c>
      <c r="D77" s="3">
        <v>5172</v>
      </c>
      <c r="E77" s="3">
        <v>18833</v>
      </c>
      <c r="F77" s="4">
        <v>572120</v>
      </c>
      <c r="G77" s="11" cm="1">
        <f t="array" aca="1" ref="G77" ca="1">IFERROR(VLOOKUP("*" &amp; B77  &amp; "*" &amp; (MID(CELL("filename",A76),FIND("]",CELL("filename",A76))+1,31)) &amp; "*",CHOOSE({1,2}, Super_CBSA!$B$2:$B$1917, Super_CBSA!$A$2:$A$1917), 2,FALSE), IFERROR(VLOOKUP(B77  &amp; "*",CHOOSE({1,2}, Super_CBSA!$E$2:$E$1917, Super_CBSA!$A$2:$A$1917), 2,FALSE), ""))</f>
        <v>25620</v>
      </c>
    </row>
    <row r="78" spans="1:7" ht="17">
      <c r="A78" s="1" t="s">
        <v>1621</v>
      </c>
      <c r="B78" s="2" t="s">
        <v>1622</v>
      </c>
      <c r="C78" s="2">
        <v>141</v>
      </c>
      <c r="D78" s="3">
        <v>8820</v>
      </c>
      <c r="E78" s="3">
        <v>44691</v>
      </c>
      <c r="F78" s="4">
        <v>857941</v>
      </c>
      <c r="G78" s="11" t="str" cm="1">
        <f t="array" aca="1" ref="G78" ca="1">IFERROR(VLOOKUP("*" &amp; B78  &amp; "*" &amp; (MID(CELL("filename",A77),FIND("]",CELL("filename",A77))+1,31)) &amp; "*",CHOOSE({1,2}, Super_CBSA!$B$2:$B$1917, Super_CBSA!$A$2:$A$1917), 2,FALSE), IFERROR(VLOOKUP(B78  &amp; "*",CHOOSE({1,2}, Super_CBSA!$E$2:$E$1917, Super_CBSA!$A$2:$A$1917), 2,FALSE), ""))</f>
        <v/>
      </c>
    </row>
    <row r="79" spans="1:7" ht="17">
      <c r="A79" s="1" t="s">
        <v>1623</v>
      </c>
      <c r="B79" s="2" t="s">
        <v>1624</v>
      </c>
      <c r="C79" s="2">
        <v>76</v>
      </c>
      <c r="D79" s="3">
        <v>2614</v>
      </c>
      <c r="E79" s="3">
        <v>9718</v>
      </c>
      <c r="F79" s="4">
        <v>351753</v>
      </c>
      <c r="G79" s="11" cm="1">
        <f t="array" aca="1" ref="G79" ca="1">IFERROR(VLOOKUP("*" &amp; B79  &amp; "*" &amp; (MID(CELL("filename",A78),FIND("]",CELL("filename",A78))+1,31)) &amp; "*",CHOOSE({1,2}, Super_CBSA!$B$2:$B$1917, Super_CBSA!$A$2:$A$1917), 2,FALSE), IFERROR(VLOOKUP(B79  &amp; "*",CHOOSE({1,2}, Super_CBSA!$E$2:$E$1917, Super_CBSA!$A$2:$A$1917), 2,FALSE), ""))</f>
        <v>14020</v>
      </c>
    </row>
    <row r="80" spans="1:7" ht="17">
      <c r="A80" s="1" t="s">
        <v>1625</v>
      </c>
      <c r="B80" s="2" t="s">
        <v>1562</v>
      </c>
      <c r="C80" s="2">
        <v>228</v>
      </c>
      <c r="D80" s="3">
        <v>11565</v>
      </c>
      <c r="E80" s="3">
        <v>49779</v>
      </c>
      <c r="F80" s="4">
        <v>1646848</v>
      </c>
      <c r="G80" s="11" cm="1">
        <f t="array" aca="1" ref="G80" ca="1">IFERROR(VLOOKUP("*" &amp; B80  &amp; "*" &amp; (MID(CELL("filename",A79),FIND("]",CELL("filename",A79))+1,31)) &amp; "*",CHOOSE({1,2}, Super_CBSA!$B$2:$B$1917, Super_CBSA!$A$2:$A$1917), 2,FALSE), IFERROR(VLOOKUP(B80  &amp; "*",CHOOSE({1,2}, Super_CBSA!$E$2:$E$1917, Super_CBSA!$A$2:$A$1917), 2,FALSE), ""))</f>
        <v>40660</v>
      </c>
    </row>
    <row r="81" spans="1:7" ht="17">
      <c r="A81" s="1" t="s">
        <v>1108</v>
      </c>
      <c r="B81" s="2" t="s">
        <v>1612</v>
      </c>
      <c r="C81" s="2">
        <v>325</v>
      </c>
      <c r="D81" s="3">
        <v>13518</v>
      </c>
      <c r="E81" s="3">
        <v>64904</v>
      </c>
      <c r="F81" s="4">
        <v>963523</v>
      </c>
      <c r="G81" s="11" cm="1">
        <f t="array" aca="1" ref="G81" ca="1">IFERROR(VLOOKUP("*" &amp; B81  &amp; "*" &amp; (MID(CELL("filename",A80),FIND("]",CELL("filename",A80))+1,31)) &amp; "*",CHOOSE({1,2}, Super_CBSA!$B$2:$B$1917, Super_CBSA!$A$2:$A$1917), 2,FALSE), IFERROR(VLOOKUP(B81  &amp; "*",CHOOSE({1,2}, Super_CBSA!$E$2:$E$1917, Super_CBSA!$A$2:$A$1917), 2,FALSE), ""))</f>
        <v>17980</v>
      </c>
    </row>
    <row r="82" spans="1:7" ht="17">
      <c r="A82" s="1" t="s">
        <v>393</v>
      </c>
      <c r="B82" s="2" t="s">
        <v>1511</v>
      </c>
      <c r="C82" s="2">
        <v>243</v>
      </c>
      <c r="D82" s="3">
        <v>11035</v>
      </c>
      <c r="E82" s="3">
        <v>55073</v>
      </c>
      <c r="F82" s="4">
        <v>1153749</v>
      </c>
      <c r="G82" s="11" cm="1">
        <f t="array" aca="1" ref="G82" ca="1">IFERROR(VLOOKUP("*" &amp; B82  &amp; "*" &amp; (MID(CELL("filename",A81),FIND("]",CELL("filename",A81))+1,31)) &amp; "*",CHOOSE({1,2}, Super_CBSA!$B$2:$B$1917, Super_CBSA!$A$2:$A$1917), 2,FALSE), IFERROR(VLOOKUP(B82  &amp; "*",CHOOSE({1,2}, Super_CBSA!$E$2:$E$1917, Super_CBSA!$A$2:$A$1917), 2,FALSE), ""))</f>
        <v>42340</v>
      </c>
    </row>
    <row r="83" spans="1:7" ht="17">
      <c r="A83" s="1" t="s">
        <v>1626</v>
      </c>
      <c r="B83" s="2" t="s">
        <v>1627</v>
      </c>
      <c r="C83" s="2">
        <v>56</v>
      </c>
      <c r="D83" s="3">
        <v>1882</v>
      </c>
      <c r="E83" s="3">
        <v>7169</v>
      </c>
      <c r="F83" s="4">
        <v>96697</v>
      </c>
      <c r="G83" s="11" t="str" cm="1">
        <f t="array" aca="1" ref="G83" ca="1">IFERROR(VLOOKUP("*" &amp; B83  &amp; "*" &amp; (MID(CELL("filename",A82),FIND("]",CELL("filename",A82))+1,31)) &amp; "*",CHOOSE({1,2}, Super_CBSA!$B$2:$B$1917, Super_CBSA!$A$2:$A$1917), 2,FALSE), IFERROR(VLOOKUP(B83  &amp; "*",CHOOSE({1,2}, Super_CBSA!$E$2:$E$1917, Super_CBSA!$A$2:$A$1917), 2,FALSE), ""))</f>
        <v/>
      </c>
    </row>
    <row r="84" spans="1:7" ht="17">
      <c r="A84" s="1" t="s">
        <v>1628</v>
      </c>
      <c r="B84" s="2" t="s">
        <v>1629</v>
      </c>
      <c r="C84" s="2">
        <v>63</v>
      </c>
      <c r="D84" s="2">
        <v>126</v>
      </c>
      <c r="E84" s="2">
        <v>575</v>
      </c>
      <c r="F84" s="4">
        <v>18545</v>
      </c>
      <c r="G84" s="11" t="str" cm="1">
        <f t="array" aca="1" ref="G84" ca="1">IFERROR(VLOOKUP("*" &amp; B84  &amp; "*" &amp; (MID(CELL("filename",A83),FIND("]",CELL("filename",A83))+1,31)) &amp; "*",CHOOSE({1,2}, Super_CBSA!$B$2:$B$1917, Super_CBSA!$A$2:$A$1917), 2,FALSE), IFERROR(VLOOKUP(B84  &amp; "*",CHOOSE({1,2}, Super_CBSA!$E$2:$E$1917, Super_CBSA!$A$2:$A$1917), 2,FALSE), ""))</f>
        <v/>
      </c>
    </row>
    <row r="85" spans="1:7" ht="17">
      <c r="A85" s="1" t="s">
        <v>1630</v>
      </c>
      <c r="B85" s="2" t="s">
        <v>1631</v>
      </c>
      <c r="C85" s="2">
        <v>271</v>
      </c>
      <c r="D85" s="3">
        <v>14043</v>
      </c>
      <c r="E85" s="3">
        <v>68886</v>
      </c>
      <c r="F85" s="4">
        <v>1120160</v>
      </c>
      <c r="G85" s="11" cm="1">
        <f t="array" aca="1" ref="G85" ca="1">IFERROR(VLOOKUP("*" &amp; B85  &amp; "*" &amp; (MID(CELL("filename",A84),FIND("]",CELL("filename",A84))+1,31)) &amp; "*",CHOOSE({1,2}, Super_CBSA!$B$2:$B$1917, Super_CBSA!$A$2:$A$1917), 2,FALSE), IFERROR(VLOOKUP(B85  &amp; "*",CHOOSE({1,2}, Super_CBSA!$E$2:$E$1917, Super_CBSA!$A$2:$A$1917), 2,FALSE), ""))</f>
        <v>46660</v>
      </c>
    </row>
    <row r="86" spans="1:7" ht="17">
      <c r="A86" s="1" t="s">
        <v>1632</v>
      </c>
      <c r="B86" s="2" t="s">
        <v>1633</v>
      </c>
      <c r="C86" s="2">
        <v>300</v>
      </c>
      <c r="D86" s="3">
        <v>12617</v>
      </c>
      <c r="E86" s="3">
        <v>66438</v>
      </c>
      <c r="F86" s="4">
        <v>734118</v>
      </c>
      <c r="G86" s="11" cm="1">
        <f t="array" aca="1" ref="G86" ca="1">IFERROR(VLOOKUP("*" &amp; B86  &amp; "*" &amp; (MID(CELL("filename",A85),FIND("]",CELL("filename",A85))+1,31)) &amp; "*",CHOOSE({1,2}, Super_CBSA!$B$2:$B$1917, Super_CBSA!$A$2:$A$1917), 2,FALSE), IFERROR(VLOOKUP(B86  &amp; "*",CHOOSE({1,2}, Super_CBSA!$E$2:$E$1917, Super_CBSA!$A$2:$A$1917), 2,FALSE), ""))</f>
        <v>15260</v>
      </c>
    </row>
    <row r="87" spans="1:7" ht="17">
      <c r="A87" s="1" t="s">
        <v>1634</v>
      </c>
      <c r="B87" s="2" t="s">
        <v>1635</v>
      </c>
      <c r="C87" s="2">
        <v>40</v>
      </c>
      <c r="D87" s="3">
        <v>2563</v>
      </c>
      <c r="E87" s="3">
        <v>8062</v>
      </c>
      <c r="F87" s="4">
        <v>130239</v>
      </c>
      <c r="G87" s="11" t="str" cm="1">
        <f t="array" aca="1" ref="G87" ca="1">IFERROR(VLOOKUP("*" &amp; B87  &amp; "*" &amp; (MID(CELL("filename",A86),FIND("]",CELL("filename",A86))+1,31)) &amp; "*",CHOOSE({1,2}, Super_CBSA!$B$2:$B$1917, Super_CBSA!$A$2:$A$1917), 2,FALSE), IFERROR(VLOOKUP(B87  &amp; "*",CHOOSE({1,2}, Super_CBSA!$E$2:$E$1917, Super_CBSA!$A$2:$A$1917), 2,FALSE), ""))</f>
        <v/>
      </c>
    </row>
    <row r="88" spans="1:7" ht="17">
      <c r="A88" s="1" t="s">
        <v>1636</v>
      </c>
      <c r="B88" s="2" t="s">
        <v>1637</v>
      </c>
      <c r="C88" s="2">
        <v>264</v>
      </c>
      <c r="D88" s="3">
        <v>10572</v>
      </c>
      <c r="E88" s="3">
        <v>47607</v>
      </c>
      <c r="F88" s="4">
        <v>717743</v>
      </c>
      <c r="G88" s="11" t="str" cm="1">
        <f t="array" aca="1" ref="G88" ca="1">IFERROR(VLOOKUP("*" &amp; B88  &amp; "*" &amp; (MID(CELL("filename",A87),FIND("]",CELL("filename",A87))+1,31)) &amp; "*",CHOOSE({1,2}, Super_CBSA!$B$2:$B$1917, Super_CBSA!$A$2:$A$1917), 2,FALSE), IFERROR(VLOOKUP(B88  &amp; "*",CHOOSE({1,2}, Super_CBSA!$E$2:$E$1917, Super_CBSA!$A$2:$A$1917), 2,FALSE), ""))</f>
        <v/>
      </c>
    </row>
    <row r="89" spans="1:7" ht="17">
      <c r="A89" s="1" t="s">
        <v>1638</v>
      </c>
      <c r="B89" s="2" t="s">
        <v>1639</v>
      </c>
      <c r="C89" s="2">
        <v>140</v>
      </c>
      <c r="D89" s="2">
        <v>123</v>
      </c>
      <c r="E89" s="2">
        <v>528</v>
      </c>
      <c r="F89" s="4">
        <v>33760</v>
      </c>
      <c r="G89" s="11" t="str" cm="1">
        <f t="array" aca="1" ref="G89" ca="1">IFERROR(VLOOKUP("*" &amp; B89  &amp; "*" &amp; (MID(CELL("filename",A88),FIND("]",CELL("filename",A88))+1,31)) &amp; "*",CHOOSE({1,2}, Super_CBSA!$B$2:$B$1917, Super_CBSA!$A$2:$A$1917), 2,FALSE), IFERROR(VLOOKUP(B89  &amp; "*",CHOOSE({1,2}, Super_CBSA!$E$2:$E$1917, Super_CBSA!$A$2:$A$1917), 2,FALSE), ""))</f>
        <v/>
      </c>
    </row>
    <row r="90" spans="1:7" ht="17">
      <c r="A90" s="1" t="s">
        <v>1640</v>
      </c>
      <c r="B90" s="2" t="s">
        <v>83</v>
      </c>
      <c r="C90" s="2">
        <v>185</v>
      </c>
      <c r="D90" s="3">
        <v>9713</v>
      </c>
      <c r="E90" s="3">
        <v>42962</v>
      </c>
      <c r="F90" s="4">
        <v>847561</v>
      </c>
      <c r="G90" s="11" cm="1">
        <f t="array" aca="1" ref="G90" ca="1">IFERROR(VLOOKUP("*" &amp; B90  &amp; "*" &amp; (MID(CELL("filename",A89),FIND("]",CELL("filename",A89))+1,31)) &amp; "*",CHOOSE({1,2}, Super_CBSA!$B$2:$B$1917, Super_CBSA!$A$2:$A$1917), 2,FALSE), IFERROR(VLOOKUP(B90  &amp; "*",CHOOSE({1,2}, Super_CBSA!$E$2:$E$1917, Super_CBSA!$A$2:$A$1917), 2,FALSE), ""))</f>
        <v>12020</v>
      </c>
    </row>
    <row r="91" spans="1:7" ht="17">
      <c r="A91" s="1" t="s">
        <v>1641</v>
      </c>
      <c r="B91" s="2" t="s">
        <v>1642</v>
      </c>
      <c r="C91" s="2">
        <v>74</v>
      </c>
      <c r="D91" s="3">
        <v>1632</v>
      </c>
      <c r="E91" s="3">
        <v>7193</v>
      </c>
      <c r="F91" s="4">
        <v>108364</v>
      </c>
      <c r="G91" s="11" cm="1">
        <f t="array" aca="1" ref="G91" ca="1">IFERROR(VLOOKUP("*" &amp; B91  &amp; "*" &amp; (MID(CELL("filename",A90),FIND("]",CELL("filename",A90))+1,31)) &amp; "*",CHOOSE({1,2}, Super_CBSA!$B$2:$B$1917, Super_CBSA!$A$2:$A$1917), 2,FALSE), IFERROR(VLOOKUP(B91  &amp; "*",CHOOSE({1,2}, Super_CBSA!$E$2:$E$1917, Super_CBSA!$A$2:$A$1917), 2,FALSE), ""))</f>
        <v>45740</v>
      </c>
    </row>
    <row r="92" spans="1:7" ht="17">
      <c r="A92" s="1" t="s">
        <v>1643</v>
      </c>
      <c r="B92" s="2" t="s">
        <v>1644</v>
      </c>
      <c r="C92" s="2">
        <v>157</v>
      </c>
      <c r="D92" s="3">
        <v>8791</v>
      </c>
      <c r="E92" s="3">
        <v>42833</v>
      </c>
      <c r="F92" s="4">
        <v>914075</v>
      </c>
      <c r="G92" s="11" t="str" cm="1">
        <f t="array" aca="1" ref="G92" ca="1">IFERROR(VLOOKUP("*" &amp; B92  &amp; "*" &amp; (MID(CELL("filename",A91),FIND("]",CELL("filename",A91))+1,31)) &amp; "*",CHOOSE({1,2}, Super_CBSA!$B$2:$B$1917, Super_CBSA!$A$2:$A$1917), 2,FALSE), IFERROR(VLOOKUP(B92  &amp; "*",CHOOSE({1,2}, Super_CBSA!$E$2:$E$1917, Super_CBSA!$A$2:$A$1917), 2,FALSE), ""))</f>
        <v/>
      </c>
    </row>
    <row r="93" spans="1:7" ht="17">
      <c r="A93" s="1" t="s">
        <v>1645</v>
      </c>
      <c r="B93" s="2" t="s">
        <v>1646</v>
      </c>
      <c r="C93" s="2">
        <v>132</v>
      </c>
      <c r="D93" s="3">
        <v>3091</v>
      </c>
      <c r="E93" s="3">
        <v>12727</v>
      </c>
      <c r="F93" s="4">
        <v>430482</v>
      </c>
      <c r="G93" s="11" t="str" cm="1">
        <f t="array" aca="1" ref="G93" ca="1">IFERROR(VLOOKUP("*" &amp; B93  &amp; "*" &amp; (MID(CELL("filename",A92),FIND("]",CELL("filename",A92))+1,31)) &amp; "*",CHOOSE({1,2}, Super_CBSA!$B$2:$B$1917, Super_CBSA!$A$2:$A$1917), 2,FALSE), IFERROR(VLOOKUP(B93  &amp; "*",CHOOSE({1,2}, Super_CBSA!$E$2:$E$1917, Super_CBSA!$A$2:$A$1917), 2,FALSE), ""))</f>
        <v/>
      </c>
    </row>
    <row r="94" spans="1:7" ht="17">
      <c r="A94" s="1" t="s">
        <v>1647</v>
      </c>
      <c r="B94" s="2" t="s">
        <v>1648</v>
      </c>
      <c r="C94" s="2">
        <v>157</v>
      </c>
      <c r="D94" s="3">
        <v>1065</v>
      </c>
      <c r="E94" s="3">
        <v>3478</v>
      </c>
      <c r="F94" s="4">
        <v>81466</v>
      </c>
      <c r="G94" s="11" t="str" cm="1">
        <f t="array" aca="1" ref="G94" ca="1">IFERROR(VLOOKUP("*" &amp; B94  &amp; "*" &amp; (MID(CELL("filename",A93),FIND("]",CELL("filename",A93))+1,31)) &amp; "*",CHOOSE({1,2}, Super_CBSA!$B$2:$B$1917, Super_CBSA!$A$2:$A$1917), 2,FALSE), IFERROR(VLOOKUP(B94  &amp; "*",CHOOSE({1,2}, Super_CBSA!$E$2:$E$1917, Super_CBSA!$A$2:$A$1917), 2,FALSE), ""))</f>
        <v/>
      </c>
    </row>
    <row r="95" spans="1:7" ht="17">
      <c r="A95" s="1" t="s">
        <v>1649</v>
      </c>
      <c r="B95" s="2" t="s">
        <v>1650</v>
      </c>
      <c r="C95" s="2">
        <v>181</v>
      </c>
      <c r="D95" s="3">
        <v>9327</v>
      </c>
      <c r="E95" s="3">
        <v>45686</v>
      </c>
      <c r="F95" s="4">
        <v>1406145</v>
      </c>
      <c r="G95" s="11" cm="1">
        <f t="array" aca="1" ref="G95" ca="1">IFERROR(VLOOKUP("*" &amp; B95  &amp; "*" &amp; (MID(CELL("filename",A94),FIND("]",CELL("filename",A94))+1,31)) &amp; "*",CHOOSE({1,2}, Super_CBSA!$B$2:$B$1917, Super_CBSA!$A$2:$A$1917), 2,FALSE), IFERROR(VLOOKUP(B95  &amp; "*",CHOOSE({1,2}, Super_CBSA!$E$2:$E$1917, Super_CBSA!$A$2:$A$1917), 2,FALSE), ""))</f>
        <v>45700</v>
      </c>
    </row>
    <row r="96" spans="1:7" ht="17">
      <c r="A96" s="1" t="s">
        <v>1651</v>
      </c>
      <c r="B96" s="2" t="s">
        <v>1523</v>
      </c>
      <c r="C96" s="2">
        <v>59</v>
      </c>
      <c r="D96" s="3">
        <v>3248</v>
      </c>
      <c r="E96" s="3">
        <v>12565</v>
      </c>
      <c r="F96" s="4">
        <v>93787</v>
      </c>
      <c r="G96" s="11" cm="1">
        <f t="array" aca="1" ref="G96" ca="1">IFERROR(VLOOKUP("*" &amp; B96  &amp; "*" &amp; (MID(CELL("filename",A95),FIND("]",CELL("filename",A95))+1,31)) &amp; "*",CHOOSE({1,2}, Super_CBSA!$B$2:$B$1917, Super_CBSA!$A$2:$A$1917), 2,FALSE), IFERROR(VLOOKUP(B96  &amp; "*",CHOOSE({1,2}, Super_CBSA!$E$2:$E$1917, Super_CBSA!$A$2:$A$1917), 2,FALSE), ""))</f>
        <v>34220</v>
      </c>
    </row>
    <row r="97" spans="1:7" ht="17">
      <c r="A97" s="1" t="s">
        <v>1652</v>
      </c>
      <c r="B97" s="2" t="s">
        <v>1653</v>
      </c>
      <c r="C97" s="2">
        <v>189</v>
      </c>
      <c r="D97" s="3">
        <v>2423</v>
      </c>
      <c r="E97" s="3">
        <v>8187</v>
      </c>
      <c r="F97" s="4">
        <v>185739</v>
      </c>
      <c r="G97" s="11" t="str" cm="1">
        <f t="array" aca="1" ref="G97" ca="1">IFERROR(VLOOKUP("*" &amp; B97  &amp; "*" &amp; (MID(CELL("filename",A96),FIND("]",CELL("filename",A96))+1,31)) &amp; "*",CHOOSE({1,2}, Super_CBSA!$B$2:$B$1917, Super_CBSA!$A$2:$A$1917), 2,FALSE), IFERROR(VLOOKUP(B97  &amp; "*",CHOOSE({1,2}, Super_CBSA!$E$2:$E$1917, Super_CBSA!$A$2:$A$1917), 2,FALSE), ""))</f>
        <v/>
      </c>
    </row>
    <row r="98" spans="1:7" ht="17">
      <c r="A98" s="1" t="s">
        <v>1654</v>
      </c>
      <c r="B98" s="2" t="s">
        <v>1505</v>
      </c>
      <c r="C98" s="2">
        <v>574</v>
      </c>
      <c r="D98" s="3">
        <v>26244</v>
      </c>
      <c r="E98" s="3">
        <v>134032</v>
      </c>
      <c r="F98" s="4">
        <v>1679051</v>
      </c>
      <c r="G98" s="11" cm="1">
        <f t="array" aca="1" ref="G98" ca="1">IFERROR(VLOOKUP("*" &amp; B98  &amp; "*" &amp; (MID(CELL("filename",A97),FIND("]",CELL("filename",A97))+1,31)) &amp; "*",CHOOSE({1,2}, Super_CBSA!$B$2:$B$1917, Super_CBSA!$A$2:$A$1917), 2,FALSE), IFERROR(VLOOKUP(B98  &amp; "*",CHOOSE({1,2}, Super_CBSA!$E$2:$E$1917, Super_CBSA!$A$2:$A$1917), 2,FALSE), ""))</f>
        <v>12260</v>
      </c>
    </row>
    <row r="99" spans="1:7" ht="17">
      <c r="A99" s="1" t="s">
        <v>1655</v>
      </c>
      <c r="B99" s="2" t="s">
        <v>1656</v>
      </c>
      <c r="C99" s="2">
        <v>25</v>
      </c>
      <c r="D99" s="2">
        <v>540</v>
      </c>
      <c r="E99" s="3">
        <v>1925</v>
      </c>
      <c r="F99" s="4">
        <v>77809</v>
      </c>
      <c r="G99" s="11" t="str" cm="1">
        <f t="array" aca="1" ref="G99" ca="1">IFERROR(VLOOKUP("*" &amp; B99  &amp; "*" &amp; (MID(CELL("filename",A98),FIND("]",CELL("filename",A98))+1,31)) &amp; "*",CHOOSE({1,2}, Super_CBSA!$B$2:$B$1917, Super_CBSA!$A$2:$A$1917), 2,FALSE), IFERROR(VLOOKUP(B99  &amp; "*",CHOOSE({1,2}, Super_CBSA!$E$2:$E$1917, Super_CBSA!$A$2:$A$1917), 2,FALSE), ""))</f>
        <v/>
      </c>
    </row>
    <row r="100" spans="1:7" ht="17">
      <c r="A100" s="1" t="s">
        <v>1657</v>
      </c>
      <c r="B100" s="2" t="s">
        <v>1505</v>
      </c>
      <c r="C100" s="2">
        <v>156</v>
      </c>
      <c r="D100" s="3">
        <v>2917</v>
      </c>
      <c r="E100" s="3">
        <v>10044</v>
      </c>
      <c r="F100" s="4">
        <v>329252</v>
      </c>
      <c r="G100" s="11" cm="1">
        <f t="array" aca="1" ref="G100" ca="1">IFERROR(VLOOKUP("*" &amp; B100  &amp; "*" &amp; (MID(CELL("filename",A99),FIND("]",CELL("filename",A99))+1,31)) &amp; "*",CHOOSE({1,2}, Super_CBSA!$B$2:$B$1917, Super_CBSA!$A$2:$A$1917), 2,FALSE), IFERROR(VLOOKUP(B100  &amp; "*",CHOOSE({1,2}, Super_CBSA!$E$2:$E$1917, Super_CBSA!$A$2:$A$1917), 2,FALSE), ""))</f>
        <v>12260</v>
      </c>
    </row>
    <row r="101" spans="1:7" ht="17">
      <c r="A101" s="1" t="s">
        <v>1658</v>
      </c>
      <c r="B101" s="2" t="s">
        <v>1659</v>
      </c>
      <c r="C101" s="2">
        <v>105</v>
      </c>
      <c r="D101" s="3">
        <v>3234</v>
      </c>
      <c r="E101" s="3">
        <v>12862</v>
      </c>
      <c r="F101" s="4">
        <v>318142</v>
      </c>
      <c r="G101" s="11" cm="1">
        <f t="array" aca="1" ref="G101" ca="1">IFERROR(VLOOKUP("*" &amp; B101  &amp; "*" &amp; (MID(CELL("filename",A100),FIND("]",CELL("filename",A100))+1,31)) &amp; "*",CHOOSE({1,2}, Super_CBSA!$B$2:$B$1917, Super_CBSA!$A$2:$A$1917), 2,FALSE), IFERROR(VLOOKUP(B101  &amp; "*",CHOOSE({1,2}, Super_CBSA!$E$2:$E$1917, Super_CBSA!$A$2:$A$1917), 2,FALSE), ""))</f>
        <v>45580</v>
      </c>
    </row>
    <row r="102" spans="1:7" ht="17">
      <c r="A102" s="1" t="s">
        <v>1660</v>
      </c>
      <c r="B102" s="2" t="s">
        <v>1661</v>
      </c>
      <c r="C102" s="2">
        <v>116</v>
      </c>
      <c r="D102" s="2">
        <v>457</v>
      </c>
      <c r="E102" s="3">
        <v>1308</v>
      </c>
      <c r="F102" s="4">
        <v>66694</v>
      </c>
      <c r="G102" s="11" t="str" cm="1">
        <f t="array" aca="1" ref="G102" ca="1">IFERROR(VLOOKUP("*" &amp; B102  &amp; "*" &amp; (MID(CELL("filename",A101),FIND("]",CELL("filename",A101))+1,31)) &amp; "*",CHOOSE({1,2}, Super_CBSA!$B$2:$B$1917, Super_CBSA!$A$2:$A$1917), 2,FALSE), IFERROR(VLOOKUP(B102  &amp; "*",CHOOSE({1,2}, Super_CBSA!$E$2:$E$1917, Super_CBSA!$A$2:$A$1917), 2,FALSE), ""))</f>
        <v/>
      </c>
    </row>
    <row r="103" spans="1:7" ht="17">
      <c r="A103" s="1" t="s">
        <v>1662</v>
      </c>
      <c r="B103" s="2" t="s">
        <v>1663</v>
      </c>
      <c r="C103" s="2">
        <v>88</v>
      </c>
      <c r="D103" s="3">
        <v>3123</v>
      </c>
      <c r="E103" s="3">
        <v>13265</v>
      </c>
      <c r="F103" s="4">
        <v>231267</v>
      </c>
      <c r="G103" s="11" cm="1">
        <f t="array" aca="1" ref="G103" ca="1">IFERROR(VLOOKUP("*" &amp; B103  &amp; "*" &amp; (MID(CELL("filename",A102),FIND("]",CELL("filename",A102))+1,31)) &amp; "*",CHOOSE({1,2}, Super_CBSA!$B$2:$B$1917, Super_CBSA!$A$2:$A$1917), 2,FALSE), IFERROR(VLOOKUP(B103  &amp; "*",CHOOSE({1,2}, Super_CBSA!$E$2:$E$1917, Super_CBSA!$A$2:$A$1917), 2,FALSE), ""))</f>
        <v>27700</v>
      </c>
    </row>
    <row r="104" spans="1:7" ht="17">
      <c r="A104" s="1" t="s">
        <v>1664</v>
      </c>
      <c r="B104" s="2" t="s">
        <v>1548</v>
      </c>
      <c r="C104" s="2">
        <v>528</v>
      </c>
      <c r="D104" s="3">
        <v>16822</v>
      </c>
      <c r="E104" s="3">
        <v>99882</v>
      </c>
      <c r="F104" s="4">
        <v>1961059</v>
      </c>
      <c r="G104" s="11" cm="1">
        <f t="array" aca="1" ref="G104" ca="1">IFERROR(VLOOKUP("*" &amp; B104  &amp; "*" &amp; (MID(CELL("filename",A103),FIND("]",CELL("filename",A103))+1,31)) &amp; "*",CHOOSE({1,2}, Super_CBSA!$B$2:$B$1917, Super_CBSA!$A$2:$A$1917), 2,FALSE), IFERROR(VLOOKUP(B104  &amp; "*",CHOOSE({1,2}, Super_CBSA!$E$2:$E$1917, Super_CBSA!$A$2:$A$1917), 2,FALSE), ""))</f>
        <v>12060</v>
      </c>
    </row>
    <row r="105" spans="1:7" ht="17">
      <c r="A105" s="1" t="s">
        <v>1665</v>
      </c>
      <c r="B105" s="2" t="s">
        <v>1666</v>
      </c>
      <c r="C105" s="2">
        <v>198</v>
      </c>
      <c r="D105" s="3">
        <v>4828</v>
      </c>
      <c r="E105" s="3">
        <v>25554</v>
      </c>
      <c r="F105" s="4">
        <v>580936</v>
      </c>
      <c r="G105" s="11" t="str" cm="1">
        <f t="array" aca="1" ref="G105" ca="1">IFERROR(VLOOKUP("*" &amp; B105  &amp; "*" &amp; (MID(CELL("filename",A104),FIND("]",CELL("filename",A104))+1,31)) &amp; "*",CHOOSE({1,2}, Super_CBSA!$B$2:$B$1917, Super_CBSA!$A$2:$A$1917), 2,FALSE), IFERROR(VLOOKUP(B105  &amp; "*",CHOOSE({1,2}, Super_CBSA!$E$2:$E$1917, Super_CBSA!$A$2:$A$1917), 2,FALSE), ""))</f>
        <v/>
      </c>
    </row>
    <row r="106" spans="1:7" ht="17">
      <c r="A106" s="1" t="s">
        <v>1667</v>
      </c>
      <c r="B106" s="2" t="s">
        <v>1668</v>
      </c>
      <c r="C106" s="2">
        <v>387</v>
      </c>
      <c r="D106" s="3">
        <v>18504</v>
      </c>
      <c r="E106" s="3">
        <v>94690</v>
      </c>
      <c r="F106" s="4">
        <v>2282353</v>
      </c>
      <c r="G106" s="11" t="str" cm="1">
        <f t="array" aca="1" ref="G106" ca="1">IFERROR(VLOOKUP("*" &amp; B106  &amp; "*" &amp; (MID(CELL("filename",A105),FIND("]",CELL("filename",A105))+1,31)) &amp; "*",CHOOSE({1,2}, Super_CBSA!$B$2:$B$1917, Super_CBSA!$A$2:$A$1917), 2,FALSE), IFERROR(VLOOKUP(B106  &amp; "*",CHOOSE({1,2}, Super_CBSA!$E$2:$E$1917, Super_CBSA!$A$2:$A$1917), 2,FALSE), ""))</f>
        <v/>
      </c>
    </row>
    <row r="107" spans="1:7" ht="17">
      <c r="A107" s="1" t="s">
        <v>1669</v>
      </c>
      <c r="B107" s="2" t="s">
        <v>1670</v>
      </c>
      <c r="C107" s="2">
        <v>102</v>
      </c>
      <c r="D107" s="3">
        <v>6713</v>
      </c>
      <c r="E107" s="3">
        <v>26980</v>
      </c>
      <c r="F107" s="4">
        <v>893194</v>
      </c>
      <c r="G107" s="11" t="str" cm="1">
        <f t="array" aca="1" ref="G107" ca="1">IFERROR(VLOOKUP("*" &amp; B107  &amp; "*" &amp; (MID(CELL("filename",A106),FIND("]",CELL("filename",A106))+1,31)) &amp; "*",CHOOSE({1,2}, Super_CBSA!$B$2:$B$1917, Super_CBSA!$A$2:$A$1917), 2,FALSE), IFERROR(VLOOKUP(B107  &amp; "*",CHOOSE({1,2}, Super_CBSA!$E$2:$E$1917, Super_CBSA!$A$2:$A$1917), 2,FALSE), ""))</f>
        <v/>
      </c>
    </row>
    <row r="108" spans="1:7" ht="17">
      <c r="A108" s="1" t="s">
        <v>1671</v>
      </c>
      <c r="B108" s="2" t="s">
        <v>1672</v>
      </c>
      <c r="C108" s="2">
        <v>662</v>
      </c>
      <c r="D108" s="3">
        <v>40080</v>
      </c>
      <c r="E108" s="3">
        <v>195673</v>
      </c>
      <c r="F108" s="4">
        <v>4907791</v>
      </c>
      <c r="G108" s="11" t="str" cm="1">
        <f t="array" aca="1" ref="G108" ca="1">IFERROR(VLOOKUP("*" &amp; B108  &amp; "*" &amp; (MID(CELL("filename",A107),FIND("]",CELL("filename",A107))+1,31)) &amp; "*",CHOOSE({1,2}, Super_CBSA!$B$2:$B$1917, Super_CBSA!$A$2:$A$1917), 2,FALSE), IFERROR(VLOOKUP(B108  &amp; "*",CHOOSE({1,2}, Super_CBSA!$E$2:$E$1917, Super_CBSA!$A$2:$A$1917), 2,FALSE), ""))</f>
        <v/>
      </c>
    </row>
    <row r="109" spans="1:7" ht="17">
      <c r="A109" s="1" t="s">
        <v>1673</v>
      </c>
      <c r="B109" s="2" t="s">
        <v>1674</v>
      </c>
      <c r="C109" s="2">
        <v>202</v>
      </c>
      <c r="D109" s="3">
        <v>6871</v>
      </c>
      <c r="E109" s="3">
        <v>31733</v>
      </c>
      <c r="F109" s="4">
        <v>793954</v>
      </c>
      <c r="G109" s="11" t="str" cm="1">
        <f t="array" aca="1" ref="G109" ca="1">IFERROR(VLOOKUP("*" &amp; B109  &amp; "*" &amp; (MID(CELL("filename",A108),FIND("]",CELL("filename",A108))+1,31)) &amp; "*",CHOOSE({1,2}, Super_CBSA!$B$2:$B$1917, Super_CBSA!$A$2:$A$1917), 2,FALSE), IFERROR(VLOOKUP(B109  &amp; "*",CHOOSE({1,2}, Super_CBSA!$E$2:$E$1917, Super_CBSA!$A$2:$A$1917), 2,FALSE), ""))</f>
        <v/>
      </c>
    </row>
    <row r="110" spans="1:7" ht="17">
      <c r="A110" s="1" t="s">
        <v>1675</v>
      </c>
      <c r="B110" s="2" t="s">
        <v>1676</v>
      </c>
      <c r="C110" s="2">
        <v>294</v>
      </c>
      <c r="D110" s="3">
        <v>8229</v>
      </c>
      <c r="E110" s="3">
        <v>28236</v>
      </c>
      <c r="F110" s="4">
        <v>999541</v>
      </c>
      <c r="G110" s="11" t="str" cm="1">
        <f t="array" aca="1" ref="G110" ca="1">IFERROR(VLOOKUP("*" &amp; B110  &amp; "*" &amp; (MID(CELL("filename",A109),FIND("]",CELL("filename",A109))+1,31)) &amp; "*",CHOOSE({1,2}, Super_CBSA!$B$2:$B$1917, Super_CBSA!$A$2:$A$1917), 2,FALSE), IFERROR(VLOOKUP(B110  &amp; "*",CHOOSE({1,2}, Super_CBSA!$E$2:$E$1917, Super_CBSA!$A$2:$A$1917), 2,FALSE), ""))</f>
        <v/>
      </c>
    </row>
    <row r="111" spans="1:7" ht="17">
      <c r="A111" s="1" t="s">
        <v>1677</v>
      </c>
      <c r="B111" s="2" t="s">
        <v>1678</v>
      </c>
      <c r="C111" s="2">
        <v>160</v>
      </c>
      <c r="D111" s="3">
        <v>8337</v>
      </c>
      <c r="E111" s="3">
        <v>36482</v>
      </c>
      <c r="F111" s="4">
        <v>810313</v>
      </c>
      <c r="G111" s="11" t="str" cm="1">
        <f t="array" aca="1" ref="G111" ca="1">IFERROR(VLOOKUP("*" &amp; B111  &amp; "*" &amp; (MID(CELL("filename",A110),FIND("]",CELL("filename",A110))+1,31)) &amp; "*",CHOOSE({1,2}, Super_CBSA!$B$2:$B$1917, Super_CBSA!$A$2:$A$1917), 2,FALSE), IFERROR(VLOOKUP(B111  &amp; "*",CHOOSE({1,2}, Super_CBSA!$E$2:$E$1917, Super_CBSA!$A$2:$A$1917), 2,FALSE), ""))</f>
        <v/>
      </c>
    </row>
    <row r="112" spans="1:7" ht="17">
      <c r="A112" s="1" t="s">
        <v>1679</v>
      </c>
      <c r="B112" s="2" t="s">
        <v>1680</v>
      </c>
      <c r="C112" s="2">
        <v>426</v>
      </c>
      <c r="D112" s="3">
        <v>7824</v>
      </c>
      <c r="E112" s="3">
        <v>32337</v>
      </c>
      <c r="F112" s="4">
        <v>981969</v>
      </c>
      <c r="G112" s="11" cm="1">
        <f t="array" aca="1" ref="G112" ca="1">IFERROR(VLOOKUP("*" &amp; B112  &amp; "*" &amp; (MID(CELL("filename",A111),FIND("]",CELL("filename",A111))+1,31)) &amp; "*",CHOOSE({1,2}, Super_CBSA!$B$2:$B$1917, Super_CBSA!$A$2:$A$1917), 2,FALSE), IFERROR(VLOOKUP(B112  &amp; "*",CHOOSE({1,2}, Super_CBSA!$E$2:$E$1917, Super_CBSA!$A$2:$A$1917), 2,FALSE), ""))</f>
        <v>29300</v>
      </c>
    </row>
    <row r="113" spans="1:7" ht="17">
      <c r="A113" s="1" t="s">
        <v>1681</v>
      </c>
      <c r="B113" s="2" t="s">
        <v>1682</v>
      </c>
      <c r="C113" s="2">
        <v>0</v>
      </c>
      <c r="D113" s="2">
        <v>0</v>
      </c>
      <c r="E113" s="2">
        <v>0</v>
      </c>
      <c r="F113" s="4">
        <v>0</v>
      </c>
      <c r="G113" s="11" t="str" cm="1">
        <f t="array" aca="1" ref="G113" ca="1">IFERROR(VLOOKUP("*" &amp; B113  &amp; "*" &amp; (MID(CELL("filename",A112),FIND("]",CELL("filename",A112))+1,31)) &amp; "*",CHOOSE({1,2}, Super_CBSA!$B$2:$B$1917, Super_CBSA!$A$2:$A$1917), 2,FALSE), IFERROR(VLOOKUP(B113  &amp; "*",CHOOSE({1,2}, Super_CBSA!$E$2:$E$1917, Super_CBSA!$A$2:$A$1917), 2,FALSE), ""))</f>
        <v/>
      </c>
    </row>
    <row r="114" spans="1:7" ht="17">
      <c r="A114" s="2" t="s">
        <v>56</v>
      </c>
      <c r="B114" s="2"/>
      <c r="C114" s="3">
        <v>22521</v>
      </c>
      <c r="D114" s="3">
        <v>938605</v>
      </c>
      <c r="E114" s="3">
        <v>4721022</v>
      </c>
      <c r="F114" s="4">
        <v>109617058</v>
      </c>
    </row>
  </sheetData>
  <hyperlinks>
    <hyperlink ref="A2" r:id="rId1" display="https://www.ahd.com/free_profile/110226/_Emory_Hillandale_Hospital/Lithonia/Georgia/" xr:uid="{4B411C3C-A5B8-D64B-B31D-9EB90AC2E2C4}"/>
    <hyperlink ref="A3" r:id="rId2" display="https://www.ahd.com/free_profile/110023/AdventHealth_Gordon/Calhoun/Georgia/" xr:uid="{BD743D4E-2693-374C-B51D-49B823208EE3}"/>
    <hyperlink ref="A4" r:id="rId3" display="https://www.ahd.com/free_profile/110050/AdventHealth_Murray/Chatsworth/Georgia/" xr:uid="{B7AAA090-9843-6C4A-9127-5973BE954C4D}"/>
    <hyperlink ref="A5" r:id="rId4" display="https://www.ahd.com/free_profile/110071/Appling_Hospital/Baxley/Georgia/" xr:uid="{F5FB58DA-46A1-134F-8281-73BBAAD2A409}"/>
    <hyperlink ref="A6" r:id="rId5" display="https://www.ahd.com/free_profile/110038/Archbold_Medical_Center/Thomasville/Georgia/" xr:uid="{5A11C1F2-40EB-9C4E-AD40-C620B8A5B9EA}"/>
    <hyperlink ref="A7" r:id="rId6" display="https://www.ahd.com/free_profile/11083F/Atlanta_VA_Medical_Center/Decatur/Georgia/" xr:uid="{4D1DDAA3-CCEE-AF4D-86C4-40C93E8AFEE5}"/>
    <hyperlink ref="A8" r:id="rId7" display="https://www.ahd.com/free_profile/110034/Augusta_University_Medical_Center/Augusta/Georgia/" xr:uid="{FF0A4605-5079-5649-B797-048B368DD1FC}"/>
    <hyperlink ref="A9" r:id="rId8" display="https://www.ahd.com/free_profile/110113/Burke_Medical_Center/Waynesboro/Georgia/" xr:uid="{7AF6E590-DD0E-B34A-959A-64086822BC10}"/>
    <hyperlink ref="A10" r:id="rId9" display="https://www.ahd.com/free_profile/110233/Cancer_Treatment_Centers_of_America_Atlanta/Newnan/Georgia/" xr:uid="{51714241-4AA5-CE45-B3E7-3940D5098395}"/>
    <hyperlink ref="A11" r:id="rId10" display="https://www.ahd.com/free_profile/110024/Candler_Hospital/Savannah/Georgia/" xr:uid="{DD6B4029-AA39-EB42-916D-038FF94805CD}"/>
    <hyperlink ref="A12" r:id="rId11" display="https://www.ahd.com/free_profile/110030/Cartersville_Medical_Center/Cartersville/Georgia/" xr:uid="{5F562F53-6F7B-9B49-809D-76CAFACB6B05}"/>
    <hyperlink ref="A13" r:id="rId12" display="https://www.ahd.com/free_profile/11030F/Charlie_Norwood_VA_Medical_Center/Augusta/Georgia/" xr:uid="{F50AF106-6158-9E45-AB2F-45C24F85B062}"/>
    <hyperlink ref="A14" r:id="rId13" display="https://www.ahd.com/free_profile/110236/CHI_Memorial_Hospital_Georgia/Fort_Oglethorpe/Georgia/" xr:uid="{BCAE5E0B-7550-2446-BEF6-0F605F2D0099}"/>
    <hyperlink ref="A15" r:id="rId14" display="https://www.ahd.com/free_profile/110089/Coffee_Regional_Medical_Center/Douglas/Georgia/" xr:uid="{87C2106A-6D42-944D-8658-3B844483A019}"/>
    <hyperlink ref="A16" r:id="rId15" display="https://www.ahd.com/free_profile/110164/Coliseum_Medical_Center/Macon/Georgia/" xr:uid="{FD93952F-92E5-2A40-AFAB-8C3BBB30C99D}"/>
    <hyperlink ref="A17" r:id="rId16" display="https://www.ahd.com/free_profile/110201/Coliseum_Northside_Hospital/Macon/Georgia/" xr:uid="{1BAD5EA2-EC73-934A-B4A2-BABE88867A46}"/>
    <hyperlink ref="A18" r:id="rId17" display="https://www.ahd.com/free_profile/110105/Colquitt_Regional_Medical_Center/Moultrie/Georgia/" xr:uid="{862DB1A1-B568-1D46-A4D3-F157D25303FC}"/>
    <hyperlink ref="A19" r:id="rId18" display="https://www.ahd.com/free_profile/110104/Crisp_Regional_Hospital/Cordele/Georgia/" xr:uid="{90334D88-0956-7147-89D5-E31E4008C047}"/>
    <hyperlink ref="A20" r:id="rId19" display="https://www.ahd.com/free_profile/110177/Doctors_Hospital_of_Augusta/Augusta/Georgia/" xr:uid="{2A44A0EB-4E68-DA47-B18C-BB317DAF3043}"/>
    <hyperlink ref="A21" r:id="rId20" display="https://www.ahd.com/free_profile/110092/Dodge_County_Hospital/Eastman/Georgia/" xr:uid="{FE57FF2A-F615-304C-9A77-E264975B2712}"/>
    <hyperlink ref="A22" r:id="rId21" display="https://www.ahd.com/free_profile/110194/Donalsonville_Hospital/Donalsonville/Georgia/" xr:uid="{8338740A-FAA5-0345-A613-BCF8A05F5379}"/>
    <hyperlink ref="A23" r:id="rId22" display="https://www.ahd.com/free_profile/110073/Dorminy_Medical_Center/Fitzgerald/Georgia/" xr:uid="{C78F2D0E-2BFA-6D40-A1C2-1FC59D971A82}"/>
    <hyperlink ref="A24" r:id="rId23" display="https://www.ahd.com/free_profile/11031F/Dublin_VA_Medical_Center/Dublin/Georgia/" xr:uid="{DE47DE32-9D3A-2047-87E7-49819E88E552}"/>
    <hyperlink ref="A25" r:id="rId24" display="https://www.ahd.com/free_profile/110075/East_Georgia_Regional_Medical_Center/Statesboro/Georgia/" xr:uid="{05EB0C2B-CC48-3B4F-ABCC-EAFD4543824F}"/>
    <hyperlink ref="A26" r:id="rId25" display="https://www.ahd.com/free_profile/110192/Eastside_Medical_Center/Snellville/Georgia/" xr:uid="{DCFD3C11-0B56-3B47-A8ED-3BB39A578A46}"/>
    <hyperlink ref="A27" r:id="rId26" display="https://www.ahd.com/free_profile/11033F/Eisenhower_Army_Medical_Center/Fort_Gordon/Georgia/" xr:uid="{76C53459-62C6-C34C-AFA9-58FF47A5E92B}"/>
    <hyperlink ref="A28" r:id="rId27" display="https://www.ahd.com/free_profile/110026/Elbert_Memorial_Hospital/Elberton/Georgia/" xr:uid="{745FDAB9-EBC0-194B-A11E-0BEA622E2B62}"/>
    <hyperlink ref="A29" r:id="rId28" display="https://www.ahd.com/free_profile/110109/Emanuel_Medical_Center/Swainsboro/Georgia/" xr:uid="{BDF015C2-457F-0B44-BE74-1A43CD710DBF}"/>
    <hyperlink ref="A30" r:id="rId29" display="https://www.ahd.com/free_profile/110076/Emory_Decatur_Hospital/Decatur/Georgia/" xr:uid="{8AC6FB57-7034-DF49-939E-77A973BDAE6E}"/>
    <hyperlink ref="A31" r:id="rId30" display="https://www.ahd.com/free_profile/110230/Emory_Johns_Creek_Hospital/Johns_Creek/Georgia/" xr:uid="{FFEA22A0-1E24-BF43-8A5E-BFA6170074D4}"/>
    <hyperlink ref="A32" r:id="rId31" display="https://www.ahd.com/free_profile/110082/Emory_Saint_Joseph%27s_Hospital_/Atlanta/Georgia/" xr:uid="{CA50708A-9692-E940-BDF4-D5A61BD33371}"/>
    <hyperlink ref="A33" r:id="rId32" display="https://www.ahd.com/free_profile/110010/Emory_University_Hospital/Atlanta/Georgia/" xr:uid="{5D323227-42DD-374D-941E-A5C5F4A33C3C}"/>
    <hyperlink ref="A34" r:id="rId33" display="https://www.ahd.com/free_profile/110203/Emory_University_Hospital_at_Wesley_Woods_/Atlanta/Georgia/" xr:uid="{E00DB084-BB68-2341-A2A9-E06D492A95D4}"/>
    <hyperlink ref="A35" r:id="rId34" display="https://www.ahd.com/free_profile/110078/Emory_University_Hospital_Midtown/Atlanta/Georgia/" xr:uid="{EB36167B-B3F3-DD43-BAEC-CCF31991ED89}"/>
    <hyperlink ref="A36" r:id="rId35" display="https://www.ahd.com/free_profile/I41665/Emory_University_Orthopaedics_%26_Spine_Hospital/Tucker/Georgia/" xr:uid="{AF04C292-5FEC-2E45-B87C-C342515A36BA}"/>
    <hyperlink ref="A37" r:id="rId36" display="https://www.ahd.com/free_profile/110142/Evans_Memorial_Hospital/Claxton/Georgia/" xr:uid="{9396B4C9-2FC2-9045-BD48-570A41B73AB8}"/>
    <hyperlink ref="A38" r:id="rId37" display="https://www.ahd.com/free_profile/110125/Fairview_Park_Hospital/Dublin/Georgia/" xr:uid="{21450E87-2D55-B540-8120-EBA50E706C78}"/>
    <hyperlink ref="A39" r:id="rId38" display="https://www.ahd.com/free_profile/110189/Fannin_Regional_Hospital/Blue_Ridge/Georgia/" xr:uid="{DC45ACBC-0D6E-144B-B535-C24CACD115FC}"/>
    <hyperlink ref="A40" r:id="rId39" display="https://www.ahd.com/free_profile/110190/Flint_River_Community_Hospital/Montezuma/Georgia/" xr:uid="{7C8174C0-7432-E142-93C1-08FA126B0AFC}"/>
    <hyperlink ref="A41" r:id="rId40" display="https://www.ahd.com/free_profile/110054/Floyd_Medical_Center/Rome/Georgia/" xr:uid="{DF709F57-41C8-9F44-975D-6D6C33EA778A}"/>
    <hyperlink ref="A42" r:id="rId41" display="https://www.ahd.com/free_profile/110121/Grady_General_Hospital_/Cairo/Georgia/" xr:uid="{AF30C1DD-59ED-CE49-B0AD-2B9CB4B5E1C5}"/>
    <hyperlink ref="A43" r:id="rId42" display="https://www.ahd.com/free_profile/110079/Grady_Memorial_Hospital/Atlanta/Georgia/" xr:uid="{2EB05CA0-C859-B24B-BF9A-8E2F17EAD311}"/>
    <hyperlink ref="A44" r:id="rId43" display="https://www.ahd.com/free_profile/110041/Habersham_Medical_Center/Demorest/Georgia/" xr:uid="{D19D93B7-7113-C949-A1BD-B1A503D8CBEA}"/>
    <hyperlink ref="A45" r:id="rId44" display="https://www.ahd.com/free_profile/110001/Hamilton_Medical_Center/Dalton/Georgia/" xr:uid="{AB6436BE-E828-D44D-BC03-B7B43C5A01E6}"/>
    <hyperlink ref="A46" r:id="rId45" display="https://www.ahd.com/free_profile/110069/Houston_Medical_Center/Warner_Robins/Georgia/" xr:uid="{53378FBC-7EC4-774D-94A0-D420320892AF}"/>
    <hyperlink ref="A47" r:id="rId46" display="https://www.ahd.com/free_profile/110130/Irwin_County_Hospital/Ocilla/Georgia/" xr:uid="{B4A97529-D804-2447-81CB-7E112FA8823A}"/>
    <hyperlink ref="A48" r:id="rId47" display="https://www.ahd.com/free_profile/110100/Jefferson_Hospital/Louisville/Georgia/" xr:uid="{4076E7CB-0CE8-B243-BFCA-5814C8F935B0}"/>
    <hyperlink ref="A49" r:id="rId48" display="https://www.ahd.com/free_profile/11032F/Martin_Army_Community_Hospital/Fort_Benning/Georgia/" xr:uid="{CC6E4060-E091-ED47-A2F1-C86B6F1405B0}"/>
    <hyperlink ref="A50" r:id="rId49" display="https://www.ahd.com/free_profile/110128/Meadows_Regional_Medical_Center/Vidalia/Georgia/" xr:uid="{84A58EC6-27D5-A445-9637-3E74590F41CB}"/>
    <hyperlink ref="A51" r:id="rId50" display="https://www.ahd.com/free_profile/110107/Medical_Center_Navicent_Health/Macon/Georgia/" xr:uid="{7E4FB28C-F2CC-534E-BE9E-38304F25A805}"/>
    <hyperlink ref="A52" r:id="rId51" display="https://www.ahd.com/free_profile/110036/Memorial_Health_University_Medical_Center/Savannah/Georgia/" xr:uid="{C579321D-0839-8B4D-BD2C-7F190AA08229}"/>
    <hyperlink ref="A53" r:id="rId52" display="https://www.ahd.com/free_profile/110132/Memorial_Hospital_and_Manor/Bainbridge/Georgia/" xr:uid="{81651DC0-06D4-8645-9FD0-B9A4035209A3}"/>
    <hyperlink ref="A54" r:id="rId53" display="https://www.ahd.com/free_profile/110003/Memorial_Satilla_Health/Waycross/Georgia/" xr:uid="{14FBDE00-C9E9-8442-BA80-A880AFC845F0}"/>
    <hyperlink ref="A55" r:id="rId54" display="https://www.ahd.com/free_profile/110150/Navicent_Health_Baldwin/Milledgeville/Georgia/" xr:uid="{E63C2A93-7A12-3B4C-9713-04C4D7495731}"/>
    <hyperlink ref="A56" r:id="rId55" display="https://www.ahd.com/free_profile/110045/Northeast_Georgia_Medical_Center_Barrow/Winder/Georgia/" xr:uid="{81C7BF61-7EE7-D34C-A5CA-2EB3B47E053D}"/>
    <hyperlink ref="A57" r:id="rId56" display="https://www.ahd.com/free_profile/I42018/Northeast_Georgia_Medical_Center_Braselton/Braselton/Georgia/" xr:uid="{03E41F8B-8D85-AD43-834D-CC3C71B218B4}"/>
    <hyperlink ref="A58" r:id="rId57" display="https://www.ahd.com/free_profile/110029/Northeast_Georgia_Medical_Center_Gainesville/Gainesville/Georgia/" xr:uid="{638C64F0-7D70-DF48-8D1A-3D7224522ACF}"/>
    <hyperlink ref="A59" r:id="rId58" display="https://www.ahd.com/free_profile/110040/Northridge_Medical_Center/Commerce/Georgia/" xr:uid="{40EAD918-5279-494A-9B7C-77581B17C1C4}"/>
    <hyperlink ref="A60" r:id="rId59" display="https://www.ahd.com/free_profile/110161/Northside_Hospital_Atlanta/Atlanta/Georgia/" xr:uid="{3541CF4E-32BE-964A-8BB3-B9CC1524F815}"/>
    <hyperlink ref="A61" r:id="rId60" display="https://www.ahd.com/free_profile/110008/Northside_Hospital_Cherokee/Canton/Georgia/" xr:uid="{846915F5-318A-D045-B923-E1850F45B9E7}"/>
    <hyperlink ref="A62" r:id="rId61" display="https://www.ahd.com/free_profile/I41270/Northside_Hospital_Duluth_/Duluth/Georgia/" xr:uid="{33D31030-8630-484A-8BA8-E288C42C3DFF}"/>
    <hyperlink ref="A63" r:id="rId62" display="https://www.ahd.com/free_profile/110005/Northside_Hospital_Forsyth/Cumming/Georgia/" xr:uid="{34CEB832-9634-F34C-BF27-0908690CD8BA}"/>
    <hyperlink ref="A64" r:id="rId63" display="https://www.ahd.com/free_profile/110087/Northside_Hospital_Gwinnett/Lawrenceville/Georgia/" xr:uid="{51D5B63E-3B38-5044-A060-8851529BCA5A}"/>
    <hyperlink ref="A65" r:id="rId64" display="https://www.ahd.com/free_profile/110153/Perry_Hospital/Perry/Georgia/" xr:uid="{05333767-CB9D-2449-BFC0-CD14DCBFFDA8}"/>
    <hyperlink ref="A66" r:id="rId65" display="https://www.ahd.com/free_profile/110007/Phoebe_Putney_Memorial_Hospital/Albany/Georgia/" xr:uid="{DBAC7029-6040-6345-B984-B22BFC86F470}"/>
    <hyperlink ref="A67" r:id="rId66" display="https://www.ahd.com/free_profile/110163/Phoebe_Putney_Memorial_Hospital_North_Campus/Albany/Georgia/" xr:uid="{E8DF2EF8-116D-F049-A855-086AB3E8C428}"/>
    <hyperlink ref="A68" r:id="rId67" display="https://www.ahd.com/free_profile/110044/Phoebe_Sumter_Medical_Center/Americus/Georgia/" xr:uid="{B5A5BC34-CF8E-7641-BFA1-0365146E7020}"/>
    <hyperlink ref="A69" r:id="rId68" display="https://www.ahd.com/free_profile/110074/Piedmont_Athens_Regional/Athens/Georgia/" xr:uid="{6A832B58-7F87-614C-B714-2979F67541E7}"/>
    <hyperlink ref="A70" r:id="rId69" display="https://www.ahd.com/free_profile/110083/Piedmont_Atlanta_Hospital/Atlanta/Georgia/" xr:uid="{3B31C927-3A8D-EF45-83E0-6AB6863C8B75}"/>
    <hyperlink ref="A71" r:id="rId70" display="https://www.ahd.com/free_profile/110064/Piedmont_Columbus_Regional_-_Midtown_Campus/Columbus/Georgia/" xr:uid="{42847BFA-74C5-9F49-B32E-EF3DA9079F46}"/>
    <hyperlink ref="A72" r:id="rId71" display="https://www.ahd.com/free_profile/110200/Piedmont_Columbus_Regional_-_Northside/Columbus/Georgia/" xr:uid="{DF03DB49-55DD-5A45-BAAE-8E73EC401800}"/>
    <hyperlink ref="A73" r:id="rId72" display="https://www.ahd.com/free_profile/110215/Piedmont_Fayette_Hospital/Fayetteville/Georgia/" xr:uid="{EC1FF4CE-4DE5-C344-9846-C7422388EB69}"/>
    <hyperlink ref="A74" r:id="rId73" display="https://www.ahd.com/free_profile/110191/Piedmont_Henry_Hospital/Stockbridge/Georgia/" xr:uid="{4EB099AF-DE1F-C244-B0D3-41586017A472}"/>
    <hyperlink ref="A75" r:id="rId74" display="https://www.ahd.com/free_profile/110225/Piedmont_Mountainside_Hospital/Jasper/Georgia/" xr:uid="{2085FA23-2A37-1C4B-8A0C-22A8EEA4EB41}"/>
    <hyperlink ref="A76" r:id="rId75" display="https://www.ahd.com/free_profile/110229/Piedmont_Newnan_Hospital/Newnan/Georgia/" xr:uid="{A87DD7D6-019F-A340-9C6D-BC11395ED1F9}"/>
    <hyperlink ref="A77" r:id="rId76" display="https://www.ahd.com/free_profile/110018/Piedmont_Newton_Hospital/Covington/Georgia/" xr:uid="{C9B00490-0BE3-CF47-B37B-01C1559B42E8}"/>
    <hyperlink ref="A78" r:id="rId77" display="https://www.ahd.com/free_profile/110091/Piedmont_Rockdale_Hospital/Conyers/Georgia/" xr:uid="{6802F710-4EA3-7943-A476-0E53FC19AE61}"/>
    <hyperlink ref="A79" r:id="rId78" display="https://www.ahd.com/free_profile/110046/Piedmont_Walton/Monroe/Georgia/" xr:uid="{B9A27E14-E286-344A-A7C8-F513BA3FFF27}"/>
    <hyperlink ref="A80" r:id="rId79" display="https://www.ahd.com/free_profile/110168/Redmond_Regional_Medical_Center/Rome/Georgia/" xr:uid="{0F88721D-85CF-B649-967F-FB2B4D5D2E58}"/>
    <hyperlink ref="A81" r:id="rId80" display="https://www.ahd.com/free_profile/110129/Saint_Francis_Hospital/Columbus/Georgia/" xr:uid="{6147A0A3-D9AD-0D48-9904-90B3F91990D5}"/>
    <hyperlink ref="A82" r:id="rId81" display="https://www.ahd.com/free_profile/110043/Saint_Joseph%27s_Hospital/Savannah/Georgia/" xr:uid="{EC220974-7CE3-8D45-A5B2-1DDC68195343}"/>
    <hyperlink ref="A83" r:id="rId82" display="https://www.ahd.com/free_profile/110027/Saint_Mary%27s_Sacred_Heart_Hospital_/Lavonia_/Georgia/" xr:uid="{FD35999D-C8F4-CB45-8A02-BF59A281D2E1}"/>
    <hyperlink ref="A84" r:id="rId83" display="https://www.ahd.com/free_profile/110234/SGMC_Berrien_Campus/Nashville/Georgia/" xr:uid="{982A6146-E3AC-E840-9F38-640D4F0B916E}"/>
    <hyperlink ref="A85" r:id="rId84" display="https://www.ahd.com/free_profile/110122/South_Georgia_Medical_Center/Valdosta/Georgia/" xr:uid="{481BD6A1-BB6B-5041-A0D5-DDF57B19F411}"/>
    <hyperlink ref="A86" r:id="rId85" display="https://www.ahd.com/free_profile/110025/Southeast_Georgia_Health_System_-_Brunswick_Campus/Brunswick/Georgia/" xr:uid="{EAD775C8-C49A-AE44-BEA9-359DE1AC4275}"/>
    <hyperlink ref="A87" r:id="rId86" display="https://www.ahd.com/free_profile/110146/Southeast_Georgia_Health_System_-_Camden_Campus/Saint_Marys/Georgia/" xr:uid="{E22A7876-13D1-2042-9456-0986BB5B2AC2}"/>
    <hyperlink ref="A88" r:id="rId87" display="https://www.ahd.com/free_profile/110165/Southern_Regional_Medical_Center/Riverdale/Georgia/" xr:uid="{188D6C29-BD1C-8446-97D9-271791D7126B}"/>
    <hyperlink ref="A89" r:id="rId88" display="https://www.ahd.com/free_profile/110101/Southwell_Medical/Adel/Georgia/" xr:uid="{83836F13-1A1D-964C-AC05-9E9658324D1F}"/>
    <hyperlink ref="A90" r:id="rId89" display="https://www.ahd.com/free_profile/110006/St_Mary%27s_Hospital/Athens/Georgia/" xr:uid="{E8E2F2DF-E9A5-6546-B7C7-7B3BE3D5D1E8}"/>
    <hyperlink ref="A91" r:id="rId90" display="https://www.ahd.com/free_profile/110032/Stephens_County_Hospital/Toccoa/Georgia/" xr:uid="{762A8972-DCA5-7548-8F18-3890FFF66A2A}"/>
    <hyperlink ref="A92" r:id="rId91" display="https://www.ahd.com/free_profile/110011/Tanner_Medical_Center_Carrollton/Carrollton/Georgia/" xr:uid="{BF51A5FB-213C-9844-9688-F2F63B5A7DBA}"/>
    <hyperlink ref="A93" r:id="rId92" display="https://www.ahd.com/free_profile/110015/Tanner_Medical_Center_Villa_Rica/Villa_Rica/Georgia/" xr:uid="{8205451D-CB49-2249-9BAD-CD4B51FD7D9C}"/>
    <hyperlink ref="A94" r:id="rId93" display="https://www.ahd.com/free_profile/110135/Taylor_Regional_Hospital/Hawkinsville/Georgia/" xr:uid="{182BB583-9CEC-4E41-AC49-8DB46147A9F6}"/>
    <hyperlink ref="A95" r:id="rId94" display="https://www.ahd.com/free_profile/110095/Tift_Regional_Medical_Center/Tifton/Georgia/" xr:uid="{F4541E36-8455-D54F-8795-8E0E96E1F838}"/>
    <hyperlink ref="A96" r:id="rId95" display="https://www.ahd.com/free_profile/110209/Turning_Point_Care_Center/Moultrie/Georgia/" xr:uid="{163F4F23-C8F1-5E41-9048-4A0698169B60}"/>
    <hyperlink ref="A97" r:id="rId96" display="https://www.ahd.com/free_profile/110051/Union_General_Hospital/Blairsville/Georgia/" xr:uid="{A7890CC8-EBCA-4944-96EF-AF75F062B2E4}"/>
    <hyperlink ref="A98" r:id="rId97" display="https://www.ahd.com/free_profile/110028/University_Hospital/Augusta/Georgia/" xr:uid="{4C724422-391D-7740-9209-FE3BD94691B6}"/>
    <hyperlink ref="A99" r:id="rId98" display="https://www.ahd.com/free_profile/110111/University_Hospital_McDuffie/Thomson/Georgia/" xr:uid="{DA963719-AD18-2547-9FF3-FB7C5A771869}"/>
    <hyperlink ref="A100" r:id="rId99" display="https://www.ahd.com/free_profile/110039/University_Hospital_Summerville/Augusta/Georgia/" xr:uid="{1C276971-E92C-664C-A4C6-B2AD07124021}"/>
    <hyperlink ref="A101" r:id="rId100" display="https://www.ahd.com/free_profile/110002/Upson_Regional_Medical_Center/Thomaston/Georgia/" xr:uid="{8AE22501-667D-164C-8D71-AE504AF6CD0D}"/>
    <hyperlink ref="A102" r:id="rId101" display="https://www.ahd.com/free_profile/110086/Washington_County_Regional_Medical_Center/Sandersville/Georgia/" xr:uid="{3BB6232D-DA64-4245-8013-852422998D5A}"/>
    <hyperlink ref="A103" r:id="rId102" display="https://www.ahd.com/free_profile/110124/Wayne_Memorial_Hospital/Jesup/Georgia/" xr:uid="{A38522E4-C088-E840-9581-927D17C8212C}"/>
    <hyperlink ref="A104" r:id="rId103" display="https://www.ahd.com/free_profile/110115/WellStar_Atlanta_Medical_Center/Atlanta/Georgia/" xr:uid="{57CA6C2A-B2A5-EE4A-8428-3EC496595A18}"/>
    <hyperlink ref="A105" r:id="rId104" display="https://www.ahd.com/free_profile/110219/WellStar_Atlanta_Medical_Center_-_South_Campus/East_Point/Georgia/" xr:uid="{0A0CFC03-2236-3540-B97B-F0B940686292}"/>
    <hyperlink ref="A106" r:id="rId105" display="https://www.ahd.com/free_profile/110143/WellStar_Cobb_Hospital/Austell/Georgia/" xr:uid="{06497E7F-2DCE-C94D-87D0-2DA2E7DA01A5}"/>
    <hyperlink ref="A107" r:id="rId106" display="https://www.ahd.com/free_profile/110184/WellStar_Douglas_Hospital/Douglasville/Georgia/" xr:uid="{DE476DF8-7AC8-B94D-B824-A2A8D0D863D7}"/>
    <hyperlink ref="A108" r:id="rId107" display="https://www.ahd.com/free_profile/110035/WellStar_Kennestone_Hospital/Marietta/Georgia/" xr:uid="{D34C4E10-81E5-D14D-986B-AC4B62B887BD}"/>
    <hyperlink ref="A109" r:id="rId108" display="https://www.ahd.com/free_profile/110198/WellStar_North_Fulton_Regional_Hospital/Roswell/Georgia/" xr:uid="{808E56D5-FB0E-7543-A63C-25F48678EF79}"/>
    <hyperlink ref="A110" r:id="rId109" display="https://www.ahd.com/free_profile/110042/WellStar_Paulding_Hospital/Hiram/Georgia/" xr:uid="{78C22488-880B-B346-A979-4E7CB4CACED0}"/>
    <hyperlink ref="A111" r:id="rId110" display="https://www.ahd.com/free_profile/110031/WellStar_Spalding_Regional_Hospital/Griffin/Georgia/" xr:uid="{31C44525-7090-5741-AED8-5A81E11B8EF2}"/>
    <hyperlink ref="A112" r:id="rId111" display="https://www.ahd.com/free_profile/110016/WellStar_West_Georgia_Medical_Center/LaGrange/Georgia/" xr:uid="{0EBDF3BC-2135-8240-AF41-287FB369B132}"/>
    <hyperlink ref="A113" r:id="rId112" display="https://www.ahd.com/free_profile/11035F/Winn_Army_Community_Hospital/Fort_Stewart/Georgia/" xr:uid="{F6752CCD-3760-6E4B-B4C6-310282FE195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8CB50-0036-2746-959C-EC6B9F784246}">
  <sheetPr codeName="Sheet13"/>
  <dimension ref="A1:G16"/>
  <sheetViews>
    <sheetView workbookViewId="0">
      <selection activeCell="G2" sqref="G2:G15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1683</v>
      </c>
      <c r="B2" s="2" t="s">
        <v>1684</v>
      </c>
      <c r="C2" s="2">
        <v>160</v>
      </c>
      <c r="D2" s="3">
        <v>7708</v>
      </c>
      <c r="E2" s="3">
        <v>32760</v>
      </c>
      <c r="F2" s="4">
        <v>478872</v>
      </c>
      <c r="G2" s="11" t="str" cm="1">
        <f t="array" aca="1" ref="G2" ca="1">IFERROR(VLOOKUP("*" &amp; B2  &amp; "*" &amp; (MID(CELL("filename",A1),FIND("]",CELL("filename",A1))+1,31)) &amp; "*",CHOOSE({1,2}, Super_CBSA!$B$2:$B$1917, Super_CBSA!$A$2:$A$1917), 2,FALSE), IFERROR(VLOOKUP(B2  &amp; "*",CHOOSE({1,2}, Super_CBSA!$E$2:$E$1917, Super_CBSA!$A$2:$A$1917), 2,FALSE), ""))</f>
        <v/>
      </c>
    </row>
    <row r="3" spans="1:7" ht="17">
      <c r="A3" s="1" t="s">
        <v>1685</v>
      </c>
      <c r="B3" s="2" t="s">
        <v>1686</v>
      </c>
      <c r="C3" s="2">
        <v>276</v>
      </c>
      <c r="D3" s="3">
        <v>7459</v>
      </c>
      <c r="E3" s="3">
        <v>43189</v>
      </c>
      <c r="F3" s="4">
        <v>498374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"*",CHOOSE({1,2}, Super_CBSA!$E$2:$E$1917, Super_CBSA!$A$2:$A$1917), 2,FALSE), ""))</f>
        <v>25900</v>
      </c>
    </row>
    <row r="4" spans="1:7" ht="17">
      <c r="A4" s="1" t="s">
        <v>1687</v>
      </c>
      <c r="B4" s="2" t="s">
        <v>1688</v>
      </c>
      <c r="C4" s="2">
        <v>295</v>
      </c>
      <c r="D4" s="3">
        <v>11715</v>
      </c>
      <c r="E4" s="3">
        <v>69059</v>
      </c>
      <c r="F4" s="4">
        <v>0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"*",CHOOSE({1,2}, Super_CBSA!$E$2:$E$1917, Super_CBSA!$A$2:$A$1917), 2,FALSE), ""))</f>
        <v>46520</v>
      </c>
    </row>
    <row r="5" spans="1:7" ht="17">
      <c r="A5" s="1" t="s">
        <v>1689</v>
      </c>
      <c r="B5" s="2" t="s">
        <v>1690</v>
      </c>
      <c r="C5" s="2">
        <v>94</v>
      </c>
      <c r="D5" s="3">
        <v>3276</v>
      </c>
      <c r="E5" s="3">
        <v>17098</v>
      </c>
      <c r="F5" s="4">
        <v>209616</v>
      </c>
      <c r="G5" s="11" t="str" cm="1">
        <f t="array" aca="1" ref="G5" ca="1">IFERROR(VLOOKUP("*" &amp; B5  &amp; "*" &amp; (MID(CELL("filename",A4),FIND("]",CELL("filename",A4))+1,31)) &amp; "*",CHOOSE({1,2}, Super_CBSA!$B$2:$B$1917, Super_CBSA!$A$2:$A$1917), 2,FALSE), IFERROR(VLOOKUP(B5  &amp; "*",CHOOSE({1,2}, Super_CBSA!$E$2:$E$1917, Super_CBSA!$A$2:$A$1917), 2,FALSE), ""))</f>
        <v/>
      </c>
    </row>
    <row r="6" spans="1:7" ht="17">
      <c r="A6" s="1" t="s">
        <v>1691</v>
      </c>
      <c r="B6" s="2" t="s">
        <v>1688</v>
      </c>
      <c r="C6" s="2">
        <v>357</v>
      </c>
      <c r="D6" s="3">
        <v>3485</v>
      </c>
      <c r="E6" s="3">
        <v>21598</v>
      </c>
      <c r="F6" s="4">
        <v>335222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"*",CHOOSE({1,2}, Super_CBSA!$E$2:$E$1917, Super_CBSA!$A$2:$A$1917), 2,FALSE), ""))</f>
        <v>46520</v>
      </c>
    </row>
    <row r="7" spans="1:7" ht="17">
      <c r="A7" s="1" t="s">
        <v>1692</v>
      </c>
      <c r="B7" s="2" t="s">
        <v>1693</v>
      </c>
      <c r="C7" s="2">
        <v>219</v>
      </c>
      <c r="D7" s="3">
        <v>8890</v>
      </c>
      <c r="E7" s="3">
        <v>58693</v>
      </c>
      <c r="F7" s="4">
        <v>726399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"*",CHOOSE({1,2}, Super_CBSA!$E$2:$E$1917, Super_CBSA!$A$2:$A$1917), 2,FALSE), ""))</f>
        <v>27980</v>
      </c>
    </row>
    <row r="8" spans="1:7" ht="17">
      <c r="A8" s="1" t="s">
        <v>1694</v>
      </c>
      <c r="B8" s="2" t="s">
        <v>1695</v>
      </c>
      <c r="C8" s="2">
        <v>33</v>
      </c>
      <c r="D8" s="3">
        <v>1709</v>
      </c>
      <c r="E8" s="3">
        <v>5420</v>
      </c>
      <c r="F8" s="4">
        <v>199563</v>
      </c>
      <c r="G8" s="11" t="str" cm="1">
        <f t="array" aca="1" ref="G8" ca="1">IFERROR(VLOOKUP("*" &amp; B8  &amp; "*" &amp; (MID(CELL("filename",A7),FIND("]",CELL("filename",A7))+1,31)) &amp; "*",CHOOSE({1,2}, Super_CBSA!$B$2:$B$1917, Super_CBSA!$A$2:$A$1917), 2,FALSE), IFERROR(VLOOKUP(B8  &amp; "*",CHOOSE({1,2}, Super_CBSA!$E$2:$E$1917, Super_CBSA!$A$2:$A$1917), 2,FALSE), ""))</f>
        <v/>
      </c>
    </row>
    <row r="9" spans="1:7" ht="17">
      <c r="A9" s="1" t="s">
        <v>1696</v>
      </c>
      <c r="B9" s="2" t="s">
        <v>1697</v>
      </c>
      <c r="C9" s="2">
        <v>118</v>
      </c>
      <c r="D9" s="3">
        <v>5656</v>
      </c>
      <c r="E9" s="3">
        <v>32917</v>
      </c>
      <c r="F9" s="4">
        <v>751154</v>
      </c>
      <c r="G9" s="11" t="str" cm="1">
        <f t="array" aca="1" ref="G9" ca="1">IFERROR(VLOOKUP("*" &amp; B9  &amp; "*" &amp; (MID(CELL("filename",A8),FIND("]",CELL("filename",A8))+1,31)) &amp; "*",CHOOSE({1,2}, Super_CBSA!$B$2:$B$1917, Super_CBSA!$A$2:$A$1917), 2,FALSE), IFERROR(VLOOKUP(B9  &amp; "*",CHOOSE({1,2}, Super_CBSA!$E$2:$E$1917, Super_CBSA!$A$2:$A$1917), 2,FALSE), ""))</f>
        <v/>
      </c>
    </row>
    <row r="10" spans="1:7" ht="17">
      <c r="A10" s="1" t="s">
        <v>1698</v>
      </c>
      <c r="B10" s="2" t="s">
        <v>1688</v>
      </c>
      <c r="C10" s="2">
        <v>159</v>
      </c>
      <c r="D10" s="3">
        <v>6379</v>
      </c>
      <c r="E10" s="3">
        <v>38433</v>
      </c>
      <c r="F10" s="4">
        <v>1251708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"*",CHOOSE({1,2}, Super_CBSA!$E$2:$E$1917, Super_CBSA!$A$2:$A$1917), 2,FALSE), ""))</f>
        <v>46520</v>
      </c>
    </row>
    <row r="11" spans="1:7" ht="17">
      <c r="A11" s="1" t="s">
        <v>1699</v>
      </c>
      <c r="B11" s="2" t="s">
        <v>1688</v>
      </c>
      <c r="C11" s="2">
        <v>650</v>
      </c>
      <c r="D11" s="3">
        <v>28353</v>
      </c>
      <c r="E11" s="3">
        <v>179953</v>
      </c>
      <c r="F11" s="4">
        <v>3224693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"*",CHOOSE({1,2}, Super_CBSA!$E$2:$E$1917, Super_CBSA!$A$2:$A$1917), 2,FALSE), ""))</f>
        <v>46520</v>
      </c>
    </row>
    <row r="12" spans="1:7" ht="17">
      <c r="A12" s="1" t="s">
        <v>1700</v>
      </c>
      <c r="B12" s="2" t="s">
        <v>1701</v>
      </c>
      <c r="C12" s="2">
        <v>0</v>
      </c>
      <c r="D12" s="2">
        <v>0</v>
      </c>
      <c r="E12" s="2">
        <v>0</v>
      </c>
      <c r="F12" s="4">
        <v>0</v>
      </c>
      <c r="G12" s="11" t="str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"*",CHOOSE({1,2}, Super_CBSA!$E$2:$E$1917, Super_CBSA!$A$2:$A$1917), 2,FALSE), ""))</f>
        <v/>
      </c>
    </row>
    <row r="13" spans="1:7" ht="17">
      <c r="A13" s="1" t="s">
        <v>1702</v>
      </c>
      <c r="B13" s="2" t="s">
        <v>1688</v>
      </c>
      <c r="C13" s="2">
        <v>0</v>
      </c>
      <c r="D13" s="2">
        <v>0</v>
      </c>
      <c r="E13" s="2">
        <v>0</v>
      </c>
      <c r="F13" s="4">
        <v>0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"*",CHOOSE({1,2}, Super_CBSA!$E$2:$E$1917, Super_CBSA!$A$2:$A$1917), 2,FALSE), ""))</f>
        <v>46520</v>
      </c>
    </row>
    <row r="14" spans="1:7" ht="17">
      <c r="A14" s="1" t="s">
        <v>1703</v>
      </c>
      <c r="B14" s="2" t="s">
        <v>1704</v>
      </c>
      <c r="C14" s="2">
        <v>150</v>
      </c>
      <c r="D14" s="3">
        <v>1099</v>
      </c>
      <c r="E14" s="3">
        <v>5119</v>
      </c>
      <c r="F14" s="4">
        <v>99601</v>
      </c>
      <c r="G14" s="11" t="str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"*",CHOOSE({1,2}, Super_CBSA!$E$2:$E$1917, Super_CBSA!$A$2:$A$1917), 2,FALSE), ""))</f>
        <v/>
      </c>
    </row>
    <row r="15" spans="1:7" ht="17">
      <c r="A15" s="1" t="s">
        <v>1705</v>
      </c>
      <c r="B15" s="2" t="s">
        <v>1706</v>
      </c>
      <c r="C15" s="2">
        <v>72</v>
      </c>
      <c r="D15" s="3">
        <v>3268</v>
      </c>
      <c r="E15" s="3">
        <v>16581</v>
      </c>
      <c r="F15" s="4">
        <v>361170</v>
      </c>
      <c r="G15" s="11" t="str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"*",CHOOSE({1,2}, Super_CBSA!$E$2:$E$1917, Super_CBSA!$A$2:$A$1917), 2,FALSE), ""))</f>
        <v/>
      </c>
    </row>
    <row r="16" spans="1:7" ht="17">
      <c r="A16" s="2" t="s">
        <v>56</v>
      </c>
      <c r="B16" s="2"/>
      <c r="C16" s="3">
        <v>2583</v>
      </c>
      <c r="D16" s="3">
        <v>88997</v>
      </c>
      <c r="E16" s="3">
        <v>520820</v>
      </c>
      <c r="F16" s="4">
        <v>8136372</v>
      </c>
    </row>
  </sheetData>
  <hyperlinks>
    <hyperlink ref="A2" r:id="rId1" display="https://www.ahd.com/free_profile/120006/Adventist_Health_Castle/Kailua/Hawaii/" xr:uid="{4E3468BC-CD11-2F41-9916-814A57A81412}"/>
    <hyperlink ref="A3" r:id="rId2" display="https://www.ahd.com/free_profile/120005/Hilo_Medical_Center/Hilo/Hawaii/" xr:uid="{310ECDB9-F6FC-3748-8EBE-972AB6555527}"/>
    <hyperlink ref="A4" r:id="rId3" display="https://www.ahd.com/free_profile/120011/Kaiser_Permanente_Moanalua_Medical_Center_%26_Clinic/Honolulu/Hawaii/" xr:uid="{142AD13F-65D5-1542-B2B4-EC8D89C3AA37}"/>
    <hyperlink ref="A5" r:id="rId4" display="https://www.ahd.com/free_profile/120019/Kona_Community_Hospital/Kealakekua/Hawaii/" xr:uid="{C3061B6A-26EE-9945-92C4-680BEBDCF9C3}"/>
    <hyperlink ref="A6" r:id="rId5" display="https://www.ahd.com/free_profile/120007/Kuakini_Medical_Center/Honolulu/Hawaii/" xr:uid="{972E0778-E847-FB47-B630-D77ED3C236D7}"/>
    <hyperlink ref="A7" r:id="rId6" display="https://www.ahd.com/free_profile/120002/Maui_Memorial_Medical_Center/Wailuku/Hawaii/" xr:uid="{655163A9-CD55-9B4A-98A6-BE6A24636A34}"/>
    <hyperlink ref="A8" r:id="rId7" display="https://www.ahd.com/free_profile/120028/North_Hawaii_Community_Hospital/Kamuela/Hawaii/" xr:uid="{CD54D2E3-17AE-8449-98EF-27019D783754}"/>
    <hyperlink ref="A9" r:id="rId8" display="https://www.ahd.com/free_profile/120026/Pali_Momi_Medical_Center/Aiea/Hawaii/" xr:uid="{CBA8FB79-135F-FF4B-B417-A4CBDA0B5735}"/>
    <hyperlink ref="A10" r:id="rId9" display="https://www.ahd.com/free_profile/120022/Straub_Medical_Center/Honolulu/Hawaii/" xr:uid="{94151A42-5C0C-AF4F-A114-F66E1FD3243F}"/>
    <hyperlink ref="A11" r:id="rId10" display="https://www.ahd.com/free_profile/120001/The_Queen%27s_Medical_Center/Honolulu/Hawaii/" xr:uid="{DC47CA45-4BB8-874D-B996-58B99F392549}"/>
    <hyperlink ref="A12" r:id="rId11" display="https://www.ahd.com/free_profile/I42032/The_Queen%27s_Medical_Center_West_O%27Ahu/Ewa_Beach/Hawaii/" xr:uid="{7A88A47F-B4FF-2A4A-BAF9-FC83CB7809D5}"/>
    <hyperlink ref="A13" r:id="rId12" display="https://www.ahd.com/free_profile/12001F/Tripler_Army_Medical_Center/Honolulu/Hawaii/" xr:uid="{5861D5AD-58D5-264E-9651-BC72052F36D0}"/>
    <hyperlink ref="A14" r:id="rId13" display="https://www.ahd.com/free_profile/120004/Wahiawa_General_Hospital/Wahiawa/Hawaii/" xr:uid="{33617F85-3B51-6E43-AE42-5C79650FEBD2}"/>
    <hyperlink ref="A15" r:id="rId14" display="https://www.ahd.com/free_profile/120014/Wilcox_Memorial_Hospital/Lihue/Hawaii/" xr:uid="{15FD3A6F-B836-6F4F-9934-FF464AD3BCBF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A9777-E166-EB43-A3BD-1C7AAF232A8F}">
  <sheetPr codeName="Sheet14"/>
  <dimension ref="A1:G41"/>
  <sheetViews>
    <sheetView workbookViewId="0">
      <selection activeCell="G2" sqref="G2:G40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1707</v>
      </c>
      <c r="B2" s="2" t="s">
        <v>1175</v>
      </c>
      <c r="C2" s="2">
        <v>329</v>
      </c>
      <c r="D2" s="3">
        <v>15494</v>
      </c>
      <c r="E2" s="3">
        <v>60753</v>
      </c>
      <c r="F2" s="4">
        <v>1171852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"*",CHOOSE({1,2}, Super_CBSA!$E$2:$E$1917, Super_CBSA!$A$2:$A$1917), 2,FALSE), ""))</f>
        <v>19340</v>
      </c>
    </row>
    <row r="3" spans="1:7" ht="17">
      <c r="A3" s="1" t="s">
        <v>1708</v>
      </c>
      <c r="B3" s="2" t="s">
        <v>1709</v>
      </c>
      <c r="C3" s="2">
        <v>117</v>
      </c>
      <c r="D3" s="3">
        <v>3223</v>
      </c>
      <c r="E3" s="3">
        <v>23099</v>
      </c>
      <c r="F3" s="4">
        <v>306178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"*",CHOOSE({1,2}, Super_CBSA!$E$2:$E$1917, Super_CBSA!$A$2:$A$1917), 2,FALSE), ""))</f>
        <v>19780</v>
      </c>
    </row>
    <row r="4" spans="1:7" ht="17">
      <c r="A4" s="1" t="s">
        <v>1710</v>
      </c>
      <c r="B4" s="2" t="s">
        <v>1711</v>
      </c>
      <c r="C4" s="2">
        <v>50</v>
      </c>
      <c r="D4" s="2">
        <v>708</v>
      </c>
      <c r="E4" s="3">
        <v>2379</v>
      </c>
      <c r="F4" s="4">
        <v>130429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"*",CHOOSE({1,2}, Super_CBSA!$E$2:$E$1917, Super_CBSA!$A$2:$A$1917), 2,FALSE), ""))</f>
        <v>47940</v>
      </c>
    </row>
    <row r="5" spans="1:7" ht="17">
      <c r="A5" s="1" t="s">
        <v>1712</v>
      </c>
      <c r="B5" s="2" t="s">
        <v>1713</v>
      </c>
      <c r="C5" s="2">
        <v>145</v>
      </c>
      <c r="D5" s="3">
        <v>6014</v>
      </c>
      <c r="E5" s="3">
        <v>22366</v>
      </c>
      <c r="F5" s="4">
        <v>413518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"*",CHOOSE({1,2}, Super_CBSA!$E$2:$E$1917, Super_CBSA!$A$2:$A$1917), 2,FALSE), ""))</f>
        <v>36540</v>
      </c>
    </row>
    <row r="6" spans="1:7" ht="17">
      <c r="A6" s="1" t="s">
        <v>1714</v>
      </c>
      <c r="B6" s="2" t="s">
        <v>1715</v>
      </c>
      <c r="C6" s="2">
        <v>50</v>
      </c>
      <c r="D6" s="2">
        <v>963</v>
      </c>
      <c r="E6" s="3">
        <v>3301</v>
      </c>
      <c r="F6" s="4">
        <v>179877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"*",CHOOSE({1,2}, Super_CBSA!$E$2:$E$1917, Super_CBSA!$A$2:$A$1917), 2,FALSE), ""))</f>
        <v>22800</v>
      </c>
    </row>
    <row r="7" spans="1:7" ht="17">
      <c r="A7" s="1" t="s">
        <v>1716</v>
      </c>
      <c r="B7" s="2" t="s">
        <v>1175</v>
      </c>
      <c r="C7" s="2">
        <v>0</v>
      </c>
      <c r="D7" s="2">
        <v>0</v>
      </c>
      <c r="E7" s="2">
        <v>0</v>
      </c>
      <c r="F7" s="4">
        <v>0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"*",CHOOSE({1,2}, Super_CBSA!$E$2:$E$1917, Super_CBSA!$A$2:$A$1917), 2,FALSE), ""))</f>
        <v>19340</v>
      </c>
    </row>
    <row r="8" spans="1:7" ht="17">
      <c r="A8" s="1" t="s">
        <v>277</v>
      </c>
      <c r="B8" s="2" t="s">
        <v>1717</v>
      </c>
      <c r="C8" s="2">
        <v>307</v>
      </c>
      <c r="D8" s="3">
        <v>7914</v>
      </c>
      <c r="E8" s="3">
        <v>24173</v>
      </c>
      <c r="F8" s="4">
        <v>493696</v>
      </c>
      <c r="G8" s="11" t="str" cm="1">
        <f t="array" aca="1" ref="G8" ca="1">IFERROR(VLOOKUP("*" &amp; B8  &amp; "*" &amp; (MID(CELL("filename",A7),FIND("]",CELL("filename",A7))+1,31)) &amp; "*",CHOOSE({1,2}, Super_CBSA!$B$2:$B$1917, Super_CBSA!$A$2:$A$1917), 2,FALSE), IFERROR(VLOOKUP(B8  &amp; "*",CHOOSE({1,2}, Super_CBSA!$E$2:$E$1917, Super_CBSA!$A$2:$A$1917), 2,FALSE), ""))</f>
        <v/>
      </c>
    </row>
    <row r="9" spans="1:7" ht="17">
      <c r="A9" s="1" t="s">
        <v>1718</v>
      </c>
      <c r="B9" s="2" t="s">
        <v>1719</v>
      </c>
      <c r="C9" s="2">
        <v>0</v>
      </c>
      <c r="D9" s="2">
        <v>0</v>
      </c>
      <c r="E9" s="2">
        <v>0</v>
      </c>
      <c r="F9" s="4">
        <v>0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"*",CHOOSE({1,2}, Super_CBSA!$E$2:$E$1917, Super_CBSA!$A$2:$A$1917), 2,FALSE), ""))</f>
        <v>26980</v>
      </c>
    </row>
    <row r="10" spans="1:7" ht="17">
      <c r="A10" s="1" t="s">
        <v>1720</v>
      </c>
      <c r="B10" s="2" t="s">
        <v>1709</v>
      </c>
      <c r="C10" s="2">
        <v>189</v>
      </c>
      <c r="D10" s="3">
        <v>8036</v>
      </c>
      <c r="E10" s="3">
        <v>38352</v>
      </c>
      <c r="F10" s="4">
        <v>607123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"*",CHOOSE({1,2}, Super_CBSA!$E$2:$E$1917, Super_CBSA!$A$2:$A$1917), 2,FALSE), ""))</f>
        <v>19780</v>
      </c>
    </row>
    <row r="11" spans="1:7" ht="17">
      <c r="A11" s="1" t="s">
        <v>1721</v>
      </c>
      <c r="B11" s="2" t="s">
        <v>1709</v>
      </c>
      <c r="C11" s="2">
        <v>484</v>
      </c>
      <c r="D11" s="3">
        <v>31356</v>
      </c>
      <c r="E11" s="3">
        <v>134305</v>
      </c>
      <c r="F11" s="4">
        <v>2508402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"*",CHOOSE({1,2}, Super_CBSA!$E$2:$E$1917, Super_CBSA!$A$2:$A$1917), 2,FALSE), ""))</f>
        <v>19780</v>
      </c>
    </row>
    <row r="12" spans="1:7" ht="17">
      <c r="A12" s="1" t="s">
        <v>1722</v>
      </c>
      <c r="B12" s="2" t="s">
        <v>1723</v>
      </c>
      <c r="C12" s="2">
        <v>44</v>
      </c>
      <c r="D12" s="2">
        <v>988</v>
      </c>
      <c r="E12" s="3">
        <v>3087</v>
      </c>
      <c r="F12" s="4">
        <v>88902</v>
      </c>
      <c r="G12" s="11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"*",CHOOSE({1,2}, Super_CBSA!$E$2:$E$1917, Super_CBSA!$A$2:$A$1917), 2,FALSE), ""))</f>
        <v>44020</v>
      </c>
    </row>
    <row r="13" spans="1:7" ht="17">
      <c r="A13" s="1" t="s">
        <v>1724</v>
      </c>
      <c r="B13" s="2" t="s">
        <v>1725</v>
      </c>
      <c r="C13" s="2">
        <v>195</v>
      </c>
      <c r="D13" s="3">
        <v>8130</v>
      </c>
      <c r="E13" s="3">
        <v>30583</v>
      </c>
      <c r="F13" s="4">
        <v>600976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"*",CHOOSE({1,2}, Super_CBSA!$E$2:$E$1917, Super_CBSA!$A$2:$A$1917), 2,FALSE), ""))</f>
        <v>11180</v>
      </c>
    </row>
    <row r="14" spans="1:7" ht="17">
      <c r="A14" s="1" t="s">
        <v>1726</v>
      </c>
      <c r="B14" s="2" t="s">
        <v>1719</v>
      </c>
      <c r="C14" s="2">
        <v>218</v>
      </c>
      <c r="D14" s="3">
        <v>7143</v>
      </c>
      <c r="E14" s="3">
        <v>24645</v>
      </c>
      <c r="F14" s="4">
        <v>505541</v>
      </c>
      <c r="G14" s="11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"*",CHOOSE({1,2}, Super_CBSA!$E$2:$E$1917, Super_CBSA!$A$2:$A$1917), 2,FALSE), ""))</f>
        <v>26980</v>
      </c>
    </row>
    <row r="15" spans="1:7" ht="17">
      <c r="A15" s="1" t="s">
        <v>702</v>
      </c>
      <c r="B15" s="2" t="s">
        <v>1727</v>
      </c>
      <c r="C15" s="2">
        <v>243</v>
      </c>
      <c r="D15" s="3">
        <v>8825</v>
      </c>
      <c r="E15" s="3">
        <v>33207</v>
      </c>
      <c r="F15" s="4">
        <v>1325715</v>
      </c>
      <c r="G15" s="11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"*",CHOOSE({1,2}, Super_CBSA!$E$2:$E$1917, Super_CBSA!$A$2:$A$1917), 2,FALSE), ""))</f>
        <v>16300</v>
      </c>
    </row>
    <row r="16" spans="1:7" ht="17">
      <c r="A16" s="1" t="s">
        <v>1728</v>
      </c>
      <c r="B16" s="2" t="s">
        <v>1729</v>
      </c>
      <c r="C16" s="2">
        <v>107</v>
      </c>
      <c r="D16" s="3">
        <v>3515</v>
      </c>
      <c r="E16" s="3">
        <v>10009</v>
      </c>
      <c r="F16" s="4">
        <v>300344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"*",CHOOSE({1,2}, Super_CBSA!$E$2:$E$1917, Super_CBSA!$A$2:$A$1917), 2,FALSE), ""))</f>
        <v>17540</v>
      </c>
    </row>
    <row r="17" spans="1:7" ht="17">
      <c r="A17" s="1" t="s">
        <v>1730</v>
      </c>
      <c r="B17" s="2" t="s">
        <v>1709</v>
      </c>
      <c r="C17" s="2">
        <v>583</v>
      </c>
      <c r="D17" s="3">
        <v>32467</v>
      </c>
      <c r="E17" s="3">
        <v>152376</v>
      </c>
      <c r="F17" s="4">
        <v>2918020</v>
      </c>
      <c r="G17" s="11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"*",CHOOSE({1,2}, Super_CBSA!$E$2:$E$1917, Super_CBSA!$A$2:$A$1917), 2,FALSE), ""))</f>
        <v>19780</v>
      </c>
    </row>
    <row r="18" spans="1:7" ht="17">
      <c r="A18" s="1" t="s">
        <v>1731</v>
      </c>
      <c r="B18" s="2" t="s">
        <v>1732</v>
      </c>
      <c r="C18" s="2">
        <v>179</v>
      </c>
      <c r="D18" s="3">
        <v>7765</v>
      </c>
      <c r="E18" s="3">
        <v>31884</v>
      </c>
      <c r="F18" s="4">
        <v>447879</v>
      </c>
      <c r="G18" s="11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"*",CHOOSE({1,2}, Super_CBSA!$E$2:$E$1917, Super_CBSA!$A$2:$A$1917), 2,FALSE), ""))</f>
        <v>20220</v>
      </c>
    </row>
    <row r="19" spans="1:7" ht="17">
      <c r="A19" s="1" t="s">
        <v>1733</v>
      </c>
      <c r="B19" s="2" t="s">
        <v>1734</v>
      </c>
      <c r="C19" s="2">
        <v>48</v>
      </c>
      <c r="D19" s="2">
        <v>676</v>
      </c>
      <c r="E19" s="3">
        <v>2684</v>
      </c>
      <c r="F19" s="4">
        <v>101867</v>
      </c>
      <c r="G19" s="11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"*",CHOOSE({1,2}, Super_CBSA!$E$2:$E$1917, Super_CBSA!$A$2:$A$1917), 2,FALSE), ""))</f>
        <v>12060</v>
      </c>
    </row>
    <row r="20" spans="1:7" ht="17">
      <c r="A20" s="1" t="s">
        <v>1735</v>
      </c>
      <c r="B20" s="2" t="s">
        <v>1736</v>
      </c>
      <c r="C20" s="2">
        <v>235</v>
      </c>
      <c r="D20" s="3">
        <v>10900</v>
      </c>
      <c r="E20" s="3">
        <v>44005</v>
      </c>
      <c r="F20" s="4">
        <v>1084069</v>
      </c>
      <c r="G20" s="11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"*",CHOOSE({1,2}, Super_CBSA!$E$2:$E$1917, Super_CBSA!$A$2:$A$1917), 2,FALSE), ""))</f>
        <v>32380</v>
      </c>
    </row>
    <row r="21" spans="1:7" ht="17">
      <c r="A21" s="1" t="s">
        <v>1737</v>
      </c>
      <c r="B21" s="2" t="s">
        <v>1738</v>
      </c>
      <c r="C21" s="2">
        <v>197</v>
      </c>
      <c r="D21" s="3">
        <v>8191</v>
      </c>
      <c r="E21" s="3">
        <v>41831</v>
      </c>
      <c r="F21" s="4">
        <v>578436</v>
      </c>
      <c r="G21" s="11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"*",CHOOSE({1,2}, Super_CBSA!$E$2:$E$1917, Super_CBSA!$A$2:$A$1917), 2,FALSE), ""))</f>
        <v>43580</v>
      </c>
    </row>
    <row r="22" spans="1:7" ht="17">
      <c r="A22" s="1" t="s">
        <v>1739</v>
      </c>
      <c r="B22" s="2" t="s">
        <v>1740</v>
      </c>
      <c r="C22" s="2">
        <v>187</v>
      </c>
      <c r="D22" s="3">
        <v>5136</v>
      </c>
      <c r="E22" s="3">
        <v>25391</v>
      </c>
      <c r="F22" s="4">
        <v>873569</v>
      </c>
      <c r="G22" s="11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"*",CHOOSE({1,2}, Super_CBSA!$E$2:$E$1917, Super_CBSA!$A$2:$A$1917), 2,FALSE), ""))</f>
        <v>47940</v>
      </c>
    </row>
    <row r="23" spans="1:7" ht="17">
      <c r="A23" s="1" t="s">
        <v>1741</v>
      </c>
      <c r="B23" s="2" t="s">
        <v>1742</v>
      </c>
      <c r="C23" s="2">
        <v>0</v>
      </c>
      <c r="D23" s="2">
        <v>0</v>
      </c>
      <c r="E23" s="2">
        <v>0</v>
      </c>
      <c r="F23" s="4">
        <v>0</v>
      </c>
      <c r="G23" s="11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"*",CHOOSE({1,2}, Super_CBSA!$E$2:$E$1917, Super_CBSA!$A$2:$A$1917), 2,FALSE), ""))</f>
        <v>19780</v>
      </c>
    </row>
    <row r="24" spans="1:7" ht="17">
      <c r="A24" s="1" t="s">
        <v>1743</v>
      </c>
      <c r="B24" s="2" t="s">
        <v>1713</v>
      </c>
      <c r="C24" s="2">
        <v>110</v>
      </c>
      <c r="D24" s="3">
        <v>6318</v>
      </c>
      <c r="E24" s="3">
        <v>22681</v>
      </c>
      <c r="F24" s="4">
        <v>336709</v>
      </c>
      <c r="G24" s="11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"*",CHOOSE({1,2}, Super_CBSA!$E$2:$E$1917, Super_CBSA!$A$2:$A$1917), 2,FALSE), ""))</f>
        <v>36540</v>
      </c>
    </row>
    <row r="25" spans="1:7" ht="17">
      <c r="A25" s="1" t="s">
        <v>1744</v>
      </c>
      <c r="B25" s="2" t="s">
        <v>1742</v>
      </c>
      <c r="C25" s="2">
        <v>0</v>
      </c>
      <c r="D25" s="2">
        <v>0</v>
      </c>
      <c r="E25" s="2">
        <v>0</v>
      </c>
      <c r="F25" s="4">
        <v>0</v>
      </c>
      <c r="G25" s="11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"*",CHOOSE({1,2}, Super_CBSA!$E$2:$E$1917, Super_CBSA!$A$2:$A$1917), 2,FALSE), ""))</f>
        <v>19780</v>
      </c>
    </row>
    <row r="26" spans="1:7" ht="17">
      <c r="A26" s="1" t="s">
        <v>1745</v>
      </c>
      <c r="B26" s="2" t="s">
        <v>1746</v>
      </c>
      <c r="C26" s="2">
        <v>120</v>
      </c>
      <c r="D26" s="3">
        <v>2219</v>
      </c>
      <c r="E26" s="3">
        <v>8132</v>
      </c>
      <c r="F26" s="4">
        <v>308013</v>
      </c>
      <c r="G26" s="11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"*",CHOOSE({1,2}, Super_CBSA!$E$2:$E$1917, Super_CBSA!$A$2:$A$1917), 2,FALSE), ""))</f>
        <v>36900</v>
      </c>
    </row>
    <row r="27" spans="1:7" ht="17">
      <c r="A27" s="1" t="s">
        <v>1747</v>
      </c>
      <c r="B27" s="2" t="s">
        <v>1748</v>
      </c>
      <c r="C27" s="2">
        <v>142</v>
      </c>
      <c r="D27" s="3">
        <v>1513</v>
      </c>
      <c r="E27" s="3">
        <v>6117</v>
      </c>
      <c r="F27" s="4">
        <v>180126</v>
      </c>
      <c r="G27" s="11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"*",CHOOSE({1,2}, Super_CBSA!$E$2:$E$1917, Super_CBSA!$A$2:$A$1917), 2,FALSE), ""))</f>
        <v>16140</v>
      </c>
    </row>
    <row r="28" spans="1:7" ht="17">
      <c r="A28" s="1" t="s">
        <v>1749</v>
      </c>
      <c r="B28" s="2" t="s">
        <v>1727</v>
      </c>
      <c r="C28" s="2">
        <v>343</v>
      </c>
      <c r="D28" s="3">
        <v>14615</v>
      </c>
      <c r="E28" s="3">
        <v>67109</v>
      </c>
      <c r="F28" s="4">
        <v>1140794</v>
      </c>
      <c r="G28" s="11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"*",CHOOSE({1,2}, Super_CBSA!$E$2:$E$1917, Super_CBSA!$A$2:$A$1917), 2,FALSE), ""))</f>
        <v>16300</v>
      </c>
    </row>
    <row r="29" spans="1:7" ht="17">
      <c r="A29" s="1" t="s">
        <v>1750</v>
      </c>
      <c r="B29" s="2" t="s">
        <v>1751</v>
      </c>
      <c r="C29" s="2">
        <v>64</v>
      </c>
      <c r="D29" s="3">
        <v>1851</v>
      </c>
      <c r="E29" s="3">
        <v>6345</v>
      </c>
      <c r="F29" s="4">
        <v>255708</v>
      </c>
      <c r="G29" s="11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"*",CHOOSE({1,2}, Super_CBSA!$E$2:$E$1917, Super_CBSA!$A$2:$A$1917), 2,FALSE), ""))</f>
        <v>43980</v>
      </c>
    </row>
    <row r="30" spans="1:7" ht="17">
      <c r="A30" s="1" t="s">
        <v>1752</v>
      </c>
      <c r="B30" s="2" t="s">
        <v>1753</v>
      </c>
      <c r="C30" s="2">
        <v>46</v>
      </c>
      <c r="D30" s="3">
        <v>3300</v>
      </c>
      <c r="E30" s="3">
        <v>12403</v>
      </c>
      <c r="F30" s="4">
        <v>299079</v>
      </c>
      <c r="G30" s="11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"*",CHOOSE({1,2}, Super_CBSA!$E$2:$E$1917, Super_CBSA!$A$2:$A$1917), 2,FALSE), ""))</f>
        <v>22700</v>
      </c>
    </row>
    <row r="31" spans="1:7" ht="17">
      <c r="A31" s="1" t="s">
        <v>1754</v>
      </c>
      <c r="B31" s="2" t="s">
        <v>1740</v>
      </c>
      <c r="C31" s="2">
        <v>199</v>
      </c>
      <c r="D31" s="3">
        <v>9149</v>
      </c>
      <c r="E31" s="3">
        <v>33116</v>
      </c>
      <c r="F31" s="4">
        <v>662145</v>
      </c>
      <c r="G31" s="11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"*",CHOOSE({1,2}, Super_CBSA!$E$2:$E$1917, Super_CBSA!$A$2:$A$1917), 2,FALSE), ""))</f>
        <v>47940</v>
      </c>
    </row>
    <row r="32" spans="1:7" ht="17">
      <c r="A32" s="1" t="s">
        <v>1755</v>
      </c>
      <c r="B32" s="2" t="s">
        <v>1732</v>
      </c>
      <c r="C32" s="2">
        <v>106</v>
      </c>
      <c r="D32" s="3">
        <v>4141</v>
      </c>
      <c r="E32" s="3">
        <v>16165</v>
      </c>
      <c r="F32" s="4">
        <v>336838</v>
      </c>
      <c r="G32" s="11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"*",CHOOSE({1,2}, Super_CBSA!$E$2:$E$1917, Super_CBSA!$A$2:$A$1917), 2,FALSE), ""))</f>
        <v>20220</v>
      </c>
    </row>
    <row r="33" spans="1:7" ht="17">
      <c r="A33" s="1" t="s">
        <v>1756</v>
      </c>
      <c r="B33" s="2" t="s">
        <v>1757</v>
      </c>
      <c r="C33" s="2">
        <v>49</v>
      </c>
      <c r="D33" s="3">
        <v>1108</v>
      </c>
      <c r="E33" s="3">
        <v>3924</v>
      </c>
      <c r="F33" s="4">
        <v>116576</v>
      </c>
      <c r="G33" s="11" t="str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"*",CHOOSE({1,2}, Super_CBSA!$E$2:$E$1917, Super_CBSA!$A$2:$A$1917), 2,FALSE), ""))</f>
        <v/>
      </c>
    </row>
    <row r="34" spans="1:7" ht="17">
      <c r="A34" s="1" t="s">
        <v>1758</v>
      </c>
      <c r="B34" s="2" t="s">
        <v>1759</v>
      </c>
      <c r="C34" s="2">
        <v>87</v>
      </c>
      <c r="D34" s="3">
        <v>4659</v>
      </c>
      <c r="E34" s="3">
        <v>14603</v>
      </c>
      <c r="F34" s="4">
        <v>279418</v>
      </c>
      <c r="G34" s="11" t="str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"*",CHOOSE({1,2}, Super_CBSA!$E$2:$E$1917, Super_CBSA!$A$2:$A$1917), 2,FALSE), ""))</f>
        <v/>
      </c>
    </row>
    <row r="35" spans="1:7" ht="17">
      <c r="A35" s="1" t="s">
        <v>1758</v>
      </c>
      <c r="B35" s="2" t="s">
        <v>1760</v>
      </c>
      <c r="C35" s="2">
        <v>45</v>
      </c>
      <c r="D35" s="3">
        <v>1360</v>
      </c>
      <c r="E35" s="3">
        <v>4190</v>
      </c>
      <c r="F35" s="4">
        <v>136648</v>
      </c>
      <c r="G35" s="11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"*",CHOOSE({1,2}, Super_CBSA!$E$2:$E$1917, Super_CBSA!$A$2:$A$1917), 2,FALSE), ""))</f>
        <v>34700</v>
      </c>
    </row>
    <row r="36" spans="1:7" ht="17">
      <c r="A36" s="1" t="s">
        <v>1761</v>
      </c>
      <c r="B36" s="2" t="s">
        <v>1762</v>
      </c>
      <c r="C36" s="2">
        <v>49</v>
      </c>
      <c r="D36" s="2">
        <v>538</v>
      </c>
      <c r="E36" s="3">
        <v>1614</v>
      </c>
      <c r="F36" s="4">
        <v>36603</v>
      </c>
      <c r="G36" s="11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"*",CHOOSE({1,2}, Super_CBSA!$E$2:$E$1917, Super_CBSA!$A$2:$A$1917), 2,FALSE), ""))</f>
        <v>22800</v>
      </c>
    </row>
    <row r="37" spans="1:7" ht="17">
      <c r="A37" s="1" t="s">
        <v>1763</v>
      </c>
      <c r="B37" s="2" t="s">
        <v>1764</v>
      </c>
      <c r="C37" s="2">
        <v>41</v>
      </c>
      <c r="D37" s="3">
        <v>1702</v>
      </c>
      <c r="E37" s="3">
        <v>6118</v>
      </c>
      <c r="F37" s="4">
        <v>174692</v>
      </c>
      <c r="G37" s="11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"*",CHOOSE({1,2}, Super_CBSA!$E$2:$E$1917, Super_CBSA!$A$2:$A$1917), 2,FALSE), ""))</f>
        <v>32260</v>
      </c>
    </row>
    <row r="38" spans="1:7" ht="17">
      <c r="A38" s="1" t="s">
        <v>1765</v>
      </c>
      <c r="B38" s="2" t="s">
        <v>1738</v>
      </c>
      <c r="C38" s="2">
        <v>169</v>
      </c>
      <c r="D38" s="3">
        <v>8845</v>
      </c>
      <c r="E38" s="3">
        <v>37194</v>
      </c>
      <c r="F38" s="4">
        <v>399775</v>
      </c>
      <c r="G38" s="11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"*",CHOOSE({1,2}, Super_CBSA!$E$2:$E$1917, Super_CBSA!$A$2:$A$1917), 2,FALSE), ""))</f>
        <v>43580</v>
      </c>
    </row>
    <row r="39" spans="1:7" ht="17">
      <c r="A39" s="1" t="s">
        <v>1766</v>
      </c>
      <c r="B39" s="2" t="s">
        <v>1719</v>
      </c>
      <c r="C39" s="2">
        <v>789</v>
      </c>
      <c r="D39" s="3">
        <v>32758</v>
      </c>
      <c r="E39" s="3">
        <v>215669</v>
      </c>
      <c r="F39" s="4">
        <v>5610654</v>
      </c>
      <c r="G39" s="11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"*",CHOOSE({1,2}, Super_CBSA!$E$2:$E$1917, Super_CBSA!$A$2:$A$1917), 2,FALSE), ""))</f>
        <v>26980</v>
      </c>
    </row>
    <row r="40" spans="1:7" ht="17">
      <c r="A40" s="1" t="s">
        <v>1767</v>
      </c>
      <c r="B40" s="2" t="s">
        <v>1709</v>
      </c>
      <c r="C40" s="2">
        <v>0</v>
      </c>
      <c r="D40" s="2">
        <v>0</v>
      </c>
      <c r="E40" s="2">
        <v>0</v>
      </c>
      <c r="F40" s="4">
        <v>0</v>
      </c>
      <c r="G40" s="11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"*",CHOOSE({1,2}, Super_CBSA!$E$2:$E$1917, Super_CBSA!$A$2:$A$1917), 2,FALSE), ""))</f>
        <v>19780</v>
      </c>
    </row>
    <row r="41" spans="1:7" ht="17">
      <c r="A41" s="2" t="s">
        <v>56</v>
      </c>
      <c r="B41" s="2"/>
      <c r="C41" s="3">
        <v>6266</v>
      </c>
      <c r="D41" s="3">
        <v>261520</v>
      </c>
      <c r="E41" s="3">
        <v>1163810</v>
      </c>
      <c r="F41" s="4">
        <v>24910171</v>
      </c>
    </row>
  </sheetData>
  <hyperlinks>
    <hyperlink ref="A2" r:id="rId1" display="https://www.ahd.com/free_profile/160033/_Genesis_Medical_Center%2C_East_Rusholme_Street_/Davenport/Iowa/" xr:uid="{9FCEB719-9DC5-5B4E-9753-ADD43F667416}"/>
    <hyperlink ref="A3" r:id="rId2" display="https://www.ahd.com/free_profile/160101/Broadlawns_Medical_Center/Des_Moines/Iowa/" xr:uid="{BE7983E9-9C98-C849-8734-3CEC2DC2D8D6}"/>
    <hyperlink ref="A4" r:id="rId3" display="https://www.ahd.com/free_profile/160040/Cedar_Falls_Medical_Center/Cedar_Falls/Iowa/" xr:uid="{A52A126B-58DB-B147-95B4-70B725266E88}"/>
    <hyperlink ref="A5" r:id="rId4" display="https://www.ahd.com/free_profile/160028/CHI_Health_Mercy_Council_Bluffs/Council_Bluffs/Iowa/" xr:uid="{2B774337-977B-7045-B68D-9C84FC273AE6}"/>
    <hyperlink ref="A6" r:id="rId5" display="https://www.ahd.com/free_profile/160122/Fort_Madison_Community_Hospital/Fort_Madison/Iowa/" xr:uid="{4515E8B3-E5F9-594E-92D5-1EE9CA48A238}"/>
    <hyperlink ref="A7" r:id="rId6" display="https://www.ahd.com/free_profile/I41815/Genesis_Medical_Center%2C_West_Central_Park/Davenport/Iowa/" xr:uid="{ADCB1B8A-4871-E744-977E-B1655DDADAB5}"/>
    <hyperlink ref="A8" r:id="rId7" display="https://www.ahd.com/free_profile/160057/Great_River_Medical_Center/West_Burlington/Iowa/" xr:uid="{E3CB0D3F-0093-8B4B-A409-D715AFDD285F}"/>
    <hyperlink ref="A9" r:id="rId8" display="https://www.ahd.com/free_profile/16004F/Iowa_City_VA_Health_Care_System/Iowa_City/Iowa/" xr:uid="{E3D8A220-1863-6642-BEFC-1DCCC3FC2F03}"/>
    <hyperlink ref="A10" r:id="rId9" display="https://www.ahd.com/free_profile/160024/Iowa_Lutheran_Hospital/Des_Moines/Iowa/" xr:uid="{DA7D95CD-1566-C54B-95AD-0BCE7752A7E8}"/>
    <hyperlink ref="A11" r:id="rId10" display="https://www.ahd.com/free_profile/160082/Iowa_Methodist_Medical_Center_/Des_Moines/Iowa/" xr:uid="{BA7E1D24-DC4E-664D-9FCB-C3A1382EB5AA}"/>
    <hyperlink ref="A12" r:id="rId11" display="https://www.ahd.com/free_profile/160124/Lakes_Regional_Hospital/Spirit_Lake/Iowa/" xr:uid="{B3842B08-AE6C-1240-8622-D96F7CEF9D13}"/>
    <hyperlink ref="A13" r:id="rId12" display="https://www.ahd.com/free_profile/160030/Mary_Greeley_Medical_Center/Ames/Iowa/" xr:uid="{B153FE20-5D37-874A-B615-3E176E84BF29}"/>
    <hyperlink ref="A14" r:id="rId13" display="https://www.ahd.com/free_profile/160029/Mercy_Iowa_City/Iowa_City/Iowa/" xr:uid="{49A2D12E-3245-2B47-AE8B-BB9F9B3CC73C}"/>
    <hyperlink ref="A15" r:id="rId14" display="https://www.ahd.com/free_profile/160079/Mercy_Medical_Center/Cedar_Rapids/Iowa/" xr:uid="{9ADB5494-8FA4-CD42-88CB-EE5102955F14}"/>
    <hyperlink ref="A16" r:id="rId15" display="https://www.ahd.com/free_profile/160080/MercyOne_Clinton_Medical_Center/Clinton/Iowa/" xr:uid="{FD0805A7-7BA1-0F4E-A0C0-F10D410868A8}"/>
    <hyperlink ref="A17" r:id="rId16" display="https://www.ahd.com/free_profile/160083/MercyOne_Des_Moines/Des_Moines/Iowa/" xr:uid="{22F35E0F-B52F-A348-BDDD-0B39E6023335}"/>
    <hyperlink ref="A18" r:id="rId17" display="https://www.ahd.com/free_profile/160069/MercyOne_Dubuque_Medical_Center/Dubuque/Iowa/" xr:uid="{178B892A-A326-8E43-AC2F-2BDB9FD48E63}"/>
    <hyperlink ref="A19" r:id="rId18" display="https://www.ahd.com/free_profile/160032/MercyOne_Newton_Medical_Center/Newton/Iowa/" xr:uid="{D8B44A2D-9BFF-CE42-99FA-C2F2006DF4B3}"/>
    <hyperlink ref="A20" r:id="rId19" display="https://www.ahd.com/free_profile/160064/MercyOne_North_Iowa/Mason_City/Iowa/" xr:uid="{C5F24A59-6B03-2B4A-B1E8-8B35234222C3}"/>
    <hyperlink ref="A21" r:id="rId20" display="https://www.ahd.com/free_profile/160153/MercyOne_Siouxland_Medical_Center/Sioux_City/Iowa/" xr:uid="{9A1056F8-F4E6-9D4D-9FE7-79E97BA8E29E}"/>
    <hyperlink ref="A22" r:id="rId21" display="https://www.ahd.com/free_profile/160067/MercyOne_Waterloo_Medical_Center/Waterloo/Iowa/" xr:uid="{CA04D617-505A-A748-96FE-C4101DC4FA9C}"/>
    <hyperlink ref="A23" r:id="rId22" display="https://www.ahd.com/free_profile/I41627/MercyOne_West_Des_Moines_Medical_Center/West_Des_Moines/Iowa/" xr:uid="{A6CBB910-28D9-834E-BC8C-8A095DF16AD4}"/>
    <hyperlink ref="A24" r:id="rId23" display="https://www.ahd.com/free_profile/160047/Methodist_Jennie_Edmundson_Hospital/Council_Bluffs/Iowa/" xr:uid="{7CFD8A33-4534-AA42-B7F1-6C80A6E82223}"/>
    <hyperlink ref="A25" r:id="rId24" display="https://www.ahd.com/free_profile/I41613/Methodist_West_Hospital/West_Des_Moines/Iowa/" xr:uid="{50441E78-8A44-234F-92AE-A58ABAB00275}"/>
    <hyperlink ref="A26" r:id="rId25" display="https://www.ahd.com/free_profile/160089/Ottumwa_Regional_Health_Center/Ottumwa/Iowa/" xr:uid="{20CA5B74-8159-494C-A42C-56DFFB8C34F6}"/>
    <hyperlink ref="A27" r:id="rId26" display="https://www.ahd.com/free_profile/160005/Saint_Anthony_Regional_Hospital/Carroll/Iowa/" xr:uid="{27EC3867-269B-EC42-B097-83F46EA57C8B}"/>
    <hyperlink ref="A28" r:id="rId27" display="https://www.ahd.com/free_profile/160045/Saint_Luke%27s_Hospital/Cedar_Rapids/Iowa/" xr:uid="{6D2B7747-35F9-BA4B-BFD8-D4356123B528}"/>
    <hyperlink ref="A29" r:id="rId28" display="https://www.ahd.com/free_profile/160112/Spencer_Hospital/Spencer/Iowa/" xr:uid="{431E16BA-960B-3647-B5CC-E80EEAA91D3A}"/>
    <hyperlink ref="A30" r:id="rId29" display="https://www.ahd.com/free_profile/160016/Trinity_Regional_Medical_Center/Fort_Dodge/Iowa/" xr:uid="{DDB47640-E94F-DB46-A97F-A12C4007BEF9}"/>
    <hyperlink ref="A31" r:id="rId30" display="https://www.ahd.com/free_profile/160110/UnityPoint_Health_-_Allen_Hospital/Waterloo/Iowa/" xr:uid="{2870CC3A-6B1B-6042-A447-998BF4872E69}"/>
    <hyperlink ref="A32" r:id="rId31" display="https://www.ahd.com/free_profile/160117/UnityPoint_Health_-_Finley_Hospital_/Dubuque/Iowa/" xr:uid="{CBBC20F8-CEA4-C840-9DB1-FCCCDCAE0224}"/>
    <hyperlink ref="A33" r:id="rId32" display="https://www.ahd.com/free_profile/160147/UnityPoint_Health_-_Grinnell_Regional_Medical_Center_/Grinnell/Iowa/" xr:uid="{A2817040-CA67-554B-949B-E6B12C4ABE32}"/>
    <hyperlink ref="A34" r:id="rId33" display="https://www.ahd.com/free_profile/160104/UnityPoint_Health_-_Trinity/Bettendorf/Iowa/" xr:uid="{F10E38CF-3EB0-E54D-B96A-D2677D5F8E38}"/>
    <hyperlink ref="A35" r:id="rId34" display="https://www.ahd.com/free_profile/160013/UnityPoint_Health_-_Trinity/Muscatine/Iowa/" xr:uid="{4A5BD03A-91B2-D74E-9F87-2D10C69626FE}"/>
    <hyperlink ref="A36" r:id="rId35" display="https://www.ahd.com/free_profile/160008/UnityPoint_Health_Keokuk/Keokuk/Iowa/" xr:uid="{7EEE5F0B-5098-B041-84C0-7FFD7EADA65B}"/>
    <hyperlink ref="A37" r:id="rId36" display="https://www.ahd.com/free_profile/160001/UnityPoint_Health_Marshalltown/Marshalltown/Iowa/" xr:uid="{16879ECC-A50E-F348-90E7-76FEFD32022A}"/>
    <hyperlink ref="A38" r:id="rId37" display="https://www.ahd.com/free_profile/160146/UnityPoint_Health_St_Luke%27s_Regional_Medical_Center/Sioux_City/Iowa/" xr:uid="{B48B8AFB-CDD9-DD4F-A4A9-7ECB834917E9}"/>
    <hyperlink ref="A39" r:id="rId38" display="https://www.ahd.com/free_profile/160058/University_of_Iowa_Hospitals_%26_Clinics/Iowa_City/Iowa/" xr:uid="{147559E1-0FAA-4746-AB8D-DD4D3EB68966}"/>
    <hyperlink ref="A40" r:id="rId39" display="https://www.ahd.com/free_profile/16003F/VA_Central_Iowa_Health_Care_System/Des_Moines/Iowa/" xr:uid="{5374C578-1968-D748-872A-85670EE96C14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73D8-7A7A-814E-95D9-CE349A7D0429}">
  <sheetPr codeName="Sheet15"/>
  <dimension ref="A1:G21"/>
  <sheetViews>
    <sheetView workbookViewId="0">
      <selection activeCell="G2" sqref="G2:G20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1768</v>
      </c>
      <c r="B2" s="2" t="s">
        <v>1769</v>
      </c>
      <c r="C2" s="2">
        <v>0</v>
      </c>
      <c r="D2" s="2">
        <v>0</v>
      </c>
      <c r="E2" s="2">
        <v>0</v>
      </c>
      <c r="F2" s="4">
        <v>0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"*",CHOOSE({1,2}, Super_CBSA!$E$2:$E$1917, Super_CBSA!$A$2:$A$1917), 2,FALSE), ""))</f>
        <v>14260</v>
      </c>
    </row>
    <row r="3" spans="1:7" ht="17">
      <c r="A3" s="1" t="s">
        <v>1770</v>
      </c>
      <c r="B3" s="2" t="s">
        <v>1771</v>
      </c>
      <c r="C3" s="2">
        <v>246</v>
      </c>
      <c r="D3" s="3">
        <v>9947</v>
      </c>
      <c r="E3" s="3">
        <v>48650</v>
      </c>
      <c r="F3" s="4">
        <v>1340769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"*",CHOOSE({1,2}, Super_CBSA!$E$2:$E$1917, Super_CBSA!$A$2:$A$1917), 2,FALSE), ""))</f>
        <v>26820</v>
      </c>
    </row>
    <row r="4" spans="1:7" ht="17">
      <c r="A4" s="1" t="s">
        <v>1772</v>
      </c>
      <c r="B4" s="2" t="s">
        <v>1773</v>
      </c>
      <c r="C4" s="2">
        <v>0</v>
      </c>
      <c r="D4" s="2">
        <v>0</v>
      </c>
      <c r="E4" s="2">
        <v>0</v>
      </c>
      <c r="F4" s="4">
        <v>0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"*",CHOOSE({1,2}, Super_CBSA!$E$2:$E$1917, Super_CBSA!$A$2:$A$1917), 2,FALSE), ""))</f>
        <v>13940</v>
      </c>
    </row>
    <row r="5" spans="1:7" ht="17">
      <c r="A5" s="1" t="s">
        <v>1774</v>
      </c>
      <c r="B5" s="2" t="s">
        <v>1771</v>
      </c>
      <c r="C5" s="2">
        <v>0</v>
      </c>
      <c r="D5" s="2">
        <v>0</v>
      </c>
      <c r="E5" s="2">
        <v>0</v>
      </c>
      <c r="F5" s="4">
        <v>0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"*",CHOOSE({1,2}, Super_CBSA!$E$2:$E$1917, Super_CBSA!$A$2:$A$1917), 2,FALSE), ""))</f>
        <v>26820</v>
      </c>
    </row>
    <row r="6" spans="1:7" ht="17">
      <c r="A6" s="1" t="s">
        <v>1775</v>
      </c>
      <c r="B6" s="2" t="s">
        <v>1776</v>
      </c>
      <c r="C6" s="2">
        <v>297</v>
      </c>
      <c r="D6" s="3">
        <v>14592</v>
      </c>
      <c r="E6" s="3">
        <v>69155</v>
      </c>
      <c r="F6" s="4">
        <v>1325586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"*",CHOOSE({1,2}, Super_CBSA!$E$2:$E$1917, Super_CBSA!$A$2:$A$1917), 2,FALSE), ""))</f>
        <v>17660</v>
      </c>
    </row>
    <row r="7" spans="1:7" ht="17">
      <c r="A7" s="1" t="s">
        <v>1777</v>
      </c>
      <c r="B7" s="2" t="s">
        <v>1778</v>
      </c>
      <c r="C7" s="2">
        <v>67</v>
      </c>
      <c r="D7" s="3">
        <v>2521</v>
      </c>
      <c r="E7" s="3">
        <v>8683</v>
      </c>
      <c r="F7" s="4">
        <v>158815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"*",CHOOSE({1,2}, Super_CBSA!$E$2:$E$1917, Super_CBSA!$A$2:$A$1917), 2,FALSE), ""))</f>
        <v>39940</v>
      </c>
    </row>
    <row r="8" spans="1:7" ht="17">
      <c r="A8" s="1" t="s">
        <v>1779</v>
      </c>
      <c r="B8" s="2" t="s">
        <v>1771</v>
      </c>
      <c r="C8" s="2">
        <v>41</v>
      </c>
      <c r="D8" s="3">
        <v>2628</v>
      </c>
      <c r="E8" s="3">
        <v>7985</v>
      </c>
      <c r="F8" s="4">
        <v>540682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"*",CHOOSE({1,2}, Super_CBSA!$E$2:$E$1917, Super_CBSA!$A$2:$A$1917), 2,FALSE), ""))</f>
        <v>26820</v>
      </c>
    </row>
    <row r="9" spans="1:7" ht="17">
      <c r="A9" s="1" t="s">
        <v>1780</v>
      </c>
      <c r="B9" s="2" t="s">
        <v>1781</v>
      </c>
      <c r="C9" s="2">
        <v>34</v>
      </c>
      <c r="D9" s="3">
        <v>1318</v>
      </c>
      <c r="E9" s="3">
        <v>2446</v>
      </c>
      <c r="F9" s="4">
        <v>138926</v>
      </c>
      <c r="G9" s="11" t="str" cm="1">
        <f t="array" aca="1" ref="G9" ca="1">IFERROR(VLOOKUP("*" &amp; B9  &amp; "*" &amp; (MID(CELL("filename",A8),FIND("]",CELL("filename",A8))+1,31)) &amp; "*",CHOOSE({1,2}, Super_CBSA!$B$2:$B$1917, Super_CBSA!$A$2:$A$1917), 2,FALSE), IFERROR(VLOOKUP(B9  &amp; "*",CHOOSE({1,2}, Super_CBSA!$E$2:$E$1917, Super_CBSA!$A$2:$A$1917), 2,FALSE), ""))</f>
        <v/>
      </c>
    </row>
    <row r="10" spans="1:7" ht="17">
      <c r="A10" s="1" t="s">
        <v>1782</v>
      </c>
      <c r="B10" s="2" t="s">
        <v>1783</v>
      </c>
      <c r="C10" s="2">
        <v>165</v>
      </c>
      <c r="D10" s="3">
        <v>7540</v>
      </c>
      <c r="E10" s="3">
        <v>30886</v>
      </c>
      <c r="F10" s="4">
        <v>1011416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"*",CHOOSE({1,2}, Super_CBSA!$E$2:$E$1917, Super_CBSA!$A$2:$A$1917), 2,FALSE), ""))</f>
        <v>38540</v>
      </c>
    </row>
    <row r="11" spans="1:7" ht="17">
      <c r="A11" s="1" t="s">
        <v>1784</v>
      </c>
      <c r="B11" s="2" t="s">
        <v>1785</v>
      </c>
      <c r="C11" s="2">
        <v>96</v>
      </c>
      <c r="D11" s="3">
        <v>5637</v>
      </c>
      <c r="E11" s="3">
        <v>21764</v>
      </c>
      <c r="F11" s="4">
        <v>480090</v>
      </c>
      <c r="G11" s="11" t="str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"*",CHOOSE({1,2}, Super_CBSA!$E$2:$E$1917, Super_CBSA!$A$2:$A$1917), 2,FALSE), ""))</f>
        <v/>
      </c>
    </row>
    <row r="12" spans="1:7" ht="17">
      <c r="A12" s="1" t="s">
        <v>1786</v>
      </c>
      <c r="B12" s="2" t="s">
        <v>1785</v>
      </c>
      <c r="C12" s="2">
        <v>8</v>
      </c>
      <c r="D12" s="2">
        <v>145</v>
      </c>
      <c r="E12" s="2">
        <v>267</v>
      </c>
      <c r="F12" s="4">
        <v>32231</v>
      </c>
      <c r="G12" s="11" t="str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"*",CHOOSE({1,2}, Super_CBSA!$E$2:$E$1917, Super_CBSA!$A$2:$A$1917), 2,FALSE), ""))</f>
        <v/>
      </c>
    </row>
    <row r="13" spans="1:7" ht="17">
      <c r="A13" s="1" t="s">
        <v>1787</v>
      </c>
      <c r="B13" s="2" t="s">
        <v>1769</v>
      </c>
      <c r="C13" s="2">
        <v>378</v>
      </c>
      <c r="D13" s="3">
        <v>16465</v>
      </c>
      <c r="E13" s="3">
        <v>80835</v>
      </c>
      <c r="F13" s="4">
        <v>1780357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"*",CHOOSE({1,2}, Super_CBSA!$E$2:$E$1917, Super_CBSA!$A$2:$A$1917), 2,FALSE), ""))</f>
        <v>14260</v>
      </c>
    </row>
    <row r="14" spans="1:7" ht="17">
      <c r="A14" s="1" t="s">
        <v>1788</v>
      </c>
      <c r="B14" s="2" t="s">
        <v>1789</v>
      </c>
      <c r="C14" s="2">
        <v>130</v>
      </c>
      <c r="D14" s="3">
        <v>4134</v>
      </c>
      <c r="E14" s="3">
        <v>15037</v>
      </c>
      <c r="F14" s="4">
        <v>503023</v>
      </c>
      <c r="G14" s="11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"*",CHOOSE({1,2}, Super_CBSA!$E$2:$E$1917, Super_CBSA!$A$2:$A$1917), 2,FALSE), ""))</f>
        <v>30300</v>
      </c>
    </row>
    <row r="15" spans="1:7" ht="17">
      <c r="A15" s="1" t="s">
        <v>1790</v>
      </c>
      <c r="B15" s="2" t="s">
        <v>1769</v>
      </c>
      <c r="C15" s="2">
        <v>578</v>
      </c>
      <c r="D15" s="3">
        <v>29364</v>
      </c>
      <c r="E15" s="3">
        <v>124826</v>
      </c>
      <c r="F15" s="4">
        <v>3735043</v>
      </c>
      <c r="G15" s="11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"*",CHOOSE({1,2}, Super_CBSA!$E$2:$E$1917, Super_CBSA!$A$2:$A$1917), 2,FALSE), ""))</f>
        <v>14260</v>
      </c>
    </row>
    <row r="16" spans="1:7" ht="17">
      <c r="A16" s="1" t="s">
        <v>1791</v>
      </c>
      <c r="B16" s="2" t="s">
        <v>1792</v>
      </c>
      <c r="C16" s="2">
        <v>213</v>
      </c>
      <c r="D16" s="3">
        <v>11406</v>
      </c>
      <c r="E16" s="3">
        <v>34020</v>
      </c>
      <c r="F16" s="4">
        <v>1053211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"*",CHOOSE({1,2}, Super_CBSA!$E$2:$E$1917, Super_CBSA!$A$2:$A$1917), 2,FALSE), ""))</f>
        <v>46300</v>
      </c>
    </row>
    <row r="17" spans="1:7" ht="17">
      <c r="A17" s="1" t="s">
        <v>1793</v>
      </c>
      <c r="B17" s="2" t="s">
        <v>1794</v>
      </c>
      <c r="C17" s="2">
        <v>0</v>
      </c>
      <c r="D17" s="2">
        <v>0</v>
      </c>
      <c r="E17" s="2">
        <v>0</v>
      </c>
      <c r="F17" s="4">
        <v>0</v>
      </c>
      <c r="G17" s="11" t="str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"*",CHOOSE({1,2}, Super_CBSA!$E$2:$E$1917, Super_CBSA!$A$2:$A$1917), 2,FALSE), ""))</f>
        <v/>
      </c>
    </row>
    <row r="18" spans="1:7" ht="17">
      <c r="A18" s="1" t="s">
        <v>1795</v>
      </c>
      <c r="B18" s="2" t="s">
        <v>1785</v>
      </c>
      <c r="C18" s="2">
        <v>81</v>
      </c>
      <c r="D18" s="3">
        <v>3954</v>
      </c>
      <c r="E18" s="3">
        <v>12598</v>
      </c>
      <c r="F18" s="4">
        <v>330627</v>
      </c>
      <c r="G18" s="11" t="str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"*",CHOOSE({1,2}, Super_CBSA!$E$2:$E$1917, Super_CBSA!$A$2:$A$1917), 2,FALSE), ""))</f>
        <v/>
      </c>
    </row>
    <row r="19" spans="1:7" ht="17">
      <c r="A19" s="1" t="s">
        <v>1796</v>
      </c>
      <c r="B19" s="2" t="s">
        <v>1769</v>
      </c>
      <c r="C19" s="2">
        <v>9</v>
      </c>
      <c r="D19" s="2">
        <v>661</v>
      </c>
      <c r="E19" s="3">
        <v>1036</v>
      </c>
      <c r="F19" s="4">
        <v>173572</v>
      </c>
      <c r="G19" s="11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"*",CHOOSE({1,2}, Super_CBSA!$E$2:$E$1917, Super_CBSA!$A$2:$A$1917), 2,FALSE), ""))</f>
        <v>14260</v>
      </c>
    </row>
    <row r="20" spans="1:7" ht="17">
      <c r="A20" s="1" t="s">
        <v>1797</v>
      </c>
      <c r="B20" s="2" t="s">
        <v>1798</v>
      </c>
      <c r="C20" s="2">
        <v>112</v>
      </c>
      <c r="D20" s="3">
        <v>3717</v>
      </c>
      <c r="E20" s="3">
        <v>14082</v>
      </c>
      <c r="F20" s="4">
        <v>491064</v>
      </c>
      <c r="G20" s="11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"*",CHOOSE({1,2}, Super_CBSA!$E$2:$E$1917, Super_CBSA!$A$2:$A$1917), 2,FALSE), ""))</f>
        <v>12420</v>
      </c>
    </row>
    <row r="21" spans="1:7" ht="17">
      <c r="A21" s="2" t="s">
        <v>56</v>
      </c>
      <c r="B21" s="2"/>
      <c r="C21" s="3">
        <v>2455</v>
      </c>
      <c r="D21" s="3">
        <v>114029</v>
      </c>
      <c r="E21" s="3">
        <v>472270</v>
      </c>
      <c r="F21" s="4">
        <v>13095412</v>
      </c>
    </row>
  </sheetData>
  <hyperlinks>
    <hyperlink ref="A2" r:id="rId1" display="https://www.ahd.com/free_profile/13003F/Boise_VA_Medical_Center/Boise/Idaho/" xr:uid="{6344FAD7-512E-F243-B1F0-7F9E162382BB}"/>
    <hyperlink ref="A3" r:id="rId2" display="https://www.ahd.com/free_profile/130018/Eastern_Idaho_Regional_Medical_Center/Idaho_Falls/Idaho/" xr:uid="{5D25CBD5-6024-154F-A05B-2CAA6A12C7BC}"/>
    <hyperlink ref="A4" r:id="rId3" display="https://www.ahd.com/free_profile/130073/Grove_Creek_Medical_Center/Blackfoot/Idaho/" xr:uid="{3306B608-3364-C649-8D11-1AF12EBBABDD}"/>
    <hyperlink ref="A5" r:id="rId4" display="https://www.ahd.com/free_profile/130074/Idaho_Falls_Community_Hospital/Idaho_Falls/Idaho/" xr:uid="{9ED6F785-5DE2-BC4A-8937-BADCE2C809A0}"/>
    <hyperlink ref="A6" r:id="rId5" display="https://www.ahd.com/free_profile/130049/Kootenai_Health/Coeur_d%27Alene/Idaho/" xr:uid="{C0324FE4-D3D6-DA41-83D9-418F558B10B0}"/>
    <hyperlink ref="A7" r:id="rId6" display="https://www.ahd.com/free_profile/130025/Madison_Memorial_Hospital/Rexburg/Idaho/" xr:uid="{10AF6FED-C93D-B944-A370-BF82754FAF18}"/>
    <hyperlink ref="A8" r:id="rId7" display="https://www.ahd.com/free_profile/130065/Mountain_View_Hospital/Idaho_Falls/Idaho/" xr:uid="{C009B34B-C21B-3B49-A9C1-D0752862BF70}"/>
    <hyperlink ref="A9" r:id="rId8" display="https://www.ahd.com/free_profile/130066/Northwest_Specialty_Hospital/Post_Falls/Idaho/" xr:uid="{761309D5-119E-984B-88B9-1CA73349B59D}"/>
    <hyperlink ref="A10" r:id="rId9" display="https://www.ahd.com/free_profile/130028/Portneuf_Medical_Center/Pocatello/Idaho/" xr:uid="{63FC85B8-C762-B941-A31C-7B33CF18D4D3}"/>
    <hyperlink ref="A11" r:id="rId10" display="https://www.ahd.com/free_profile/130013/Saint_Alphonsus_Medical_Center_-_Nampa/Nampa/Idaho/" xr:uid="{7EBC90F4-9DC1-AF4B-ABAF-E72F419E5C13}"/>
    <hyperlink ref="A12" r:id="rId11" display="https://www.ahd.com/free_profile/130072/Saint_Alphonsus_Nampa_Emergency_Room_-_12_Ave/Nampa/Idaho/" xr:uid="{769D8092-B111-434A-ABB7-21BFF3CEC6DC}"/>
    <hyperlink ref="A13" r:id="rId12" display="https://www.ahd.com/free_profile/130007/Saint_Alphonsus_Regional_Medical_Center/Boise/Idaho/" xr:uid="{EE569CE3-8727-7944-92C9-42AEF9B2FBBA}"/>
    <hyperlink ref="A14" r:id="rId13" display="https://www.ahd.com/free_profile/130003/Saint_Joseph_Regional_Medical_Center/Lewiston/Idaho/" xr:uid="{8C163257-AD5A-BE48-BC9D-5FFD0DBEBC63}"/>
    <hyperlink ref="A15" r:id="rId14" display="https://www.ahd.com/free_profile/130006/St_Luke%27s_Boise_Medical_Center/Boise/Idaho/" xr:uid="{8C70800D-3F5A-084F-9E9D-49B3B68E41F4}"/>
    <hyperlink ref="A16" r:id="rId15" display="https://www.ahd.com/free_profile/130002/St_Luke%27s_Magic_Valley_Medical_Center/Twin_Falls/Idaho/" xr:uid="{944A2B8F-1C11-9B4D-A41A-DEC9E62331D8}"/>
    <hyperlink ref="A17" r:id="rId16" display="https://www.ahd.com/free_profile/I40987/St_Luke%27s_Meridian_Medical_Center/Meridian/Idaho/" xr:uid="{3D6C8FA8-826E-9344-8B42-A1057DA36BA3}"/>
    <hyperlink ref="A18" r:id="rId17" display="https://www.ahd.com/free_profile/130071/St_Luke%27s_Nampa_Medical_Center/Nampa_/Idaho/" xr:uid="{C07F5C2B-6EFA-A84D-9401-07421F0F231E}"/>
    <hyperlink ref="A19" r:id="rId18" display="https://www.ahd.com/free_profile/130063/Treasure_Valley_Hospital/Boise/Idaho/" xr:uid="{AA3407AD-2A4C-B845-88EE-972F5D6A6C69}"/>
    <hyperlink ref="A20" r:id="rId19" display="https://www.ahd.com/free_profile/130014/West_Valley_Medical_Center/Caldwell/Idaho/" xr:uid="{D1AD8E40-485F-954F-B509-E7143570F4E7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02946-F337-094A-B6D7-65BDDF87EA01}">
  <sheetPr codeName="Sheet16"/>
  <dimension ref="A1:G145"/>
  <sheetViews>
    <sheetView topLeftCell="A50" workbookViewId="0">
      <selection activeCell="G63" sqref="G63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1799</v>
      </c>
      <c r="B2" s="2" t="s">
        <v>1800</v>
      </c>
      <c r="C2" s="2">
        <v>81</v>
      </c>
      <c r="D2" s="2">
        <v>958</v>
      </c>
      <c r="E2" s="3">
        <v>4439</v>
      </c>
      <c r="F2" s="4">
        <v>171300</v>
      </c>
      <c r="G2" s="11" t="str" cm="1">
        <f t="array" aca="1" ref="G2" ca="1">IFERROR(VLOOKUP("*" &amp; B2  &amp; "*" &amp; (MID(CELL("filename",A1),FIND("]",CELL("filename",A1))+1,31)) &amp; "*",CHOOSE({1,2}, Super_CBSA!$B$2:$B$1917, Super_CBSA!$A$2:$A$1917), 2,FALSE), IFERROR(VLOOKUP(B2  &amp; "*",CHOOSE({1,2}, Super_CBSA!$E$2:$E$1917, Super_CBSA!$A$2:$A$1917), 2,FALSE), ""))</f>
        <v/>
      </c>
    </row>
    <row r="3" spans="1:7" ht="17">
      <c r="A3" s="1" t="s">
        <v>1801</v>
      </c>
      <c r="B3" s="2" t="s">
        <v>1802</v>
      </c>
      <c r="C3" s="2">
        <v>98</v>
      </c>
      <c r="D3" s="3">
        <v>5192</v>
      </c>
      <c r="E3" s="3">
        <v>21128</v>
      </c>
      <c r="F3" s="4">
        <v>788437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"*",CHOOSE({1,2}, Super_CBSA!$E$2:$E$1917, Super_CBSA!$A$2:$A$1917), 2,FALSE), ""))</f>
        <v>12060</v>
      </c>
    </row>
    <row r="4" spans="1:7" ht="17">
      <c r="A4" s="1" t="s">
        <v>1803</v>
      </c>
      <c r="B4" s="2" t="s">
        <v>1804</v>
      </c>
      <c r="C4" s="2">
        <v>0</v>
      </c>
      <c r="D4" s="2">
        <v>0</v>
      </c>
      <c r="E4" s="2">
        <v>0</v>
      </c>
      <c r="F4" s="4">
        <v>0</v>
      </c>
      <c r="G4" s="11" t="str" cm="1">
        <f t="array" aca="1" ref="G4" ca="1">IFERROR(VLOOKUP("*" &amp; B4  &amp; "*" &amp; (MID(CELL("filename",A3),FIND("]",CELL("filename",A3))+1,31)) &amp; "*",CHOOSE({1,2}, Super_CBSA!$B$2:$B$1917, Super_CBSA!$A$2:$A$1917), 2,FALSE), IFERROR(VLOOKUP(B4  &amp; "*",CHOOSE({1,2}, Super_CBSA!$E$2:$E$1917, Super_CBSA!$A$2:$A$1917), 2,FALSE), ""))</f>
        <v/>
      </c>
    </row>
    <row r="5" spans="1:7" ht="17">
      <c r="A5" s="1" t="s">
        <v>1805</v>
      </c>
      <c r="B5" s="2" t="s">
        <v>1806</v>
      </c>
      <c r="C5" s="2">
        <v>777</v>
      </c>
      <c r="D5" s="3">
        <v>42133</v>
      </c>
      <c r="E5" s="3">
        <v>227436</v>
      </c>
      <c r="F5" s="4">
        <v>3681071</v>
      </c>
      <c r="G5" s="11" t="str" cm="1">
        <f t="array" aca="1" ref="G5" ca="1">IFERROR(VLOOKUP("*" &amp; B5  &amp; "*" &amp; (MID(CELL("filename",A4),FIND("]",CELL("filename",A4))+1,31)) &amp; "*",CHOOSE({1,2}, Super_CBSA!$B$2:$B$1917, Super_CBSA!$A$2:$A$1917), 2,FALSE), IFERROR(VLOOKUP(B5  &amp; "*",CHOOSE({1,2}, Super_CBSA!$E$2:$E$1917, Super_CBSA!$A$2:$A$1917), 2,FALSE), ""))</f>
        <v/>
      </c>
    </row>
    <row r="6" spans="1:7" ht="17">
      <c r="A6" s="1" t="s">
        <v>1807</v>
      </c>
      <c r="B6" s="2" t="s">
        <v>1808</v>
      </c>
      <c r="C6" s="2">
        <v>273</v>
      </c>
      <c r="D6" s="3">
        <v>15638</v>
      </c>
      <c r="E6" s="3">
        <v>69512</v>
      </c>
      <c r="F6" s="4">
        <v>1518888</v>
      </c>
      <c r="G6" s="11" t="str" cm="1">
        <f t="array" aca="1" ref="G6" ca="1">IFERROR(VLOOKUP("*" &amp; B6  &amp; "*" &amp; (MID(CELL("filename",A5),FIND("]",CELL("filename",A5))+1,31)) &amp; "*",CHOOSE({1,2}, Super_CBSA!$B$2:$B$1917, Super_CBSA!$A$2:$A$1917), 2,FALSE), IFERROR(VLOOKUP(B6  &amp; "*",CHOOSE({1,2}, Super_CBSA!$E$2:$E$1917, Super_CBSA!$A$2:$A$1917), 2,FALSE), ""))</f>
        <v/>
      </c>
    </row>
    <row r="7" spans="1:7" ht="17">
      <c r="A7" s="1" t="s">
        <v>1809</v>
      </c>
      <c r="B7" s="2" t="s">
        <v>1810</v>
      </c>
      <c r="C7" s="2">
        <v>284</v>
      </c>
      <c r="D7" s="3">
        <v>16279</v>
      </c>
      <c r="E7" s="3">
        <v>70253</v>
      </c>
      <c r="F7" s="4">
        <v>1319396</v>
      </c>
      <c r="G7" s="11" t="str" cm="1">
        <f t="array" aca="1" ref="G7" ca="1">IFERROR(VLOOKUP("*" &amp; B7  &amp; "*" &amp; (MID(CELL("filename",A6),FIND("]",CELL("filename",A6))+1,31)) &amp; "*",CHOOSE({1,2}, Super_CBSA!$B$2:$B$1917, Super_CBSA!$A$2:$A$1917), 2,FALSE), IFERROR(VLOOKUP(B7  &amp; "*",CHOOSE({1,2}, Super_CBSA!$E$2:$E$1917, Super_CBSA!$A$2:$A$1917), 2,FALSE), ""))</f>
        <v/>
      </c>
    </row>
    <row r="8" spans="1:7" ht="17">
      <c r="A8" s="1" t="s">
        <v>1811</v>
      </c>
      <c r="B8" s="2" t="s">
        <v>1812</v>
      </c>
      <c r="C8" s="2">
        <v>176</v>
      </c>
      <c r="D8" s="3">
        <v>9712</v>
      </c>
      <c r="E8" s="3">
        <v>40013</v>
      </c>
      <c r="F8" s="4">
        <v>889027</v>
      </c>
      <c r="G8" s="11" t="str" cm="1">
        <f t="array" aca="1" ref="G8" ca="1">IFERROR(VLOOKUP("*" &amp; B8  &amp; "*" &amp; (MID(CELL("filename",A7),FIND("]",CELL("filename",A7))+1,31)) &amp; "*",CHOOSE({1,2}, Super_CBSA!$B$2:$B$1917, Super_CBSA!$A$2:$A$1917), 2,FALSE), IFERROR(VLOOKUP(B8  &amp; "*",CHOOSE({1,2}, Super_CBSA!$E$2:$E$1917, Super_CBSA!$A$2:$A$1917), 2,FALSE), ""))</f>
        <v/>
      </c>
    </row>
    <row r="9" spans="1:7" ht="17">
      <c r="A9" s="1" t="s">
        <v>1813</v>
      </c>
      <c r="B9" s="2" t="s">
        <v>1814</v>
      </c>
      <c r="C9" s="2">
        <v>311</v>
      </c>
      <c r="D9" s="3">
        <v>11900</v>
      </c>
      <c r="E9" s="3">
        <v>51024</v>
      </c>
      <c r="F9" s="4">
        <v>1438797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"*",CHOOSE({1,2}, Super_CBSA!$E$2:$E$1917, Super_CBSA!$A$2:$A$1917), 2,FALSE), ""))</f>
        <v>16980</v>
      </c>
    </row>
    <row r="10" spans="1:7" ht="17">
      <c r="A10" s="1" t="s">
        <v>1815</v>
      </c>
      <c r="B10" s="2" t="s">
        <v>1816</v>
      </c>
      <c r="C10" s="2">
        <v>629</v>
      </c>
      <c r="D10" s="3">
        <v>27333</v>
      </c>
      <c r="E10" s="3">
        <v>145866</v>
      </c>
      <c r="F10" s="4">
        <v>2503516</v>
      </c>
      <c r="G10" s="11" t="str" cm="1">
        <f t="array" aca="1" ref="G10" ca="1">IFERROR(VLOOKUP("*" &amp; B10  &amp; "*" &amp; (MID(CELL("filename",A9),FIND("]",CELL("filename",A9))+1,31)) &amp; "*",CHOOSE({1,2}, Super_CBSA!$B$2:$B$1917, Super_CBSA!$A$2:$A$1917), 2,FALSE), IFERROR(VLOOKUP(B10  &amp; "*",CHOOSE({1,2}, Super_CBSA!$E$2:$E$1917, Super_CBSA!$A$2:$A$1917), 2,FALSE), ""))</f>
        <v/>
      </c>
    </row>
    <row r="11" spans="1:7" ht="17">
      <c r="A11" s="1" t="s">
        <v>1817</v>
      </c>
      <c r="B11" s="2" t="s">
        <v>1818</v>
      </c>
      <c r="C11" s="2">
        <v>255</v>
      </c>
      <c r="D11" s="3">
        <v>16813</v>
      </c>
      <c r="E11" s="3">
        <v>60597</v>
      </c>
      <c r="F11" s="4">
        <v>1388562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"*",CHOOSE({1,2}, Super_CBSA!$E$2:$E$1917, Super_CBSA!$A$2:$A$1917), 2,FALSE), ""))</f>
        <v>16980</v>
      </c>
    </row>
    <row r="12" spans="1:7" ht="17">
      <c r="A12" s="1" t="s">
        <v>1819</v>
      </c>
      <c r="B12" s="2" t="s">
        <v>1820</v>
      </c>
      <c r="C12" s="2">
        <v>233</v>
      </c>
      <c r="D12" s="3">
        <v>9628</v>
      </c>
      <c r="E12" s="3">
        <v>38306</v>
      </c>
      <c r="F12" s="4">
        <v>861435</v>
      </c>
      <c r="G12" s="11" t="str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"*",CHOOSE({1,2}, Super_CBSA!$E$2:$E$1917, Super_CBSA!$A$2:$A$1917), 2,FALSE), ""))</f>
        <v/>
      </c>
    </row>
    <row r="13" spans="1:7" ht="17">
      <c r="A13" s="1" t="s">
        <v>1821</v>
      </c>
      <c r="B13" s="2" t="s">
        <v>1814</v>
      </c>
      <c r="C13" s="2">
        <v>201</v>
      </c>
      <c r="D13" s="3">
        <v>7277</v>
      </c>
      <c r="E13" s="3">
        <v>29974</v>
      </c>
      <c r="F13" s="4">
        <v>504268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"*",CHOOSE({1,2}, Super_CBSA!$E$2:$E$1917, Super_CBSA!$A$2:$A$1917), 2,FALSE), ""))</f>
        <v>16980</v>
      </c>
    </row>
    <row r="14" spans="1:7" ht="17">
      <c r="A14" s="1" t="s">
        <v>1822</v>
      </c>
      <c r="B14" s="2" t="s">
        <v>1823</v>
      </c>
      <c r="C14" s="2">
        <v>152</v>
      </c>
      <c r="D14" s="3">
        <v>7386</v>
      </c>
      <c r="E14" s="3">
        <v>24099</v>
      </c>
      <c r="F14" s="4">
        <v>521023</v>
      </c>
      <c r="G14" s="11" t="str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"*",CHOOSE({1,2}, Super_CBSA!$E$2:$E$1917, Super_CBSA!$A$2:$A$1917), 2,FALSE), ""))</f>
        <v/>
      </c>
    </row>
    <row r="15" spans="1:7" ht="17">
      <c r="A15" s="1" t="s">
        <v>1824</v>
      </c>
      <c r="B15" s="2" t="s">
        <v>1825</v>
      </c>
      <c r="C15" s="2">
        <v>138</v>
      </c>
      <c r="D15" s="3">
        <v>5196</v>
      </c>
      <c r="E15" s="3">
        <v>23625</v>
      </c>
      <c r="F15" s="4">
        <v>273204</v>
      </c>
      <c r="G15" s="11" t="str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"*",CHOOSE({1,2}, Super_CBSA!$E$2:$E$1917, Super_CBSA!$A$2:$A$1917), 2,FALSE), ""))</f>
        <v/>
      </c>
    </row>
    <row r="16" spans="1:7" ht="17">
      <c r="A16" s="1" t="s">
        <v>1826</v>
      </c>
      <c r="B16" s="2" t="s">
        <v>1827</v>
      </c>
      <c r="C16" s="2">
        <v>134</v>
      </c>
      <c r="D16" s="3">
        <v>5794</v>
      </c>
      <c r="E16" s="3">
        <v>21774</v>
      </c>
      <c r="F16" s="4">
        <v>557931</v>
      </c>
      <c r="G16" s="11" t="str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"*",CHOOSE({1,2}, Super_CBSA!$E$2:$E$1917, Super_CBSA!$A$2:$A$1917), 2,FALSE), ""))</f>
        <v/>
      </c>
    </row>
    <row r="17" spans="1:7" ht="17">
      <c r="A17" s="1" t="s">
        <v>1828</v>
      </c>
      <c r="B17" s="2" t="s">
        <v>1829</v>
      </c>
      <c r="C17" s="2">
        <v>261</v>
      </c>
      <c r="D17" s="3">
        <v>10966</v>
      </c>
      <c r="E17" s="3">
        <v>51311</v>
      </c>
      <c r="F17" s="4">
        <v>1072752</v>
      </c>
      <c r="G17" s="11" t="str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"*",CHOOSE({1,2}, Super_CBSA!$E$2:$E$1917, Super_CBSA!$A$2:$A$1917), 2,FALSE), ""))</f>
        <v/>
      </c>
    </row>
    <row r="18" spans="1:7" ht="17">
      <c r="A18" s="1" t="s">
        <v>1830</v>
      </c>
      <c r="B18" s="2" t="s">
        <v>1831</v>
      </c>
      <c r="C18" s="2">
        <v>176</v>
      </c>
      <c r="D18" s="3">
        <v>7405</v>
      </c>
      <c r="E18" s="3">
        <v>32100</v>
      </c>
      <c r="F18" s="4">
        <v>597897</v>
      </c>
      <c r="G18" s="11" t="str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"*",CHOOSE({1,2}, Super_CBSA!$E$2:$E$1917, Super_CBSA!$A$2:$A$1917), 2,FALSE), ""))</f>
        <v/>
      </c>
    </row>
    <row r="19" spans="1:7" ht="17">
      <c r="A19" s="1" t="s">
        <v>1832</v>
      </c>
      <c r="B19" s="2" t="s">
        <v>1833</v>
      </c>
      <c r="C19" s="2">
        <v>354</v>
      </c>
      <c r="D19" s="3">
        <v>15522</v>
      </c>
      <c r="E19" s="3">
        <v>74451</v>
      </c>
      <c r="F19" s="4">
        <v>2264353</v>
      </c>
      <c r="G19" s="11" t="str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"*",CHOOSE({1,2}, Super_CBSA!$E$2:$E$1917, Super_CBSA!$A$2:$A$1917), 2,FALSE), ""))</f>
        <v/>
      </c>
    </row>
    <row r="20" spans="1:7" ht="17">
      <c r="A20" s="1" t="s">
        <v>1834</v>
      </c>
      <c r="B20" s="2" t="s">
        <v>987</v>
      </c>
      <c r="C20" s="2">
        <v>256</v>
      </c>
      <c r="D20" s="3">
        <v>5994</v>
      </c>
      <c r="E20" s="3">
        <v>25330</v>
      </c>
      <c r="F20" s="4">
        <v>1099252</v>
      </c>
      <c r="G20" s="11" t="str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"*",CHOOSE({1,2}, Super_CBSA!$E$2:$E$1917, Super_CBSA!$A$2:$A$1917), 2,FALSE), ""))</f>
        <v/>
      </c>
    </row>
    <row r="21" spans="1:7" ht="17">
      <c r="A21" s="1" t="s">
        <v>1835</v>
      </c>
      <c r="B21" s="2" t="s">
        <v>1814</v>
      </c>
      <c r="C21" s="2">
        <v>274</v>
      </c>
      <c r="D21" s="3">
        <v>12201</v>
      </c>
      <c r="E21" s="3">
        <v>54261</v>
      </c>
      <c r="F21" s="4">
        <v>1510378</v>
      </c>
      <c r="G21" s="11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"*",CHOOSE({1,2}, Super_CBSA!$E$2:$E$1917, Super_CBSA!$A$2:$A$1917), 2,FALSE), ""))</f>
        <v>16980</v>
      </c>
    </row>
    <row r="22" spans="1:7" ht="17">
      <c r="A22" s="1" t="s">
        <v>1836</v>
      </c>
      <c r="B22" s="2" t="s">
        <v>1837</v>
      </c>
      <c r="C22" s="2">
        <v>181</v>
      </c>
      <c r="D22" s="3">
        <v>8040</v>
      </c>
      <c r="E22" s="3">
        <v>30501</v>
      </c>
      <c r="F22" s="4">
        <v>971058</v>
      </c>
      <c r="G22" s="11" t="str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"*",CHOOSE({1,2}, Super_CBSA!$E$2:$E$1917, Super_CBSA!$A$2:$A$1917), 2,FALSE), ""))</f>
        <v/>
      </c>
    </row>
    <row r="23" spans="1:7" ht="17">
      <c r="A23" s="1" t="s">
        <v>1838</v>
      </c>
      <c r="B23" s="2" t="s">
        <v>1814</v>
      </c>
      <c r="C23" s="2">
        <v>313</v>
      </c>
      <c r="D23" s="3">
        <v>9985</v>
      </c>
      <c r="E23" s="3">
        <v>43629</v>
      </c>
      <c r="F23" s="4">
        <v>858719</v>
      </c>
      <c r="G23" s="11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"*",CHOOSE({1,2}, Super_CBSA!$E$2:$E$1917, Super_CBSA!$A$2:$A$1917), 2,FALSE), ""))</f>
        <v>16980</v>
      </c>
    </row>
    <row r="24" spans="1:7" ht="17">
      <c r="A24" s="1" t="s">
        <v>1839</v>
      </c>
      <c r="B24" s="2" t="s">
        <v>1818</v>
      </c>
      <c r="C24" s="2">
        <v>184</v>
      </c>
      <c r="D24" s="3">
        <v>5648</v>
      </c>
      <c r="E24" s="3">
        <v>25669</v>
      </c>
      <c r="F24" s="4">
        <v>857703</v>
      </c>
      <c r="G24" s="11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"*",CHOOSE({1,2}, Super_CBSA!$E$2:$E$1917, Super_CBSA!$A$2:$A$1917), 2,FALSE), ""))</f>
        <v>16980</v>
      </c>
    </row>
    <row r="25" spans="1:7" ht="17">
      <c r="A25" s="1" t="s">
        <v>1840</v>
      </c>
      <c r="B25" s="2" t="s">
        <v>1841</v>
      </c>
      <c r="C25" s="2">
        <v>424</v>
      </c>
      <c r="D25" s="3">
        <v>18048</v>
      </c>
      <c r="E25" s="3">
        <v>72554</v>
      </c>
      <c r="F25" s="4">
        <v>2023383</v>
      </c>
      <c r="G25" s="11" t="str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"*",CHOOSE({1,2}, Super_CBSA!$E$2:$E$1917, Super_CBSA!$A$2:$A$1917), 2,FALSE), ""))</f>
        <v/>
      </c>
    </row>
    <row r="26" spans="1:7" ht="17">
      <c r="A26" s="1" t="s">
        <v>1842</v>
      </c>
      <c r="B26" s="2" t="s">
        <v>1814</v>
      </c>
      <c r="C26" s="2">
        <v>219</v>
      </c>
      <c r="D26" s="3">
        <v>7753</v>
      </c>
      <c r="E26" s="3">
        <v>40230</v>
      </c>
      <c r="F26" s="4">
        <v>202651</v>
      </c>
      <c r="G26" s="11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"*",CHOOSE({1,2}, Super_CBSA!$E$2:$E$1917, Super_CBSA!$A$2:$A$1917), 2,FALSE), ""))</f>
        <v>16980</v>
      </c>
    </row>
    <row r="27" spans="1:7" ht="17">
      <c r="A27" s="1" t="s">
        <v>1843</v>
      </c>
      <c r="B27" s="2" t="s">
        <v>1814</v>
      </c>
      <c r="C27" s="2">
        <v>429</v>
      </c>
      <c r="D27" s="3">
        <v>16912</v>
      </c>
      <c r="E27" s="3">
        <v>83883</v>
      </c>
      <c r="F27" s="4">
        <v>1463998</v>
      </c>
      <c r="G27" s="11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"*",CHOOSE({1,2}, Super_CBSA!$E$2:$E$1917, Super_CBSA!$A$2:$A$1917), 2,FALSE), ""))</f>
        <v>16980</v>
      </c>
    </row>
    <row r="28" spans="1:7" ht="17">
      <c r="A28" s="1" t="s">
        <v>1844</v>
      </c>
      <c r="B28" s="2" t="s">
        <v>1845</v>
      </c>
      <c r="C28" s="2">
        <v>318</v>
      </c>
      <c r="D28" s="3">
        <v>16621</v>
      </c>
      <c r="E28" s="3">
        <v>77115</v>
      </c>
      <c r="F28" s="4">
        <v>1618186</v>
      </c>
      <c r="G28" s="11" t="str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"*",CHOOSE({1,2}, Super_CBSA!$E$2:$E$1917, Super_CBSA!$A$2:$A$1917), 2,FALSE), ""))</f>
        <v/>
      </c>
    </row>
    <row r="29" spans="1:7" ht="17">
      <c r="A29" s="1" t="s">
        <v>1846</v>
      </c>
      <c r="B29" s="2" t="s">
        <v>1847</v>
      </c>
      <c r="C29" s="2">
        <v>169</v>
      </c>
      <c r="D29" s="3">
        <v>5534</v>
      </c>
      <c r="E29" s="3">
        <v>21211</v>
      </c>
      <c r="F29" s="4">
        <v>753416</v>
      </c>
      <c r="G29" s="11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"*",CHOOSE({1,2}, Super_CBSA!$E$2:$E$1917, Super_CBSA!$A$2:$A$1917), 2,FALSE), ""))</f>
        <v>28100</v>
      </c>
    </row>
    <row r="30" spans="1:7" ht="17">
      <c r="A30" s="1" t="s">
        <v>1848</v>
      </c>
      <c r="B30" s="2" t="s">
        <v>1849</v>
      </c>
      <c r="C30" s="2">
        <v>154</v>
      </c>
      <c r="D30" s="3">
        <v>6932</v>
      </c>
      <c r="E30" s="3">
        <v>27287</v>
      </c>
      <c r="F30" s="4">
        <v>585097</v>
      </c>
      <c r="G30" s="11" t="str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"*",CHOOSE({1,2}, Super_CBSA!$E$2:$E$1917, Super_CBSA!$A$2:$A$1917), 2,FALSE), ""))</f>
        <v/>
      </c>
    </row>
    <row r="31" spans="1:7" ht="17">
      <c r="A31" s="1" t="s">
        <v>1850</v>
      </c>
      <c r="B31" s="2" t="s">
        <v>1851</v>
      </c>
      <c r="C31" s="2">
        <v>327</v>
      </c>
      <c r="D31" s="3">
        <v>11606</v>
      </c>
      <c r="E31" s="3">
        <v>46583</v>
      </c>
      <c r="F31" s="4">
        <v>1454140</v>
      </c>
      <c r="G31" s="11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"*",CHOOSE({1,2}, Super_CBSA!$E$2:$E$1917, Super_CBSA!$A$2:$A$1917), 2,FALSE), ""))</f>
        <v>39500</v>
      </c>
    </row>
    <row r="32" spans="1:7" ht="17">
      <c r="A32" s="1" t="s">
        <v>1852</v>
      </c>
      <c r="B32" s="2" t="s">
        <v>1853</v>
      </c>
      <c r="C32" s="2">
        <v>73</v>
      </c>
      <c r="D32" s="3">
        <v>1395</v>
      </c>
      <c r="E32" s="3">
        <v>8119</v>
      </c>
      <c r="F32" s="4">
        <v>0</v>
      </c>
      <c r="G32" s="11" t="str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"*",CHOOSE({1,2}, Super_CBSA!$E$2:$E$1917, Super_CBSA!$A$2:$A$1917), 2,FALSE), ""))</f>
        <v/>
      </c>
    </row>
    <row r="33" spans="1:7" ht="17">
      <c r="A33" s="1" t="s">
        <v>1854</v>
      </c>
      <c r="B33" s="2" t="s">
        <v>1855</v>
      </c>
      <c r="C33" s="2">
        <v>0</v>
      </c>
      <c r="D33" s="2">
        <v>0</v>
      </c>
      <c r="E33" s="2">
        <v>0</v>
      </c>
      <c r="F33" s="4">
        <v>0</v>
      </c>
      <c r="G33" s="11" t="str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"*",CHOOSE({1,2}, Super_CBSA!$E$2:$E$1917, Super_CBSA!$A$2:$A$1917), 2,FALSE), ""))</f>
        <v/>
      </c>
    </row>
    <row r="34" spans="1:7" ht="17">
      <c r="A34" s="1" t="s">
        <v>1856</v>
      </c>
      <c r="B34" s="2" t="s">
        <v>1857</v>
      </c>
      <c r="C34" s="2">
        <v>221</v>
      </c>
      <c r="D34" s="3">
        <v>8164</v>
      </c>
      <c r="E34" s="3">
        <v>32224</v>
      </c>
      <c r="F34" s="4">
        <v>478543</v>
      </c>
      <c r="G34" s="11" t="str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"*",CHOOSE({1,2}, Super_CBSA!$E$2:$E$1917, Super_CBSA!$A$2:$A$1917), 2,FALSE), ""))</f>
        <v/>
      </c>
    </row>
    <row r="35" spans="1:7" ht="17">
      <c r="A35" s="1" t="s">
        <v>1858</v>
      </c>
      <c r="B35" s="2" t="s">
        <v>1859</v>
      </c>
      <c r="C35" s="2">
        <v>411</v>
      </c>
      <c r="D35" s="3">
        <v>27238</v>
      </c>
      <c r="E35" s="3">
        <v>116233</v>
      </c>
      <c r="F35" s="4">
        <v>3599220</v>
      </c>
      <c r="G35" s="11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"*",CHOOSE({1,2}, Super_CBSA!$E$2:$E$1917, Super_CBSA!$A$2:$A$1917), 2,FALSE), ""))</f>
        <v>16580</v>
      </c>
    </row>
    <row r="36" spans="1:7" ht="17">
      <c r="A36" s="1" t="s">
        <v>1860</v>
      </c>
      <c r="B36" s="2" t="s">
        <v>1048</v>
      </c>
      <c r="C36" s="2">
        <v>96</v>
      </c>
      <c r="D36" s="3">
        <v>3944</v>
      </c>
      <c r="E36" s="3">
        <v>13874</v>
      </c>
      <c r="F36" s="4">
        <v>883751</v>
      </c>
      <c r="G36" s="11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"*",CHOOSE({1,2}, Super_CBSA!$E$2:$E$1917, Super_CBSA!$A$2:$A$1917), 2,FALSE), ""))</f>
        <v>44580</v>
      </c>
    </row>
    <row r="37" spans="1:7" ht="17">
      <c r="A37" s="1" t="s">
        <v>1861</v>
      </c>
      <c r="B37" s="2" t="s">
        <v>1814</v>
      </c>
      <c r="C37" s="2">
        <v>279</v>
      </c>
      <c r="D37" s="3">
        <v>5656</v>
      </c>
      <c r="E37" s="3">
        <v>30912</v>
      </c>
      <c r="F37" s="4">
        <v>633834</v>
      </c>
      <c r="G37" s="11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"*",CHOOSE({1,2}, Super_CBSA!$E$2:$E$1917, Super_CBSA!$A$2:$A$1917), 2,FALSE), ""))</f>
        <v>16980</v>
      </c>
    </row>
    <row r="38" spans="1:7" ht="17">
      <c r="A38" s="1" t="s">
        <v>1862</v>
      </c>
      <c r="B38" s="2" t="s">
        <v>1863</v>
      </c>
      <c r="C38" s="2">
        <v>47</v>
      </c>
      <c r="D38" s="3">
        <v>1115</v>
      </c>
      <c r="E38" s="3">
        <v>3352</v>
      </c>
      <c r="F38" s="4">
        <v>235981</v>
      </c>
      <c r="G38" s="11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"*",CHOOSE({1,2}, Super_CBSA!$E$2:$E$1917, Super_CBSA!$A$2:$A$1917), 2,FALSE), ""))</f>
        <v>34500</v>
      </c>
    </row>
    <row r="39" spans="1:7" ht="17">
      <c r="A39" s="1" t="s">
        <v>1864</v>
      </c>
      <c r="B39" s="2" t="s">
        <v>122</v>
      </c>
      <c r="C39" s="2">
        <v>246</v>
      </c>
      <c r="D39" s="3">
        <v>8493</v>
      </c>
      <c r="E39" s="3">
        <v>37233</v>
      </c>
      <c r="F39" s="4">
        <v>1158837</v>
      </c>
      <c r="G39" s="11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"*",CHOOSE({1,2}, Super_CBSA!$E$2:$E$1917, Super_CBSA!$A$2:$A$1917), 2,FALSE), ""))</f>
        <v>19500</v>
      </c>
    </row>
    <row r="40" spans="1:7" ht="17">
      <c r="A40" s="1" t="s">
        <v>1865</v>
      </c>
      <c r="B40" s="2" t="s">
        <v>1866</v>
      </c>
      <c r="C40" s="2">
        <v>0</v>
      </c>
      <c r="D40" s="2">
        <v>0</v>
      </c>
      <c r="E40" s="2">
        <v>0</v>
      </c>
      <c r="F40" s="4">
        <v>0</v>
      </c>
      <c r="G40" s="11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"*",CHOOSE({1,2}, Super_CBSA!$E$2:$E$1917, Super_CBSA!$A$2:$A$1917), 2,FALSE), ""))</f>
        <v>25980</v>
      </c>
    </row>
    <row r="41" spans="1:7" ht="17">
      <c r="A41" s="1" t="s">
        <v>1867</v>
      </c>
      <c r="B41" s="2" t="s">
        <v>1868</v>
      </c>
      <c r="C41" s="2">
        <v>298</v>
      </c>
      <c r="D41" s="3">
        <v>22048</v>
      </c>
      <c r="E41" s="3">
        <v>94116</v>
      </c>
      <c r="F41" s="4">
        <v>3495407</v>
      </c>
      <c r="G41" s="11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"*",CHOOSE({1,2}, Super_CBSA!$E$2:$E$1917, Super_CBSA!$A$2:$A$1917), 2,FALSE), ""))</f>
        <v>16980</v>
      </c>
    </row>
    <row r="42" spans="1:7" ht="17">
      <c r="A42" s="1" t="s">
        <v>1869</v>
      </c>
      <c r="B42" s="2" t="s">
        <v>1870</v>
      </c>
      <c r="C42" s="2">
        <v>282</v>
      </c>
      <c r="D42" s="3">
        <v>17404</v>
      </c>
      <c r="E42" s="3">
        <v>69930</v>
      </c>
      <c r="F42" s="4">
        <v>2674877</v>
      </c>
      <c r="G42" s="11" t="str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"*",CHOOSE({1,2}, Super_CBSA!$E$2:$E$1917, Super_CBSA!$A$2:$A$1917), 2,FALSE), ""))</f>
        <v/>
      </c>
    </row>
    <row r="43" spans="1:7" ht="17">
      <c r="A43" s="1" t="s">
        <v>1871</v>
      </c>
      <c r="B43" s="2" t="s">
        <v>1837</v>
      </c>
      <c r="C43" s="2">
        <v>750</v>
      </c>
      <c r="D43" s="3">
        <v>39091</v>
      </c>
      <c r="E43" s="3">
        <v>170870</v>
      </c>
      <c r="F43" s="4">
        <v>5452256</v>
      </c>
      <c r="G43" s="11" t="str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"*",CHOOSE({1,2}, Super_CBSA!$E$2:$E$1917, Super_CBSA!$A$2:$A$1917), 2,FALSE), ""))</f>
        <v/>
      </c>
    </row>
    <row r="44" spans="1:7" ht="17">
      <c r="A44" s="1" t="s">
        <v>1872</v>
      </c>
      <c r="B44" s="2" t="s">
        <v>1873</v>
      </c>
      <c r="C44" s="2">
        <v>100</v>
      </c>
      <c r="D44" s="3">
        <v>3830</v>
      </c>
      <c r="E44" s="3">
        <v>14237</v>
      </c>
      <c r="F44" s="4">
        <v>503578</v>
      </c>
      <c r="G44" s="11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"*",CHOOSE({1,2}, Super_CBSA!$E$2:$E$1917, Super_CBSA!$A$2:$A$1917), 2,FALSE), ""))</f>
        <v>23300</v>
      </c>
    </row>
    <row r="45" spans="1:7" ht="17">
      <c r="A45" s="1" t="s">
        <v>1874</v>
      </c>
      <c r="B45" s="2" t="s">
        <v>1875</v>
      </c>
      <c r="C45" s="2">
        <v>206</v>
      </c>
      <c r="D45" s="3">
        <v>10945</v>
      </c>
      <c r="E45" s="3">
        <v>45101</v>
      </c>
      <c r="F45" s="4">
        <v>1210956</v>
      </c>
      <c r="G45" s="11" t="str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"*",CHOOSE({1,2}, Super_CBSA!$E$2:$E$1917, Super_CBSA!$A$2:$A$1917), 2,FALSE), ""))</f>
        <v/>
      </c>
    </row>
    <row r="46" spans="1:7" ht="17">
      <c r="A46" s="1" t="s">
        <v>1876</v>
      </c>
      <c r="B46" s="2" t="s">
        <v>1877</v>
      </c>
      <c r="C46" s="2">
        <v>112</v>
      </c>
      <c r="D46" s="3">
        <v>1754</v>
      </c>
      <c r="E46" s="3">
        <v>6699</v>
      </c>
      <c r="F46" s="4">
        <v>352952</v>
      </c>
      <c r="G46" s="11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"*",CHOOSE({1,2}, Super_CBSA!$E$2:$E$1917, Super_CBSA!$A$2:$A$1917), 2,FALSE), ""))</f>
        <v>23660</v>
      </c>
    </row>
    <row r="47" spans="1:7" ht="17">
      <c r="A47" s="1" t="s">
        <v>1878</v>
      </c>
      <c r="B47" s="2" t="s">
        <v>1879</v>
      </c>
      <c r="C47" s="2">
        <v>305</v>
      </c>
      <c r="D47" s="3">
        <v>6417</v>
      </c>
      <c r="E47" s="3">
        <v>29246</v>
      </c>
      <c r="F47" s="4">
        <v>900224</v>
      </c>
      <c r="G47" s="11" t="str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"*",CHOOSE({1,2}, Super_CBSA!$E$2:$E$1917, Super_CBSA!$A$2:$A$1917), 2,FALSE), ""))</f>
        <v/>
      </c>
    </row>
    <row r="48" spans="1:7" ht="17">
      <c r="A48" s="1" t="s">
        <v>1880</v>
      </c>
      <c r="B48" s="2" t="s">
        <v>1881</v>
      </c>
      <c r="C48" s="2">
        <v>265</v>
      </c>
      <c r="D48" s="3">
        <v>3316</v>
      </c>
      <c r="E48" s="3">
        <v>10062</v>
      </c>
      <c r="F48" s="4">
        <v>286641</v>
      </c>
      <c r="G48" s="11" t="str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"*",CHOOSE({1,2}, Super_CBSA!$E$2:$E$1917, Super_CBSA!$A$2:$A$1917), 2,FALSE), ""))</f>
        <v/>
      </c>
    </row>
    <row r="49" spans="1:7" ht="17">
      <c r="A49" s="1" t="s">
        <v>1882</v>
      </c>
      <c r="B49" s="2" t="s">
        <v>1883</v>
      </c>
      <c r="C49" s="2">
        <v>0</v>
      </c>
      <c r="D49" s="2">
        <v>0</v>
      </c>
      <c r="E49" s="2">
        <v>0</v>
      </c>
      <c r="F49" s="4">
        <v>0</v>
      </c>
      <c r="G49" s="11" t="str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"*",CHOOSE({1,2}, Super_CBSA!$E$2:$E$1917, Super_CBSA!$A$2:$A$1917), 2,FALSE), ""))</f>
        <v/>
      </c>
    </row>
    <row r="50" spans="1:7" ht="17">
      <c r="A50" s="1" t="s">
        <v>1884</v>
      </c>
      <c r="B50" s="2" t="s">
        <v>1596</v>
      </c>
      <c r="C50" s="2">
        <v>81</v>
      </c>
      <c r="D50" s="3">
        <v>2069</v>
      </c>
      <c r="E50" s="3">
        <v>7467</v>
      </c>
      <c r="F50" s="4">
        <v>218898</v>
      </c>
      <c r="G50" s="11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"*",CHOOSE({1,2}, Super_CBSA!$E$2:$E$1917, Super_CBSA!$A$2:$A$1917), 2,FALSE), ""))</f>
        <v>15940</v>
      </c>
    </row>
    <row r="51" spans="1:7" ht="17">
      <c r="A51" s="1" t="s">
        <v>1885</v>
      </c>
      <c r="B51" s="2" t="s">
        <v>1886</v>
      </c>
      <c r="C51" s="2">
        <v>70</v>
      </c>
      <c r="D51" s="3">
        <v>1547</v>
      </c>
      <c r="E51" s="3">
        <v>4671</v>
      </c>
      <c r="F51" s="4">
        <v>154551</v>
      </c>
      <c r="G51" s="11" t="str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"*",CHOOSE({1,2}, Super_CBSA!$E$2:$E$1917, Super_CBSA!$A$2:$A$1917), 2,FALSE), ""))</f>
        <v/>
      </c>
    </row>
    <row r="52" spans="1:7" ht="17">
      <c r="A52" s="1" t="s">
        <v>1887</v>
      </c>
      <c r="B52" s="2" t="s">
        <v>1888</v>
      </c>
      <c r="C52" s="2">
        <v>94</v>
      </c>
      <c r="D52" s="3">
        <v>3820</v>
      </c>
      <c r="E52" s="3">
        <v>11122</v>
      </c>
      <c r="F52" s="4">
        <v>622008</v>
      </c>
      <c r="G52" s="11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"*",CHOOSE({1,2}, Super_CBSA!$E$2:$E$1917, Super_CBSA!$A$2:$A$1917), 2,FALSE), ""))</f>
        <v>16060</v>
      </c>
    </row>
    <row r="53" spans="1:7" ht="17">
      <c r="A53" s="1" t="s">
        <v>1889</v>
      </c>
      <c r="B53" s="2" t="s">
        <v>1890</v>
      </c>
      <c r="C53" s="2">
        <v>114</v>
      </c>
      <c r="D53" s="3">
        <v>6147</v>
      </c>
      <c r="E53" s="3">
        <v>21396</v>
      </c>
      <c r="F53" s="4">
        <v>682177</v>
      </c>
      <c r="G53" s="11" t="str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"*",CHOOSE({1,2}, Super_CBSA!$E$2:$E$1917, Super_CBSA!$A$2:$A$1917), 2,FALSE), ""))</f>
        <v/>
      </c>
    </row>
    <row r="54" spans="1:7" ht="17">
      <c r="A54" s="1" t="s">
        <v>1891</v>
      </c>
      <c r="B54" s="2" t="s">
        <v>1892</v>
      </c>
      <c r="C54" s="2">
        <v>0</v>
      </c>
      <c r="D54" s="2">
        <v>0</v>
      </c>
      <c r="E54" s="2">
        <v>0</v>
      </c>
      <c r="F54" s="4">
        <v>0</v>
      </c>
      <c r="G54" s="11" t="str" cm="1">
        <f t="array" aca="1" ref="G54" ca="1">IFERROR(VLOOKUP("*" &amp; B54  &amp; "*" &amp; (MID(CELL("filename",A53),FIND("]",CELL("filename",A53))+1,31)) &amp; "*",CHOOSE({1,2}, Super_CBSA!$B$2:$B$1917, Super_CBSA!$A$2:$A$1917), 2,FALSE), IFERROR(VLOOKUP(B54  &amp; "*",CHOOSE({1,2}, Super_CBSA!$E$2:$E$1917, Super_CBSA!$A$2:$A$1917), 2,FALSE), ""))</f>
        <v/>
      </c>
    </row>
    <row r="55" spans="1:7" ht="17">
      <c r="A55" s="1" t="s">
        <v>1321</v>
      </c>
      <c r="B55" s="2" t="s">
        <v>1814</v>
      </c>
      <c r="C55" s="2">
        <v>221</v>
      </c>
      <c r="D55" s="3">
        <v>8787</v>
      </c>
      <c r="E55" s="3">
        <v>40568</v>
      </c>
      <c r="F55" s="4">
        <v>557241</v>
      </c>
      <c r="G55" s="11" cm="1">
        <f t="array" aca="1" ref="G55" ca="1">IFERROR(VLOOKUP("*" &amp; B55  &amp; "*" &amp; (MID(CELL("filename",A54),FIND("]",CELL("filename",A54))+1,31)) &amp; "*",CHOOSE({1,2}, Super_CBSA!$B$2:$B$1917, Super_CBSA!$A$2:$A$1917), 2,FALSE), IFERROR(VLOOKUP(B55  &amp; "*",CHOOSE({1,2}, Super_CBSA!$E$2:$E$1917, Super_CBSA!$A$2:$A$1917), 2,FALSE), ""))</f>
        <v>16980</v>
      </c>
    </row>
    <row r="56" spans="1:7" ht="17">
      <c r="A56" s="1" t="s">
        <v>1893</v>
      </c>
      <c r="B56" s="2" t="s">
        <v>1894</v>
      </c>
      <c r="C56" s="2">
        <v>30</v>
      </c>
      <c r="D56" s="2">
        <v>371</v>
      </c>
      <c r="E56" s="3">
        <v>1036</v>
      </c>
      <c r="F56" s="4">
        <v>38088</v>
      </c>
      <c r="G56" s="11" t="str" cm="1">
        <f t="array" aca="1" ref="G56" ca="1">IFERROR(VLOOKUP("*" &amp; B56  &amp; "*" &amp; (MID(CELL("filename",A55),FIND("]",CELL("filename",A55))+1,31)) &amp; "*",CHOOSE({1,2}, Super_CBSA!$B$2:$B$1917, Super_CBSA!$A$2:$A$1917), 2,FALSE), IFERROR(VLOOKUP(B56  &amp; "*",CHOOSE({1,2}, Super_CBSA!$E$2:$E$1917, Super_CBSA!$A$2:$A$1917), 2,FALSE), ""))</f>
        <v/>
      </c>
    </row>
    <row r="57" spans="1:7" ht="17">
      <c r="A57" s="1" t="s">
        <v>1895</v>
      </c>
      <c r="B57" s="2" t="s">
        <v>200</v>
      </c>
      <c r="C57" s="2">
        <v>42</v>
      </c>
      <c r="D57" s="2">
        <v>825</v>
      </c>
      <c r="E57" s="3">
        <v>2719</v>
      </c>
      <c r="F57" s="4">
        <v>66895</v>
      </c>
      <c r="G57" s="11" cm="1">
        <f t="array" aca="1" ref="G57" ca="1">IFERROR(VLOOKUP("*" &amp; B57  &amp; "*" &amp; (MID(CELL("filename",A56),FIND("]",CELL("filename",A56))+1,31)) &amp; "*",CHOOSE({1,2}, Super_CBSA!$B$2:$B$1917, Super_CBSA!$A$2:$A$1917), 2,FALSE), IFERROR(VLOOKUP(B57  &amp; "*",CHOOSE({1,2}, Super_CBSA!$E$2:$E$1917, Super_CBSA!$A$2:$A$1917), 2,FALSE), ""))</f>
        <v>24860</v>
      </c>
    </row>
    <row r="58" spans="1:7" ht="17">
      <c r="A58" s="1" t="s">
        <v>1896</v>
      </c>
      <c r="B58" s="2" t="s">
        <v>1897</v>
      </c>
      <c r="C58" s="2">
        <v>133</v>
      </c>
      <c r="D58" s="3">
        <v>4592</v>
      </c>
      <c r="E58" s="3">
        <v>15569</v>
      </c>
      <c r="F58" s="4">
        <v>413430</v>
      </c>
      <c r="G58" s="11" cm="1">
        <f t="array" aca="1" ref="G58" ca="1">IFERROR(VLOOKUP("*" &amp; B58  &amp; "*" &amp; (MID(CELL("filename",A57),FIND("]",CELL("filename",A57))+1,31)) &amp; "*",CHOOSE({1,2}, Super_CBSA!$B$2:$B$1917, Super_CBSA!$A$2:$A$1917), 2,FALSE), IFERROR(VLOOKUP(B58  &amp; "*",CHOOSE({1,2}, Super_CBSA!$E$2:$E$1917, Super_CBSA!$A$2:$A$1917), 2,FALSE), ""))</f>
        <v>20820</v>
      </c>
    </row>
    <row r="59" spans="1:7" ht="17">
      <c r="A59" s="1" t="s">
        <v>1898</v>
      </c>
      <c r="B59" s="2" t="s">
        <v>1899</v>
      </c>
      <c r="C59" s="2">
        <v>144</v>
      </c>
      <c r="D59" s="3">
        <v>9930</v>
      </c>
      <c r="E59" s="3">
        <v>37038</v>
      </c>
      <c r="F59" s="4">
        <v>839994</v>
      </c>
      <c r="G59" s="11" t="str" cm="1">
        <f t="array" aca="1" ref="G59" ca="1">IFERROR(VLOOKUP("*" &amp; B59  &amp; "*" &amp; (MID(CELL("filename",A58),FIND("]",CELL("filename",A58))+1,31)) &amp; "*",CHOOSE({1,2}, Super_CBSA!$B$2:$B$1917, Super_CBSA!$A$2:$A$1917), 2,FALSE), IFERROR(VLOOKUP(B59  &amp; "*",CHOOSE({1,2}, Super_CBSA!$E$2:$E$1917, Super_CBSA!$A$2:$A$1917), 2,FALSE), ""))</f>
        <v/>
      </c>
    </row>
    <row r="60" spans="1:7" ht="17">
      <c r="A60" s="1" t="s">
        <v>1900</v>
      </c>
      <c r="B60" s="2" t="s">
        <v>1901</v>
      </c>
      <c r="C60" s="2">
        <v>369</v>
      </c>
      <c r="D60" s="3">
        <v>18322</v>
      </c>
      <c r="E60" s="3">
        <v>98788</v>
      </c>
      <c r="F60" s="4">
        <v>1938233</v>
      </c>
      <c r="G60" s="11" cm="1">
        <f t="array" aca="1" ref="G60" ca="1">IFERROR(VLOOKUP("*" &amp; B60  &amp; "*" &amp; (MID(CELL("filename",A59),FIND("]",CELL("filename",A59))+1,31)) &amp; "*",CHOOSE({1,2}, Super_CBSA!$B$2:$B$1917, Super_CBSA!$A$2:$A$1917), 2,FALSE), IFERROR(VLOOKUP(B60  &amp; "*",CHOOSE({1,2}, Super_CBSA!$E$2:$E$1917, Super_CBSA!$A$2:$A$1917), 2,FALSE), ""))</f>
        <v>44100</v>
      </c>
    </row>
    <row r="61" spans="1:7" ht="17">
      <c r="A61" s="1" t="s">
        <v>1902</v>
      </c>
      <c r="B61" s="2" t="s">
        <v>1903</v>
      </c>
      <c r="C61" s="2">
        <v>46</v>
      </c>
      <c r="D61" s="3">
        <v>1425</v>
      </c>
      <c r="E61" s="3">
        <v>4814</v>
      </c>
      <c r="F61" s="4">
        <v>139511</v>
      </c>
      <c r="G61" s="11" t="str" cm="1">
        <f t="array" aca="1" ref="G61" ca="1">IFERROR(VLOOKUP("*" &amp; B61  &amp; "*" &amp; (MID(CELL("filename",A60),FIND("]",CELL("filename",A60))+1,31)) &amp; "*",CHOOSE({1,2}, Super_CBSA!$B$2:$B$1917, Super_CBSA!$A$2:$A$1917), 2,FALSE), IFERROR(VLOOKUP(B61  &amp; "*",CHOOSE({1,2}, Super_CBSA!$E$2:$E$1917, Super_CBSA!$A$2:$A$1917), 2,FALSE), ""))</f>
        <v/>
      </c>
    </row>
    <row r="62" spans="1:7" ht="17">
      <c r="A62" s="1" t="s">
        <v>1904</v>
      </c>
      <c r="B62" s="2" t="s">
        <v>122</v>
      </c>
      <c r="C62" s="2">
        <v>207</v>
      </c>
      <c r="D62" s="3">
        <v>5585</v>
      </c>
      <c r="E62" s="3">
        <v>23732</v>
      </c>
      <c r="F62" s="4">
        <v>624519</v>
      </c>
      <c r="G62" s="11" cm="1">
        <f t="array" aca="1" ref="G62" ca="1">IFERROR(VLOOKUP("*" &amp; B62  &amp; "*" &amp; (MID(CELL("filename",A61),FIND("]",CELL("filename",A61))+1,31)) &amp; "*",CHOOSE({1,2}, Super_CBSA!$B$2:$B$1917, Super_CBSA!$A$2:$A$1917), 2,FALSE), IFERROR(VLOOKUP(B62  &amp; "*",CHOOSE({1,2}, Super_CBSA!$E$2:$E$1917, Super_CBSA!$A$2:$A$1917), 2,FALSE), ""))</f>
        <v>19500</v>
      </c>
    </row>
    <row r="63" spans="1:7" ht="17">
      <c r="A63" s="1" t="s">
        <v>1905</v>
      </c>
      <c r="B63" s="2" t="s">
        <v>1901</v>
      </c>
      <c r="C63" s="2">
        <v>0</v>
      </c>
      <c r="D63" s="2">
        <v>0</v>
      </c>
      <c r="E63" s="2">
        <v>0</v>
      </c>
      <c r="F63" s="4">
        <v>0</v>
      </c>
      <c r="G63" s="11" cm="1">
        <f t="array" aca="1" ref="G63" ca="1">IFERROR(VLOOKUP("*" &amp; B63  &amp; "*" &amp; (MID(CELL("filename",A62),FIND("]",CELL("filename",A62))+1,31)) &amp; "*",CHOOSE({1,2}, Super_CBSA!$B$2:$B$1917, Super_CBSA!$A$2:$A$1917), 2,FALSE), IFERROR(VLOOKUP(B63  &amp; " city",CHOOSE({1,2}, Super_CBSA!$E$2:$E$1917, Super_CBSA!$A$2:$A$1917), 2,FALSE), ""))</f>
        <v>44100</v>
      </c>
    </row>
    <row r="64" spans="1:7" ht="17">
      <c r="A64" s="1" t="s">
        <v>1906</v>
      </c>
      <c r="B64" s="2" t="s">
        <v>1907</v>
      </c>
      <c r="C64" s="2">
        <v>49</v>
      </c>
      <c r="D64" s="3">
        <v>2166</v>
      </c>
      <c r="E64" s="3">
        <v>6739</v>
      </c>
      <c r="F64" s="4">
        <v>257568</v>
      </c>
      <c r="G64" s="11" t="str" cm="1">
        <f t="array" aca="1" ref="G64" ca="1">IFERROR(VLOOKUP("*" &amp; B64  &amp; "*" &amp; (MID(CELL("filename",A63),FIND("]",CELL("filename",A63))+1,31)) &amp; "*",CHOOSE({1,2}, Super_CBSA!$B$2:$B$1917, Super_CBSA!$A$2:$A$1917), 2,FALSE), IFERROR(VLOOKUP(B64  &amp; "*",CHOOSE({1,2}, Super_CBSA!$E$2:$E$1917, Super_CBSA!$A$2:$A$1917), 2,FALSE), ""))</f>
        <v/>
      </c>
    </row>
    <row r="65" spans="1:7" ht="17">
      <c r="A65" s="1" t="s">
        <v>1908</v>
      </c>
      <c r="B65" s="2" t="s">
        <v>1909</v>
      </c>
      <c r="C65" s="2">
        <v>60</v>
      </c>
      <c r="D65" s="2">
        <v>402</v>
      </c>
      <c r="E65" s="3">
        <v>1005</v>
      </c>
      <c r="F65" s="4">
        <v>66982</v>
      </c>
      <c r="G65" s="11" t="str" cm="1">
        <f t="array" aca="1" ref="G65" ca="1">IFERROR(VLOOKUP("*" &amp; B65  &amp; "*" &amp; (MID(CELL("filename",A64),FIND("]",CELL("filename",A64))+1,31)) &amp; "*",CHOOSE({1,2}, Super_CBSA!$B$2:$B$1917, Super_CBSA!$A$2:$A$1917), 2,FALSE), IFERROR(VLOOKUP(B65  &amp; "*",CHOOSE({1,2}, Super_CBSA!$E$2:$E$1917, Super_CBSA!$A$2:$A$1917), 2,FALSE), ""))</f>
        <v/>
      </c>
    </row>
    <row r="66" spans="1:7" ht="17">
      <c r="A66" s="1" t="s">
        <v>1910</v>
      </c>
      <c r="B66" s="2" t="s">
        <v>1814</v>
      </c>
      <c r="C66" s="2">
        <v>201</v>
      </c>
      <c r="D66" s="3">
        <v>6093</v>
      </c>
      <c r="E66" s="3">
        <v>26463</v>
      </c>
      <c r="F66" s="4">
        <v>210832</v>
      </c>
      <c r="G66" s="11" cm="1">
        <f t="array" aca="1" ref="G66" ca="1">IFERROR(VLOOKUP("*" &amp; B66  &amp; "*" &amp; (MID(CELL("filename",A65),FIND("]",CELL("filename",A65))+1,31)) &amp; "*",CHOOSE({1,2}, Super_CBSA!$B$2:$B$1917, Super_CBSA!$A$2:$A$1917), 2,FALSE), IFERROR(VLOOKUP(B66  &amp; "*",CHOOSE({1,2}, Super_CBSA!$E$2:$E$1917, Super_CBSA!$A$2:$A$1917), 2,FALSE), ""))</f>
        <v>16980</v>
      </c>
    </row>
    <row r="67" spans="1:7" ht="17">
      <c r="A67" s="1" t="s">
        <v>1911</v>
      </c>
      <c r="B67" s="2" t="s">
        <v>1912</v>
      </c>
      <c r="C67" s="2">
        <v>292</v>
      </c>
      <c r="D67" s="3">
        <v>12629</v>
      </c>
      <c r="E67" s="3">
        <v>67656</v>
      </c>
      <c r="F67" s="4">
        <v>1346220</v>
      </c>
      <c r="G67" s="11" cm="1">
        <f t="array" aca="1" ref="G67" ca="1">IFERROR(VLOOKUP("*" &amp; B67  &amp; "*" &amp; (MID(CELL("filename",A66),FIND("]",CELL("filename",A66))+1,31)) &amp; "*",CHOOSE({1,2}, Super_CBSA!$B$2:$B$1917, Super_CBSA!$A$2:$A$1917), 2,FALSE), IFERROR(VLOOKUP(B67  &amp; "*",CHOOSE({1,2}, Super_CBSA!$E$2:$E$1917, Super_CBSA!$A$2:$A$1917), 2,FALSE), ""))</f>
        <v>40420</v>
      </c>
    </row>
    <row r="68" spans="1:7" ht="17">
      <c r="A68" s="1" t="s">
        <v>1913</v>
      </c>
      <c r="B68" s="2" t="s">
        <v>1912</v>
      </c>
      <c r="C68" s="2">
        <v>0</v>
      </c>
      <c r="D68" s="2">
        <v>0</v>
      </c>
      <c r="E68" s="2">
        <v>0</v>
      </c>
      <c r="F68" s="4">
        <v>0</v>
      </c>
      <c r="G68" s="11" cm="1">
        <f t="array" aca="1" ref="G68" ca="1">IFERROR(VLOOKUP("*" &amp; B68  &amp; "*" &amp; (MID(CELL("filename",A67),FIND("]",CELL("filename",A67))+1,31)) &amp; "*",CHOOSE({1,2}, Super_CBSA!$B$2:$B$1917, Super_CBSA!$A$2:$A$1917), 2,FALSE), IFERROR(VLOOKUP(B68  &amp; "*",CHOOSE({1,2}, Super_CBSA!$E$2:$E$1917, Super_CBSA!$A$2:$A$1917), 2,FALSE), ""))</f>
        <v>40420</v>
      </c>
    </row>
    <row r="69" spans="1:7" ht="17">
      <c r="A69" s="1" t="s">
        <v>1914</v>
      </c>
      <c r="B69" s="2" t="s">
        <v>1915</v>
      </c>
      <c r="C69" s="2">
        <v>46</v>
      </c>
      <c r="D69" s="2">
        <v>729</v>
      </c>
      <c r="E69" s="3">
        <v>2330</v>
      </c>
      <c r="F69" s="4">
        <v>113305</v>
      </c>
      <c r="G69" s="11" t="str" cm="1">
        <f t="array" aca="1" ref="G69" ca="1">IFERROR(VLOOKUP("*" &amp; B69  &amp; "*" &amp; (MID(CELL("filename",A68),FIND("]",CELL("filename",A68))+1,31)) &amp; "*",CHOOSE({1,2}, Super_CBSA!$B$2:$B$1917, Super_CBSA!$A$2:$A$1917), 2,FALSE), IFERROR(VLOOKUP(B69  &amp; "*",CHOOSE({1,2}, Super_CBSA!$E$2:$E$1917, Super_CBSA!$A$2:$A$1917), 2,FALSE), ""))</f>
        <v/>
      </c>
    </row>
    <row r="70" spans="1:7" ht="17">
      <c r="A70" s="1" t="s">
        <v>1916</v>
      </c>
      <c r="B70" s="2" t="s">
        <v>1814</v>
      </c>
      <c r="C70" s="2">
        <v>0</v>
      </c>
      <c r="D70" s="2">
        <v>0</v>
      </c>
      <c r="E70" s="2">
        <v>0</v>
      </c>
      <c r="F70" s="4">
        <v>0</v>
      </c>
      <c r="G70" s="11" cm="1">
        <f t="array" aca="1" ref="G70" ca="1">IFERROR(VLOOKUP("*" &amp; B70  &amp; "*" &amp; (MID(CELL("filename",A69),FIND("]",CELL("filename",A69))+1,31)) &amp; "*",CHOOSE({1,2}, Super_CBSA!$B$2:$B$1917, Super_CBSA!$A$2:$A$1917), 2,FALSE), IFERROR(VLOOKUP(B70  &amp; "*",CHOOSE({1,2}, Super_CBSA!$E$2:$E$1917, Super_CBSA!$A$2:$A$1917), 2,FALSE), ""))</f>
        <v>16980</v>
      </c>
    </row>
    <row r="71" spans="1:7" ht="17">
      <c r="A71" s="1" t="s">
        <v>1917</v>
      </c>
      <c r="B71" s="2" t="s">
        <v>1814</v>
      </c>
      <c r="C71" s="2">
        <v>448</v>
      </c>
      <c r="D71" s="3">
        <v>15967</v>
      </c>
      <c r="E71" s="3">
        <v>84311</v>
      </c>
      <c r="F71" s="4">
        <v>1585458</v>
      </c>
      <c r="G71" s="11" cm="1">
        <f t="array" aca="1" ref="G71" ca="1">IFERROR(VLOOKUP("*" &amp; B71  &amp; "*" &amp; (MID(CELL("filename",A70),FIND("]",CELL("filename",A70))+1,31)) &amp; "*",CHOOSE({1,2}, Super_CBSA!$B$2:$B$1917, Super_CBSA!$A$2:$A$1917), 2,FALSE), IFERROR(VLOOKUP(B71  &amp; "*",CHOOSE({1,2}, Super_CBSA!$E$2:$E$1917, Super_CBSA!$A$2:$A$1917), 2,FALSE), ""))</f>
        <v>16980</v>
      </c>
    </row>
    <row r="72" spans="1:7" ht="17">
      <c r="A72" s="1" t="s">
        <v>1918</v>
      </c>
      <c r="B72" s="2" t="s">
        <v>1919</v>
      </c>
      <c r="C72" s="2">
        <v>80</v>
      </c>
      <c r="D72" s="3">
        <v>2556</v>
      </c>
      <c r="E72" s="3">
        <v>8409</v>
      </c>
      <c r="F72" s="4">
        <v>451055</v>
      </c>
      <c r="G72" s="11" cm="1">
        <f t="array" aca="1" ref="G72" ca="1">IFERROR(VLOOKUP("*" &amp; B72  &amp; "*" &amp; (MID(CELL("filename",A71),FIND("]",CELL("filename",A71))+1,31)) &amp; "*",CHOOSE({1,2}, Super_CBSA!$B$2:$B$1917, Super_CBSA!$A$2:$A$1917), 2,FALSE), IFERROR(VLOOKUP(B72  &amp; "*",CHOOSE({1,2}, Super_CBSA!$E$2:$E$1917, Super_CBSA!$A$2:$A$1917), 2,FALSE), ""))</f>
        <v>19940</v>
      </c>
    </row>
    <row r="73" spans="1:7" ht="17">
      <c r="A73" s="1" t="s">
        <v>1920</v>
      </c>
      <c r="B73" s="2" t="s">
        <v>1921</v>
      </c>
      <c r="C73" s="2">
        <v>46</v>
      </c>
      <c r="D73" s="2">
        <v>0</v>
      </c>
      <c r="E73" s="2">
        <v>0</v>
      </c>
      <c r="F73" s="4">
        <v>24582</v>
      </c>
      <c r="G73" s="11" t="str" cm="1">
        <f t="array" aca="1" ref="G73" ca="1">IFERROR(VLOOKUP("*" &amp; B73  &amp; "*" &amp; (MID(CELL("filename",A72),FIND("]",CELL("filename",A72))+1,31)) &amp; "*",CHOOSE({1,2}, Super_CBSA!$B$2:$B$1917, Super_CBSA!$A$2:$A$1917), 2,FALSE), IFERROR(VLOOKUP(B73  &amp; "*",CHOOSE({1,2}, Super_CBSA!$E$2:$E$1917, Super_CBSA!$A$2:$A$1917), 2,FALSE), ""))</f>
        <v/>
      </c>
    </row>
    <row r="74" spans="1:7" ht="17">
      <c r="A74" s="1" t="s">
        <v>1922</v>
      </c>
      <c r="B74" s="2" t="s">
        <v>1814</v>
      </c>
      <c r="C74" s="2">
        <v>122</v>
      </c>
      <c r="D74" s="3">
        <v>3954</v>
      </c>
      <c r="E74" s="3">
        <v>18087</v>
      </c>
      <c r="F74" s="4">
        <v>97252</v>
      </c>
      <c r="G74" s="11" cm="1">
        <f t="array" aca="1" ref="G74" ca="1">IFERROR(VLOOKUP("*" &amp; B74  &amp; "*" &amp; (MID(CELL("filename",A73),FIND("]",CELL("filename",A73))+1,31)) &amp; "*",CHOOSE({1,2}, Super_CBSA!$B$2:$B$1917, Super_CBSA!$A$2:$A$1917), 2,FALSE), IFERROR(VLOOKUP(B74  &amp; "*",CHOOSE({1,2}, Super_CBSA!$E$2:$E$1917, Super_CBSA!$A$2:$A$1917), 2,FALSE), ""))</f>
        <v>16980</v>
      </c>
    </row>
    <row r="75" spans="1:7" ht="17">
      <c r="A75" s="1" t="s">
        <v>1923</v>
      </c>
      <c r="B75" s="2" t="s">
        <v>1924</v>
      </c>
      <c r="C75" s="2">
        <v>191</v>
      </c>
      <c r="D75" s="3">
        <v>4843</v>
      </c>
      <c r="E75" s="3">
        <v>21757</v>
      </c>
      <c r="F75" s="4">
        <v>562702</v>
      </c>
      <c r="G75" s="11" t="str" cm="1">
        <f t="array" aca="1" ref="G75" ca="1">IFERROR(VLOOKUP("*" &amp; B75  &amp; "*" &amp; (MID(CELL("filename",A74),FIND("]",CELL("filename",A74))+1,31)) &amp; "*",CHOOSE({1,2}, Super_CBSA!$B$2:$B$1917, Super_CBSA!$A$2:$A$1917), 2,FALSE), IFERROR(VLOOKUP(B75  &amp; "*",CHOOSE({1,2}, Super_CBSA!$E$2:$E$1917, Super_CBSA!$A$2:$A$1917), 2,FALSE), ""))</f>
        <v/>
      </c>
    </row>
    <row r="76" spans="1:7" ht="17">
      <c r="A76" s="1" t="s">
        <v>1925</v>
      </c>
      <c r="B76" s="2" t="s">
        <v>1926</v>
      </c>
      <c r="C76" s="2">
        <v>515</v>
      </c>
      <c r="D76" s="3">
        <v>22940</v>
      </c>
      <c r="E76" s="3">
        <v>127382</v>
      </c>
      <c r="F76" s="4">
        <v>4304313</v>
      </c>
      <c r="G76" s="11" t="str" cm="1">
        <f t="array" aca="1" ref="G76" ca="1">IFERROR(VLOOKUP("*" &amp; B76  &amp; "*" &amp; (MID(CELL("filename",A75),FIND("]",CELL("filename",A75))+1,31)) &amp; "*",CHOOSE({1,2}, Super_CBSA!$B$2:$B$1917, Super_CBSA!$A$2:$A$1917), 2,FALSE), IFERROR(VLOOKUP(B76  &amp; "*",CHOOSE({1,2}, Super_CBSA!$E$2:$E$1917, Super_CBSA!$A$2:$A$1917), 2,FALSE), ""))</f>
        <v/>
      </c>
    </row>
    <row r="77" spans="1:7" ht="17">
      <c r="A77" s="1" t="s">
        <v>1927</v>
      </c>
      <c r="B77" s="2" t="s">
        <v>1928</v>
      </c>
      <c r="C77" s="2">
        <v>318</v>
      </c>
      <c r="D77" s="3">
        <v>11656</v>
      </c>
      <c r="E77" s="3">
        <v>47623</v>
      </c>
      <c r="F77" s="4">
        <v>1732426</v>
      </c>
      <c r="G77" s="11" t="str" cm="1">
        <f t="array" aca="1" ref="G77" ca="1">IFERROR(VLOOKUP("*" &amp; B77  &amp; "*" &amp; (MID(CELL("filename",A76),FIND("]",CELL("filename",A76))+1,31)) &amp; "*",CHOOSE({1,2}, Super_CBSA!$B$2:$B$1917, Super_CBSA!$A$2:$A$1917), 2,FALSE), IFERROR(VLOOKUP(B77  &amp; "*",CHOOSE({1,2}, Super_CBSA!$E$2:$E$1917, Super_CBSA!$A$2:$A$1917), 2,FALSE), ""))</f>
        <v/>
      </c>
    </row>
    <row r="78" spans="1:7" ht="17">
      <c r="A78" s="1" t="s">
        <v>1929</v>
      </c>
      <c r="B78" s="2" t="s">
        <v>1888</v>
      </c>
      <c r="C78" s="2">
        <v>0</v>
      </c>
      <c r="D78" s="2">
        <v>0</v>
      </c>
      <c r="E78" s="2">
        <v>0</v>
      </c>
      <c r="F78" s="4">
        <v>0</v>
      </c>
      <c r="G78" s="11" cm="1">
        <f t="array" aca="1" ref="G78" ca="1">IFERROR(VLOOKUP("*" &amp; B78  &amp; "*" &amp; (MID(CELL("filename",A77),FIND("]",CELL("filename",A77))+1,31)) &amp; "*",CHOOSE({1,2}, Super_CBSA!$B$2:$B$1917, Super_CBSA!$A$2:$A$1917), 2,FALSE), IFERROR(VLOOKUP(B78  &amp; "*",CHOOSE({1,2}, Super_CBSA!$E$2:$E$1917, Super_CBSA!$A$2:$A$1917), 2,FALSE), ""))</f>
        <v>16060</v>
      </c>
    </row>
    <row r="79" spans="1:7" ht="17">
      <c r="A79" s="1" t="s">
        <v>1930</v>
      </c>
      <c r="B79" s="2" t="s">
        <v>1931</v>
      </c>
      <c r="C79" s="2">
        <v>57</v>
      </c>
      <c r="D79" s="3">
        <v>1313</v>
      </c>
      <c r="E79" s="3">
        <v>5091</v>
      </c>
      <c r="F79" s="4">
        <v>204040</v>
      </c>
      <c r="G79" s="11" cm="1">
        <f t="array" aca="1" ref="G79" ca="1">IFERROR(VLOOKUP("*" &amp; B79  &amp; "*" &amp; (MID(CELL("filename",A78),FIND("]",CELL("filename",A78))+1,31)) &amp; "*",CHOOSE({1,2}, Super_CBSA!$B$2:$B$1917, Super_CBSA!$A$2:$A$1917), 2,FALSE), IFERROR(VLOOKUP(B79  &amp; "*",CHOOSE({1,2}, Super_CBSA!$E$2:$E$1917, Super_CBSA!$A$2:$A$1917), 2,FALSE), ""))</f>
        <v>31380</v>
      </c>
    </row>
    <row r="80" spans="1:7" ht="17">
      <c r="A80" s="1" t="s">
        <v>1932</v>
      </c>
      <c r="B80" s="2" t="s">
        <v>1933</v>
      </c>
      <c r="C80" s="2">
        <v>294</v>
      </c>
      <c r="D80" s="3">
        <v>11788</v>
      </c>
      <c r="E80" s="3">
        <v>50553</v>
      </c>
      <c r="F80" s="4">
        <v>992908</v>
      </c>
      <c r="G80" s="11" t="str" cm="1">
        <f t="array" aca="1" ref="G80" ca="1">IFERROR(VLOOKUP("*" &amp; B80  &amp; "*" &amp; (MID(CELL("filename",A79),FIND("]",CELL("filename",A79))+1,31)) &amp; "*",CHOOSE({1,2}, Super_CBSA!$B$2:$B$1917, Super_CBSA!$A$2:$A$1917), 2,FALSE), IFERROR(VLOOKUP(B80  &amp; "*",CHOOSE({1,2}, Super_CBSA!$E$2:$E$1917, Super_CBSA!$A$2:$A$1917), 2,FALSE), ""))</f>
        <v/>
      </c>
    </row>
    <row r="81" spans="1:7" ht="17">
      <c r="A81" s="1" t="s">
        <v>1934</v>
      </c>
      <c r="B81" s="2" t="s">
        <v>1935</v>
      </c>
      <c r="C81" s="2">
        <v>94</v>
      </c>
      <c r="D81" s="3">
        <v>5410</v>
      </c>
      <c r="E81" s="3">
        <v>17794</v>
      </c>
      <c r="F81" s="4">
        <v>333575</v>
      </c>
      <c r="G81" s="11" t="str" cm="1">
        <f t="array" aca="1" ref="G81" ca="1">IFERROR(VLOOKUP("*" &amp; B81  &amp; "*" &amp; (MID(CELL("filename",A80),FIND("]",CELL("filename",A80))+1,31)) &amp; "*",CHOOSE({1,2}, Super_CBSA!$B$2:$B$1917, Super_CBSA!$A$2:$A$1917), 2,FALSE), IFERROR(VLOOKUP(B81  &amp; "*",CHOOSE({1,2}, Super_CBSA!$E$2:$E$1917, Super_CBSA!$A$2:$A$1917), 2,FALSE), ""))</f>
        <v/>
      </c>
    </row>
    <row r="82" spans="1:7" ht="17">
      <c r="A82" s="1" t="s">
        <v>1936</v>
      </c>
      <c r="B82" s="2" t="s">
        <v>1937</v>
      </c>
      <c r="C82" s="2">
        <v>167</v>
      </c>
      <c r="D82" s="3">
        <v>10482</v>
      </c>
      <c r="E82" s="3">
        <v>38232</v>
      </c>
      <c r="F82" s="4">
        <v>1104692</v>
      </c>
      <c r="G82" s="11" cm="1">
        <f t="array" aca="1" ref="G82" ca="1">IFERROR(VLOOKUP("*" &amp; B82  &amp; "*" &amp; (MID(CELL("filename",A81),FIND("]",CELL("filename",A81))+1,31)) &amp; "*",CHOOSE({1,2}, Super_CBSA!$B$2:$B$1917, Super_CBSA!$A$2:$A$1917), 2,FALSE), IFERROR(VLOOKUP(B82  &amp; "*",CHOOSE({1,2}, Super_CBSA!$E$2:$E$1917, Super_CBSA!$A$2:$A$1917), 2,FALSE), ""))</f>
        <v>16060</v>
      </c>
    </row>
    <row r="83" spans="1:7" ht="17">
      <c r="A83" s="1" t="s">
        <v>691</v>
      </c>
      <c r="B83" s="2" t="s">
        <v>1901</v>
      </c>
      <c r="C83" s="2">
        <v>456</v>
      </c>
      <c r="D83" s="3">
        <v>21681</v>
      </c>
      <c r="E83" s="3">
        <v>106819</v>
      </c>
      <c r="F83" s="4">
        <v>2472747</v>
      </c>
      <c r="G83" s="11" cm="1">
        <f t="array" aca="1" ref="G83" ca="1">IFERROR(VLOOKUP("*" &amp; B83  &amp; "*" &amp; (MID(CELL("filename",A82),FIND("]",CELL("filename",A82))+1,31)) &amp; "*",CHOOSE({1,2}, Super_CBSA!$B$2:$B$1917, Super_CBSA!$A$2:$A$1917), 2,FALSE), IFERROR(VLOOKUP(B83  &amp; "*",CHOOSE({1,2}, Super_CBSA!$E$2:$E$1917, Super_CBSA!$A$2:$A$1917), 2,FALSE), ""))</f>
        <v>44100</v>
      </c>
    </row>
    <row r="84" spans="1:7" ht="17">
      <c r="A84" s="1" t="s">
        <v>1938</v>
      </c>
      <c r="B84" s="2" t="s">
        <v>1814</v>
      </c>
      <c r="C84" s="2">
        <v>258</v>
      </c>
      <c r="D84" s="3">
        <v>10103</v>
      </c>
      <c r="E84" s="3">
        <v>43818</v>
      </c>
      <c r="F84" s="4">
        <v>666298</v>
      </c>
      <c r="G84" s="11" cm="1">
        <f t="array" aca="1" ref="G84" ca="1">IFERROR(VLOOKUP("*" &amp; B84  &amp; "*" &amp; (MID(CELL("filename",A83),FIND("]",CELL("filename",A83))+1,31)) &amp; "*",CHOOSE({1,2}, Super_CBSA!$B$2:$B$1917, Super_CBSA!$A$2:$A$1917), 2,FALSE), IFERROR(VLOOKUP(B84  &amp; "*",CHOOSE({1,2}, Super_CBSA!$E$2:$E$1917, Super_CBSA!$A$2:$A$1917), 2,FALSE), ""))</f>
        <v>16980</v>
      </c>
    </row>
    <row r="85" spans="1:7" ht="17">
      <c r="A85" s="1" t="s">
        <v>1939</v>
      </c>
      <c r="B85" s="2" t="s">
        <v>1814</v>
      </c>
      <c r="C85" s="2">
        <v>145</v>
      </c>
      <c r="D85" s="3">
        <v>3311</v>
      </c>
      <c r="E85" s="3">
        <v>15462</v>
      </c>
      <c r="F85" s="4">
        <v>35167</v>
      </c>
      <c r="G85" s="11" cm="1">
        <f t="array" aca="1" ref="G85" ca="1">IFERROR(VLOOKUP("*" &amp; B85  &amp; "*" &amp; (MID(CELL("filename",A84),FIND("]",CELL("filename",A84))+1,31)) &amp; "*",CHOOSE({1,2}, Super_CBSA!$B$2:$B$1917, Super_CBSA!$A$2:$A$1917), 2,FALSE), IFERROR(VLOOKUP(B85  &amp; "*",CHOOSE({1,2}, Super_CBSA!$E$2:$E$1917, Super_CBSA!$A$2:$A$1917), 2,FALSE), ""))</f>
        <v>16980</v>
      </c>
    </row>
    <row r="86" spans="1:7" ht="17">
      <c r="A86" s="1" t="s">
        <v>1940</v>
      </c>
      <c r="B86" s="2" t="s">
        <v>1941</v>
      </c>
      <c r="C86" s="2">
        <v>89</v>
      </c>
      <c r="D86" s="3">
        <v>4547</v>
      </c>
      <c r="E86" s="3">
        <v>14952</v>
      </c>
      <c r="F86" s="4">
        <v>573852</v>
      </c>
      <c r="G86" s="11" cm="1">
        <f t="array" aca="1" ref="G86" ca="1">IFERROR(VLOOKUP("*" &amp; B86  &amp; "*" &amp; (MID(CELL("filename",A85),FIND("]",CELL("filename",A85))+1,31)) &amp; "*",CHOOSE({1,2}, Super_CBSA!$B$2:$B$1917, Super_CBSA!$A$2:$A$1917), 2,FALSE), IFERROR(VLOOKUP(B86  &amp; "*",CHOOSE({1,2}, Super_CBSA!$E$2:$E$1917, Super_CBSA!$A$2:$A$1917), 2,FALSE), ""))</f>
        <v>35620</v>
      </c>
    </row>
    <row r="87" spans="1:7" ht="17">
      <c r="A87" s="1" t="s">
        <v>1942</v>
      </c>
      <c r="B87" s="2" t="s">
        <v>1814</v>
      </c>
      <c r="C87" s="2">
        <v>264</v>
      </c>
      <c r="D87" s="3">
        <v>10851</v>
      </c>
      <c r="E87" s="3">
        <v>48233</v>
      </c>
      <c r="F87" s="4">
        <v>1212027</v>
      </c>
      <c r="G87" s="11" cm="1">
        <f t="array" aca="1" ref="G87" ca="1">IFERROR(VLOOKUP("*" &amp; B87  &amp; "*" &amp; (MID(CELL("filename",A86),FIND("]",CELL("filename",A86))+1,31)) &amp; "*",CHOOSE({1,2}, Super_CBSA!$B$2:$B$1917, Super_CBSA!$A$2:$A$1917), 2,FALSE), IFERROR(VLOOKUP(B87  &amp; "*",CHOOSE({1,2}, Super_CBSA!$E$2:$E$1917, Super_CBSA!$A$2:$A$1917), 2,FALSE), ""))</f>
        <v>16980</v>
      </c>
    </row>
    <row r="88" spans="1:7" ht="17">
      <c r="A88" s="1" t="s">
        <v>1943</v>
      </c>
      <c r="B88" s="2" t="s">
        <v>1944</v>
      </c>
      <c r="C88" s="2">
        <v>509</v>
      </c>
      <c r="D88" s="3">
        <v>20447</v>
      </c>
      <c r="E88" s="3">
        <v>86525</v>
      </c>
      <c r="F88" s="4">
        <v>1853323</v>
      </c>
      <c r="G88" s="11" t="str" cm="1">
        <f t="array" aca="1" ref="G88" ca="1">IFERROR(VLOOKUP("*" &amp; B88  &amp; "*" &amp; (MID(CELL("filename",A87),FIND("]",CELL("filename",A87))+1,31)) &amp; "*",CHOOSE({1,2}, Super_CBSA!$B$2:$B$1917, Super_CBSA!$A$2:$A$1917), 2,FALSE), IFERROR(VLOOKUP(B88  &amp; "*",CHOOSE({1,2}, Super_CBSA!$E$2:$E$1917, Super_CBSA!$A$2:$A$1917), 2,FALSE), ""))</f>
        <v/>
      </c>
    </row>
    <row r="89" spans="1:7" ht="17">
      <c r="A89" s="1" t="s">
        <v>1945</v>
      </c>
      <c r="B89" s="2" t="s">
        <v>194</v>
      </c>
      <c r="C89" s="2">
        <v>395</v>
      </c>
      <c r="D89" s="3">
        <v>20944</v>
      </c>
      <c r="E89" s="3">
        <v>85519</v>
      </c>
      <c r="F89" s="4">
        <v>4795855</v>
      </c>
      <c r="G89" s="11" t="str" cm="1">
        <f t="array" aca="1" ref="G89" ca="1">IFERROR(VLOOKUP("*" &amp; B89  &amp; "*" &amp; (MID(CELL("filename",A88),FIND("]",CELL("filename",A88))+1,31)) &amp; "*",CHOOSE({1,2}, Super_CBSA!$B$2:$B$1917, Super_CBSA!$A$2:$A$1917), 2,FALSE), IFERROR(VLOOKUP(B89  &amp; "*",CHOOSE({1,2}, Super_CBSA!$E$2:$E$1917, Super_CBSA!$A$2:$A$1917), 2,FALSE), ""))</f>
        <v/>
      </c>
    </row>
    <row r="90" spans="1:7" ht="17">
      <c r="A90" s="1" t="s">
        <v>1946</v>
      </c>
      <c r="B90" s="2" t="s">
        <v>234</v>
      </c>
      <c r="C90" s="2">
        <v>144</v>
      </c>
      <c r="D90" s="3">
        <v>8388</v>
      </c>
      <c r="E90" s="3">
        <v>33167</v>
      </c>
      <c r="F90" s="4">
        <v>1690220</v>
      </c>
      <c r="G90" s="11" cm="1">
        <f t="array" aca="1" ref="G90" ca="1">IFERROR(VLOOKUP("*" &amp; B90  &amp; "*" &amp; (MID(CELL("filename",A89),FIND("]",CELL("filename",A89))+1,31)) &amp; "*",CHOOSE({1,2}, Super_CBSA!$B$2:$B$1917, Super_CBSA!$A$2:$A$1917), 2,FALSE), IFERROR(VLOOKUP(B90  &amp; "*",CHOOSE({1,2}, Super_CBSA!$E$2:$E$1917, Super_CBSA!$A$2:$A$1917), 2,FALSE), ""))</f>
        <v>20020</v>
      </c>
    </row>
    <row r="91" spans="1:7" ht="17">
      <c r="A91" s="1" t="s">
        <v>1947</v>
      </c>
      <c r="B91" s="2" t="s">
        <v>1948</v>
      </c>
      <c r="C91" s="2">
        <v>0</v>
      </c>
      <c r="D91" s="2">
        <v>0</v>
      </c>
      <c r="E91" s="2">
        <v>0</v>
      </c>
      <c r="F91" s="4">
        <v>0</v>
      </c>
      <c r="G91" s="11" t="str" cm="1">
        <f t="array" aca="1" ref="G91" ca="1">IFERROR(VLOOKUP("*" &amp; B91  &amp; "*" &amp; (MID(CELL("filename",A90),FIND("]",CELL("filename",A90))+1,31)) &amp; "*",CHOOSE({1,2}, Super_CBSA!$B$2:$B$1917, Super_CBSA!$A$2:$A$1917), 2,FALSE), IFERROR(VLOOKUP(B91  &amp; "*",CHOOSE({1,2}, Super_CBSA!$E$2:$E$1917, Super_CBSA!$A$2:$A$1917), 2,FALSE), ""))</f>
        <v/>
      </c>
    </row>
    <row r="92" spans="1:7" ht="17">
      <c r="A92" s="1" t="s">
        <v>1949</v>
      </c>
      <c r="B92" s="2" t="s">
        <v>1950</v>
      </c>
      <c r="C92" s="2">
        <v>114</v>
      </c>
      <c r="D92" s="3">
        <v>9589</v>
      </c>
      <c r="E92" s="3">
        <v>33613</v>
      </c>
      <c r="F92" s="4">
        <v>1848477</v>
      </c>
      <c r="G92" s="11" t="str" cm="1">
        <f t="array" aca="1" ref="G92" ca="1">IFERROR(VLOOKUP("*" &amp; B92  &amp; "*" &amp; (MID(CELL("filename",A91),FIND("]",CELL("filename",A91))+1,31)) &amp; "*",CHOOSE({1,2}, Super_CBSA!$B$2:$B$1917, Super_CBSA!$A$2:$A$1917), 2,FALSE), IFERROR(VLOOKUP(B92  &amp; "*",CHOOSE({1,2}, Super_CBSA!$E$2:$E$1917, Super_CBSA!$A$2:$A$1917), 2,FALSE), ""))</f>
        <v/>
      </c>
    </row>
    <row r="93" spans="1:7" ht="17">
      <c r="A93" s="1" t="s">
        <v>1951</v>
      </c>
      <c r="B93" s="2" t="s">
        <v>1952</v>
      </c>
      <c r="C93" s="2">
        <v>318</v>
      </c>
      <c r="D93" s="3">
        <v>17801</v>
      </c>
      <c r="E93" s="3">
        <v>77224</v>
      </c>
      <c r="F93" s="4">
        <v>1991268</v>
      </c>
      <c r="G93" s="11" cm="1">
        <f t="array" aca="1" ref="G93" ca="1">IFERROR(VLOOKUP("*" &amp; B93  &amp; "*" &amp; (MID(CELL("filename",A92),FIND("]",CELL("filename",A92))+1,31)) &amp; "*",CHOOSE({1,2}, Super_CBSA!$B$2:$B$1917, Super_CBSA!$A$2:$A$1917), 2,FALSE), IFERROR(VLOOKUP(B93  &amp; "*",CHOOSE({1,2}, Super_CBSA!$E$2:$E$1917, Super_CBSA!$A$2:$A$1917), 2,FALSE), ""))</f>
        <v>16980</v>
      </c>
    </row>
    <row r="94" spans="1:7" ht="17">
      <c r="A94" s="1" t="s">
        <v>1953</v>
      </c>
      <c r="B94" s="2" t="s">
        <v>1814</v>
      </c>
      <c r="C94" s="2">
        <v>0</v>
      </c>
      <c r="D94" s="2">
        <v>0</v>
      </c>
      <c r="E94" s="2">
        <v>0</v>
      </c>
      <c r="F94" s="4">
        <v>0</v>
      </c>
      <c r="G94" s="11" cm="1">
        <f t="array" aca="1" ref="G94" ca="1">IFERROR(VLOOKUP("*" &amp; B94  &amp; "*" &amp; (MID(CELL("filename",A93),FIND("]",CELL("filename",A93))+1,31)) &amp; "*",CHOOSE({1,2}, Super_CBSA!$B$2:$B$1917, Super_CBSA!$A$2:$A$1917), 2,FALSE), IFERROR(VLOOKUP(B94  &amp; "*",CHOOSE({1,2}, Super_CBSA!$E$2:$E$1917, Super_CBSA!$A$2:$A$1917), 2,FALSE), ""))</f>
        <v>16980</v>
      </c>
    </row>
    <row r="95" spans="1:7" ht="17">
      <c r="A95" s="1" t="s">
        <v>1954</v>
      </c>
      <c r="B95" s="2" t="s">
        <v>1955</v>
      </c>
      <c r="C95" s="2">
        <v>32</v>
      </c>
      <c r="D95" s="3">
        <v>1429</v>
      </c>
      <c r="E95" s="3">
        <v>8123</v>
      </c>
      <c r="F95" s="4">
        <v>156935</v>
      </c>
      <c r="G95" s="11" t="str" cm="1">
        <f t="array" aca="1" ref="G95" ca="1">IFERROR(VLOOKUP("*" &amp; B95  &amp; "*" &amp; (MID(CELL("filename",A94),FIND("]",CELL("filename",A94))+1,31)) &amp; "*",CHOOSE({1,2}, Super_CBSA!$B$2:$B$1917, Super_CBSA!$A$2:$A$1917), 2,FALSE), IFERROR(VLOOKUP(B95  &amp; "*",CHOOSE({1,2}, Super_CBSA!$E$2:$E$1917, Super_CBSA!$A$2:$A$1917), 2,FALSE), ""))</f>
        <v/>
      </c>
    </row>
    <row r="96" spans="1:7" ht="17">
      <c r="A96" s="1" t="s">
        <v>1956</v>
      </c>
      <c r="B96" s="2" t="s">
        <v>1814</v>
      </c>
      <c r="C96" s="2">
        <v>908</v>
      </c>
      <c r="D96" s="3">
        <v>45106</v>
      </c>
      <c r="E96" s="3">
        <v>269450</v>
      </c>
      <c r="F96" s="4">
        <v>7639322</v>
      </c>
      <c r="G96" s="11" cm="1">
        <f t="array" aca="1" ref="G96" ca="1">IFERROR(VLOOKUP("*" &amp; B96  &amp; "*" &amp; (MID(CELL("filename",A95),FIND("]",CELL("filename",A95))+1,31)) &amp; "*",CHOOSE({1,2}, Super_CBSA!$B$2:$B$1917, Super_CBSA!$A$2:$A$1917), 2,FALSE), IFERROR(VLOOKUP(B96  &amp; "*",CHOOSE({1,2}, Super_CBSA!$E$2:$E$1917, Super_CBSA!$A$2:$A$1917), 2,FALSE), ""))</f>
        <v>16980</v>
      </c>
    </row>
    <row r="97" spans="1:7" ht="17">
      <c r="A97" s="1" t="s">
        <v>1957</v>
      </c>
      <c r="B97" s="2" t="s">
        <v>1814</v>
      </c>
      <c r="C97" s="2">
        <v>185</v>
      </c>
      <c r="D97" s="3">
        <v>6045</v>
      </c>
      <c r="E97" s="3">
        <v>32045</v>
      </c>
      <c r="F97" s="4">
        <v>344466</v>
      </c>
      <c r="G97" s="11" cm="1">
        <f t="array" aca="1" ref="G97" ca="1">IFERROR(VLOOKUP("*" &amp; B97  &amp; "*" &amp; (MID(CELL("filename",A96),FIND("]",CELL("filename",A96))+1,31)) &amp; "*",CHOOSE({1,2}, Super_CBSA!$B$2:$B$1917, Super_CBSA!$A$2:$A$1917), 2,FALSE), IFERROR(VLOOKUP(B97  &amp; "*",CHOOSE({1,2}, Super_CBSA!$E$2:$E$1917, Super_CBSA!$A$2:$A$1917), 2,FALSE), ""))</f>
        <v>16980</v>
      </c>
    </row>
    <row r="98" spans="1:7" ht="17">
      <c r="A98" s="1" t="s">
        <v>1958</v>
      </c>
      <c r="B98" s="2" t="s">
        <v>1959</v>
      </c>
      <c r="C98" s="2">
        <v>0</v>
      </c>
      <c r="D98" s="2">
        <v>0</v>
      </c>
      <c r="E98" s="2">
        <v>0</v>
      </c>
      <c r="F98" s="4">
        <v>0</v>
      </c>
      <c r="G98" s="11" cm="1">
        <f t="array" aca="1" ref="G98" ca="1">IFERROR(VLOOKUP("*" &amp; B98  &amp; "*" &amp; (MID(CELL("filename",A97),FIND("]",CELL("filename",A97))+1,31)) &amp; "*",CHOOSE({1,2}, Super_CBSA!$B$2:$B$1917, Super_CBSA!$A$2:$A$1917), 2,FALSE), IFERROR(VLOOKUP(B98  &amp; "*",CHOOSE({1,2}, Super_CBSA!$E$2:$E$1917, Super_CBSA!$A$2:$A$1917), 2,FALSE), ""))</f>
        <v>37900</v>
      </c>
    </row>
    <row r="99" spans="1:7" ht="17">
      <c r="A99" s="1" t="s">
        <v>1960</v>
      </c>
      <c r="B99" s="2" t="s">
        <v>1859</v>
      </c>
      <c r="C99" s="2">
        <v>204</v>
      </c>
      <c r="D99" s="3">
        <v>6712</v>
      </c>
      <c r="E99" s="3">
        <v>20132</v>
      </c>
      <c r="F99" s="4">
        <v>536491</v>
      </c>
      <c r="G99" s="11" cm="1">
        <f t="array" aca="1" ref="G99" ca="1">IFERROR(VLOOKUP("*" &amp; B99  &amp; "*" &amp; (MID(CELL("filename",A98),FIND("]",CELL("filename",A98))+1,31)) &amp; "*",CHOOSE({1,2}, Super_CBSA!$B$2:$B$1917, Super_CBSA!$A$2:$A$1917), 2,FALSE), IFERROR(VLOOKUP(B99  &amp; "*",CHOOSE({1,2}, Super_CBSA!$E$2:$E$1917, Super_CBSA!$A$2:$A$1917), 2,FALSE), ""))</f>
        <v>16580</v>
      </c>
    </row>
    <row r="100" spans="1:7" ht="17">
      <c r="A100" s="1" t="s">
        <v>1961</v>
      </c>
      <c r="B100" s="2" t="s">
        <v>1962</v>
      </c>
      <c r="C100" s="2">
        <v>244</v>
      </c>
      <c r="D100" s="3">
        <v>10794</v>
      </c>
      <c r="E100" s="3">
        <v>51076</v>
      </c>
      <c r="F100" s="4">
        <v>1036815</v>
      </c>
      <c r="G100" s="11" t="str" cm="1">
        <f t="array" aca="1" ref="G100" ca="1">IFERROR(VLOOKUP("*" &amp; B100  &amp; "*" &amp; (MID(CELL("filename",A99),FIND("]",CELL("filename",A99))+1,31)) &amp; "*",CHOOSE({1,2}, Super_CBSA!$B$2:$B$1917, Super_CBSA!$A$2:$A$1917), 2,FALSE), IFERROR(VLOOKUP(B100  &amp; "*",CHOOSE({1,2}, Super_CBSA!$E$2:$E$1917, Super_CBSA!$A$2:$A$1917), 2,FALSE), ""))</f>
        <v/>
      </c>
    </row>
    <row r="101" spans="1:7" ht="17">
      <c r="A101" s="1" t="s">
        <v>1963</v>
      </c>
      <c r="B101" s="2" t="s">
        <v>264</v>
      </c>
      <c r="C101" s="2">
        <v>174</v>
      </c>
      <c r="D101" s="3">
        <v>5572</v>
      </c>
      <c r="E101" s="3">
        <v>17386</v>
      </c>
      <c r="F101" s="4">
        <v>502541</v>
      </c>
      <c r="G101" s="11" cm="1">
        <f t="array" aca="1" ref="G101" ca="1">IFERROR(VLOOKUP("*" &amp; B101  &amp; "*" &amp; (MID(CELL("filename",A100),FIND("]",CELL("filename",A100))+1,31)) &amp; "*",CHOOSE({1,2}, Super_CBSA!$B$2:$B$1917, Super_CBSA!$A$2:$A$1917), 2,FALSE), IFERROR(VLOOKUP(B101  &amp; "*",CHOOSE({1,2}, Super_CBSA!$E$2:$E$1917, Super_CBSA!$A$2:$A$1917), 2,FALSE), ""))</f>
        <v>19180</v>
      </c>
    </row>
    <row r="102" spans="1:7" ht="17">
      <c r="A102" s="1" t="s">
        <v>1964</v>
      </c>
      <c r="B102" s="2" t="s">
        <v>1912</v>
      </c>
      <c r="C102" s="2">
        <v>241</v>
      </c>
      <c r="D102" s="3">
        <v>10791</v>
      </c>
      <c r="E102" s="3">
        <v>50858</v>
      </c>
      <c r="F102" s="4">
        <v>1448913</v>
      </c>
      <c r="G102" s="11" cm="1">
        <f t="array" aca="1" ref="G102" ca="1">IFERROR(VLOOKUP("*" &amp; B102  &amp; "*" &amp; (MID(CELL("filename",A101),FIND("]",CELL("filename",A101))+1,31)) &amp; "*",CHOOSE({1,2}, Super_CBSA!$B$2:$B$1917, Super_CBSA!$A$2:$A$1917), 2,FALSE), IFERROR(VLOOKUP(B102  &amp; "*",CHOOSE({1,2}, Super_CBSA!$E$2:$E$1917, Super_CBSA!$A$2:$A$1917), 2,FALSE), ""))</f>
        <v>40420</v>
      </c>
    </row>
    <row r="103" spans="1:7" ht="17">
      <c r="A103" s="1" t="s">
        <v>1965</v>
      </c>
      <c r="B103" s="2" t="s">
        <v>1823</v>
      </c>
      <c r="C103" s="2">
        <v>49</v>
      </c>
      <c r="D103" s="3">
        <v>2435</v>
      </c>
      <c r="E103" s="3">
        <v>9330</v>
      </c>
      <c r="F103" s="4">
        <v>395041</v>
      </c>
      <c r="G103" s="11" t="str" cm="1">
        <f t="array" aca="1" ref="G103" ca="1">IFERROR(VLOOKUP("*" &amp; B103  &amp; "*" &amp; (MID(CELL("filename",A102),FIND("]",CELL("filename",A102))+1,31)) &amp; "*",CHOOSE({1,2}, Super_CBSA!$B$2:$B$1917, Super_CBSA!$A$2:$A$1917), 2,FALSE), IFERROR(VLOOKUP(B103  &amp; "*",CHOOSE({1,2}, Super_CBSA!$E$2:$E$1917, Super_CBSA!$A$2:$A$1917), 2,FALSE), ""))</f>
        <v/>
      </c>
    </row>
    <row r="104" spans="1:7" ht="17">
      <c r="A104" s="1" t="s">
        <v>1966</v>
      </c>
      <c r="B104" s="2" t="s">
        <v>1967</v>
      </c>
      <c r="C104" s="2">
        <v>97</v>
      </c>
      <c r="D104" s="3">
        <v>3475</v>
      </c>
      <c r="E104" s="3">
        <v>12010</v>
      </c>
      <c r="F104" s="4">
        <v>453307</v>
      </c>
      <c r="G104" s="11" cm="1">
        <f t="array" aca="1" ref="G104" ca="1">IFERROR(VLOOKUP("*" &amp; B104  &amp; "*" &amp; (MID(CELL("filename",A103),FIND("]",CELL("filename",A103))+1,31)) &amp; "*",CHOOSE({1,2}, Super_CBSA!$B$2:$B$1917, Super_CBSA!$A$2:$A$1917), 2,FALSE), IFERROR(VLOOKUP(B104  &amp; "*",CHOOSE({1,2}, Super_CBSA!$E$2:$E$1917, Super_CBSA!$A$2:$A$1917), 2,FALSE), ""))</f>
        <v>36837</v>
      </c>
    </row>
    <row r="105" spans="1:7" ht="17">
      <c r="A105" s="1" t="s">
        <v>1968</v>
      </c>
      <c r="B105" s="2" t="s">
        <v>1959</v>
      </c>
      <c r="C105" s="2">
        <v>655</v>
      </c>
      <c r="D105" s="3">
        <v>32739</v>
      </c>
      <c r="E105" s="3">
        <v>181429</v>
      </c>
      <c r="F105" s="4">
        <v>4684653</v>
      </c>
      <c r="G105" s="11" cm="1">
        <f t="array" aca="1" ref="G105" ca="1">IFERROR(VLOOKUP("*" &amp; B105  &amp; "*" &amp; (MID(CELL("filename",A104),FIND("]",CELL("filename",A104))+1,31)) &amp; "*",CHOOSE({1,2}, Super_CBSA!$B$2:$B$1917, Super_CBSA!$A$2:$A$1917), 2,FALSE), IFERROR(VLOOKUP(B105  &amp; "*",CHOOSE({1,2}, Super_CBSA!$E$2:$E$1917, Super_CBSA!$A$2:$A$1917), 2,FALSE), ""))</f>
        <v>37900</v>
      </c>
    </row>
    <row r="106" spans="1:7" ht="17">
      <c r="A106" s="1" t="s">
        <v>1969</v>
      </c>
      <c r="B106" s="2" t="s">
        <v>1970</v>
      </c>
      <c r="C106" s="2">
        <v>42</v>
      </c>
      <c r="D106" s="3">
        <v>1780</v>
      </c>
      <c r="E106" s="3">
        <v>6266</v>
      </c>
      <c r="F106" s="4">
        <v>239508</v>
      </c>
      <c r="G106" s="11" cm="1">
        <f t="array" aca="1" ref="G106" ca="1">IFERROR(VLOOKUP("*" &amp; B106  &amp; "*" &amp; (MID(CELL("filename",A105),FIND("]",CELL("filename",A105))+1,31)) &amp; "*",CHOOSE({1,2}, Super_CBSA!$B$2:$B$1917, Super_CBSA!$A$2:$A$1917), 2,FALSE), IFERROR(VLOOKUP(B106  &amp; "*",CHOOSE({1,2}, Super_CBSA!$E$2:$E$1917, Super_CBSA!$A$2:$A$1917), 2,FALSE), ""))</f>
        <v>38700</v>
      </c>
    </row>
    <row r="107" spans="1:7" ht="17">
      <c r="A107" s="1" t="s">
        <v>1971</v>
      </c>
      <c r="B107" s="2" t="s">
        <v>1972</v>
      </c>
      <c r="C107" s="2">
        <v>149</v>
      </c>
      <c r="D107" s="3">
        <v>7154</v>
      </c>
      <c r="E107" s="3">
        <v>30070</v>
      </c>
      <c r="F107" s="4">
        <v>749106</v>
      </c>
      <c r="G107" s="11" cm="1">
        <f t="array" aca="1" ref="G107" ca="1">IFERROR(VLOOKUP("*" &amp; B107  &amp; "*" &amp; (MID(CELL("filename",A106),FIND("]",CELL("filename",A106))+1,31)) &amp; "*",CHOOSE({1,2}, Super_CBSA!$B$2:$B$1917, Super_CBSA!$A$2:$A$1917), 2,FALSE), IFERROR(VLOOKUP(B107  &amp; "*",CHOOSE({1,2}, Super_CBSA!$E$2:$E$1917, Super_CBSA!$A$2:$A$1917), 2,FALSE), ""))</f>
        <v>14010</v>
      </c>
    </row>
    <row r="108" spans="1:7" ht="17">
      <c r="A108" s="1" t="s">
        <v>1973</v>
      </c>
      <c r="B108" s="2" t="s">
        <v>1877</v>
      </c>
      <c r="C108" s="2">
        <v>81</v>
      </c>
      <c r="D108" s="3">
        <v>3561</v>
      </c>
      <c r="E108" s="3">
        <v>14405</v>
      </c>
      <c r="F108" s="4">
        <v>436506</v>
      </c>
      <c r="G108" s="11" cm="1">
        <f t="array" aca="1" ref="G108" ca="1">IFERROR(VLOOKUP("*" &amp; B108  &amp; "*" &amp; (MID(CELL("filename",A107),FIND("]",CELL("filename",A107))+1,31)) &amp; "*",CHOOSE({1,2}, Super_CBSA!$B$2:$B$1917, Super_CBSA!$A$2:$A$1917), 2,FALSE), IFERROR(VLOOKUP(B108  &amp; "*",CHOOSE({1,2}, Super_CBSA!$E$2:$E$1917, Super_CBSA!$A$2:$A$1917), 2,FALSE), ""))</f>
        <v>23660</v>
      </c>
    </row>
    <row r="109" spans="1:7" ht="17">
      <c r="A109" s="1" t="s">
        <v>1974</v>
      </c>
      <c r="B109" s="2" t="s">
        <v>1975</v>
      </c>
      <c r="C109" s="2">
        <v>413</v>
      </c>
      <c r="D109" s="3">
        <v>18017</v>
      </c>
      <c r="E109" s="3">
        <v>82791</v>
      </c>
      <c r="F109" s="4">
        <v>1529188</v>
      </c>
      <c r="G109" s="11" t="str" cm="1">
        <f t="array" aca="1" ref="G109" ca="1">IFERROR(VLOOKUP("*" &amp; B109  &amp; "*" &amp; (MID(CELL("filename",A108),FIND("]",CELL("filename",A108))+1,31)) &amp; "*",CHOOSE({1,2}, Super_CBSA!$B$2:$B$1917, Super_CBSA!$A$2:$A$1917), 2,FALSE), IFERROR(VLOOKUP(B109  &amp; "*",CHOOSE({1,2}, Super_CBSA!$E$2:$E$1917, Super_CBSA!$A$2:$A$1917), 2,FALSE), ""))</f>
        <v/>
      </c>
    </row>
    <row r="110" spans="1:7" ht="17">
      <c r="A110" s="1" t="s">
        <v>1976</v>
      </c>
      <c r="B110" s="2" t="s">
        <v>1212</v>
      </c>
      <c r="C110" s="2">
        <v>121</v>
      </c>
      <c r="D110" s="3">
        <v>2782</v>
      </c>
      <c r="E110" s="3">
        <v>9539</v>
      </c>
      <c r="F110" s="4">
        <v>404980</v>
      </c>
      <c r="G110" s="11" cm="1">
        <f t="array" aca="1" ref="G110" ca="1">IFERROR(VLOOKUP("*" &amp; B110  &amp; "*" &amp; (MID(CELL("filename",A109),FIND("]",CELL("filename",A109))+1,31)) &amp; "*",CHOOSE({1,2}, Super_CBSA!$B$2:$B$1917, Super_CBSA!$A$2:$A$1917), 2,FALSE), IFERROR(VLOOKUP(B110  &amp; "*",CHOOSE({1,2}, Super_CBSA!$E$2:$E$1917, Super_CBSA!$A$2:$A$1917), 2,FALSE), ""))</f>
        <v>27300</v>
      </c>
    </row>
    <row r="111" spans="1:7" ht="17">
      <c r="A111" s="1" t="s">
        <v>1977</v>
      </c>
      <c r="B111" s="2" t="s">
        <v>1814</v>
      </c>
      <c r="C111" s="2">
        <v>25</v>
      </c>
      <c r="D111" s="2">
        <v>582</v>
      </c>
      <c r="E111" s="3">
        <v>3198</v>
      </c>
      <c r="F111" s="4">
        <v>202443</v>
      </c>
      <c r="G111" s="11" cm="1">
        <f t="array" aca="1" ref="G111" ca="1">IFERROR(VLOOKUP("*" &amp; B111  &amp; "*" &amp; (MID(CELL("filename",A110),FIND("]",CELL("filename",A110))+1,31)) &amp; "*",CHOOSE({1,2}, Super_CBSA!$B$2:$B$1917, Super_CBSA!$A$2:$A$1917), 2,FALSE), IFERROR(VLOOKUP(B111  &amp; "*",CHOOSE({1,2}, Super_CBSA!$E$2:$E$1917, Super_CBSA!$A$2:$A$1917), 2,FALSE), ""))</f>
        <v>16980</v>
      </c>
    </row>
    <row r="112" spans="1:7" ht="17">
      <c r="A112" s="1" t="s">
        <v>805</v>
      </c>
      <c r="B112" s="2" t="s">
        <v>1847</v>
      </c>
      <c r="C112" s="2">
        <v>335</v>
      </c>
      <c r="D112" s="3">
        <v>11035</v>
      </c>
      <c r="E112" s="3">
        <v>52686</v>
      </c>
      <c r="F112" s="4">
        <v>1263645</v>
      </c>
      <c r="G112" s="11" cm="1">
        <f t="array" aca="1" ref="G112" ca="1">IFERROR(VLOOKUP("*" &amp; B112  &amp; "*" &amp; (MID(CELL("filename",A111),FIND("]",CELL("filename",A111))+1,31)) &amp; "*",CHOOSE({1,2}, Super_CBSA!$B$2:$B$1917, Super_CBSA!$A$2:$A$1917), 2,FALSE), IFERROR(VLOOKUP(B112  &amp; "*",CHOOSE({1,2}, Super_CBSA!$E$2:$E$1917, Super_CBSA!$A$2:$A$1917), 2,FALSE), ""))</f>
        <v>28100</v>
      </c>
    </row>
    <row r="113" spans="1:7" ht="17">
      <c r="A113" s="1" t="s">
        <v>1978</v>
      </c>
      <c r="B113" s="2" t="s">
        <v>1814</v>
      </c>
      <c r="C113" s="2">
        <v>134</v>
      </c>
      <c r="D113" s="3">
        <v>2226</v>
      </c>
      <c r="E113" s="3">
        <v>10800</v>
      </c>
      <c r="F113" s="4">
        <v>97588</v>
      </c>
      <c r="G113" s="11" cm="1">
        <f t="array" aca="1" ref="G113" ca="1">IFERROR(VLOOKUP("*" &amp; B113  &amp; "*" &amp; (MID(CELL("filename",A112),FIND("]",CELL("filename",A112))+1,31)) &amp; "*",CHOOSE({1,2}, Super_CBSA!$B$2:$B$1917, Super_CBSA!$A$2:$A$1917), 2,FALSE), IFERROR(VLOOKUP(B113  &amp; "*",CHOOSE({1,2}, Super_CBSA!$E$2:$E$1917, Super_CBSA!$A$2:$A$1917), 2,FALSE), ""))</f>
        <v>16980</v>
      </c>
    </row>
    <row r="114" spans="1:7" ht="17">
      <c r="A114" s="1" t="s">
        <v>1979</v>
      </c>
      <c r="B114" s="2" t="s">
        <v>1980</v>
      </c>
      <c r="C114" s="2">
        <v>201</v>
      </c>
      <c r="D114" s="3">
        <v>4192</v>
      </c>
      <c r="E114" s="3">
        <v>14699</v>
      </c>
      <c r="F114" s="4">
        <v>495774</v>
      </c>
      <c r="G114" s="11" t="str" cm="1">
        <f t="array" aca="1" ref="G114" ca="1">IFERROR(VLOOKUP("*" &amp; B114  &amp; "*" &amp; (MID(CELL("filename",A113),FIND("]",CELL("filename",A113))+1,31)) &amp; "*",CHOOSE({1,2}, Super_CBSA!$B$2:$B$1917, Super_CBSA!$A$2:$A$1917), 2,FALSE), IFERROR(VLOOKUP(B114  &amp; "*",CHOOSE({1,2}, Super_CBSA!$E$2:$E$1917, Super_CBSA!$A$2:$A$1917), 2,FALSE), ""))</f>
        <v/>
      </c>
    </row>
    <row r="115" spans="1:7" ht="17">
      <c r="A115" s="1" t="s">
        <v>1981</v>
      </c>
      <c r="B115" s="2" t="s">
        <v>1814</v>
      </c>
      <c r="C115" s="2">
        <v>697</v>
      </c>
      <c r="D115" s="3">
        <v>31941</v>
      </c>
      <c r="E115" s="3">
        <v>164125</v>
      </c>
      <c r="F115" s="4">
        <v>5184509</v>
      </c>
      <c r="G115" s="11" cm="1">
        <f t="array" aca="1" ref="G115" ca="1">IFERROR(VLOOKUP("*" &amp; B115  &amp; "*" &amp; (MID(CELL("filename",A114),FIND("]",CELL("filename",A114))+1,31)) &amp; "*",CHOOSE({1,2}, Super_CBSA!$B$2:$B$1917, Super_CBSA!$A$2:$A$1917), 2,FALSE), IFERROR(VLOOKUP(B115  &amp; "*",CHOOSE({1,2}, Super_CBSA!$E$2:$E$1917, Super_CBSA!$A$2:$A$1917), 2,FALSE), ""))</f>
        <v>16980</v>
      </c>
    </row>
    <row r="116" spans="1:7" ht="17">
      <c r="A116" s="1" t="s">
        <v>1982</v>
      </c>
      <c r="B116" s="2" t="s">
        <v>987</v>
      </c>
      <c r="C116" s="2">
        <v>210</v>
      </c>
      <c r="D116" s="3">
        <v>11118</v>
      </c>
      <c r="E116" s="3">
        <v>43392</v>
      </c>
      <c r="F116" s="4">
        <v>1600564</v>
      </c>
      <c r="G116" s="11" t="str" cm="1">
        <f t="array" aca="1" ref="G116" ca="1">IFERROR(VLOOKUP("*" &amp; B116  &amp; "*" &amp; (MID(CELL("filename",A115),FIND("]",CELL("filename",A115))+1,31)) &amp; "*",CHOOSE({1,2}, Super_CBSA!$B$2:$B$1917, Super_CBSA!$A$2:$A$1917), 2,FALSE), IFERROR(VLOOKUP(B116  &amp; "*",CHOOSE({1,2}, Super_CBSA!$E$2:$E$1917, Super_CBSA!$A$2:$A$1917), 2,FALSE), ""))</f>
        <v/>
      </c>
    </row>
    <row r="117" spans="1:7" ht="17">
      <c r="A117" s="1" t="s">
        <v>1037</v>
      </c>
      <c r="B117" s="2" t="s">
        <v>1814</v>
      </c>
      <c r="C117" s="2">
        <v>151</v>
      </c>
      <c r="D117" s="3">
        <v>4813</v>
      </c>
      <c r="E117" s="3">
        <v>18689</v>
      </c>
      <c r="F117" s="4">
        <v>343041</v>
      </c>
      <c r="G117" s="11" cm="1">
        <f t="array" aca="1" ref="G117" ca="1">IFERROR(VLOOKUP("*" &amp; B117  &amp; "*" &amp; (MID(CELL("filename",A116),FIND("]",CELL("filename",A116))+1,31)) &amp; "*",CHOOSE({1,2}, Super_CBSA!$B$2:$B$1917, Super_CBSA!$A$2:$A$1917), 2,FALSE), IFERROR(VLOOKUP(B117  &amp; "*",CHOOSE({1,2}, Super_CBSA!$E$2:$E$1917, Super_CBSA!$A$2:$A$1917), 2,FALSE), ""))</f>
        <v>16980</v>
      </c>
    </row>
    <row r="118" spans="1:7" ht="17">
      <c r="A118" s="1" t="s">
        <v>1983</v>
      </c>
      <c r="B118" s="2" t="s">
        <v>1814</v>
      </c>
      <c r="C118" s="2">
        <v>190</v>
      </c>
      <c r="D118" s="3">
        <v>4435</v>
      </c>
      <c r="E118" s="3">
        <v>20628</v>
      </c>
      <c r="F118" s="4">
        <v>169844</v>
      </c>
      <c r="G118" s="11" cm="1">
        <f t="array" aca="1" ref="G118" ca="1">IFERROR(VLOOKUP("*" &amp; B118  &amp; "*" &amp; (MID(CELL("filename",A117),FIND("]",CELL("filename",A117))+1,31)) &amp; "*",CHOOSE({1,2}, Super_CBSA!$B$2:$B$1917, Super_CBSA!$A$2:$A$1917), 2,FALSE), IFERROR(VLOOKUP(B118  &amp; "*",CHOOSE({1,2}, Super_CBSA!$E$2:$E$1917, Super_CBSA!$A$2:$A$1917), 2,FALSE), ""))</f>
        <v>16980</v>
      </c>
    </row>
    <row r="119" spans="1:7" ht="17">
      <c r="A119" s="1" t="s">
        <v>1984</v>
      </c>
      <c r="B119" s="2" t="s">
        <v>1985</v>
      </c>
      <c r="C119" s="2">
        <v>44</v>
      </c>
      <c r="D119" s="3">
        <v>1830</v>
      </c>
      <c r="E119" s="3">
        <v>6618</v>
      </c>
      <c r="F119" s="4">
        <v>259653</v>
      </c>
      <c r="G119" s="11" t="str" cm="1">
        <f t="array" aca="1" ref="G119" ca="1">IFERROR(VLOOKUP("*" &amp; B119  &amp; "*" &amp; (MID(CELL("filename",A118),FIND("]",CELL("filename",A118))+1,31)) &amp; "*",CHOOSE({1,2}, Super_CBSA!$B$2:$B$1917, Super_CBSA!$A$2:$A$1917), 2,FALSE), IFERROR(VLOOKUP(B119  &amp; "*",CHOOSE({1,2}, Super_CBSA!$E$2:$E$1917, Super_CBSA!$A$2:$A$1917), 2,FALSE), ""))</f>
        <v/>
      </c>
    </row>
    <row r="120" spans="1:7" ht="17">
      <c r="A120" s="1" t="s">
        <v>1986</v>
      </c>
      <c r="B120" s="2" t="s">
        <v>1987</v>
      </c>
      <c r="C120" s="2">
        <v>102</v>
      </c>
      <c r="D120" s="3">
        <v>5844</v>
      </c>
      <c r="E120" s="3">
        <v>19081</v>
      </c>
      <c r="F120" s="4">
        <v>800782</v>
      </c>
      <c r="G120" s="11" cm="1">
        <f t="array" aca="1" ref="G120" ca="1">IFERROR(VLOOKUP("*" &amp; B120  &amp; "*" &amp; (MID(CELL("filename",A119),FIND("]",CELL("filename",A119))+1,31)) &amp; "*",CHOOSE({1,2}, Super_CBSA!$B$2:$B$1917, Super_CBSA!$A$2:$A$1917), 2,FALSE), IFERROR(VLOOKUP(B120  &amp; "*",CHOOSE({1,2}, Super_CBSA!$E$2:$E$1917, Super_CBSA!$A$2:$A$1917), 2,FALSE), ""))</f>
        <v>16660</v>
      </c>
    </row>
    <row r="121" spans="1:7" ht="17">
      <c r="A121" s="1" t="s">
        <v>1988</v>
      </c>
      <c r="B121" s="2" t="s">
        <v>1989</v>
      </c>
      <c r="C121" s="2">
        <v>284</v>
      </c>
      <c r="D121" s="3">
        <v>19341</v>
      </c>
      <c r="E121" s="3">
        <v>74235</v>
      </c>
      <c r="F121" s="4">
        <v>1300720</v>
      </c>
      <c r="G121" s="11" t="str" cm="1">
        <f t="array" aca="1" ref="G121" ca="1">IFERROR(VLOOKUP("*" &amp; B121  &amp; "*" &amp; (MID(CELL("filename",A120),FIND("]",CELL("filename",A120))+1,31)) &amp; "*",CHOOSE({1,2}, Super_CBSA!$B$2:$B$1917, Super_CBSA!$A$2:$A$1917), 2,FALSE), IFERROR(VLOOKUP(B121  &amp; "*",CHOOSE({1,2}, Super_CBSA!$E$2:$E$1917, Super_CBSA!$A$2:$A$1917), 2,FALSE), ""))</f>
        <v/>
      </c>
    </row>
    <row r="122" spans="1:7" ht="17">
      <c r="A122" s="1" t="s">
        <v>1990</v>
      </c>
      <c r="B122" s="2" t="s">
        <v>1991</v>
      </c>
      <c r="C122" s="2">
        <v>156</v>
      </c>
      <c r="D122" s="3">
        <v>6535</v>
      </c>
      <c r="E122" s="3">
        <v>29006</v>
      </c>
      <c r="F122" s="4">
        <v>557818</v>
      </c>
      <c r="G122" s="11" t="str" cm="1">
        <f t="array" aca="1" ref="G122" ca="1">IFERROR(VLOOKUP("*" &amp; B122  &amp; "*" &amp; (MID(CELL("filename",A121),FIND("]",CELL("filename",A121))+1,31)) &amp; "*",CHOOSE({1,2}, Super_CBSA!$B$2:$B$1917, Super_CBSA!$A$2:$A$1917), 2,FALSE), IFERROR(VLOOKUP(B122  &amp; "*",CHOOSE({1,2}, Super_CBSA!$E$2:$E$1917, Super_CBSA!$A$2:$A$1917), 2,FALSE), ""))</f>
        <v/>
      </c>
    </row>
    <row r="123" spans="1:7" ht="17">
      <c r="A123" s="1" t="s">
        <v>1992</v>
      </c>
      <c r="B123" s="2" t="s">
        <v>1814</v>
      </c>
      <c r="C123" s="2">
        <v>137</v>
      </c>
      <c r="D123" s="3">
        <v>2284</v>
      </c>
      <c r="E123" s="3">
        <v>14536</v>
      </c>
      <c r="F123" s="4">
        <v>102409</v>
      </c>
      <c r="G123" s="11" cm="1">
        <f t="array" aca="1" ref="G123" ca="1">IFERROR(VLOOKUP("*" &amp; B123  &amp; "*" &amp; (MID(CELL("filename",A122),FIND("]",CELL("filename",A122))+1,31)) &amp; "*",CHOOSE({1,2}, Super_CBSA!$B$2:$B$1917, Super_CBSA!$A$2:$A$1917), 2,FALSE), IFERROR(VLOOKUP(B123  &amp; "*",CHOOSE({1,2}, Super_CBSA!$E$2:$E$1917, Super_CBSA!$A$2:$A$1917), 2,FALSE), ""))</f>
        <v>16980</v>
      </c>
    </row>
    <row r="124" spans="1:7" ht="17">
      <c r="A124" s="1" t="s">
        <v>1993</v>
      </c>
      <c r="B124" s="2" t="s">
        <v>1863</v>
      </c>
      <c r="C124" s="2">
        <v>134</v>
      </c>
      <c r="D124" s="3">
        <v>11782</v>
      </c>
      <c r="E124" s="3">
        <v>28416</v>
      </c>
      <c r="F124" s="4">
        <v>616461</v>
      </c>
      <c r="G124" s="11" cm="1">
        <f t="array" aca="1" ref="G124" ca="1">IFERROR(VLOOKUP("*" &amp; B124  &amp; "*" &amp; (MID(CELL("filename",A123),FIND("]",CELL("filename",A123))+1,31)) &amp; "*",CHOOSE({1,2}, Super_CBSA!$B$2:$B$1917, Super_CBSA!$A$2:$A$1917), 2,FALSE), IFERROR(VLOOKUP(B124  &amp; "*",CHOOSE({1,2}, Super_CBSA!$E$2:$E$1917, Super_CBSA!$A$2:$A$1917), 2,FALSE), ""))</f>
        <v>34500</v>
      </c>
    </row>
    <row r="125" spans="1:7" ht="17">
      <c r="A125" s="1" t="s">
        <v>1994</v>
      </c>
      <c r="B125" s="2" t="s">
        <v>1995</v>
      </c>
      <c r="C125" s="2">
        <v>106</v>
      </c>
      <c r="D125" s="3">
        <v>4423</v>
      </c>
      <c r="E125" s="3">
        <v>14257</v>
      </c>
      <c r="F125" s="4">
        <v>317430</v>
      </c>
      <c r="G125" s="11" cm="1">
        <f t="array" aca="1" ref="G125" ca="1">IFERROR(VLOOKUP("*" &amp; B125  &amp; "*" &amp; (MID(CELL("filename",A124),FIND("]",CELL("filename",A124))+1,31)) &amp; "*",CHOOSE({1,2}, Super_CBSA!$B$2:$B$1917, Super_CBSA!$A$2:$A$1917), 2,FALSE), IFERROR(VLOOKUP(B125  &amp; "*",CHOOSE({1,2}, Super_CBSA!$E$2:$E$1917, Super_CBSA!$A$2:$A$1917), 2,FALSE), ""))</f>
        <v>16460</v>
      </c>
    </row>
    <row r="126" spans="1:7" ht="17">
      <c r="A126" s="1" t="s">
        <v>1996</v>
      </c>
      <c r="B126" s="2" t="s">
        <v>1814</v>
      </c>
      <c r="C126" s="2">
        <v>306</v>
      </c>
      <c r="D126" s="3">
        <v>10869</v>
      </c>
      <c r="E126" s="3">
        <v>46901</v>
      </c>
      <c r="F126" s="4">
        <v>1291041</v>
      </c>
      <c r="G126" s="11" cm="1">
        <f t="array" aca="1" ref="G126" ca="1">IFERROR(VLOOKUP("*" &amp; B126  &amp; "*" &amp; (MID(CELL("filename",A125),FIND("]",CELL("filename",A125))+1,31)) &amp; "*",CHOOSE({1,2}, Super_CBSA!$B$2:$B$1917, Super_CBSA!$A$2:$A$1917), 2,FALSE), IFERROR(VLOOKUP(B126  &amp; "*",CHOOSE({1,2}, Super_CBSA!$E$2:$E$1917, Super_CBSA!$A$2:$A$1917), 2,FALSE), ""))</f>
        <v>16980</v>
      </c>
    </row>
    <row r="127" spans="1:7" ht="17">
      <c r="A127" s="1" t="s">
        <v>1997</v>
      </c>
      <c r="B127" s="2" t="s">
        <v>1912</v>
      </c>
      <c r="C127" s="2">
        <v>313</v>
      </c>
      <c r="D127" s="3">
        <v>13441</v>
      </c>
      <c r="E127" s="3">
        <v>54294</v>
      </c>
      <c r="F127" s="4">
        <v>2629500</v>
      </c>
      <c r="G127" s="11" cm="1">
        <f t="array" aca="1" ref="G127" ca="1">IFERROR(VLOOKUP("*" &amp; B127  &amp; "*" &amp; (MID(CELL("filename",A126),FIND("]",CELL("filename",A126))+1,31)) &amp; "*",CHOOSE({1,2}, Super_CBSA!$B$2:$B$1917, Super_CBSA!$A$2:$A$1917), 2,FALSE), IFERROR(VLOOKUP(B127  &amp; "*",CHOOSE({1,2}, Super_CBSA!$E$2:$E$1917, Super_CBSA!$A$2:$A$1917), 2,FALSE), ""))</f>
        <v>40420</v>
      </c>
    </row>
    <row r="128" spans="1:7" ht="17">
      <c r="A128" s="1" t="s">
        <v>1998</v>
      </c>
      <c r="B128" s="2" t="s">
        <v>1814</v>
      </c>
      <c r="C128" s="2">
        <v>682</v>
      </c>
      <c r="D128" s="3">
        <v>33060</v>
      </c>
      <c r="E128" s="3">
        <v>215364</v>
      </c>
      <c r="F128" s="4">
        <v>8860010</v>
      </c>
      <c r="G128" s="11" cm="1">
        <f t="array" aca="1" ref="G128" ca="1">IFERROR(VLOOKUP("*" &amp; B128  &amp; "*" &amp; (MID(CELL("filename",A127),FIND("]",CELL("filename",A127))+1,31)) &amp; "*",CHOOSE({1,2}, Super_CBSA!$B$2:$B$1917, Super_CBSA!$A$2:$A$1917), 2,FALSE), IFERROR(VLOOKUP(B128  &amp; "*",CHOOSE({1,2}, Super_CBSA!$E$2:$E$1917, Super_CBSA!$A$2:$A$1917), 2,FALSE), ""))</f>
        <v>16980</v>
      </c>
    </row>
    <row r="129" spans="1:7" ht="17">
      <c r="A129" s="1" t="s">
        <v>1999</v>
      </c>
      <c r="B129" s="2" t="s">
        <v>1814</v>
      </c>
      <c r="C129" s="2">
        <v>156</v>
      </c>
      <c r="D129" s="3">
        <v>4526</v>
      </c>
      <c r="E129" s="3">
        <v>22247</v>
      </c>
      <c r="F129" s="4">
        <v>141097</v>
      </c>
      <c r="G129" s="11" cm="1">
        <f t="array" aca="1" ref="G129" ca="1">IFERROR(VLOOKUP("*" &amp; B129  &amp; "*" &amp; (MID(CELL("filename",A128),FIND("]",CELL("filename",A128))+1,31)) &amp; "*",CHOOSE({1,2}, Super_CBSA!$B$2:$B$1917, Super_CBSA!$A$2:$A$1917), 2,FALSE), IFERROR(VLOOKUP(B129  &amp; "*",CHOOSE({1,2}, Super_CBSA!$E$2:$E$1917, Super_CBSA!$A$2:$A$1917), 2,FALSE), ""))</f>
        <v>16980</v>
      </c>
    </row>
    <row r="130" spans="1:7" ht="17">
      <c r="A130" s="1" t="s">
        <v>2000</v>
      </c>
      <c r="B130" s="2" t="s">
        <v>90</v>
      </c>
      <c r="C130" s="2">
        <v>122</v>
      </c>
      <c r="D130" s="3">
        <v>2533</v>
      </c>
      <c r="E130" s="3">
        <v>9867</v>
      </c>
      <c r="F130" s="4">
        <v>67990</v>
      </c>
      <c r="G130" s="11" t="str" cm="1">
        <f t="array" aca="1" ref="G130" ca="1">IFERROR(VLOOKUP("*" &amp; B130  &amp; "*" &amp; (MID(CELL("filename",A129),FIND("]",CELL("filename",A129))+1,31)) &amp; "*",CHOOSE({1,2}, Super_CBSA!$B$2:$B$1917, Super_CBSA!$A$2:$A$1917), 2,FALSE), IFERROR(VLOOKUP(B130  &amp; "*",CHOOSE({1,2}, Super_CBSA!$E$2:$E$1917, Super_CBSA!$A$2:$A$1917), 2,FALSE), ""))</f>
        <v/>
      </c>
    </row>
    <row r="131" spans="1:7" ht="17">
      <c r="A131" s="1" t="s">
        <v>2001</v>
      </c>
      <c r="B131" s="2" t="s">
        <v>2002</v>
      </c>
      <c r="C131" s="2">
        <v>326</v>
      </c>
      <c r="D131" s="3">
        <v>11866</v>
      </c>
      <c r="E131" s="3">
        <v>55593</v>
      </c>
      <c r="F131" s="4">
        <v>1398341</v>
      </c>
      <c r="G131" s="11" cm="1">
        <f t="array" aca="1" ref="G131" ca="1">IFERROR(VLOOKUP("*" &amp; B131  &amp; "*" &amp; (MID(CELL("filename",A130),FIND("]",CELL("filename",A130))+1,31)) &amp; "*",CHOOSE({1,2}, Super_CBSA!$B$2:$B$1917, Super_CBSA!$A$2:$A$1917), 2,FALSE), IFERROR(VLOOKUP(B131  &amp; "*",CHOOSE({1,2}, Super_CBSA!$E$2:$E$1917, Super_CBSA!$A$2:$A$1917), 2,FALSE), ""))</f>
        <v>48620</v>
      </c>
    </row>
    <row r="132" spans="1:7" ht="17">
      <c r="A132" s="1" t="s">
        <v>2003</v>
      </c>
      <c r="B132" s="2" t="s">
        <v>1814</v>
      </c>
      <c r="C132" s="2">
        <v>0</v>
      </c>
      <c r="D132" s="2">
        <v>0</v>
      </c>
      <c r="E132" s="2">
        <v>0</v>
      </c>
      <c r="F132" s="4">
        <v>0</v>
      </c>
      <c r="G132" s="11" cm="1">
        <f t="array" aca="1" ref="G132" ca="1">IFERROR(VLOOKUP("*" &amp; B132  &amp; "*" &amp; (MID(CELL("filename",A131),FIND("]",CELL("filename",A131))+1,31)) &amp; "*",CHOOSE({1,2}, Super_CBSA!$B$2:$B$1917, Super_CBSA!$A$2:$A$1917), 2,FALSE), IFERROR(VLOOKUP(B132  &amp; "*",CHOOSE({1,2}, Super_CBSA!$E$2:$E$1917, Super_CBSA!$A$2:$A$1917), 2,FALSE), ""))</f>
        <v>16980</v>
      </c>
    </row>
    <row r="133" spans="1:7" ht="17">
      <c r="A133" s="1" t="s">
        <v>2004</v>
      </c>
      <c r="B133" s="2" t="s">
        <v>1814</v>
      </c>
      <c r="C133" s="2">
        <v>0</v>
      </c>
      <c r="D133" s="2">
        <v>0</v>
      </c>
      <c r="E133" s="2">
        <v>0</v>
      </c>
      <c r="F133" s="4">
        <v>0</v>
      </c>
      <c r="G133" s="11" cm="1">
        <f t="array" aca="1" ref="G133" ca="1">IFERROR(VLOOKUP("*" &amp; B133  &amp; "*" &amp; (MID(CELL("filename",A132),FIND("]",CELL("filename",A132))+1,31)) &amp; "*",CHOOSE({1,2}, Super_CBSA!$B$2:$B$1917, Super_CBSA!$A$2:$A$1917), 2,FALSE), IFERROR(VLOOKUP(B133  &amp; "*",CHOOSE({1,2}, Super_CBSA!$E$2:$E$1917, Super_CBSA!$A$2:$A$1917), 2,FALSE), ""))</f>
        <v>16980</v>
      </c>
    </row>
    <row r="134" spans="1:7" ht="17">
      <c r="A134" s="1" t="s">
        <v>2005</v>
      </c>
      <c r="B134" s="2" t="s">
        <v>1959</v>
      </c>
      <c r="C134" s="2">
        <v>280</v>
      </c>
      <c r="D134" s="3">
        <v>12396</v>
      </c>
      <c r="E134" s="3">
        <v>50185</v>
      </c>
      <c r="F134" s="4">
        <v>1444694</v>
      </c>
      <c r="G134" s="11" cm="1">
        <f t="array" aca="1" ref="G134" ca="1">IFERROR(VLOOKUP("*" &amp; B134  &amp; "*" &amp; (MID(CELL("filename",A133),FIND("]",CELL("filename",A133))+1,31)) &amp; "*",CHOOSE({1,2}, Super_CBSA!$B$2:$B$1917, Super_CBSA!$A$2:$A$1917), 2,FALSE), IFERROR(VLOOKUP(B134  &amp; "*",CHOOSE({1,2}, Super_CBSA!$E$2:$E$1917, Super_CBSA!$A$2:$A$1917), 2,FALSE), ""))</f>
        <v>37900</v>
      </c>
    </row>
    <row r="135" spans="1:7" ht="17">
      <c r="A135" s="1" t="s">
        <v>2006</v>
      </c>
      <c r="B135" s="2" t="s">
        <v>2007</v>
      </c>
      <c r="C135" s="2">
        <v>107</v>
      </c>
      <c r="D135" s="3">
        <v>2825</v>
      </c>
      <c r="E135" s="3">
        <v>8881</v>
      </c>
      <c r="F135" s="4">
        <v>251745</v>
      </c>
      <c r="G135" s="11" t="str" cm="1">
        <f t="array" aca="1" ref="G135" ca="1">IFERROR(VLOOKUP("*" &amp; B135  &amp; "*" &amp; (MID(CELL("filename",A134),FIND("]",CELL("filename",A134))+1,31)) &amp; "*",CHOOSE({1,2}, Super_CBSA!$B$2:$B$1917, Super_CBSA!$A$2:$A$1917), 2,FALSE), IFERROR(VLOOKUP(B135  &amp; "*",CHOOSE({1,2}, Super_CBSA!$E$2:$E$1917, Super_CBSA!$A$2:$A$1917), 2,FALSE), ""))</f>
        <v/>
      </c>
    </row>
    <row r="136" spans="1:7" ht="17">
      <c r="A136" s="1" t="s">
        <v>2008</v>
      </c>
      <c r="B136" s="2" t="s">
        <v>1959</v>
      </c>
      <c r="C136" s="2">
        <v>170</v>
      </c>
      <c r="D136" s="3">
        <v>3467</v>
      </c>
      <c r="E136" s="3">
        <v>13852</v>
      </c>
      <c r="F136" s="4">
        <v>548596</v>
      </c>
      <c r="G136" s="11" cm="1">
        <f t="array" aca="1" ref="G136" ca="1">IFERROR(VLOOKUP("*" &amp; B136  &amp; "*" &amp; (MID(CELL("filename",A135),FIND("]",CELL("filename",A135))+1,31)) &amp; "*",CHOOSE({1,2}, Super_CBSA!$B$2:$B$1917, Super_CBSA!$A$2:$A$1917), 2,FALSE), IFERROR(VLOOKUP(B136  &amp; "*",CHOOSE({1,2}, Super_CBSA!$E$2:$E$1917, Super_CBSA!$A$2:$A$1917), 2,FALSE), ""))</f>
        <v>37900</v>
      </c>
    </row>
    <row r="137" spans="1:7" ht="17">
      <c r="A137" s="1" t="s">
        <v>2009</v>
      </c>
      <c r="B137" s="2" t="s">
        <v>2010</v>
      </c>
      <c r="C137" s="2">
        <v>0</v>
      </c>
      <c r="D137" s="2">
        <v>0</v>
      </c>
      <c r="E137" s="2">
        <v>0</v>
      </c>
      <c r="F137" s="4">
        <v>0</v>
      </c>
      <c r="G137" s="11" cm="1">
        <f t="array" aca="1" ref="G137" ca="1">IFERROR(VLOOKUP("*" &amp; B137  &amp; "*" &amp; (MID(CELL("filename",A136),FIND("]",CELL("filename",A136))+1,31)) &amp; "*",CHOOSE({1,2}, Super_CBSA!$B$2:$B$1917, Super_CBSA!$A$2:$A$1917), 2,FALSE), IFERROR(VLOOKUP(B137  &amp; "*",CHOOSE({1,2}, Super_CBSA!$E$2:$E$1917, Super_CBSA!$A$2:$A$1917), 2,FALSE), ""))</f>
        <v>19340</v>
      </c>
    </row>
    <row r="138" spans="1:7" ht="17">
      <c r="A138" s="1" t="s">
        <v>2011</v>
      </c>
      <c r="B138" s="2" t="s">
        <v>2012</v>
      </c>
      <c r="C138" s="2">
        <v>348</v>
      </c>
      <c r="D138" s="3">
        <v>12672</v>
      </c>
      <c r="E138" s="3">
        <v>51899</v>
      </c>
      <c r="F138" s="4">
        <v>981342</v>
      </c>
      <c r="G138" s="11" cm="1">
        <f t="array" aca="1" ref="G138" ca="1">IFERROR(VLOOKUP("*" &amp; B138  &amp; "*" &amp; (MID(CELL("filename",A137),FIND("]",CELL("filename",A137))+1,31)) &amp; "*",CHOOSE({1,2}, Super_CBSA!$B$2:$B$1917, Super_CBSA!$A$2:$A$1917), 2,FALSE), IFERROR(VLOOKUP(B138  &amp; "*",CHOOSE({1,2}, Super_CBSA!$E$2:$E$1917, Super_CBSA!$A$2:$A$1917), 2,FALSE), ""))</f>
        <v>19340</v>
      </c>
    </row>
    <row r="139" spans="1:7" ht="17">
      <c r="A139" s="1" t="s">
        <v>2013</v>
      </c>
      <c r="B139" s="2" t="s">
        <v>1814</v>
      </c>
      <c r="C139" s="2">
        <v>484</v>
      </c>
      <c r="D139" s="3">
        <v>19417</v>
      </c>
      <c r="E139" s="3">
        <v>102662</v>
      </c>
      <c r="F139" s="4">
        <v>2708306</v>
      </c>
      <c r="G139" s="11" cm="1">
        <f t="array" aca="1" ref="G139" ca="1">IFERROR(VLOOKUP("*" &amp; B139  &amp; "*" &amp; (MID(CELL("filename",A138),FIND("]",CELL("filename",A138))+1,31)) &amp; "*",CHOOSE({1,2}, Super_CBSA!$B$2:$B$1917, Super_CBSA!$A$2:$A$1917), 2,FALSE), IFERROR(VLOOKUP(B139  &amp; "*",CHOOSE({1,2}, Super_CBSA!$E$2:$E$1917, Super_CBSA!$A$2:$A$1917), 2,FALSE), ""))</f>
        <v>16980</v>
      </c>
    </row>
    <row r="140" spans="1:7" ht="17">
      <c r="A140" s="1" t="s">
        <v>2014</v>
      </c>
      <c r="B140" s="2" t="s">
        <v>264</v>
      </c>
      <c r="C140" s="2">
        <v>0</v>
      </c>
      <c r="D140" s="2">
        <v>0</v>
      </c>
      <c r="E140" s="2">
        <v>0</v>
      </c>
      <c r="F140" s="4">
        <v>0</v>
      </c>
      <c r="G140" s="11" cm="1">
        <f t="array" aca="1" ref="G140" ca="1">IFERROR(VLOOKUP("*" &amp; B140  &amp; "*" &amp; (MID(CELL("filename",A139),FIND("]",CELL("filename",A139))+1,31)) &amp; "*",CHOOSE({1,2}, Super_CBSA!$B$2:$B$1917, Super_CBSA!$A$2:$A$1917), 2,FALSE), IFERROR(VLOOKUP(B140  &amp; "*",CHOOSE({1,2}, Super_CBSA!$E$2:$E$1917, Super_CBSA!$A$2:$A$1917), 2,FALSE), ""))</f>
        <v>19180</v>
      </c>
    </row>
    <row r="141" spans="1:7" ht="17">
      <c r="A141" s="1" t="s">
        <v>2015</v>
      </c>
      <c r="B141" s="2" t="s">
        <v>1921</v>
      </c>
      <c r="C141" s="2">
        <v>190</v>
      </c>
      <c r="D141" s="3">
        <v>9998</v>
      </c>
      <c r="E141" s="3">
        <v>41959</v>
      </c>
      <c r="F141" s="4">
        <v>1277009</v>
      </c>
      <c r="G141" s="11" t="str" cm="1">
        <f t="array" aca="1" ref="G141" ca="1">IFERROR(VLOOKUP("*" &amp; B141  &amp; "*" &amp; (MID(CELL("filename",A140),FIND("]",CELL("filename",A140))+1,31)) &amp; "*",CHOOSE({1,2}, Super_CBSA!$B$2:$B$1917, Super_CBSA!$A$2:$A$1917), 2,FALSE), IFERROR(VLOOKUP(B141  &amp; "*",CHOOSE({1,2}, Super_CBSA!$E$2:$E$1917, Super_CBSA!$A$2:$A$1917), 2,FALSE), ""))</f>
        <v/>
      </c>
    </row>
    <row r="142" spans="1:7" ht="17">
      <c r="A142" s="1" t="s">
        <v>2016</v>
      </c>
      <c r="B142" s="2" t="s">
        <v>1814</v>
      </c>
      <c r="C142" s="2">
        <v>144</v>
      </c>
      <c r="D142" s="3">
        <v>5162</v>
      </c>
      <c r="E142" s="3">
        <v>23497</v>
      </c>
      <c r="F142" s="4">
        <v>616361</v>
      </c>
      <c r="G142" s="11" cm="1">
        <f t="array" aca="1" ref="G142" ca="1">IFERROR(VLOOKUP("*" &amp; B142  &amp; "*" &amp; (MID(CELL("filename",A141),FIND("]",CELL("filename",A141))+1,31)) &amp; "*",CHOOSE({1,2}, Super_CBSA!$B$2:$B$1917, Super_CBSA!$A$2:$A$1917), 2,FALSE), IFERROR(VLOOKUP(B142  &amp; "*",CHOOSE({1,2}, Super_CBSA!$E$2:$E$1917, Super_CBSA!$A$2:$A$1917), 2,FALSE), ""))</f>
        <v>16980</v>
      </c>
    </row>
    <row r="143" spans="1:7" ht="17">
      <c r="A143" s="1" t="s">
        <v>2017</v>
      </c>
      <c r="B143" s="2" t="s">
        <v>1980</v>
      </c>
      <c r="C143" s="2">
        <v>174</v>
      </c>
      <c r="D143" s="3">
        <v>6365</v>
      </c>
      <c r="E143" s="3">
        <v>26935</v>
      </c>
      <c r="F143" s="4">
        <v>935390</v>
      </c>
      <c r="G143" s="11" t="str" cm="1">
        <f t="array" aca="1" ref="G143" ca="1">IFERROR(VLOOKUP("*" &amp; B143  &amp; "*" &amp; (MID(CELL("filename",A142),FIND("]",CELL("filename",A142))+1,31)) &amp; "*",CHOOSE({1,2}, Super_CBSA!$B$2:$B$1917, Super_CBSA!$A$2:$A$1917), 2,FALSE), IFERROR(VLOOKUP(B143  &amp; "*",CHOOSE({1,2}, Super_CBSA!$E$2:$E$1917, Super_CBSA!$A$2:$A$1917), 2,FALSE), ""))</f>
        <v/>
      </c>
    </row>
    <row r="144" spans="1:7" ht="17">
      <c r="A144" s="1" t="s">
        <v>2018</v>
      </c>
      <c r="B144" s="2" t="s">
        <v>1924</v>
      </c>
      <c r="C144" s="2">
        <v>158</v>
      </c>
      <c r="D144" s="3">
        <v>3411</v>
      </c>
      <c r="E144" s="3">
        <v>18439</v>
      </c>
      <c r="F144" s="4">
        <v>343983</v>
      </c>
      <c r="G144" s="11" t="str" cm="1">
        <f t="array" aca="1" ref="G144" ca="1">IFERROR(VLOOKUP("*" &amp; B144  &amp; "*" &amp; (MID(CELL("filename",A143),FIND("]",CELL("filename",A143))+1,31)) &amp; "*",CHOOSE({1,2}, Super_CBSA!$B$2:$B$1917, Super_CBSA!$A$2:$A$1917), 2,FALSE), IFERROR(VLOOKUP(B144  &amp; "*",CHOOSE({1,2}, Super_CBSA!$E$2:$E$1917, Super_CBSA!$A$2:$A$1917), 2,FALSE), ""))</f>
        <v/>
      </c>
    </row>
    <row r="145" spans="1:6" ht="17">
      <c r="A145" s="2" t="s">
        <v>56</v>
      </c>
      <c r="B145" s="2"/>
      <c r="C145" s="3">
        <v>29156</v>
      </c>
      <c r="D145" s="3">
        <v>1238007</v>
      </c>
      <c r="E145" s="3">
        <v>5605904</v>
      </c>
      <c r="F145" s="4">
        <v>149805442</v>
      </c>
    </row>
  </sheetData>
  <hyperlinks>
    <hyperlink ref="A2" r:id="rId1" display="https://www.ahd.com/free_profile/140147/_Carle_Richland_Memorial_Hospital/Olney/Illinois/" xr:uid="{225EB5CB-B138-AE46-9952-2F54A6154615}"/>
    <hyperlink ref="A3" r:id="rId2" display="https://www.ahd.com/free_profile/140286/_Northwestern_Medicine_Kishwaukee_Hospital/DeKalb/Illinois/" xr:uid="{3AC8D42A-DE34-7747-9998-746412A07BF5}"/>
    <hyperlink ref="A4" r:id="rId3" display="https://www.ahd.com/free_profile/14011F/375th_Medical_Group_-_Scott_Air_Force_Base_Medical_Center/Scott_Air_Force_Base/Illinois/" xr:uid="{4DA19810-2DC6-3242-898F-1E56AFC696F8}"/>
    <hyperlink ref="A5" r:id="rId4" display="https://www.ahd.com/free_profile/140208/Advocate_Christ_Medical_Center/Oak_Lawn/Illinois/" xr:uid="{EF462029-BE86-E44E-9C42-7CD6B6394E55}"/>
    <hyperlink ref="A6" r:id="rId5" display="https://www.ahd.com/free_profile/140202/Advocate_Condell_Medical_Center/Libertyville/Illinois/" xr:uid="{59BA3607-13B1-7D40-8E9F-3546A133B24F}"/>
    <hyperlink ref="A7" r:id="rId6" display="https://www.ahd.com/free_profile/140288/Advocate_Good_Samaritan_Hospital/Downers_Grove/Illinois/" xr:uid="{A482B6A5-5A2F-4B4B-89FE-B6896A4BB586}"/>
    <hyperlink ref="A8" r:id="rId7" display="https://www.ahd.com/free_profile/140291/Advocate_Good_Shepherd_Hospital/Barrington/Illinois/" xr:uid="{76423826-687C-C540-B2E6-55ED96DE6FB2}"/>
    <hyperlink ref="A9" r:id="rId8" display="https://www.ahd.com/free_profile/140182/Advocate_Illinois_Masonic_Medical_Center/Chicago/Illinois/" xr:uid="{8C0CEE5E-861C-134F-9673-87FC0D1B0509}"/>
    <hyperlink ref="A10" r:id="rId9" display="https://www.ahd.com/free_profile/140223/Advocate_Lutheran_General_Hospital/Park_Ridge/Illinois/" xr:uid="{6F216686-BC64-F142-BDDF-0DFE6E308B62}"/>
    <hyperlink ref="A11" r:id="rId10" display="https://www.ahd.com/free_profile/140030/Advocate_Sherman_Hospital/Elgin/Illinois/" xr:uid="{B1ADA09A-3CB0-1741-978A-69B5B10F7499}"/>
    <hyperlink ref="A12" r:id="rId11" display="https://www.ahd.com/free_profile/140250/Advocate_South_Suburban_Hospital/Hazel_Crest/Illinois/" xr:uid="{71F162CA-F094-204A-9AA7-16D04B42238A}"/>
    <hyperlink ref="A13" r:id="rId12" display="https://www.ahd.com/free_profile/140048/Advocate_Trinity_Hospital/Chicago/Illinois/" xr:uid="{A68894C6-FCD2-AC4D-B78A-E123045D3CE9}"/>
    <hyperlink ref="A14" r:id="rId13" display="https://www.ahd.com/free_profile/140002/Alton_Memorial_Hospital/Alton/Illinois/" xr:uid="{33D904EA-E36E-7E46-83D9-0B2A880EEF8E}"/>
    <hyperlink ref="A15" r:id="rId14" display="https://www.ahd.com/free_profile/140292/AMITA_Health_Adventist_GlenOaks_Hospital/Glendale_Heights/Illinois/" xr:uid="{494F58A5-19BD-E845-8882-64F4EA8F4269}"/>
    <hyperlink ref="A16" r:id="rId15" display="https://www.ahd.com/free_profile/140304/AMITA_Health_Adventist_Medical_Center__Bolingbrook_/Bolingbrook/Illinois/" xr:uid="{1C31E667-07D9-CC42-B302-4A08D23B9F50}"/>
    <hyperlink ref="A17" r:id="rId16" display="https://www.ahd.com/free_profile/140122/AMITA_Health_Adventist_Medical_Center_Hinsdale_/Hinsdale/Illinois/" xr:uid="{0DFF4E89-1092-2B40-8BE1-00737301ABF6}"/>
    <hyperlink ref="A18" r:id="rId17" display="https://www.ahd.com/free_profile/140065/AMITA_Health_Adventist_Medical_Center_La_Grange/La_Grange/Illinois/" xr:uid="{9D0286BE-6EB5-7F4A-AA9A-B514480BB20B}"/>
    <hyperlink ref="A19" r:id="rId18" display="https://www.ahd.com/free_profile/140258/AMITA_Health_Alexian_Brothers_Medical_Center_Elk_Grove_Village/Elk_Grove_Village/Illinois/" xr:uid="{47B357CE-37C8-FE45-AFA2-5351CF3D7F38}"/>
    <hyperlink ref="A20" r:id="rId19" display="https://www.ahd.com/free_profile/140174/AMITA_Health_Mercy_Medical_Center_Aurora/Aurora/Illinois/" xr:uid="{6BF6AA50-4214-6748-8B9D-18AB7AD7DA66}"/>
    <hyperlink ref="A21" r:id="rId20" display="https://www.ahd.com/free_profile/140117/AMITA_Health_Resurrection_Medical_Center_Chicago/Chicago/Illinois/" xr:uid="{E5B0F963-9C53-1843-AB59-E6D4DB64362F}"/>
    <hyperlink ref="A22" r:id="rId21" display="https://www.ahd.com/free_profile/140080/AMITA_Health_Saint_Francis_Hospital_Evanston/Evanston/Illinois/" xr:uid="{D829AF64-B2D0-914E-AAE1-70DD77403AE3}"/>
    <hyperlink ref="A23" r:id="rId22" display="https://www.ahd.com/free_profile/140224/AMITA_Health_Saint_Joseph_Hospital_Chicago/Chicago/Illinois/" xr:uid="{66FC9152-481D-5D46-8B88-9E58DDD8656F}"/>
    <hyperlink ref="A24" r:id="rId23" display="https://www.ahd.com/free_profile/140217/AMITA_Health_Saint_Joseph_Hospital_Elgin/Elgin/Illinois/" xr:uid="{95FBB49B-C3CF-DD49-9173-9B5D40E56B56}"/>
    <hyperlink ref="A25" r:id="rId24" display="https://www.ahd.com/free_profile/140007/AMITA_Health_Saint_Joseph_Medical_Center_Joliet/Joliet/Illinois/" xr:uid="{1A297924-E891-5A41-82D3-52A968BFD352}"/>
    <hyperlink ref="A26" r:id="rId25" display="https://www.ahd.com/free_profile/140094/AMITA_Health_Saints_Mary_and_Elizabeth_Medical_Center_Saint_Elizabeth_Campus/Chicago/Illinois/" xr:uid="{825D70CE-34FE-0144-8272-BC12071D6512}"/>
    <hyperlink ref="A27" r:id="rId26" display="https://www.ahd.com/free_profile/140180/AMITA_Health_Saints_Mary_and_Elizabeth_Medical_Center_Saint_Mary_Campus/Chicago/Illinois/" xr:uid="{41C5AE01-45F7-794B-BA2F-8BEED4B5D8FC}"/>
    <hyperlink ref="A28" r:id="rId27" display="https://www.ahd.com/free_profile/140290/AMITA_Health_St_Alexius_Medical_Center_Hoffman_Estates_/Hoffman_Estates/Illinois/" xr:uid="{A12DBC06-18D7-3B40-A638-C9377E2E1E9F}"/>
    <hyperlink ref="A29" r:id="rId28" display="https://www.ahd.com/free_profile/140155/AMITA_Health_St_Marys_Hospital_Kankakee/Kankakee/Illinois/" xr:uid="{DB7DC084-1E25-FE4A-A2EA-0FEF82DEE0A4}"/>
    <hyperlink ref="A30" r:id="rId29" display="https://www.ahd.com/free_profile/140289/Anderson_Hospital/Maryville/Illinois/" xr:uid="{FEDD14F8-B857-E844-8BA6-B5863944361C}"/>
    <hyperlink ref="A31" r:id="rId30" display="https://www.ahd.com/free_profile/140015/Blessing_Hospital/Quincy/Illinois/" xr:uid="{F9BA8DDE-DC24-6643-B5D8-65B9A36B52BE}"/>
    <hyperlink ref="A32" r:id="rId31" display="https://www.ahd.com/free_profile/140100/Cancer_Treatment_Centers_of_America_Chicago/Zion/Illinois/" xr:uid="{BDD10309-69C7-A146-BB00-4ED32AE8F9DD}"/>
    <hyperlink ref="A33" r:id="rId32" display="https://www.ahd.com/free_profile/14034F/Captain_James_A_Lovell_Federal_Health_Care_Center/North_Chicago/Illinois/" xr:uid="{CDA59097-0650-D641-BEB6-D1544455F1DD}"/>
    <hyperlink ref="A34" r:id="rId33" display="https://www.ahd.com/free_profile/140127/Carle_BroMenn_Medical_Center/Normal/Illinois/" xr:uid="{8C575710-9AD0-2246-A614-3B925D6E556E}"/>
    <hyperlink ref="A35" r:id="rId34" display="https://www.ahd.com/free_profile/140091/Carle_Foundation_Hospital/Urbana/Illinois/" xr:uid="{EC30085A-4C01-954B-BE23-A6E35B8019EF}"/>
    <hyperlink ref="A36" r:id="rId35" display="https://www.ahd.com/free_profile/140043/CGH_Medical_Center/Sterling/Illinois/" xr:uid="{3FC72A30-F88B-994C-8892-D49465DF6425}"/>
    <hyperlink ref="A37" r:id="rId36" display="https://www.ahd.com/free_profile/140251/Community_First_Medical_Center/Chicago/Illinois/" xr:uid="{72EC9926-8886-9F49-A879-751D799F9238}"/>
    <hyperlink ref="A38" r:id="rId37" display="https://www.ahd.com/free_profile/140294/Crossroads_Community_Hospital/Mount_Vernon/Illinois/" xr:uid="{B73853A2-6CDE-6744-A9AA-79598276A794}"/>
    <hyperlink ref="A39" r:id="rId38" display="https://www.ahd.com/free_profile/140135/Decatur_Memorial_Hospital/Decatur/Illinois/" xr:uid="{52789387-D7FF-AD45-B78B-6BFE65D725C0}"/>
    <hyperlink ref="A40" r:id="rId39" display="https://www.ahd.com/free_profile/14007F/Edward_Hines%2C_Jr_VA_Hospital/Hines/Illinois/" xr:uid="{462C2D0E-BAE5-8248-A142-6721329CD681}"/>
    <hyperlink ref="A41" r:id="rId40" display="https://www.ahd.com/free_profile/140231/Edward_Hospital/Naperville/Illinois/" xr:uid="{89AB2250-89FE-EE4B-9C6F-8C38D2F12168}"/>
    <hyperlink ref="A42" r:id="rId41" display="https://www.ahd.com/free_profile/140200/Elmhurst_Hospital_/Elmhurst/Illinois/" xr:uid="{F52E48CB-FAF0-D945-8242-2F050943E21E}"/>
    <hyperlink ref="A43" r:id="rId42" display="https://www.ahd.com/free_profile/140010/Evanston_Hospital/Evanston/Illinois/" xr:uid="{B1CC97CB-FA8E-B84F-BBB7-A9EA0B177636}"/>
    <hyperlink ref="A44" r:id="rId43" display="https://www.ahd.com/free_profile/140160/FHN_Memorial_Hospital/Freeport/Illinois/" xr:uid="{DE562FC8-798F-8A4F-B2A1-34D5A0C57CED}"/>
    <hyperlink ref="A45" r:id="rId44" display="https://www.ahd.com/free_profile/140172/Franciscan_Health_Olympia_Fields_Campus/Olympia_Fields/Illinois/" xr:uid="{9CDC5398-E875-AA4C-9485-A9B0E196A85E}"/>
    <hyperlink ref="A46" r:id="rId45" display="https://www.ahd.com/free_profile/140040/Galesburg_Cottage_Hospital/Galesburg/Illinois/" xr:uid="{D4B07605-CAB8-B54F-B588-F83050CE8F7D}"/>
    <hyperlink ref="A47" r:id="rId46" display="https://www.ahd.com/free_profile/140125/Gateway_Regional_Medical_Center/Granite_City/Illinois/" xr:uid="{6E925456-4D1A-E541-93FE-0799B88D2C92}"/>
    <hyperlink ref="A48" r:id="rId47" display="https://www.ahd.com/free_profile/140275/Genesis_Medical_Center_Silvis/Silvis/Illinois/" xr:uid="{DC3C30CD-21E0-3B4E-B6BA-453FB78FCCFD}"/>
    <hyperlink ref="A49" r:id="rId48" display="https://www.ahd.com/free_profile/I41056/Glenbrook_Hospital/Glenview/Illinois/" xr:uid="{86040327-61AA-3D46-8CA3-13E36DD02EBD}"/>
    <hyperlink ref="A50" r:id="rId49" display="https://www.ahd.com/free_profile/140001/Graham_Hospital/Canton/Illinois/" xr:uid="{B5CF09A7-D913-C944-AC67-14CE9227B364}"/>
    <hyperlink ref="A51" r:id="rId50" display="https://www.ahd.com/free_profile/140210/Harrisburg_Medical_Center/Harrisburg/Illinois/" xr:uid="{9332CDCB-DFDB-3745-87EC-308C21506BFC}"/>
    <hyperlink ref="A52" r:id="rId51" display="https://www.ahd.com/free_profile/140184/Heartland_Regional_Medical_Center/Marion/Illinois/" xr:uid="{5E081A9C-1C78-7747-8B7F-E72E835A3F25}"/>
    <hyperlink ref="A53" r:id="rId52" display="https://www.ahd.com/free_profile/140011/Herrin_Hospital/Herrin/Illinois/" xr:uid="{FEC7E2EB-AF51-B54F-B4EA-0A8A87DD2B89}"/>
    <hyperlink ref="A54" r:id="rId53" display="https://www.ahd.com/free_profile/I41187/Highland_Park_Hospital/Highland_Park/Illinois/" xr:uid="{F30CD6C2-2F06-3A4D-B5E0-F66E1718E365}"/>
    <hyperlink ref="A55" r:id="rId54" display="https://www.ahd.com/free_profile/140133/Holy_Cross_Hospital/Chicago/Illinois/" xr:uid="{687A214A-1E84-474C-AFA3-10708A1879DD}"/>
    <hyperlink ref="A56" r:id="rId55" display="https://www.ahd.com/free_profile/140019/HSHS_Good_Shepherd_Hospital/Shelbyville/Illinois/" xr:uid="{65FA1607-02F2-8D4F-BB63-E0F887DFED04}"/>
    <hyperlink ref="A57" r:id="rId56" display="https://www.ahd.com/free_profile/140137/HSHS_Holy_Family_Hospital/Greenville/Illinois/" xr:uid="{FC2512A0-BCEB-C140-9827-3C1C61B93A6B}"/>
    <hyperlink ref="A58" r:id="rId57" display="https://www.ahd.com/free_profile/140032/HSHS_Saint_Anthony%27s_Memorial_Hospital/Effingham/Illinois/" xr:uid="{41B74F40-D526-5C49-95F5-672B389CC495}"/>
    <hyperlink ref="A59" r:id="rId58" display="https://www.ahd.com/free_profile/140187/HSHS_Saint_Elizabeth%27s_Hospital/O%27Fallon/Illinois/" xr:uid="{474FB1AB-7825-8B43-BFC3-37B1A7ED38F3}"/>
    <hyperlink ref="A60" r:id="rId59" display="https://www.ahd.com/free_profile/140053/HSHS_Saint_John%27s_Hospital/Springfield/Illinois/" xr:uid="{C381E70D-5FAA-044D-8933-EAFA1915F539}"/>
    <hyperlink ref="A61" r:id="rId60" display="https://www.ahd.com/free_profile/140145/HSHS_Saint_Joseph%27s_Hospital_Breese/Breese/Illinois/" xr:uid="{4D73E906-21D5-0241-860F-5E27F6D5563D}"/>
    <hyperlink ref="A62" r:id="rId61" display="https://www.ahd.com/free_profile/140166/HSHS_Saint_Mary%27s_Hospital/Decatur/Illinois/" xr:uid="{E9C9D2C2-9429-2D45-89A7-E995DCB040D9}"/>
    <hyperlink ref="A63" r:id="rId62" display="https://www.ahd.com/free_profile/I42375/HSHS_St_John%27s_Children%27s_Hospital/Springfield/Illinois/" xr:uid="{732A4B2C-88AE-F248-B770-C6036533CE06}"/>
    <hyperlink ref="A64" r:id="rId63" display="https://www.ahd.com/free_profile/140234/Illinois_Valley_Community_Hospital/Peru/Illinois/" xr:uid="{57ADA1BF-B929-C349-B4CB-F1289DEF5964}"/>
    <hyperlink ref="A65" r:id="rId64" display="https://www.ahd.com/free_profile/140167/Iroquois_Memorial_Hospital/Watseka/Illinois/" xr:uid="{83C59CE7-D16D-1243-B10F-E7B8C1D44A23}"/>
    <hyperlink ref="A66" r:id="rId65" display="https://www.ahd.com/free_profile/140177/Jackson_Park_Hospital/Chicago/Illinois/" xr:uid="{6CF1924F-6544-AF43-A624-6FCC1BFA58E5}"/>
    <hyperlink ref="A67" r:id="rId66" display="https://www.ahd.com/free_profile/140239/Javon_Bea_Hospital_Rockton/Rockford/Illinois/" xr:uid="{55454DAE-CD60-1F4C-A0EF-9DE3788C7995}"/>
    <hyperlink ref="A68" r:id="rId67" display="https://www.ahd.com/free_profile/I42262/Javon_Bea_Hospital-Riverside/Rockford/Illinois/" xr:uid="{278622E6-14AF-AD47-A949-0B0ACA00CE20}"/>
    <hyperlink ref="A69" r:id="rId68" display="https://www.ahd.com/free_profile/140059/Jersey_Community_Hospital/Jerseyville/Illinois/" xr:uid="{5CFDB8B7-4566-AF4E-B2E3-E02E421762FB}"/>
    <hyperlink ref="A70" r:id="rId69" display="https://www.ahd.com/free_profile/14003F/Jesse_Brown_VA_Medical_Center/Chicago/Illinois/" xr:uid="{B4EC7103-37CD-9B47-8FC8-90508D4344F3}"/>
    <hyperlink ref="A71" r:id="rId70" display="https://www.ahd.com/free_profile/140124/John_H_Stroger%2C_Jr_Hospital_of_Cook_County/Chicago/Illinois/" xr:uid="{0D4B4CA1-AA63-3D4D-BBA7-E55B04D1574E}"/>
    <hyperlink ref="A72" r:id="rId71" display="https://www.ahd.com/free_profile/140012/Katherine_Shaw_Bethea_Hospital/Dixon/Illinois/" xr:uid="{0840B4E2-9070-EA4D-97F1-5B2CAA785F50}"/>
    <hyperlink ref="A73" r:id="rId72" display="https://www.ahd.com/free_profile/140033/Lake_Behavioral_Hospital_/Waukegan/Illinois/" xr:uid="{8108415B-1915-514D-8E75-B668065B830D}"/>
    <hyperlink ref="A74" r:id="rId73" display="https://www.ahd.com/free_profile/140083/Loretto_Hospital/Chicago/Illinois/" xr:uid="{9D8102D1-5C32-0646-884A-6BCFAB000D43}"/>
    <hyperlink ref="A75" r:id="rId74" display="https://www.ahd.com/free_profile/140008/Loyola_Gottlieb_Memorial_Hospital/Melrose_Park/Illinois/" xr:uid="{5D1B6816-9743-D24E-960C-343C5BCB5893}"/>
    <hyperlink ref="A76" r:id="rId75" display="https://www.ahd.com/free_profile/140276/Loyola_University_Medical_Center/Maywood/Illinois/" xr:uid="{6BCFFC0B-73D0-7643-BEAF-3D6E573E6A2E}"/>
    <hyperlink ref="A77" r:id="rId76" display="https://www.ahd.com/free_profile/140054/MacNeal_Hospital/Berwyn/Illinois/" xr:uid="{CC7631AF-9B39-FD4B-B81E-54479CB52869}"/>
    <hyperlink ref="A78" r:id="rId77" display="https://www.ahd.com/free_profile/14008F/Marion_VA_Medical_Center/Marion/Illinois/" xr:uid="{31D41531-FE2E-D24F-8063-D218E5710A1B}"/>
    <hyperlink ref="A79" r:id="rId78" display="https://www.ahd.com/free_profile/140089/McDonough_District_Hospital/Macomb/Illinois/" xr:uid="{8263F0A2-808F-5740-9CFC-0A52DE83452B}"/>
    <hyperlink ref="A80" r:id="rId79" display="https://www.ahd.com/free_profile/140185/Memorial_Hospital_Belleville/Belleville/Illinois/" xr:uid="{C49A42ED-CE3E-0445-85DC-CE9EDE504343}"/>
    <hyperlink ref="A81" r:id="rId80" display="https://www.ahd.com/free_profile/140307/Memorial_Hospital_East/Shiloh/Illinois/" xr:uid="{356D442D-0A5E-E644-8C47-E743A7584024}"/>
    <hyperlink ref="A82" r:id="rId81" display="https://www.ahd.com/free_profile/140164/Memorial_Hospital_of_Carbondale/Carbondale/Illinois/" xr:uid="{7FB9D94A-7AF6-7949-8385-655167E22FAF}"/>
    <hyperlink ref="A83" r:id="rId82" display="https://www.ahd.com/free_profile/140148/Memorial_Medical_Center/Springfield/Illinois/" xr:uid="{1EE54A11-9914-B34B-B8EB-936726F20C0A}"/>
    <hyperlink ref="A84" r:id="rId83" display="https://www.ahd.com/free_profile/140158/Mercy_Hospital_%26_Medical_Center/Chicago/Illinois/" xr:uid="{F3479B1E-BCAB-DF45-BEEE-9AE3F2AC0259}"/>
    <hyperlink ref="A85" r:id="rId84" display="https://www.ahd.com/free_profile/140197/Methodist_Hospital_of_Chicago/Chicago/Illinois/" xr:uid="{E242E7EC-D285-8246-90C4-614A686397BA}"/>
    <hyperlink ref="A86" r:id="rId85" display="https://www.ahd.com/free_profile/140101/Morris_Hospital/Morris/Illinois/" xr:uid="{866AAB08-F18E-F74E-99F7-E4E7398809DA}"/>
    <hyperlink ref="A87" r:id="rId86" display="https://www.ahd.com/free_profile/140018/Mount_Sinai_Hospital/Chicago/Illinois/" xr:uid="{F3450119-BED7-DA45-A57F-8B99E0CD1B16}"/>
    <hyperlink ref="A88" r:id="rId87" display="https://www.ahd.com/free_profile/140252/Northwest_Community_Hospital/Arlington_Heights/Illinois/" xr:uid="{3A9AFDBB-2E62-F14C-8B75-45ED614FD3E7}"/>
    <hyperlink ref="A89" r:id="rId88" display="https://www.ahd.com/free_profile/140242/Northwestern_Medicine_Central_DuPage_Hospital/Winfield/Illinois/" xr:uid="{5C718EC1-E0EB-4A4F-AB9D-D3AB01763F02}"/>
    <hyperlink ref="A90" r:id="rId89" display="https://www.ahd.com/free_profile/140211/Northwestern_Medicine_Delnor_Hospital/Geneva/Illinois/" xr:uid="{50DB6559-E770-0841-9646-36F04B290A78}"/>
    <hyperlink ref="A91" r:id="rId90" display="https://www.ahd.com/free_profile/I42115/Northwestern_Medicine_Huntley_Hospital/Huntley/Illinois/" xr:uid="{F62BB127-45D6-A547-81CC-22C5A42B22CA}"/>
    <hyperlink ref="A92" r:id="rId91" display="https://www.ahd.com/free_profile/140130/Northwestern_Medicine_Lake_Forest_Hospital/Lake_Forest/Illinois/" xr:uid="{F5C41E97-CE3C-8142-A045-13BC05262E04}"/>
    <hyperlink ref="A93" r:id="rId92" display="https://www.ahd.com/free_profile/140116/Northwestern_Medicine_McHenry_Hospital/McHenry/Illinois/" xr:uid="{E49692DD-3EBD-724F-968C-82012B6F5D0D}"/>
    <hyperlink ref="A94" r:id="rId93" display="https://www.ahd.com/free_profile/I41607/Northwestern_Medicine_Prentice_Women%27s_Hospital/Chicago/Illinois/" xr:uid="{E36A647E-8067-1E4A-9E73-28144B26F75B}"/>
    <hyperlink ref="A95" r:id="rId94" display="https://www.ahd.com/free_profile/140176/Northwestern_Medicine_Woodstock_Hospital/Woodstock/Illinois/" xr:uid="{D5990B38-9FAA-1945-8DCF-D42C5EDECC5F}"/>
    <hyperlink ref="A96" r:id="rId95" display="https://www.ahd.com/free_profile/140281/Northwestern_Memorial_Hospital/Chicago/Illinois/" xr:uid="{C68A4117-F138-7845-81F1-DFE7434C07C4}"/>
    <hyperlink ref="A97" r:id="rId96" display="https://www.ahd.com/free_profile/140206/Norwegian_American_Hospital/Chicago/Illinois/" xr:uid="{B2F83707-3C00-4C4F-8654-7BBB76FDC897}"/>
    <hyperlink ref="A98" r:id="rId97" display="https://www.ahd.com/free_profile/I42348/OSF_Children%27s_Hospital_of_Illinois/Peoria/Illinois/" xr:uid="{48714A46-1F41-494B-958A-2999F16BC49D}"/>
    <hyperlink ref="A99" r:id="rId98" display="https://www.ahd.com/free_profile/140113/OSF_Heart_of_Mary_Medical_Center/Urbana/Illinois/" xr:uid="{96165F47-5F58-0048-B7A5-42021E318F91}"/>
    <hyperlink ref="A100" r:id="rId99" display="https://www.ahd.com/free_profile/140179/OSF_Little_Company_of_Mary_Medical_Center/Evergreen_Park/Illinois/" xr:uid="{D03291A1-83F0-314E-BD9C-3EF981914A3A}"/>
    <hyperlink ref="A101" r:id="rId100" display="https://www.ahd.com/free_profile/140093/OSF_Sacred_Heart_Medical_Center/Danville/Illinois/" xr:uid="{9208ECF4-516C-5940-9D9C-B5BA6567CC81}"/>
    <hyperlink ref="A102" r:id="rId101" display="https://www.ahd.com/free_profile/140233/OSF_Saint_Anthony_Medical_Center/Rockford/Illinois/" xr:uid="{2A46F5AA-2E6E-C54D-BDCE-C8B952ACBC41}"/>
    <hyperlink ref="A103" r:id="rId102" display="https://www.ahd.com/free_profile/140052/OSF_Saint_Anthony%27s_Health_Center/Alton/Illinois/" xr:uid="{FE6D2A61-F7EC-2B4E-9704-09B1D758EF25}"/>
    <hyperlink ref="A104" r:id="rId103" display="https://www.ahd.com/free_profile/140110/OSF_Saint_Elizabeth_Medical_Center/Ottawa/Illinois/" xr:uid="{ABA9D3A9-D47B-9A4D-B860-B579F02E6FF5}"/>
    <hyperlink ref="A105" r:id="rId104" display="https://www.ahd.com/free_profile/140067/OSF_Saint_Francis_Medical_Center/Peoria/Illinois/" xr:uid="{43FA2A57-4E67-3346-AA90-2915215D8115}"/>
    <hyperlink ref="A106" r:id="rId105" display="https://www.ahd.com/free_profile/140161/OSF_Saint_James-John_W_Albrecht_Medical_Center/Pontiac/Illinois/" xr:uid="{B2B33A3E-28F1-5447-92D5-7D89C5CEDACF}"/>
    <hyperlink ref="A107" r:id="rId106" display="https://www.ahd.com/free_profile/140162/OSF_Saint_Joseph_Medical_Center/Bloomington/Illinois/" xr:uid="{EDDB0CA1-C954-E246-A222-D87E0B62D254}"/>
    <hyperlink ref="A108" r:id="rId107" display="https://www.ahd.com/free_profile/140064/OSF_Saint_Mary_Medical_Center/Galesburg/Illinois/" xr:uid="{35FAC6D5-DCAF-5642-94F3-E7C1B9E3969F}"/>
    <hyperlink ref="A109" r:id="rId108" display="https://www.ahd.com/free_profile/140062/Palos_Hospital/Palos_Heights/Illinois/" xr:uid="{B7BA02D8-346F-EB45-BF6F-2CA52B6AAA62}"/>
    <hyperlink ref="A110" r:id="rId109" display="https://www.ahd.com/free_profile/140058/Passavant_Area_Hospital/Jacksonville/Illinois/" xr:uid="{C916C39C-62E1-244A-AE14-F9F1CD7D95BD}"/>
    <hyperlink ref="A111" r:id="rId110" display="https://www.ahd.com/free_profile/140300/Provident_Hospital_of_Cook_County/Chicago/Illinois/" xr:uid="{38E77950-7752-6A40-B165-1F87D6F03EBC}"/>
    <hyperlink ref="A112" r:id="rId111" display="https://www.ahd.com/free_profile/140186/Riverside_Medical_Center_/Kankakee/Illinois/" xr:uid="{92910705-2B4A-554F-AD90-9F73EDBDBB30}"/>
    <hyperlink ref="A113" r:id="rId112" display="https://www.ahd.com/free_profile/140068/Roseland_Community_Hospital/Chicago/Illinois/" xr:uid="{03A4A721-EBEF-0E47-BAFC-880A8D0AF670}"/>
    <hyperlink ref="A114" r:id="rId113" display="https://www.ahd.com/free_profile/140063/Rush_Oak_Park_Hospital/Oak_Park/Illinois/" xr:uid="{9FF91AC5-80B6-A242-8AB2-03310D765FFB}"/>
    <hyperlink ref="A115" r:id="rId114" display="https://www.ahd.com/free_profile/140119/Rush_University_Medical_Center/Chicago/Illinois/" xr:uid="{1B99C325-93A9-1A49-A1FC-7A054A58AE21}"/>
    <hyperlink ref="A116" r:id="rId115" display="https://www.ahd.com/free_profile/140029/Rush-Copley_Medical_Center/Aurora/Illinois/" xr:uid="{505B5C33-15F8-A547-B071-D276C9455868}"/>
    <hyperlink ref="A117" r:id="rId116" display="https://www.ahd.com/free_profile/140095/Saint_Anthony_Hospital/Chicago/Illinois/" xr:uid="{A8146ED4-7A85-4945-B83B-65E798CB61AC}"/>
    <hyperlink ref="A118" r:id="rId117" display="https://www.ahd.com/free_profile/140103/Saint_Bernard_Hospital_and_Health_Care_Center/Chicago/Illinois/" xr:uid="{D33D6575-0221-054E-BCB8-02EF1FBBDA0F}"/>
    <hyperlink ref="A119" r:id="rId118" display="https://www.ahd.com/free_profile/140143/Saint_Margaret%27s_Hospital/Spring_Valley/Illinois/" xr:uid="{E9DC53D7-E099-484C-A4AF-108E39B14FC5}"/>
    <hyperlink ref="A120" r:id="rId119" display="https://www.ahd.com/free_profile/140189/Sarah_Bush_Lincoln_Health_Center/Mattoon/Illinois/" xr:uid="{25B6CED2-21CA-A143-A6F9-D6B2EA1BDF4D}"/>
    <hyperlink ref="A121" r:id="rId120" display="https://www.ahd.com/free_profile/140213/Silver_Cross_Hospital/New_Lenox/Illinois/" xr:uid="{301D9098-60FD-3F47-88D7-271BF73A1C2D}"/>
    <hyperlink ref="A122" r:id="rId121" display="https://www.ahd.com/free_profile/140051/Skokie_Hospital/Skokie/Illinois/" xr:uid="{B114F742-49A6-204F-8819-615754AFF1A7}"/>
    <hyperlink ref="A123" r:id="rId122" display="https://www.ahd.com/free_profile/140181/South_Shore_Hospital/Chicago/Illinois/" xr:uid="{D158A233-C7DF-BF47-91D5-53F5B4F460C4}"/>
    <hyperlink ref="A124" r:id="rId123" display="https://www.ahd.com/free_profile/140046/SSM_Health_Good_Samaritan_Hospital_-_Mount_Vernon/Mount_Vernon/Illinois/" xr:uid="{4DA0F37B-B152-064E-A806-79EE5064C298}"/>
    <hyperlink ref="A125" r:id="rId124" display="https://www.ahd.com/free_profile/140034/SSM_Health_Saint_Mary%27s_Hospital-Centralia/Centralia/Illinois/" xr:uid="{A4F83734-93B7-3041-AAB0-6B139F938E05}"/>
    <hyperlink ref="A126" r:id="rId125" display="https://www.ahd.com/free_profile/140114/Swedish_Hospital/Chicago/Illinois/" xr:uid="{8D0981D5-CF73-384A-9F86-66A4FABEE185}"/>
    <hyperlink ref="A127" r:id="rId126" display="https://www.ahd.com/free_profile/140228/SwedishAmerican_Hospital/Rockford/Illinois/" xr:uid="{D5EDA773-C10C-584E-897D-C2B33C97371B}"/>
    <hyperlink ref="A128" r:id="rId127" display="https://www.ahd.com/free_profile/140088/The_University_of_Chicago_Medical_Center/Chicago/Illinois/" xr:uid="{97B971D3-1192-C24C-A88A-D4193EDEC94B}"/>
    <hyperlink ref="A129" r:id="rId128" display="https://www.ahd.com/free_profile/140115/Thorek_Memorial_Hospital/Chicago/Illinois/" xr:uid="{6445EC87-FBE0-284E-9007-2F3BF3A103F2}"/>
    <hyperlink ref="A130" r:id="rId129" display="https://www.ahd.com/free_profile/140077/Touchette_Regional_Hospital/Centreville/Illinois/" xr:uid="{D574BBB0-10D9-3042-B358-E78D05A95286}"/>
    <hyperlink ref="A131" r:id="rId130" display="https://www.ahd.com/free_profile/140191/UChcago_Medicine_Ingalls_Memorial_Hospital/Harvey/Illinois/" xr:uid="{E4ECBCBD-64D7-BF47-82E1-9ECAF79D3D48}"/>
    <hyperlink ref="A132" r:id="rId131" display="https://www.ahd.com/free_profile/I41920/UChicago_Medicine_Center_for_Care_and_Discovery_-_Hyde_Park/Chicago/Illinois/" xr:uid="{F56AE739-438F-404C-B93A-6FFBF19BE651}"/>
    <hyperlink ref="A133" r:id="rId132" display="https://www.ahd.com/free_profile/I42218/UChicago_Medicine_Mitchell_Hospital_-_Hyde_Park/Chicago/Illinois/" xr:uid="{00B132F5-635E-834A-94F1-13BB769B4761}"/>
    <hyperlink ref="A134" r:id="rId133" display="https://www.ahd.com/free_profile/140209/UnityPoint_Health_-_Methodist_/Peoria/Illinois/" xr:uid="{1942BFF9-9040-3444-AA4C-17EBE52291C4}"/>
    <hyperlink ref="A135" r:id="rId134" display="https://www.ahd.com/free_profile/140120/UnityPoint_Health_-_Pekin/Pekin/Illinois/" xr:uid="{59EF1DA2-B988-5B46-BAAA-1F18D13C04A2}"/>
    <hyperlink ref="A136" r:id="rId135" display="https://www.ahd.com/free_profile/140013/UnityPoint_Health_-_Proctor/Peoria/Illinois/" xr:uid="{2E891E34-4089-AE49-9B8A-72F9610C5C56}"/>
    <hyperlink ref="A137" r:id="rId136" display="https://www.ahd.com/free_profile/I41472/UnityPoint_Health_Trinity_-_Moline/Moline/Illinois/" xr:uid="{74D3696E-7F32-AF49-9828-270E6FB3AF2E}"/>
    <hyperlink ref="A138" r:id="rId137" display="https://www.ahd.com/free_profile/140280/UnityPoint_Health_Trinity_-_Rock_Island/Rock_Island/Illinois/" xr:uid="{6246E899-12F4-5342-BCDA-ECAC00B2E9F8}"/>
    <hyperlink ref="A139" r:id="rId138" display="https://www.ahd.com/free_profile/140150/University_of_Illinois_Medical_Center/Chicago/Illinois/" xr:uid="{9880F4DD-54A3-AB4F-A23A-C7E55342CEAE}"/>
    <hyperlink ref="A140" r:id="rId139" display="https://www.ahd.com/free_profile/14004F/VA_Illiana_Health_Care_System/Danville/Illinois/" xr:uid="{0A86067C-20B9-6A41-BBDC-FA3F93B51FC3}"/>
    <hyperlink ref="A141" r:id="rId140" display="https://www.ahd.com/free_profile/140084/Vista_Medical_Center_East/Waukegan/Illinois/" xr:uid="{92D4DA32-087F-2547-BCF9-000FF07D2134}"/>
    <hyperlink ref="A142" r:id="rId141" display="https://www.ahd.com/free_profile/140082/Weiss_Memorial_Hospital/Chicago/Illinois/" xr:uid="{A1D0A531-7EAF-A048-A09B-1515346AA09C}"/>
    <hyperlink ref="A143" r:id="rId142" display="https://www.ahd.com/free_profile/140049/West_Suburban_Medical_Center/Oak_Park/Illinois/" xr:uid="{493BBE0F-C661-F446-992A-BAE3091E44C5}"/>
    <hyperlink ref="A144" r:id="rId143" display="https://www.ahd.com/free_profile/140240/Westlake_Hospital/Melrose_Park/Illinois/" xr:uid="{6D6A0E85-B6A2-1340-A9E7-FF4EAA709ADA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54472-D9CF-6E41-AD54-2EE57D2BDF71}">
  <sheetPr codeName="Sheet17"/>
  <dimension ref="A1:G103"/>
  <sheetViews>
    <sheetView workbookViewId="0">
      <selection activeCell="G63" sqref="G63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2019</v>
      </c>
      <c r="B2" s="2" t="s">
        <v>2020</v>
      </c>
      <c r="C2" s="2">
        <v>153</v>
      </c>
      <c r="D2" s="3">
        <v>6722</v>
      </c>
      <c r="E2" s="3">
        <v>19201</v>
      </c>
      <c r="F2" s="4">
        <v>653785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"*",CHOOSE({1,2}, Super_CBSA!$E$2:$E$1917, Super_CBSA!$A$2:$A$1917), 2,FALSE), ""))</f>
        <v>26900</v>
      </c>
    </row>
    <row r="3" spans="1:7" ht="17">
      <c r="A3" s="1" t="s">
        <v>2021</v>
      </c>
      <c r="B3" s="2" t="s">
        <v>2022</v>
      </c>
      <c r="C3" s="2">
        <v>438</v>
      </c>
      <c r="D3" s="3">
        <v>14970</v>
      </c>
      <c r="E3" s="3">
        <v>57552</v>
      </c>
      <c r="F3" s="4">
        <v>1995038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"*",CHOOSE({1,2}, Super_CBSA!$E$2:$E$1917, Super_CBSA!$A$2:$A$1917), 2,FALSE), ""))</f>
        <v>21780</v>
      </c>
    </row>
    <row r="4" spans="1:7" ht="17">
      <c r="A4" s="1" t="s">
        <v>2023</v>
      </c>
      <c r="B4" s="2" t="s">
        <v>2024</v>
      </c>
      <c r="C4" s="2">
        <v>825</v>
      </c>
      <c r="D4" s="3">
        <v>30994</v>
      </c>
      <c r="E4" s="3">
        <v>180781</v>
      </c>
      <c r="F4" s="4">
        <v>4244641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"*",CHOOSE({1,2}, Super_CBSA!$E$2:$E$1917, Super_CBSA!$A$2:$A$1917), 2,FALSE), ""))</f>
        <v>26900</v>
      </c>
    </row>
    <row r="5" spans="1:7" ht="17">
      <c r="A5" s="1" t="s">
        <v>2025</v>
      </c>
      <c r="B5" s="2" t="s">
        <v>2020</v>
      </c>
      <c r="C5" s="2">
        <v>107</v>
      </c>
      <c r="D5" s="3">
        <v>4400</v>
      </c>
      <c r="E5" s="3">
        <v>19823</v>
      </c>
      <c r="F5" s="4">
        <v>584879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"*",CHOOSE({1,2}, Super_CBSA!$E$2:$E$1917, Super_CBSA!$A$2:$A$1917), 2,FALSE), ""))</f>
        <v>26900</v>
      </c>
    </row>
    <row r="6" spans="1:7" ht="17">
      <c r="A6" s="1" t="s">
        <v>2026</v>
      </c>
      <c r="B6" s="2" t="s">
        <v>2024</v>
      </c>
      <c r="C6" s="2">
        <v>0</v>
      </c>
      <c r="D6" s="2">
        <v>0</v>
      </c>
      <c r="E6" s="2">
        <v>0</v>
      </c>
      <c r="F6" s="4">
        <v>0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"*",CHOOSE({1,2}, Super_CBSA!$E$2:$E$1917, Super_CBSA!$A$2:$A$1917), 2,FALSE), ""))</f>
        <v>26900</v>
      </c>
    </row>
    <row r="7" spans="1:7" ht="17">
      <c r="A7" s="1" t="s">
        <v>2027</v>
      </c>
      <c r="B7" s="2" t="s">
        <v>2028</v>
      </c>
      <c r="C7" s="2">
        <v>20</v>
      </c>
      <c r="D7" s="2">
        <v>249</v>
      </c>
      <c r="E7" s="2">
        <v>450</v>
      </c>
      <c r="F7" s="4">
        <v>104979</v>
      </c>
      <c r="G7" s="11" t="str" cm="1">
        <f t="array" aca="1" ref="G7" ca="1">IFERROR(VLOOKUP("*" &amp; B7  &amp; "*" &amp; (MID(CELL("filename",A6),FIND("]",CELL("filename",A6))+1,31)) &amp; "*",CHOOSE({1,2}, Super_CBSA!$B$2:$B$1917, Super_CBSA!$A$2:$A$1917), 2,FALSE), IFERROR(VLOOKUP(B7  &amp; "*",CHOOSE({1,2}, Super_CBSA!$E$2:$E$1917, Super_CBSA!$A$2:$A$1917), 2,FALSE), ""))</f>
        <v/>
      </c>
    </row>
    <row r="8" spans="1:7" ht="17">
      <c r="A8" s="1" t="s">
        <v>2029</v>
      </c>
      <c r="B8" s="2" t="s">
        <v>2030</v>
      </c>
      <c r="C8" s="2">
        <v>129</v>
      </c>
      <c r="D8" s="3">
        <v>4522</v>
      </c>
      <c r="E8" s="3">
        <v>17557</v>
      </c>
      <c r="F8" s="4">
        <v>538226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"*",CHOOSE({1,2}, Super_CBSA!$E$2:$E$1917, Super_CBSA!$A$2:$A$1917), 2,FALSE), ""))</f>
        <v>29020</v>
      </c>
    </row>
    <row r="9" spans="1:7" ht="17">
      <c r="A9" s="1" t="s">
        <v>2031</v>
      </c>
      <c r="B9" s="2" t="s">
        <v>2032</v>
      </c>
      <c r="C9" s="2">
        <v>225</v>
      </c>
      <c r="D9" s="3">
        <v>13965</v>
      </c>
      <c r="E9" s="3">
        <v>53225</v>
      </c>
      <c r="F9" s="4">
        <v>1513915</v>
      </c>
      <c r="G9" s="11" t="str" cm="1">
        <f t="array" aca="1" ref="G9" ca="1">IFERROR(VLOOKUP("*" &amp; B9  &amp; "*" &amp; (MID(CELL("filename",A8),FIND("]",CELL("filename",A8))+1,31)) &amp; "*",CHOOSE({1,2}, Super_CBSA!$B$2:$B$1917, Super_CBSA!$A$2:$A$1917), 2,FALSE), IFERROR(VLOOKUP(B9  &amp; "*",CHOOSE({1,2}, Super_CBSA!$E$2:$E$1917, Super_CBSA!$A$2:$A$1917), 2,FALSE), ""))</f>
        <v/>
      </c>
    </row>
    <row r="10" spans="1:7" ht="17">
      <c r="A10" s="1" t="s">
        <v>2033</v>
      </c>
      <c r="B10" s="2" t="s">
        <v>2034</v>
      </c>
      <c r="C10" s="2">
        <v>68</v>
      </c>
      <c r="D10" s="3">
        <v>1215</v>
      </c>
      <c r="E10" s="3">
        <v>3915</v>
      </c>
      <c r="F10" s="4">
        <v>193611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"*",CHOOSE({1,2}, Super_CBSA!$E$2:$E$1917, Super_CBSA!$A$2:$A$1917), 2,FALSE), ""))</f>
        <v>14160</v>
      </c>
    </row>
    <row r="11" spans="1:7" ht="17">
      <c r="A11" s="1" t="s">
        <v>2035</v>
      </c>
      <c r="B11" s="2" t="s">
        <v>2036</v>
      </c>
      <c r="C11" s="2">
        <v>168</v>
      </c>
      <c r="D11" s="3">
        <v>11158</v>
      </c>
      <c r="E11" s="3">
        <v>37259</v>
      </c>
      <c r="F11" s="4">
        <v>700026</v>
      </c>
      <c r="G11" s="11" t="str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"*",CHOOSE({1,2}, Super_CBSA!$E$2:$E$1917, Super_CBSA!$A$2:$A$1917), 2,FALSE), ""))</f>
        <v/>
      </c>
    </row>
    <row r="12" spans="1:7" ht="17">
      <c r="A12" s="1" t="s">
        <v>2037</v>
      </c>
      <c r="B12" s="2" t="s">
        <v>1612</v>
      </c>
      <c r="C12" s="2">
        <v>229</v>
      </c>
      <c r="D12" s="3">
        <v>9158</v>
      </c>
      <c r="E12" s="3">
        <v>33622</v>
      </c>
      <c r="F12" s="4">
        <v>675267</v>
      </c>
      <c r="G12" s="11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"*",CHOOSE({1,2}, Super_CBSA!$E$2:$E$1917, Super_CBSA!$A$2:$A$1917), 2,FALSE), ""))</f>
        <v>18020</v>
      </c>
    </row>
    <row r="13" spans="1:7" ht="17">
      <c r="A13" s="1" t="s">
        <v>2038</v>
      </c>
      <c r="B13" s="2" t="s">
        <v>2024</v>
      </c>
      <c r="C13" s="2">
        <v>56</v>
      </c>
      <c r="D13" s="3">
        <v>2545</v>
      </c>
      <c r="E13" s="3">
        <v>10385</v>
      </c>
      <c r="F13" s="4">
        <v>376887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"*",CHOOSE({1,2}, Super_CBSA!$E$2:$E$1917, Super_CBSA!$A$2:$A$1917), 2,FALSE), ""))</f>
        <v>26900</v>
      </c>
    </row>
    <row r="14" spans="1:7" ht="17">
      <c r="A14" s="1" t="s">
        <v>105</v>
      </c>
      <c r="B14" s="2" t="s">
        <v>2039</v>
      </c>
      <c r="C14" s="2">
        <v>464</v>
      </c>
      <c r="D14" s="3">
        <v>17965</v>
      </c>
      <c r="E14" s="3">
        <v>94144</v>
      </c>
      <c r="F14" s="4">
        <v>1887964</v>
      </c>
      <c r="G14" s="11" t="str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"*",CHOOSE({1,2}, Super_CBSA!$E$2:$E$1917, Super_CBSA!$A$2:$A$1917), 2,FALSE), ""))</f>
        <v/>
      </c>
    </row>
    <row r="15" spans="1:7" ht="17">
      <c r="A15" s="1" t="s">
        <v>2040</v>
      </c>
      <c r="B15" s="2" t="s">
        <v>2041</v>
      </c>
      <c r="C15" s="2">
        <v>134</v>
      </c>
      <c r="D15" s="3">
        <v>7653</v>
      </c>
      <c r="E15" s="3">
        <v>27656</v>
      </c>
      <c r="F15" s="4">
        <v>575962</v>
      </c>
      <c r="G15" s="11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"*",CHOOSE({1,2}, Super_CBSA!$E$2:$E$1917, Super_CBSA!$A$2:$A$1917), 2,FALSE), ""))</f>
        <v>26900</v>
      </c>
    </row>
    <row r="16" spans="1:7" ht="17">
      <c r="A16" s="1" t="s">
        <v>2042</v>
      </c>
      <c r="B16" s="2" t="s">
        <v>2024</v>
      </c>
      <c r="C16" s="2">
        <v>305</v>
      </c>
      <c r="D16" s="3">
        <v>17767</v>
      </c>
      <c r="E16" s="3">
        <v>78578</v>
      </c>
      <c r="F16" s="4">
        <v>2554682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"*",CHOOSE({1,2}, Super_CBSA!$E$2:$E$1917, Super_CBSA!$A$2:$A$1917), 2,FALSE), ""))</f>
        <v>26900</v>
      </c>
    </row>
    <row r="17" spans="1:7" ht="17">
      <c r="A17" s="1" t="s">
        <v>2043</v>
      </c>
      <c r="B17" s="2" t="s">
        <v>2024</v>
      </c>
      <c r="C17" s="2">
        <v>298</v>
      </c>
      <c r="D17" s="3">
        <v>17414</v>
      </c>
      <c r="E17" s="3">
        <v>83056</v>
      </c>
      <c r="F17" s="4">
        <v>1503626</v>
      </c>
      <c r="G17" s="11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"*",CHOOSE({1,2}, Super_CBSA!$E$2:$E$1917, Super_CBSA!$A$2:$A$1917), 2,FALSE), ""))</f>
        <v>26900</v>
      </c>
    </row>
    <row r="18" spans="1:7" ht="17">
      <c r="A18" s="1" t="s">
        <v>2044</v>
      </c>
      <c r="B18" s="2" t="s">
        <v>2024</v>
      </c>
      <c r="C18" s="2">
        <v>169</v>
      </c>
      <c r="D18" s="3">
        <v>9954</v>
      </c>
      <c r="E18" s="3">
        <v>39964</v>
      </c>
      <c r="F18" s="4">
        <v>933969</v>
      </c>
      <c r="G18" s="11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"*",CHOOSE({1,2}, Super_CBSA!$E$2:$E$1917, Super_CBSA!$A$2:$A$1917), 2,FALSE), ""))</f>
        <v>26900</v>
      </c>
    </row>
    <row r="19" spans="1:7" ht="17">
      <c r="A19" s="1" t="s">
        <v>2045</v>
      </c>
      <c r="B19" s="2" t="s">
        <v>2030</v>
      </c>
      <c r="C19" s="2">
        <v>109</v>
      </c>
      <c r="D19" s="3">
        <v>4529</v>
      </c>
      <c r="E19" s="3">
        <v>17243</v>
      </c>
      <c r="F19" s="4">
        <v>563197</v>
      </c>
      <c r="G19" s="11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"*",CHOOSE({1,2}, Super_CBSA!$E$2:$E$1917, Super_CBSA!$A$2:$A$1917), 2,FALSE), ""))</f>
        <v>29020</v>
      </c>
    </row>
    <row r="20" spans="1:7" ht="17">
      <c r="A20" s="1" t="s">
        <v>2046</v>
      </c>
      <c r="B20" s="2" t="s">
        <v>264</v>
      </c>
      <c r="C20" s="2">
        <v>133</v>
      </c>
      <c r="D20" s="3">
        <v>5679</v>
      </c>
      <c r="E20" s="3">
        <v>21765</v>
      </c>
      <c r="F20" s="4">
        <v>752823</v>
      </c>
      <c r="G20" s="11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"*",CHOOSE({1,2}, Super_CBSA!$E$2:$E$1917, Super_CBSA!$A$2:$A$1917), 2,FALSE), ""))</f>
        <v>19260</v>
      </c>
    </row>
    <row r="21" spans="1:7" ht="17">
      <c r="A21" s="1" t="s">
        <v>2047</v>
      </c>
      <c r="B21" s="2" t="s">
        <v>1134</v>
      </c>
      <c r="C21" s="2">
        <v>74</v>
      </c>
      <c r="D21" s="3">
        <v>1455</v>
      </c>
      <c r="E21" s="3">
        <v>4960</v>
      </c>
      <c r="F21" s="4">
        <v>151893</v>
      </c>
      <c r="G21" s="11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"*",CHOOSE({1,2}, Super_CBSA!$E$2:$E$1917, Super_CBSA!$A$2:$A$1917), 2,FALSE), ""))</f>
        <v>47780</v>
      </c>
    </row>
    <row r="22" spans="1:7" ht="17">
      <c r="A22" s="1" t="s">
        <v>2048</v>
      </c>
      <c r="B22" s="2" t="s">
        <v>2049</v>
      </c>
      <c r="C22" s="2">
        <v>0</v>
      </c>
      <c r="D22" s="2">
        <v>0</v>
      </c>
      <c r="E22" s="2">
        <v>0</v>
      </c>
      <c r="F22" s="4">
        <v>0</v>
      </c>
      <c r="G22" s="11" t="str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"*",CHOOSE({1,2}, Super_CBSA!$E$2:$E$1917, Super_CBSA!$A$2:$A$1917), 2,FALSE), ""))</f>
        <v/>
      </c>
    </row>
    <row r="23" spans="1:7" ht="17">
      <c r="A23" s="1" t="s">
        <v>2050</v>
      </c>
      <c r="B23" s="2" t="s">
        <v>2022</v>
      </c>
      <c r="C23" s="2">
        <v>555</v>
      </c>
      <c r="D23" s="3">
        <v>32144</v>
      </c>
      <c r="E23" s="3">
        <v>143500</v>
      </c>
      <c r="F23" s="4">
        <v>2920671</v>
      </c>
      <c r="G23" s="11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"*",CHOOSE({1,2}, Super_CBSA!$E$2:$E$1917, Super_CBSA!$A$2:$A$1917), 2,FALSE), ""))</f>
        <v>21780</v>
      </c>
    </row>
    <row r="24" spans="1:7" ht="17">
      <c r="A24" s="1" t="s">
        <v>2051</v>
      </c>
      <c r="B24" s="2" t="s">
        <v>2052</v>
      </c>
      <c r="C24" s="2">
        <v>131</v>
      </c>
      <c r="D24" s="3">
        <v>4488</v>
      </c>
      <c r="E24" s="3">
        <v>20202</v>
      </c>
      <c r="F24" s="4">
        <v>711092</v>
      </c>
      <c r="G24" s="11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"*",CHOOSE({1,2}, Super_CBSA!$E$2:$E$1917, Super_CBSA!$A$2:$A$1917), 2,FALSE), ""))</f>
        <v>23060</v>
      </c>
    </row>
    <row r="25" spans="1:7" ht="17">
      <c r="A25" s="1" t="s">
        <v>2053</v>
      </c>
      <c r="B25" s="2" t="s">
        <v>2054</v>
      </c>
      <c r="C25" s="2">
        <v>230</v>
      </c>
      <c r="D25" s="3">
        <v>9920</v>
      </c>
      <c r="E25" s="3">
        <v>40628</v>
      </c>
      <c r="F25" s="4">
        <v>866443</v>
      </c>
      <c r="G25" s="11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"*",CHOOSE({1,2}, Super_CBSA!$E$2:$E$1917, Super_CBSA!$A$2:$A$1917), 2,FALSE), ""))</f>
        <v>21140</v>
      </c>
    </row>
    <row r="26" spans="1:7" ht="17">
      <c r="A26" s="1" t="s">
        <v>2055</v>
      </c>
      <c r="B26" s="2" t="s">
        <v>2024</v>
      </c>
      <c r="C26" s="2">
        <v>86</v>
      </c>
      <c r="D26" s="3">
        <v>2877</v>
      </c>
      <c r="E26" s="3">
        <v>15513</v>
      </c>
      <c r="F26" s="4">
        <v>44978</v>
      </c>
      <c r="G26" s="11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"*",CHOOSE({1,2}, Super_CBSA!$E$2:$E$1917, Super_CBSA!$A$2:$A$1917), 2,FALSE), ""))</f>
        <v>26900</v>
      </c>
    </row>
    <row r="27" spans="1:7" ht="17">
      <c r="A27" s="1" t="s">
        <v>2056</v>
      </c>
      <c r="B27" s="2" t="s">
        <v>2057</v>
      </c>
      <c r="C27" s="2">
        <v>40</v>
      </c>
      <c r="D27" s="2">
        <v>856</v>
      </c>
      <c r="E27" s="3">
        <v>3031</v>
      </c>
      <c r="F27" s="4">
        <v>207648</v>
      </c>
      <c r="G27" s="11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"*",CHOOSE({1,2}, Super_CBSA!$E$2:$E$1917, Super_CBSA!$A$2:$A$1917), 2,FALSE), ""))</f>
        <v>18820</v>
      </c>
    </row>
    <row r="28" spans="1:7" ht="17">
      <c r="A28" s="1" t="s">
        <v>2058</v>
      </c>
      <c r="B28" s="2" t="s">
        <v>2024</v>
      </c>
      <c r="C28" s="2">
        <v>462</v>
      </c>
      <c r="D28" s="3">
        <v>19234</v>
      </c>
      <c r="E28" s="3">
        <v>100021</v>
      </c>
      <c r="F28" s="4">
        <v>2842692</v>
      </c>
      <c r="G28" s="11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"*",CHOOSE({1,2}, Super_CBSA!$E$2:$E$1917, Super_CBSA!$A$2:$A$1917), 2,FALSE), ""))</f>
        <v>26900</v>
      </c>
    </row>
    <row r="29" spans="1:7" ht="17">
      <c r="A29" s="1" t="s">
        <v>2059</v>
      </c>
      <c r="B29" s="2" t="s">
        <v>1006</v>
      </c>
      <c r="C29" s="2">
        <v>94</v>
      </c>
      <c r="D29" s="3">
        <v>1619</v>
      </c>
      <c r="E29" s="3">
        <v>7168</v>
      </c>
      <c r="F29" s="4">
        <v>994785</v>
      </c>
      <c r="G29" s="11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"*",CHOOSE({1,2}, Super_CBSA!$E$2:$E$1917, Super_CBSA!$A$2:$A$1917), 2,FALSE), ""))</f>
        <v>29200</v>
      </c>
    </row>
    <row r="30" spans="1:7" ht="17">
      <c r="A30" s="1" t="s">
        <v>2060</v>
      </c>
      <c r="B30" s="2" t="s">
        <v>1006</v>
      </c>
      <c r="C30" s="2">
        <v>203</v>
      </c>
      <c r="D30" s="3">
        <v>10089</v>
      </c>
      <c r="E30" s="3">
        <v>45016</v>
      </c>
      <c r="F30" s="4">
        <v>1307094</v>
      </c>
      <c r="G30" s="11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"*",CHOOSE({1,2}, Super_CBSA!$E$2:$E$1917, Super_CBSA!$A$2:$A$1917), 2,FALSE), ""))</f>
        <v>29200</v>
      </c>
    </row>
    <row r="31" spans="1:7" ht="17">
      <c r="A31" s="1" t="s">
        <v>2061</v>
      </c>
      <c r="B31" s="2" t="s">
        <v>2062</v>
      </c>
      <c r="C31" s="2">
        <v>226</v>
      </c>
      <c r="D31" s="3">
        <v>4170</v>
      </c>
      <c r="E31" s="3">
        <v>22634</v>
      </c>
      <c r="F31" s="4">
        <v>823759</v>
      </c>
      <c r="G31" s="11" t="str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"*",CHOOSE({1,2}, Super_CBSA!$E$2:$E$1917, Super_CBSA!$A$2:$A$1917), 2,FALSE), ""))</f>
        <v/>
      </c>
    </row>
    <row r="32" spans="1:7" ht="17">
      <c r="A32" s="1" t="s">
        <v>2063</v>
      </c>
      <c r="B32" s="2" t="s">
        <v>2064</v>
      </c>
      <c r="C32" s="2">
        <v>183</v>
      </c>
      <c r="D32" s="3">
        <v>5506</v>
      </c>
      <c r="E32" s="3">
        <v>21130</v>
      </c>
      <c r="F32" s="4">
        <v>747084</v>
      </c>
      <c r="G32" s="11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"*",CHOOSE({1,2}, Super_CBSA!$E$2:$E$1917, Super_CBSA!$A$2:$A$1917), 2,FALSE), ""))</f>
        <v>33140</v>
      </c>
    </row>
    <row r="33" spans="1:7" ht="17">
      <c r="A33" s="1" t="s">
        <v>2065</v>
      </c>
      <c r="B33" s="2" t="s">
        <v>2066</v>
      </c>
      <c r="C33" s="2">
        <v>83</v>
      </c>
      <c r="D33" s="3">
        <v>2753</v>
      </c>
      <c r="E33" s="3">
        <v>7657</v>
      </c>
      <c r="F33" s="4">
        <v>520346</v>
      </c>
      <c r="G33" s="11" t="str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"*",CHOOSE({1,2}, Super_CBSA!$E$2:$E$1917, Super_CBSA!$A$2:$A$1917), 2,FALSE), ""))</f>
        <v/>
      </c>
    </row>
    <row r="34" spans="1:7" ht="17">
      <c r="A34" s="1" t="s">
        <v>2067</v>
      </c>
      <c r="B34" s="2" t="s">
        <v>2039</v>
      </c>
      <c r="C34" s="2">
        <v>63</v>
      </c>
      <c r="D34" s="3">
        <v>2616</v>
      </c>
      <c r="E34" s="3">
        <v>11457</v>
      </c>
      <c r="F34" s="4">
        <v>363418</v>
      </c>
      <c r="G34" s="11" t="str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"*",CHOOSE({1,2}, Super_CBSA!$E$2:$E$1917, Super_CBSA!$A$2:$A$1917), 2,FALSE), ""))</f>
        <v/>
      </c>
    </row>
    <row r="35" spans="1:7" ht="17">
      <c r="A35" s="1" t="s">
        <v>2068</v>
      </c>
      <c r="B35" s="2" t="s">
        <v>2020</v>
      </c>
      <c r="C35" s="2">
        <v>6</v>
      </c>
      <c r="D35" s="2">
        <v>268</v>
      </c>
      <c r="E35" s="2">
        <v>439</v>
      </c>
      <c r="F35" s="4">
        <v>28275</v>
      </c>
      <c r="G35" s="11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"*",CHOOSE({1,2}, Super_CBSA!$E$2:$E$1917, Super_CBSA!$A$2:$A$1917), 2,FALSE), ""))</f>
        <v>26900</v>
      </c>
    </row>
    <row r="36" spans="1:7" ht="17">
      <c r="A36" s="1" t="s">
        <v>2069</v>
      </c>
      <c r="B36" s="2" t="s">
        <v>2070</v>
      </c>
      <c r="C36" s="2">
        <v>214</v>
      </c>
      <c r="D36" s="3">
        <v>7958</v>
      </c>
      <c r="E36" s="3">
        <v>32558</v>
      </c>
      <c r="F36" s="4">
        <v>716106</v>
      </c>
      <c r="G36" s="11" t="str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"*",CHOOSE({1,2}, Super_CBSA!$E$2:$E$1917, Super_CBSA!$A$2:$A$1917), 2,FALSE), ""))</f>
        <v/>
      </c>
    </row>
    <row r="37" spans="1:7" ht="17">
      <c r="A37" s="1" t="s">
        <v>2071</v>
      </c>
      <c r="B37" s="2" t="s">
        <v>2072</v>
      </c>
      <c r="C37" s="2">
        <v>140</v>
      </c>
      <c r="D37" s="3">
        <v>4008</v>
      </c>
      <c r="E37" s="3">
        <v>19174</v>
      </c>
      <c r="F37" s="4">
        <v>618345</v>
      </c>
      <c r="G37" s="11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"*",CHOOSE({1,2}, Super_CBSA!$E$2:$E$1917, Super_CBSA!$A$2:$A$1917), 2,FALSE), ""))</f>
        <v>20540</v>
      </c>
    </row>
    <row r="38" spans="1:7" ht="17">
      <c r="A38" s="1" t="s">
        <v>605</v>
      </c>
      <c r="B38" s="2" t="s">
        <v>2073</v>
      </c>
      <c r="C38" s="2">
        <v>144</v>
      </c>
      <c r="D38" s="3">
        <v>5385</v>
      </c>
      <c r="E38" s="3">
        <v>21142</v>
      </c>
      <c r="F38" s="4">
        <v>679591</v>
      </c>
      <c r="G38" s="11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"*",CHOOSE({1,2}, Super_CBSA!$E$2:$E$1917, Super_CBSA!$A$2:$A$1917), 2,FALSE), ""))</f>
        <v>47180</v>
      </c>
    </row>
    <row r="39" spans="1:7" ht="17">
      <c r="A39" s="1" t="s">
        <v>2074</v>
      </c>
      <c r="B39" s="2" t="s">
        <v>2075</v>
      </c>
      <c r="C39" s="2">
        <v>122</v>
      </c>
      <c r="D39" s="3">
        <v>6972</v>
      </c>
      <c r="E39" s="3">
        <v>23815</v>
      </c>
      <c r="F39" s="4">
        <v>695197</v>
      </c>
      <c r="G39" s="11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"*",CHOOSE({1,2}, Super_CBSA!$E$2:$E$1917, Super_CBSA!$A$2:$A$1917), 2,FALSE), ""))</f>
        <v>21140</v>
      </c>
    </row>
    <row r="40" spans="1:7" ht="17">
      <c r="A40" s="1" t="s">
        <v>2076</v>
      </c>
      <c r="B40" s="2" t="s">
        <v>2077</v>
      </c>
      <c r="C40" s="2">
        <v>71</v>
      </c>
      <c r="D40" s="3">
        <v>2388</v>
      </c>
      <c r="E40" s="3">
        <v>8200</v>
      </c>
      <c r="F40" s="4">
        <v>367178</v>
      </c>
      <c r="G40" s="11" t="str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"*",CHOOSE({1,2}, Super_CBSA!$E$2:$E$1917, Super_CBSA!$A$2:$A$1917), 2,FALSE), ""))</f>
        <v/>
      </c>
    </row>
    <row r="41" spans="1:7" ht="17">
      <c r="A41" s="1" t="s">
        <v>2078</v>
      </c>
      <c r="B41" s="2" t="s">
        <v>2079</v>
      </c>
      <c r="C41" s="2">
        <v>48</v>
      </c>
      <c r="D41" s="3">
        <v>2386</v>
      </c>
      <c r="E41" s="3">
        <v>8712</v>
      </c>
      <c r="F41" s="4">
        <v>252943</v>
      </c>
      <c r="G41" s="11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"*",CHOOSE({1,2}, Super_CBSA!$E$2:$E$1917, Super_CBSA!$A$2:$A$1917), 2,FALSE), ""))</f>
        <v>35220</v>
      </c>
    </row>
    <row r="42" spans="1:7" ht="17">
      <c r="A42" s="1" t="s">
        <v>2080</v>
      </c>
      <c r="B42" s="2" t="s">
        <v>2081</v>
      </c>
      <c r="C42" s="2">
        <v>86</v>
      </c>
      <c r="D42" s="3">
        <v>3089</v>
      </c>
      <c r="E42" s="3">
        <v>11310</v>
      </c>
      <c r="F42" s="4">
        <v>190459</v>
      </c>
      <c r="G42" s="11" t="str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"*",CHOOSE({1,2}, Super_CBSA!$E$2:$E$1917, Super_CBSA!$A$2:$A$1917), 2,FALSE), ""))</f>
        <v/>
      </c>
    </row>
    <row r="43" spans="1:7" ht="17">
      <c r="A43" s="1" t="s">
        <v>2082</v>
      </c>
      <c r="B43" s="2" t="s">
        <v>1006</v>
      </c>
      <c r="C43" s="2">
        <v>185</v>
      </c>
      <c r="D43" s="3">
        <v>11473</v>
      </c>
      <c r="E43" s="3">
        <v>44948</v>
      </c>
      <c r="F43" s="4">
        <v>1508816</v>
      </c>
      <c r="G43" s="11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"*",CHOOSE({1,2}, Super_CBSA!$E$2:$E$1917, Super_CBSA!$A$2:$A$1917), 2,FALSE), ""))</f>
        <v>29200</v>
      </c>
    </row>
    <row r="44" spans="1:7" ht="17">
      <c r="A44" s="1" t="s">
        <v>2083</v>
      </c>
      <c r="B44" s="2" t="s">
        <v>2084</v>
      </c>
      <c r="C44" s="2">
        <v>336</v>
      </c>
      <c r="D44" s="3">
        <v>16806</v>
      </c>
      <c r="E44" s="3">
        <v>81649</v>
      </c>
      <c r="F44" s="4">
        <v>1786996</v>
      </c>
      <c r="G44" s="11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"*",CHOOSE({1,2}, Super_CBSA!$E$2:$E$1917, Super_CBSA!$A$2:$A$1917), 2,FALSE), ""))</f>
        <v>34620</v>
      </c>
    </row>
    <row r="45" spans="1:7" ht="17">
      <c r="A45" s="1" t="s">
        <v>2085</v>
      </c>
      <c r="B45" s="2" t="s">
        <v>1972</v>
      </c>
      <c r="C45" s="2">
        <v>270</v>
      </c>
      <c r="D45" s="3">
        <v>14198</v>
      </c>
      <c r="E45" s="3">
        <v>58611</v>
      </c>
      <c r="F45" s="4">
        <v>1574571</v>
      </c>
      <c r="G45" s="11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"*",CHOOSE({1,2}, Super_CBSA!$E$2:$E$1917, Super_CBSA!$A$2:$A$1917), 2,FALSE), ""))</f>
        <v>14020</v>
      </c>
    </row>
    <row r="46" spans="1:7" ht="17">
      <c r="A46" s="1" t="s">
        <v>2086</v>
      </c>
      <c r="B46" s="2" t="s">
        <v>2024</v>
      </c>
      <c r="C46" s="3">
        <v>1262</v>
      </c>
      <c r="D46" s="3">
        <v>50673</v>
      </c>
      <c r="E46" s="3">
        <v>322722</v>
      </c>
      <c r="F46" s="4">
        <v>8843583</v>
      </c>
      <c r="G46" s="11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"*",CHOOSE({1,2}, Super_CBSA!$E$2:$E$1917, Super_CBSA!$A$2:$A$1917), 2,FALSE), ""))</f>
        <v>26900</v>
      </c>
    </row>
    <row r="47" spans="1:7" ht="17">
      <c r="A47" s="1" t="s">
        <v>2087</v>
      </c>
      <c r="B47" s="2" t="s">
        <v>2020</v>
      </c>
      <c r="C47" s="2">
        <v>149</v>
      </c>
      <c r="D47" s="3">
        <v>9647</v>
      </c>
      <c r="E47" s="3">
        <v>33104</v>
      </c>
      <c r="F47" s="4">
        <v>740194</v>
      </c>
      <c r="G47" s="11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"*",CHOOSE({1,2}, Super_CBSA!$E$2:$E$1917, Super_CBSA!$A$2:$A$1917), 2,FALSE), ""))</f>
        <v>26900</v>
      </c>
    </row>
    <row r="48" spans="1:7" ht="17">
      <c r="A48" s="1" t="s">
        <v>2088</v>
      </c>
      <c r="B48" s="2" t="s">
        <v>2089</v>
      </c>
      <c r="C48" s="2">
        <v>0</v>
      </c>
      <c r="D48" s="2">
        <v>0</v>
      </c>
      <c r="E48" s="2">
        <v>0</v>
      </c>
      <c r="F48" s="4">
        <v>0</v>
      </c>
      <c r="G48" s="11" t="str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"*",CHOOSE({1,2}, Super_CBSA!$E$2:$E$1917, Super_CBSA!$A$2:$A$1917), 2,FALSE), ""))</f>
        <v/>
      </c>
    </row>
    <row r="49" spans="1:7" ht="17">
      <c r="A49" s="1" t="s">
        <v>2090</v>
      </c>
      <c r="B49" s="2" t="s">
        <v>2024</v>
      </c>
      <c r="C49" s="2">
        <v>0</v>
      </c>
      <c r="D49" s="2">
        <v>0</v>
      </c>
      <c r="E49" s="2">
        <v>0</v>
      </c>
      <c r="F49" s="4">
        <v>0</v>
      </c>
      <c r="G49" s="11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"*",CHOOSE({1,2}, Super_CBSA!$E$2:$E$1917, Super_CBSA!$A$2:$A$1917), 2,FALSE), ""))</f>
        <v>26900</v>
      </c>
    </row>
    <row r="50" spans="1:7" ht="17">
      <c r="A50" s="1" t="s">
        <v>2091</v>
      </c>
      <c r="B50" s="2" t="s">
        <v>2028</v>
      </c>
      <c r="C50" s="2">
        <v>127</v>
      </c>
      <c r="D50" s="3">
        <v>7879</v>
      </c>
      <c r="E50" s="3">
        <v>31264</v>
      </c>
      <c r="F50" s="4">
        <v>859017</v>
      </c>
      <c r="G50" s="11" t="str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"*",CHOOSE({1,2}, Super_CBSA!$E$2:$E$1917, Super_CBSA!$A$2:$A$1917), 2,FALSE), ""))</f>
        <v/>
      </c>
    </row>
    <row r="51" spans="1:7" ht="17">
      <c r="A51" s="1" t="s">
        <v>1091</v>
      </c>
      <c r="B51" s="2" t="s">
        <v>2092</v>
      </c>
      <c r="C51" s="2">
        <v>94</v>
      </c>
      <c r="D51" s="3">
        <v>1917</v>
      </c>
      <c r="E51" s="3">
        <v>6682</v>
      </c>
      <c r="F51" s="4">
        <v>232082</v>
      </c>
      <c r="G51" s="11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"*",CHOOSE({1,2}, Super_CBSA!$E$2:$E$1917, Super_CBSA!$A$2:$A$1917), 2,FALSE), ""))</f>
        <v>15540</v>
      </c>
    </row>
    <row r="52" spans="1:7" ht="17">
      <c r="A52" s="1" t="s">
        <v>2093</v>
      </c>
      <c r="B52" s="2" t="s">
        <v>168</v>
      </c>
      <c r="C52" s="2">
        <v>88</v>
      </c>
      <c r="D52" s="3">
        <v>3085</v>
      </c>
      <c r="E52" s="3">
        <v>12105</v>
      </c>
      <c r="F52" s="4">
        <v>391772</v>
      </c>
      <c r="G52" s="11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"*",CHOOSE({1,2}, Super_CBSA!$E$2:$E$1917, Super_CBSA!$A$2:$A$1917), 2,FALSE), ""))</f>
        <v>31500</v>
      </c>
    </row>
    <row r="53" spans="1:7" ht="17">
      <c r="A53" s="1" t="s">
        <v>2094</v>
      </c>
      <c r="B53" s="2" t="s">
        <v>2095</v>
      </c>
      <c r="C53" s="2">
        <v>72</v>
      </c>
      <c r="D53" s="3">
        <v>2759</v>
      </c>
      <c r="E53" s="3">
        <v>9250</v>
      </c>
      <c r="F53" s="4">
        <v>555934</v>
      </c>
      <c r="G53" s="11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"*",CHOOSE({1,2}, Super_CBSA!$E$2:$E$1917, Super_CBSA!$A$2:$A$1917), 2,FALSE), ""))</f>
        <v>47700</v>
      </c>
    </row>
    <row r="54" spans="1:7" ht="17">
      <c r="A54" s="1" t="s">
        <v>2096</v>
      </c>
      <c r="B54" s="2" t="s">
        <v>2097</v>
      </c>
      <c r="C54" s="2">
        <v>129</v>
      </c>
      <c r="D54" s="3">
        <v>4517</v>
      </c>
      <c r="E54" s="3">
        <v>17561</v>
      </c>
      <c r="F54" s="4">
        <v>516589</v>
      </c>
      <c r="G54" s="11" cm="1">
        <f t="array" aca="1" ref="G54" ca="1">IFERROR(VLOOKUP("*" &amp; B54  &amp; "*" &amp; (MID(CELL("filename",A53),FIND("]",CELL("filename",A53))+1,31)) &amp; "*",CHOOSE({1,2}, Super_CBSA!$B$2:$B$1917, Super_CBSA!$A$2:$A$1917), 2,FALSE), IFERROR(VLOOKUP(B54  &amp; "*",CHOOSE({1,2}, Super_CBSA!$E$2:$E$1917, Super_CBSA!$A$2:$A$1917), 2,FALSE), ""))</f>
        <v>33140</v>
      </c>
    </row>
    <row r="55" spans="1:7" ht="17">
      <c r="A55" s="1" t="s">
        <v>2098</v>
      </c>
      <c r="B55" s="2" t="s">
        <v>2099</v>
      </c>
      <c r="C55" s="2">
        <v>44</v>
      </c>
      <c r="D55" s="3">
        <v>1659</v>
      </c>
      <c r="E55" s="3">
        <v>5256</v>
      </c>
      <c r="F55" s="4">
        <v>217470</v>
      </c>
      <c r="G55" s="11" cm="1">
        <f t="array" aca="1" ref="G55" ca="1">IFERROR(VLOOKUP("*" &amp; B55  &amp; "*" &amp; (MID(CELL("filename",A54),FIND("]",CELL("filename",A54))+1,31)) &amp; "*",CHOOSE({1,2}, Super_CBSA!$B$2:$B$1917, Super_CBSA!$A$2:$A$1917), 2,FALSE), IFERROR(VLOOKUP(B55  &amp; "*",CHOOSE({1,2}, Super_CBSA!$E$2:$E$1917, Super_CBSA!$A$2:$A$1917), 2,FALSE), ""))</f>
        <v>30900</v>
      </c>
    </row>
    <row r="56" spans="1:7" ht="17">
      <c r="A56" s="1" t="s">
        <v>2100</v>
      </c>
      <c r="B56" s="2" t="s">
        <v>2052</v>
      </c>
      <c r="C56" s="2">
        <v>39</v>
      </c>
      <c r="D56" s="3">
        <v>2392</v>
      </c>
      <c r="E56" s="3">
        <v>5424</v>
      </c>
      <c r="F56" s="4">
        <v>504911</v>
      </c>
      <c r="G56" s="11" cm="1">
        <f t="array" aca="1" ref="G56" ca="1">IFERROR(VLOOKUP("*" &amp; B56  &amp; "*" &amp; (MID(CELL("filename",A55),FIND("]",CELL("filename",A55))+1,31)) &amp; "*",CHOOSE({1,2}, Super_CBSA!$B$2:$B$1917, Super_CBSA!$A$2:$A$1917), 2,FALSE), IFERROR(VLOOKUP(B56  &amp; "*",CHOOSE({1,2}, Super_CBSA!$E$2:$E$1917, Super_CBSA!$A$2:$A$1917), 2,FALSE), ""))</f>
        <v>23060</v>
      </c>
    </row>
    <row r="57" spans="1:7" ht="17">
      <c r="A57" s="1" t="s">
        <v>2101</v>
      </c>
      <c r="B57" s="2" t="s">
        <v>2052</v>
      </c>
      <c r="C57" s="2">
        <v>396</v>
      </c>
      <c r="D57" s="3">
        <v>21010</v>
      </c>
      <c r="E57" s="3">
        <v>100033</v>
      </c>
      <c r="F57" s="4">
        <v>3020856</v>
      </c>
      <c r="G57" s="11" cm="1">
        <f t="array" aca="1" ref="G57" ca="1">IFERROR(VLOOKUP("*" &amp; B57  &amp; "*" &amp; (MID(CELL("filename",A56),FIND("]",CELL("filename",A56))+1,31)) &amp; "*",CHOOSE({1,2}, Super_CBSA!$B$2:$B$1917, Super_CBSA!$A$2:$A$1917), 2,FALSE), IFERROR(VLOOKUP(B57  &amp; "*",CHOOSE({1,2}, Super_CBSA!$E$2:$E$1917, Super_CBSA!$A$2:$A$1917), 2,FALSE), ""))</f>
        <v>23060</v>
      </c>
    </row>
    <row r="58" spans="1:7" ht="17">
      <c r="A58" s="1" t="s">
        <v>2102</v>
      </c>
      <c r="B58" s="2" t="s">
        <v>1888</v>
      </c>
      <c r="C58" s="2">
        <v>124</v>
      </c>
      <c r="D58" s="3">
        <v>4850</v>
      </c>
      <c r="E58" s="3">
        <v>19173</v>
      </c>
      <c r="F58" s="4">
        <v>520838</v>
      </c>
      <c r="G58" s="11" cm="1">
        <f t="array" aca="1" ref="G58" ca="1">IFERROR(VLOOKUP("*" &amp; B58  &amp; "*" &amp; (MID(CELL("filename",A57),FIND("]",CELL("filename",A57))+1,31)) &amp; "*",CHOOSE({1,2}, Super_CBSA!$B$2:$B$1917, Super_CBSA!$A$2:$A$1917), 2,FALSE), IFERROR(VLOOKUP(B58  &amp; "*",CHOOSE({1,2}, Super_CBSA!$E$2:$E$1917, Super_CBSA!$A$2:$A$1917), 2,FALSE), ""))</f>
        <v>31980</v>
      </c>
    </row>
    <row r="59" spans="1:7" ht="17">
      <c r="A59" s="1" t="s">
        <v>1371</v>
      </c>
      <c r="B59" s="2" t="s">
        <v>2103</v>
      </c>
      <c r="C59" s="2">
        <v>435</v>
      </c>
      <c r="D59" s="3">
        <v>18456</v>
      </c>
      <c r="E59" s="3">
        <v>95695</v>
      </c>
      <c r="F59" s="4">
        <v>1574717</v>
      </c>
      <c r="G59" s="11" cm="1">
        <f t="array" aca="1" ref="G59" ca="1">IFERROR(VLOOKUP("*" &amp; B59  &amp; "*" &amp; (MID(CELL("filename",A58),FIND("]",CELL("filename",A58))+1,31)) &amp; "*",CHOOSE({1,2}, Super_CBSA!$B$2:$B$1917, Super_CBSA!$A$2:$A$1917), 2,FALSE), IFERROR(VLOOKUP(B59  &amp; "*",CHOOSE({1,2}, Super_CBSA!$E$2:$E$1917, Super_CBSA!$A$2:$A$1917), 2,FALSE), ""))</f>
        <v>43780</v>
      </c>
    </row>
    <row r="60" spans="1:7" ht="17">
      <c r="A60" s="1" t="s">
        <v>2104</v>
      </c>
      <c r="B60" s="2" t="s">
        <v>232</v>
      </c>
      <c r="C60" s="2">
        <v>152</v>
      </c>
      <c r="D60" s="3">
        <v>3643</v>
      </c>
      <c r="E60" s="3">
        <v>15103</v>
      </c>
      <c r="F60" s="4">
        <v>564294</v>
      </c>
      <c r="G60" s="11" cm="1">
        <f t="array" aca="1" ref="G60" ca="1">IFERROR(VLOOKUP("*" &amp; B60  &amp; "*" &amp; (MID(CELL("filename",A59),FIND("]",CELL("filename",A59))+1,31)) &amp; "*",CHOOSE({1,2}, Super_CBSA!$B$2:$B$1917, Super_CBSA!$A$2:$A$1917), 2,FALSE), IFERROR(VLOOKUP(B60  &amp; "*",CHOOSE({1,2}, Super_CBSA!$E$2:$E$1917, Super_CBSA!$A$2:$A$1917), 2,FALSE), ""))</f>
        <v>27540</v>
      </c>
    </row>
    <row r="61" spans="1:7" ht="17">
      <c r="A61" s="1" t="s">
        <v>2105</v>
      </c>
      <c r="B61" s="2" t="s">
        <v>2106</v>
      </c>
      <c r="C61" s="2">
        <v>509</v>
      </c>
      <c r="D61" s="3">
        <v>13960</v>
      </c>
      <c r="E61" s="3">
        <v>84820</v>
      </c>
      <c r="F61" s="4">
        <v>1329422</v>
      </c>
      <c r="G61" s="11" t="str" cm="1">
        <f t="array" aca="1" ref="G61" ca="1">IFERROR(VLOOKUP("*" &amp; B61  &amp; "*" &amp; (MID(CELL("filename",A60),FIND("]",CELL("filename",A60))+1,31)) &amp; "*",CHOOSE({1,2}, Super_CBSA!$B$2:$B$1917, Super_CBSA!$A$2:$A$1917), 2,FALSE), IFERROR(VLOOKUP(B61  &amp; "*",CHOOSE({1,2}, Super_CBSA!$E$2:$E$1917, Super_CBSA!$A$2:$A$1917), 2,FALSE), ""))</f>
        <v/>
      </c>
    </row>
    <row r="62" spans="1:7" ht="17">
      <c r="A62" s="1" t="s">
        <v>2107</v>
      </c>
      <c r="B62" s="2" t="s">
        <v>2108</v>
      </c>
      <c r="C62" s="2">
        <v>319</v>
      </c>
      <c r="D62" s="3">
        <v>12715</v>
      </c>
      <c r="E62" s="3">
        <v>61757</v>
      </c>
      <c r="F62" s="4">
        <v>0</v>
      </c>
      <c r="G62" s="11" t="str" cm="1">
        <f t="array" aca="1" ref="G62" ca="1">IFERROR(VLOOKUP("*" &amp; B62  &amp; "*" &amp; (MID(CELL("filename",A61),FIND("]",CELL("filename",A61))+1,31)) &amp; "*",CHOOSE({1,2}, Super_CBSA!$B$2:$B$1917, Super_CBSA!$A$2:$A$1917), 2,FALSE), IFERROR(VLOOKUP(B62  &amp; "*",CHOOSE({1,2}, Super_CBSA!$E$2:$E$1917, Super_CBSA!$A$2:$A$1917), 2,FALSE), ""))</f>
        <v/>
      </c>
    </row>
    <row r="63" spans="1:7" ht="17">
      <c r="A63" s="1" t="s">
        <v>2109</v>
      </c>
      <c r="B63" s="2" t="s">
        <v>1894</v>
      </c>
      <c r="C63" s="2">
        <v>46</v>
      </c>
      <c r="D63" s="3">
        <v>2749</v>
      </c>
      <c r="E63" s="3">
        <v>9934</v>
      </c>
      <c r="F63" s="4">
        <v>388325</v>
      </c>
      <c r="G63" s="11" t="str" cm="1">
        <f t="array" aca="1" ref="G63" ca="1">IFERROR(VLOOKUP("*" &amp; B63  &amp; "*" &amp; (MID(CELL("filename",A62),FIND("]",CELL("filename",A62))+1,31)) &amp; "*",CHOOSE({1,2}, Super_CBSA!$B$2:$B$1917, Super_CBSA!$A$2:$A$1917), 2,FALSE), IFERROR(VLOOKUP(B63  &amp; " city",CHOOSE({1,2}, Super_CBSA!$E$2:$E$1917, Super_CBSA!$A$2:$A$1917), 2,FALSE), ""))</f>
        <v/>
      </c>
    </row>
    <row r="64" spans="1:7" ht="17">
      <c r="A64" s="1" t="s">
        <v>2110</v>
      </c>
      <c r="B64" s="2" t="s">
        <v>1972</v>
      </c>
      <c r="C64" s="2">
        <v>32</v>
      </c>
      <c r="D64" s="3">
        <v>1148</v>
      </c>
      <c r="E64" s="3">
        <v>4235</v>
      </c>
      <c r="F64" s="4">
        <v>125477</v>
      </c>
      <c r="G64" s="11" cm="1">
        <f t="array" aca="1" ref="G64" ca="1">IFERROR(VLOOKUP("*" &amp; B64  &amp; "*" &amp; (MID(CELL("filename",A63),FIND("]",CELL("filename",A63))+1,31)) &amp; "*",CHOOSE({1,2}, Super_CBSA!$B$2:$B$1917, Super_CBSA!$A$2:$A$1917), 2,FALSE), IFERROR(VLOOKUP(B64  &amp; "*",CHOOSE({1,2}, Super_CBSA!$E$2:$E$1917, Super_CBSA!$A$2:$A$1917), 2,FALSE), ""))</f>
        <v>14020</v>
      </c>
    </row>
    <row r="65" spans="1:7" ht="17">
      <c r="A65" s="1" t="s">
        <v>2111</v>
      </c>
      <c r="B65" s="2" t="s">
        <v>2024</v>
      </c>
      <c r="C65" s="2">
        <v>38</v>
      </c>
      <c r="D65" s="3">
        <v>3145</v>
      </c>
      <c r="E65" s="3">
        <v>5061</v>
      </c>
      <c r="F65" s="4">
        <v>382634</v>
      </c>
      <c r="G65" s="11" cm="1">
        <f t="array" aca="1" ref="G65" ca="1">IFERROR(VLOOKUP("*" &amp; B65  &amp; "*" &amp; (MID(CELL("filename",A64),FIND("]",CELL("filename",A64))+1,31)) &amp; "*",CHOOSE({1,2}, Super_CBSA!$B$2:$B$1917, Super_CBSA!$A$2:$A$1917), 2,FALSE), IFERROR(VLOOKUP(B65  &amp; "*",CHOOSE({1,2}, Super_CBSA!$E$2:$E$1917, Super_CBSA!$A$2:$A$1917), 2,FALSE), ""))</f>
        <v>26900</v>
      </c>
    </row>
    <row r="66" spans="1:7" ht="17">
      <c r="A66" s="1" t="s">
        <v>2112</v>
      </c>
      <c r="B66" s="2" t="s">
        <v>919</v>
      </c>
      <c r="C66" s="2">
        <v>37</v>
      </c>
      <c r="D66" s="3">
        <v>1672</v>
      </c>
      <c r="E66" s="3">
        <v>5017</v>
      </c>
      <c r="F66" s="4">
        <v>197206</v>
      </c>
      <c r="G66" s="11" cm="1">
        <f t="array" aca="1" ref="G66" ca="1">IFERROR(VLOOKUP("*" &amp; B66  &amp; "*" &amp; (MID(CELL("filename",A65),FIND("]",CELL("filename",A65))+1,31)) &amp; "*",CHOOSE({1,2}, Super_CBSA!$B$2:$B$1917, Super_CBSA!$A$2:$A$1917), 2,FALSE), IFERROR(VLOOKUP(B66  &amp; "*",CHOOSE({1,2}, Super_CBSA!$E$2:$E$1917, Super_CBSA!$A$2:$A$1917), 2,FALSE), ""))</f>
        <v>12140</v>
      </c>
    </row>
    <row r="67" spans="1:7" ht="17">
      <c r="A67" s="1" t="s">
        <v>2113</v>
      </c>
      <c r="B67" s="2" t="s">
        <v>2052</v>
      </c>
      <c r="C67" s="2">
        <v>0</v>
      </c>
      <c r="D67" s="2">
        <v>0</v>
      </c>
      <c r="E67" s="2">
        <v>0</v>
      </c>
      <c r="F67" s="4">
        <v>0</v>
      </c>
      <c r="G67" s="11" cm="1">
        <f t="array" aca="1" ref="G67" ca="1">IFERROR(VLOOKUP("*" &amp; B67  &amp; "*" &amp; (MID(CELL("filename",A66),FIND("]",CELL("filename",A66))+1,31)) &amp; "*",CHOOSE({1,2}, Super_CBSA!$B$2:$B$1917, Super_CBSA!$A$2:$A$1917), 2,FALSE), IFERROR(VLOOKUP(B67  &amp; "*",CHOOSE({1,2}, Super_CBSA!$E$2:$E$1917, Super_CBSA!$A$2:$A$1917), 2,FALSE), ""))</f>
        <v>23060</v>
      </c>
    </row>
    <row r="68" spans="1:7" ht="17">
      <c r="A68" s="1" t="s">
        <v>2114</v>
      </c>
      <c r="B68" s="2" t="s">
        <v>2115</v>
      </c>
      <c r="C68" s="2">
        <v>36</v>
      </c>
      <c r="D68" s="3">
        <v>1853</v>
      </c>
      <c r="E68" s="3">
        <v>5069</v>
      </c>
      <c r="F68" s="4">
        <v>189077</v>
      </c>
      <c r="G68" s="11" cm="1">
        <f t="array" aca="1" ref="G68" ca="1">IFERROR(VLOOKUP("*" &amp; B68  &amp; "*" &amp; (MID(CELL("filename",A67),FIND("]",CELL("filename",A67))+1,31)) &amp; "*",CHOOSE({1,2}, Super_CBSA!$B$2:$B$1917, Super_CBSA!$A$2:$A$1917), 2,FALSE), IFERROR(VLOOKUP(B68  &amp; "*",CHOOSE({1,2}, Super_CBSA!$E$2:$E$1917, Super_CBSA!$A$2:$A$1917), 2,FALSE), ""))</f>
        <v>26540</v>
      </c>
    </row>
    <row r="69" spans="1:7" ht="17">
      <c r="A69" s="1" t="s">
        <v>2116</v>
      </c>
      <c r="B69" s="2" t="s">
        <v>2117</v>
      </c>
      <c r="C69" s="2">
        <v>31</v>
      </c>
      <c r="D69" s="3">
        <v>1865</v>
      </c>
      <c r="E69" s="3">
        <v>5104</v>
      </c>
      <c r="F69" s="4">
        <v>214230</v>
      </c>
      <c r="G69" s="11" cm="1">
        <f t="array" aca="1" ref="G69" ca="1">IFERROR(VLOOKUP("*" &amp; B69  &amp; "*" &amp; (MID(CELL("filename",A68),FIND("]",CELL("filename",A68))+1,31)) &amp; "*",CHOOSE({1,2}, Super_CBSA!$B$2:$B$1917, Super_CBSA!$A$2:$A$1917), 2,FALSE), IFERROR(VLOOKUP(B69  &amp; "*",CHOOSE({1,2}, Super_CBSA!$E$2:$E$1917, Super_CBSA!$A$2:$A$1917), 2,FALSE), ""))</f>
        <v>28340</v>
      </c>
    </row>
    <row r="70" spans="1:7" ht="17">
      <c r="A70" s="1" t="s">
        <v>2118</v>
      </c>
      <c r="B70" s="2" t="s">
        <v>2052</v>
      </c>
      <c r="C70" s="2">
        <v>37</v>
      </c>
      <c r="D70" s="3">
        <v>2962</v>
      </c>
      <c r="E70" s="3">
        <v>5407</v>
      </c>
      <c r="F70" s="4">
        <v>530519</v>
      </c>
      <c r="G70" s="11" cm="1">
        <f t="array" aca="1" ref="G70" ca="1">IFERROR(VLOOKUP("*" &amp; B70  &amp; "*" &amp; (MID(CELL("filename",A69),FIND("]",CELL("filename",A69))+1,31)) &amp; "*",CHOOSE({1,2}, Super_CBSA!$B$2:$B$1917, Super_CBSA!$A$2:$A$1917), 2,FALSE), IFERROR(VLOOKUP(B70  &amp; "*",CHOOSE({1,2}, Super_CBSA!$E$2:$E$1917, Super_CBSA!$A$2:$A$1917), 2,FALSE), ""))</f>
        <v>23060</v>
      </c>
    </row>
    <row r="71" spans="1:7" ht="17">
      <c r="A71" s="1" t="s">
        <v>2119</v>
      </c>
      <c r="B71" s="2" t="s">
        <v>2052</v>
      </c>
      <c r="C71" s="2">
        <v>712</v>
      </c>
      <c r="D71" s="3">
        <v>33427</v>
      </c>
      <c r="E71" s="3">
        <v>158002</v>
      </c>
      <c r="F71" s="4">
        <v>3668650</v>
      </c>
      <c r="G71" s="11" cm="1">
        <f t="array" aca="1" ref="G71" ca="1">IFERROR(VLOOKUP("*" &amp; B71  &amp; "*" &amp; (MID(CELL("filename",A70),FIND("]",CELL("filename",A70))+1,31)) &amp; "*",CHOOSE({1,2}, Super_CBSA!$B$2:$B$1917, Super_CBSA!$A$2:$A$1917), 2,FALSE), IFERROR(VLOOKUP(B71  &amp; "*",CHOOSE({1,2}, Super_CBSA!$E$2:$E$1917, Super_CBSA!$A$2:$A$1917), 2,FALSE), ""))</f>
        <v>23060</v>
      </c>
    </row>
    <row r="72" spans="1:7" ht="17">
      <c r="A72" s="1" t="s">
        <v>2120</v>
      </c>
      <c r="B72" s="2" t="s">
        <v>2121</v>
      </c>
      <c r="C72" s="2">
        <v>30</v>
      </c>
      <c r="D72" s="3">
        <v>1880</v>
      </c>
      <c r="E72" s="3">
        <v>5047</v>
      </c>
      <c r="F72" s="4">
        <v>232661</v>
      </c>
      <c r="G72" s="11" t="str" cm="1">
        <f t="array" aca="1" ref="G72" ca="1">IFERROR(VLOOKUP("*" &amp; B72  &amp; "*" &amp; (MID(CELL("filename",A71),FIND("]",CELL("filename",A71))+1,31)) &amp; "*",CHOOSE({1,2}, Super_CBSA!$B$2:$B$1917, Super_CBSA!$A$2:$A$1917), 2,FALSE), IFERROR(VLOOKUP(B72  &amp; "*",CHOOSE({1,2}, Super_CBSA!$E$2:$E$1917, Super_CBSA!$A$2:$A$1917), 2,FALSE), ""))</f>
        <v/>
      </c>
    </row>
    <row r="73" spans="1:7" ht="17">
      <c r="A73" s="1" t="s">
        <v>2122</v>
      </c>
      <c r="B73" s="2" t="s">
        <v>2024</v>
      </c>
      <c r="C73" s="2">
        <v>0</v>
      </c>
      <c r="D73" s="2">
        <v>0</v>
      </c>
      <c r="E73" s="2">
        <v>0</v>
      </c>
      <c r="F73" s="4">
        <v>0</v>
      </c>
      <c r="G73" s="11" cm="1">
        <f t="array" aca="1" ref="G73" ca="1">IFERROR(VLOOKUP("*" &amp; B73  &amp; "*" &amp; (MID(CELL("filename",A72),FIND("]",CELL("filename",A72))+1,31)) &amp; "*",CHOOSE({1,2}, Super_CBSA!$B$2:$B$1917, Super_CBSA!$A$2:$A$1917), 2,FALSE), IFERROR(VLOOKUP(B73  &amp; "*",CHOOSE({1,2}, Super_CBSA!$E$2:$E$1917, Super_CBSA!$A$2:$A$1917), 2,FALSE), ""))</f>
        <v>26900</v>
      </c>
    </row>
    <row r="74" spans="1:7" ht="17">
      <c r="A74" s="1" t="s">
        <v>2123</v>
      </c>
      <c r="B74" s="2" t="s">
        <v>2070</v>
      </c>
      <c r="C74" s="2">
        <v>18</v>
      </c>
      <c r="D74" s="2">
        <v>922</v>
      </c>
      <c r="E74" s="3">
        <v>3333</v>
      </c>
      <c r="F74" s="4">
        <v>186844</v>
      </c>
      <c r="G74" s="11" t="str" cm="1">
        <f t="array" aca="1" ref="G74" ca="1">IFERROR(VLOOKUP("*" &amp; B74  &amp; "*" &amp; (MID(CELL("filename",A73),FIND("]",CELL("filename",A73))+1,31)) &amp; "*",CHOOSE({1,2}, Super_CBSA!$B$2:$B$1917, Super_CBSA!$A$2:$A$1917), 2,FALSE), IFERROR(VLOOKUP(B74  &amp; "*",CHOOSE({1,2}, Super_CBSA!$E$2:$E$1917, Super_CBSA!$A$2:$A$1917), 2,FALSE), ""))</f>
        <v/>
      </c>
    </row>
    <row r="75" spans="1:7" ht="17">
      <c r="A75" s="1" t="s">
        <v>2124</v>
      </c>
      <c r="B75" s="2" t="s">
        <v>2125</v>
      </c>
      <c r="C75" s="2">
        <v>45</v>
      </c>
      <c r="D75" s="3">
        <v>2005</v>
      </c>
      <c r="E75" s="3">
        <v>6043</v>
      </c>
      <c r="F75" s="4">
        <v>191761</v>
      </c>
      <c r="G75" s="11" cm="1">
        <f t="array" aca="1" ref="G75" ca="1">IFERROR(VLOOKUP("*" &amp; B75  &amp; "*" &amp; (MID(CELL("filename",A74),FIND("]",CELL("filename",A74))+1,31)) &amp; "*",CHOOSE({1,2}, Super_CBSA!$B$2:$B$1917, Super_CBSA!$A$2:$A$1917), 2,FALSE), IFERROR(VLOOKUP(B75  &amp; "*",CHOOSE({1,2}, Super_CBSA!$E$2:$E$1917, Super_CBSA!$A$2:$A$1917), 2,FALSE), ""))</f>
        <v>38500</v>
      </c>
    </row>
    <row r="76" spans="1:7" ht="17">
      <c r="A76" s="1" t="s">
        <v>2126</v>
      </c>
      <c r="B76" s="2" t="s">
        <v>2032</v>
      </c>
      <c r="C76" s="2">
        <v>10</v>
      </c>
      <c r="D76" s="2">
        <v>473</v>
      </c>
      <c r="E76" s="3">
        <v>1257</v>
      </c>
      <c r="F76" s="4">
        <v>181161</v>
      </c>
      <c r="G76" s="11" t="str" cm="1">
        <f t="array" aca="1" ref="G76" ca="1">IFERROR(VLOOKUP("*" &amp; B76  &amp; "*" &amp; (MID(CELL("filename",A75),FIND("]",CELL("filename",A75))+1,31)) &amp; "*",CHOOSE({1,2}, Super_CBSA!$B$2:$B$1917, Super_CBSA!$A$2:$A$1917), 2,FALSE), IFERROR(VLOOKUP(B76  &amp; "*",CHOOSE({1,2}, Super_CBSA!$E$2:$E$1917, Super_CBSA!$A$2:$A$1917), 2,FALSE), ""))</f>
        <v/>
      </c>
    </row>
    <row r="77" spans="1:7" ht="17">
      <c r="A77" s="1" t="s">
        <v>2127</v>
      </c>
      <c r="B77" s="2" t="s">
        <v>2128</v>
      </c>
      <c r="C77" s="2">
        <v>0</v>
      </c>
      <c r="D77" s="2">
        <v>0</v>
      </c>
      <c r="E77" s="2">
        <v>0</v>
      </c>
      <c r="F77" s="4">
        <v>0</v>
      </c>
      <c r="G77" s="11" cm="1">
        <f t="array" aca="1" ref="G77" ca="1">IFERROR(VLOOKUP("*" &amp; B77  &amp; "*" &amp; (MID(CELL("filename",A76),FIND("]",CELL("filename",A76))+1,31)) &amp; "*",CHOOSE({1,2}, Super_CBSA!$B$2:$B$1917, Super_CBSA!$A$2:$A$1917), 2,FALSE), IFERROR(VLOOKUP(B77  &amp; "*",CHOOSE({1,2}, Super_CBSA!$E$2:$E$1917, Super_CBSA!$A$2:$A$1917), 2,FALSE), ""))</f>
        <v>10420</v>
      </c>
    </row>
    <row r="78" spans="1:7" ht="17">
      <c r="A78" s="1" t="s">
        <v>2129</v>
      </c>
      <c r="B78" s="2" t="s">
        <v>2130</v>
      </c>
      <c r="C78" s="2">
        <v>252</v>
      </c>
      <c r="D78" s="3">
        <v>11351</v>
      </c>
      <c r="E78" s="3">
        <v>56811</v>
      </c>
      <c r="F78" s="4">
        <v>2002522</v>
      </c>
      <c r="G78" s="11" t="str" cm="1">
        <f t="array" aca="1" ref="G78" ca="1">IFERROR(VLOOKUP("*" &amp; B78  &amp; "*" &amp; (MID(CELL("filename",A77),FIND("]",CELL("filename",A77))+1,31)) &amp; "*",CHOOSE({1,2}, Super_CBSA!$B$2:$B$1917, Super_CBSA!$A$2:$A$1917), 2,FALSE), IFERROR(VLOOKUP(B78  &amp; "*",CHOOSE({1,2}, Super_CBSA!$E$2:$E$1917, Super_CBSA!$A$2:$A$1917), 2,FALSE), ""))</f>
        <v/>
      </c>
    </row>
    <row r="79" spans="1:7" ht="17">
      <c r="A79" s="1" t="s">
        <v>2131</v>
      </c>
      <c r="B79" s="2" t="s">
        <v>803</v>
      </c>
      <c r="C79" s="2">
        <v>221</v>
      </c>
      <c r="D79" s="3">
        <v>10402</v>
      </c>
      <c r="E79" s="3">
        <v>39543</v>
      </c>
      <c r="F79" s="4">
        <v>1026215</v>
      </c>
      <c r="G79" s="11" cm="1">
        <f t="array" aca="1" ref="G79" ca="1">IFERROR(VLOOKUP("*" &amp; B79  &amp; "*" &amp; (MID(CELL("filename",A78),FIND("]",CELL("filename",A78))+1,31)) &amp; "*",CHOOSE({1,2}, Super_CBSA!$B$2:$B$1917, Super_CBSA!$A$2:$A$1917), 2,FALSE), IFERROR(VLOOKUP(B79  &amp; "*",CHOOSE({1,2}, Super_CBSA!$E$2:$E$1917, Super_CBSA!$A$2:$A$1917), 2,FALSE), ""))</f>
        <v>39980</v>
      </c>
    </row>
    <row r="80" spans="1:7" ht="17">
      <c r="A80" s="1" t="s">
        <v>2132</v>
      </c>
      <c r="B80" s="2" t="s">
        <v>2024</v>
      </c>
      <c r="C80" s="2">
        <v>0</v>
      </c>
      <c r="D80" s="2">
        <v>0</v>
      </c>
      <c r="E80" s="2">
        <v>0</v>
      </c>
      <c r="F80" s="4">
        <v>0</v>
      </c>
      <c r="G80" s="11" cm="1">
        <f t="array" aca="1" ref="G80" ca="1">IFERROR(VLOOKUP("*" &amp; B80  &amp; "*" &amp; (MID(CELL("filename",A79),FIND("]",CELL("filename",A79))+1,31)) &amp; "*",CHOOSE({1,2}, Super_CBSA!$B$2:$B$1917, Super_CBSA!$A$2:$A$1917), 2,FALSE), IFERROR(VLOOKUP(B80  &amp; "*",CHOOSE({1,2}, Super_CBSA!$E$2:$E$1917, Super_CBSA!$A$2:$A$1917), 2,FALSE), ""))</f>
        <v>26900</v>
      </c>
    </row>
    <row r="81" spans="1:7" ht="17">
      <c r="A81" s="1" t="s">
        <v>2133</v>
      </c>
      <c r="B81" s="2" t="s">
        <v>2134</v>
      </c>
      <c r="C81" s="2">
        <v>158</v>
      </c>
      <c r="D81" s="3">
        <v>4084</v>
      </c>
      <c r="E81" s="3">
        <v>16169</v>
      </c>
      <c r="F81" s="4">
        <v>510602</v>
      </c>
      <c r="G81" s="11" t="str" cm="1">
        <f t="array" aca="1" ref="G81" ca="1">IFERROR(VLOOKUP("*" &amp; B81  &amp; "*" &amp; (MID(CELL("filename",A80),FIND("]",CELL("filename",A80))+1,31)) &amp; "*",CHOOSE({1,2}, Super_CBSA!$B$2:$B$1917, Super_CBSA!$A$2:$A$1917), 2,FALSE), IFERROR(VLOOKUP(B81  &amp; "*",CHOOSE({1,2}, Super_CBSA!$E$2:$E$1917, Super_CBSA!$A$2:$A$1917), 2,FALSE), ""))</f>
        <v/>
      </c>
    </row>
    <row r="82" spans="1:7" ht="17">
      <c r="A82" s="1" t="s">
        <v>2135</v>
      </c>
      <c r="B82" s="2" t="s">
        <v>2136</v>
      </c>
      <c r="C82" s="2">
        <v>0</v>
      </c>
      <c r="D82" s="2">
        <v>0</v>
      </c>
      <c r="E82" s="2">
        <v>0</v>
      </c>
      <c r="F82" s="4">
        <v>0</v>
      </c>
      <c r="G82" s="11" t="str" cm="1">
        <f t="array" aca="1" ref="G82" ca="1">IFERROR(VLOOKUP("*" &amp; B82  &amp; "*" &amp; (MID(CELL("filename",A81),FIND("]",CELL("filename",A81))+1,31)) &amp; "*",CHOOSE({1,2}, Super_CBSA!$B$2:$B$1917, Super_CBSA!$A$2:$A$1917), 2,FALSE), IFERROR(VLOOKUP(B82  &amp; "*",CHOOSE({1,2}, Super_CBSA!$E$2:$E$1917, Super_CBSA!$A$2:$A$1917), 2,FALSE), ""))</f>
        <v/>
      </c>
    </row>
    <row r="83" spans="1:7" ht="17">
      <c r="A83" s="1" t="s">
        <v>2137</v>
      </c>
      <c r="B83" s="2" t="s">
        <v>2138</v>
      </c>
      <c r="C83" s="2">
        <v>211</v>
      </c>
      <c r="D83" s="3">
        <v>6183</v>
      </c>
      <c r="E83" s="3">
        <v>29809</v>
      </c>
      <c r="F83" s="4">
        <v>548693</v>
      </c>
      <c r="G83" s="11" t="str" cm="1">
        <f t="array" aca="1" ref="G83" ca="1">IFERROR(VLOOKUP("*" &amp; B83  &amp; "*" &amp; (MID(CELL("filename",A82),FIND("]",CELL("filename",A82))+1,31)) &amp; "*",CHOOSE({1,2}, Super_CBSA!$B$2:$B$1917, Super_CBSA!$A$2:$A$1917), 2,FALSE), IFERROR(VLOOKUP(B83  &amp; "*",CHOOSE({1,2}, Super_CBSA!$E$2:$E$1917, Super_CBSA!$A$2:$A$1917), 2,FALSE), ""))</f>
        <v/>
      </c>
    </row>
    <row r="84" spans="1:7" ht="17">
      <c r="A84" s="1" t="s">
        <v>2139</v>
      </c>
      <c r="B84" s="2" t="s">
        <v>2140</v>
      </c>
      <c r="C84" s="2">
        <v>293</v>
      </c>
      <c r="D84" s="3">
        <v>14751</v>
      </c>
      <c r="E84" s="3">
        <v>69907</v>
      </c>
      <c r="F84" s="4">
        <v>1250235</v>
      </c>
      <c r="G84" s="11" cm="1">
        <f t="array" aca="1" ref="G84" ca="1">IFERROR(VLOOKUP("*" &amp; B84  &amp; "*" &amp; (MID(CELL("filename",A83),FIND("]",CELL("filename",A83))+1,31)) &amp; "*",CHOOSE({1,2}, Super_CBSA!$B$2:$B$1917, Super_CBSA!$A$2:$A$1917), 2,FALSE), IFERROR(VLOOKUP(B84  &amp; "*",CHOOSE({1,2}, Super_CBSA!$E$2:$E$1917, Super_CBSA!$A$2:$A$1917), 2,FALSE), ""))</f>
        <v>43780</v>
      </c>
    </row>
    <row r="85" spans="1:7" ht="17">
      <c r="A85" s="1" t="s">
        <v>1042</v>
      </c>
      <c r="B85" s="2" t="s">
        <v>2052</v>
      </c>
      <c r="C85" s="2">
        <v>127</v>
      </c>
      <c r="D85" s="3">
        <v>3901</v>
      </c>
      <c r="E85" s="3">
        <v>16796</v>
      </c>
      <c r="F85" s="4">
        <v>423363</v>
      </c>
      <c r="G85" s="11" cm="1">
        <f t="array" aca="1" ref="G85" ca="1">IFERROR(VLOOKUP("*" &amp; B85  &amp; "*" &amp; (MID(CELL("filename",A84),FIND("]",CELL("filename",A84))+1,31)) &amp; "*",CHOOSE({1,2}, Super_CBSA!$B$2:$B$1917, Super_CBSA!$A$2:$A$1917), 2,FALSE), IFERROR(VLOOKUP(B85  &amp; "*",CHOOSE({1,2}, Super_CBSA!$E$2:$E$1917, Super_CBSA!$A$2:$A$1917), 2,FALSE), ""))</f>
        <v>23060</v>
      </c>
    </row>
    <row r="86" spans="1:7" ht="17">
      <c r="A86" s="1" t="s">
        <v>833</v>
      </c>
      <c r="B86" s="2" t="s">
        <v>2141</v>
      </c>
      <c r="C86" s="2">
        <v>200</v>
      </c>
      <c r="D86" s="3">
        <v>9787</v>
      </c>
      <c r="E86" s="3">
        <v>47796</v>
      </c>
      <c r="F86" s="4">
        <v>1046889</v>
      </c>
      <c r="G86" s="11" t="str" cm="1">
        <f t="array" aca="1" ref="G86" ca="1">IFERROR(VLOOKUP("*" &amp; B86  &amp; "*" &amp; (MID(CELL("filename",A85),FIND("]",CELL("filename",A85))+1,31)) &amp; "*",CHOOSE({1,2}, Super_CBSA!$B$2:$B$1917, Super_CBSA!$A$2:$A$1917), 2,FALSE), IFERROR(VLOOKUP(B86  &amp; "*",CHOOSE({1,2}, Super_CBSA!$E$2:$E$1917, Super_CBSA!$A$2:$A$1917), 2,FALSE), ""))</f>
        <v/>
      </c>
    </row>
    <row r="87" spans="1:7" ht="17">
      <c r="A87" s="1" t="s">
        <v>2142</v>
      </c>
      <c r="B87" s="2" t="s">
        <v>2041</v>
      </c>
      <c r="C87" s="2">
        <v>157</v>
      </c>
      <c r="D87" s="3">
        <v>5100</v>
      </c>
      <c r="E87" s="3">
        <v>25394</v>
      </c>
      <c r="F87" s="4">
        <v>668715</v>
      </c>
      <c r="G87" s="11" cm="1">
        <f t="array" aca="1" ref="G87" ca="1">IFERROR(VLOOKUP("*" &amp; B87  &amp; "*" &amp; (MID(CELL("filename",A86),FIND("]",CELL("filename",A86))+1,31)) &amp; "*",CHOOSE({1,2}, Super_CBSA!$B$2:$B$1917, Super_CBSA!$A$2:$A$1917), 2,FALSE), IFERROR(VLOOKUP(B87  &amp; "*",CHOOSE({1,2}, Super_CBSA!$E$2:$E$1917, Super_CBSA!$A$2:$A$1917), 2,FALSE), ""))</f>
        <v>26900</v>
      </c>
    </row>
    <row r="88" spans="1:7" ht="17">
      <c r="A88" s="1" t="s">
        <v>2143</v>
      </c>
      <c r="B88" s="2" t="s">
        <v>2089</v>
      </c>
      <c r="C88" s="2">
        <v>46</v>
      </c>
      <c r="D88" s="3">
        <v>1204</v>
      </c>
      <c r="E88" s="3">
        <v>3389</v>
      </c>
      <c r="F88" s="4">
        <v>188135</v>
      </c>
      <c r="G88" s="11" t="str" cm="1">
        <f t="array" aca="1" ref="G88" ca="1">IFERROR(VLOOKUP("*" &amp; B88  &amp; "*" &amp; (MID(CELL("filename",A87),FIND("]",CELL("filename",A87))+1,31)) &amp; "*",CHOOSE({1,2}, Super_CBSA!$B$2:$B$1917, Super_CBSA!$A$2:$A$1917), 2,FALSE), IFERROR(VLOOKUP(B88  &amp; "*",CHOOSE({1,2}, Super_CBSA!$E$2:$E$1917, Super_CBSA!$A$2:$A$1917), 2,FALSE), ""))</f>
        <v/>
      </c>
    </row>
    <row r="89" spans="1:7" ht="17">
      <c r="A89" s="1" t="s">
        <v>2144</v>
      </c>
      <c r="B89" s="2" t="s">
        <v>2024</v>
      </c>
      <c r="C89" s="2">
        <v>182</v>
      </c>
      <c r="D89" s="3">
        <v>3026</v>
      </c>
      <c r="E89" s="3">
        <v>15720</v>
      </c>
      <c r="F89" s="4">
        <v>66095</v>
      </c>
      <c r="G89" s="11" cm="1">
        <f t="array" aca="1" ref="G89" ca="1">IFERROR(VLOOKUP("*" &amp; B89  &amp; "*" &amp; (MID(CELL("filename",A88),FIND("]",CELL("filename",A88))+1,31)) &amp; "*",CHOOSE({1,2}, Super_CBSA!$B$2:$B$1917, Super_CBSA!$A$2:$A$1917), 2,FALSE), IFERROR(VLOOKUP(B89  &amp; "*",CHOOSE({1,2}, Super_CBSA!$E$2:$E$1917, Super_CBSA!$A$2:$A$1917), 2,FALSE), ""))</f>
        <v>26900</v>
      </c>
    </row>
    <row r="90" spans="1:7" ht="17">
      <c r="A90" s="1" t="s">
        <v>2145</v>
      </c>
      <c r="B90" s="2" t="s">
        <v>2146</v>
      </c>
      <c r="C90" s="2">
        <v>91</v>
      </c>
      <c r="D90" s="3">
        <v>2607</v>
      </c>
      <c r="E90" s="3">
        <v>10149</v>
      </c>
      <c r="F90" s="4">
        <v>377000</v>
      </c>
      <c r="G90" s="11" cm="1">
        <f t="array" aca="1" ref="G90" ca="1">IFERROR(VLOOKUP("*" &amp; B90  &amp; "*" &amp; (MID(CELL("filename",A89),FIND("]",CELL("filename",A89))+1,31)) &amp; "*",CHOOSE({1,2}, Super_CBSA!$B$2:$B$1917, Super_CBSA!$A$2:$A$1917), 2,FALSE), IFERROR(VLOOKUP(B90  &amp; "*",CHOOSE({1,2}, Super_CBSA!$E$2:$E$1917, Super_CBSA!$A$2:$A$1917), 2,FALSE), ""))</f>
        <v>42980</v>
      </c>
    </row>
    <row r="91" spans="1:7" ht="17">
      <c r="A91" s="1" t="s">
        <v>2147</v>
      </c>
      <c r="B91" s="2" t="s">
        <v>2024</v>
      </c>
      <c r="C91" s="2">
        <v>336</v>
      </c>
      <c r="D91" s="3">
        <v>18038</v>
      </c>
      <c r="E91" s="3">
        <v>78212</v>
      </c>
      <c r="F91" s="4">
        <v>1982323</v>
      </c>
      <c r="G91" s="11" cm="1">
        <f t="array" aca="1" ref="G91" ca="1">IFERROR(VLOOKUP("*" &amp; B91  &amp; "*" &amp; (MID(CELL("filename",A90),FIND("]",CELL("filename",A90))+1,31)) &amp; "*",CHOOSE({1,2}, Super_CBSA!$B$2:$B$1917, Super_CBSA!$A$2:$A$1917), 2,FALSE), IFERROR(VLOOKUP(B91  &amp; "*",CHOOSE({1,2}, Super_CBSA!$E$2:$E$1917, Super_CBSA!$A$2:$A$1917), 2,FALSE), ""))</f>
        <v>26900</v>
      </c>
    </row>
    <row r="92" spans="1:7" ht="17">
      <c r="A92" s="1" t="s">
        <v>2148</v>
      </c>
      <c r="B92" s="2" t="s">
        <v>2024</v>
      </c>
      <c r="C92" s="2">
        <v>0</v>
      </c>
      <c r="D92" s="2">
        <v>0</v>
      </c>
      <c r="E92" s="2">
        <v>0</v>
      </c>
      <c r="F92" s="4">
        <v>0</v>
      </c>
      <c r="G92" s="11" cm="1">
        <f t="array" aca="1" ref="G92" ca="1">IFERROR(VLOOKUP("*" &amp; B92  &amp; "*" &amp; (MID(CELL("filename",A91),FIND("]",CELL("filename",A91))+1,31)) &amp; "*",CHOOSE({1,2}, Super_CBSA!$B$2:$B$1917, Super_CBSA!$A$2:$A$1917), 2,FALSE), IFERROR(VLOOKUP(B92  &amp; "*",CHOOSE({1,2}, Super_CBSA!$E$2:$E$1917, Super_CBSA!$A$2:$A$1917), 2,FALSE), ""))</f>
        <v>26900</v>
      </c>
    </row>
    <row r="93" spans="1:7" ht="17">
      <c r="A93" s="1" t="s">
        <v>2149</v>
      </c>
      <c r="B93" s="2" t="s">
        <v>2134</v>
      </c>
      <c r="C93" s="2">
        <v>0</v>
      </c>
      <c r="D93" s="2">
        <v>0</v>
      </c>
      <c r="E93" s="2">
        <v>0</v>
      </c>
      <c r="F93" s="4">
        <v>0</v>
      </c>
      <c r="G93" s="11" t="str" cm="1">
        <f t="array" aca="1" ref="G93" ca="1">IFERROR(VLOOKUP("*" &amp; B93  &amp; "*" &amp; (MID(CELL("filename",A92),FIND("]",CELL("filename",A92))+1,31)) &amp; "*",CHOOSE({1,2}, Super_CBSA!$B$2:$B$1917, Super_CBSA!$A$2:$A$1917), 2,FALSE), IFERROR(VLOOKUP(B93  &amp; "*",CHOOSE({1,2}, Super_CBSA!$E$2:$E$1917, Super_CBSA!$A$2:$A$1917), 2,FALSE), ""))</f>
        <v/>
      </c>
    </row>
    <row r="94" spans="1:7" ht="17">
      <c r="A94" s="1" t="s">
        <v>2150</v>
      </c>
      <c r="B94" s="2" t="s">
        <v>2151</v>
      </c>
      <c r="C94" s="2">
        <v>0</v>
      </c>
      <c r="D94" s="2">
        <v>0</v>
      </c>
      <c r="E94" s="2">
        <v>0</v>
      </c>
      <c r="F94" s="4">
        <v>0</v>
      </c>
      <c r="G94" s="11" t="str" cm="1">
        <f t="array" aca="1" ref="G94" ca="1">IFERROR(VLOOKUP("*" &amp; B94  &amp; "*" &amp; (MID(CELL("filename",A93),FIND("]",CELL("filename",A93))+1,31)) &amp; "*",CHOOSE({1,2}, Super_CBSA!$B$2:$B$1917, Super_CBSA!$A$2:$A$1917), 2,FALSE), IFERROR(VLOOKUP(B94  &amp; "*",CHOOSE({1,2}, Super_CBSA!$E$2:$E$1917, Super_CBSA!$A$2:$A$1917), 2,FALSE), ""))</f>
        <v/>
      </c>
    </row>
    <row r="95" spans="1:7" ht="17">
      <c r="A95" s="1" t="s">
        <v>2152</v>
      </c>
      <c r="B95" s="2" t="s">
        <v>2153</v>
      </c>
      <c r="C95" s="2">
        <v>15</v>
      </c>
      <c r="D95" s="2">
        <v>486</v>
      </c>
      <c r="E95" s="3">
        <v>1227</v>
      </c>
      <c r="F95" s="4">
        <v>71293</v>
      </c>
      <c r="G95" s="11" cm="1">
        <f t="array" aca="1" ref="G95" ca="1">IFERROR(VLOOKUP("*" &amp; B95  &amp; "*" &amp; (MID(CELL("filename",A94),FIND("]",CELL("filename",A94))+1,31)) &amp; "*",CHOOSE({1,2}, Super_CBSA!$B$2:$B$1917, Super_CBSA!$A$2:$A$1917), 2,FALSE), IFERROR(VLOOKUP(B95  &amp; "*",CHOOSE({1,2}, Super_CBSA!$E$2:$E$1917, Super_CBSA!$A$2:$A$1917), 2,FALSE), ""))</f>
        <v>23660</v>
      </c>
    </row>
    <row r="96" spans="1:7" ht="17">
      <c r="A96" s="1" t="s">
        <v>2154</v>
      </c>
      <c r="B96" s="2" t="s">
        <v>2155</v>
      </c>
      <c r="C96" s="2">
        <v>195</v>
      </c>
      <c r="D96" s="3">
        <v>5026</v>
      </c>
      <c r="E96" s="3">
        <v>20166</v>
      </c>
      <c r="F96" s="4">
        <v>841920</v>
      </c>
      <c r="G96" s="11" cm="1">
        <f t="array" aca="1" ref="G96" ca="1">IFERROR(VLOOKUP("*" &amp; B96  &amp; "*" &amp; (MID(CELL("filename",A95),FIND("]",CELL("filename",A95))+1,31)) &amp; "*",CHOOSE({1,2}, Super_CBSA!$B$2:$B$1917, Super_CBSA!$A$2:$A$1917), 2,FALSE), IFERROR(VLOOKUP(B96  &amp; "*",CHOOSE({1,2}, Super_CBSA!$E$2:$E$1917, Super_CBSA!$A$2:$A$1917), 2,FALSE), ""))</f>
        <v>45460</v>
      </c>
    </row>
    <row r="97" spans="1:7" ht="17">
      <c r="A97" s="1" t="s">
        <v>2156</v>
      </c>
      <c r="B97" s="2" t="s">
        <v>2049</v>
      </c>
      <c r="C97" s="2">
        <v>24</v>
      </c>
      <c r="D97" s="3">
        <v>1516</v>
      </c>
      <c r="E97" s="3">
        <v>6036</v>
      </c>
      <c r="F97" s="4">
        <v>165306</v>
      </c>
      <c r="G97" s="11" t="str" cm="1">
        <f t="array" aca="1" ref="G97" ca="1">IFERROR(VLOOKUP("*" &amp; B97  &amp; "*" &amp; (MID(CELL("filename",A96),FIND("]",CELL("filename",A96))+1,31)) &amp; "*",CHOOSE({1,2}, Super_CBSA!$B$2:$B$1917, Super_CBSA!$A$2:$A$1917), 2,FALSE), IFERROR(VLOOKUP(B97  &amp; "*",CHOOSE({1,2}, Super_CBSA!$E$2:$E$1917, Super_CBSA!$A$2:$A$1917), 2,FALSE), ""))</f>
        <v/>
      </c>
    </row>
    <row r="98" spans="1:7" ht="17">
      <c r="A98" s="1" t="s">
        <v>2157</v>
      </c>
      <c r="B98" s="2" t="s">
        <v>2049</v>
      </c>
      <c r="C98" s="2">
        <v>74</v>
      </c>
      <c r="D98" s="3">
        <v>3648</v>
      </c>
      <c r="E98" s="3">
        <v>22403</v>
      </c>
      <c r="F98" s="4">
        <v>183517</v>
      </c>
      <c r="G98" s="11" t="str" cm="1">
        <f t="array" aca="1" ref="G98" ca="1">IFERROR(VLOOKUP("*" &amp; B98  &amp; "*" &amp; (MID(CELL("filename",A97),FIND("]",CELL("filename",A97))+1,31)) &amp; "*",CHOOSE({1,2}, Super_CBSA!$B$2:$B$1917, Super_CBSA!$A$2:$A$1917), 2,FALSE), IFERROR(VLOOKUP(B98  &amp; "*",CHOOSE({1,2}, Super_CBSA!$E$2:$E$1917, Super_CBSA!$A$2:$A$1917), 2,FALSE), ""))</f>
        <v/>
      </c>
    </row>
    <row r="99" spans="1:7" ht="17">
      <c r="A99" s="1" t="s">
        <v>2158</v>
      </c>
      <c r="B99" s="2" t="s">
        <v>2155</v>
      </c>
      <c r="C99" s="2">
        <v>255</v>
      </c>
      <c r="D99" s="3">
        <v>14958</v>
      </c>
      <c r="E99" s="3">
        <v>56766</v>
      </c>
      <c r="F99" s="4">
        <v>1448642</v>
      </c>
      <c r="G99" s="11" cm="1">
        <f t="array" aca="1" ref="G99" ca="1">IFERROR(VLOOKUP("*" &amp; B99  &amp; "*" &amp; (MID(CELL("filename",A98),FIND("]",CELL("filename",A98))+1,31)) &amp; "*",CHOOSE({1,2}, Super_CBSA!$B$2:$B$1917, Super_CBSA!$A$2:$A$1917), 2,FALSE), IFERROR(VLOOKUP(B99  &amp; "*",CHOOSE({1,2}, Super_CBSA!$E$2:$E$1917, Super_CBSA!$A$2:$A$1917), 2,FALSE), ""))</f>
        <v>45460</v>
      </c>
    </row>
    <row r="100" spans="1:7" ht="17">
      <c r="A100" s="1" t="s">
        <v>2159</v>
      </c>
      <c r="B100" s="2" t="s">
        <v>2140</v>
      </c>
      <c r="C100" s="2">
        <v>29</v>
      </c>
      <c r="D100" s="2">
        <v>480</v>
      </c>
      <c r="E100" s="3">
        <v>1215</v>
      </c>
      <c r="F100" s="4">
        <v>129291</v>
      </c>
      <c r="G100" s="11" cm="1">
        <f t="array" aca="1" ref="G100" ca="1">IFERROR(VLOOKUP("*" &amp; B100  &amp; "*" &amp; (MID(CELL("filename",A99),FIND("]",CELL("filename",A99))+1,31)) &amp; "*",CHOOSE({1,2}, Super_CBSA!$B$2:$B$1917, Super_CBSA!$A$2:$A$1917), 2,FALSE), IFERROR(VLOOKUP(B100  &amp; "*",CHOOSE({1,2}, Super_CBSA!$E$2:$E$1917, Super_CBSA!$A$2:$A$1917), 2,FALSE), ""))</f>
        <v>43780</v>
      </c>
    </row>
    <row r="101" spans="1:7" ht="17">
      <c r="A101" s="1" t="s">
        <v>2160</v>
      </c>
      <c r="B101" s="2" t="s">
        <v>2052</v>
      </c>
      <c r="C101" s="2">
        <v>0</v>
      </c>
      <c r="D101" s="2">
        <v>0</v>
      </c>
      <c r="E101" s="2">
        <v>0</v>
      </c>
      <c r="F101" s="4">
        <v>0</v>
      </c>
      <c r="G101" s="11" cm="1">
        <f t="array" aca="1" ref="G101" ca="1">IFERROR(VLOOKUP("*" &amp; B101  &amp; "*" &amp; (MID(CELL("filename",A100),FIND("]",CELL("filename",A100))+1,31)) &amp; "*",CHOOSE({1,2}, Super_CBSA!$B$2:$B$1917, Super_CBSA!$A$2:$A$1917), 2,FALSE), IFERROR(VLOOKUP(B101  &amp; "*",CHOOSE({1,2}, Super_CBSA!$E$2:$E$1917, Super_CBSA!$A$2:$A$1917), 2,FALSE), ""))</f>
        <v>23060</v>
      </c>
    </row>
    <row r="102" spans="1:7" ht="17">
      <c r="A102" s="1" t="s">
        <v>2161</v>
      </c>
      <c r="B102" s="2" t="s">
        <v>2162</v>
      </c>
      <c r="C102" s="2">
        <v>96</v>
      </c>
      <c r="D102" s="3">
        <v>2316</v>
      </c>
      <c r="E102" s="3">
        <v>8302</v>
      </c>
      <c r="F102" s="4">
        <v>446540</v>
      </c>
      <c r="G102" s="11" cm="1">
        <f t="array" aca="1" ref="G102" ca="1">IFERROR(VLOOKUP("*" &amp; B102  &amp; "*" &amp; (MID(CELL("filename",A101),FIND("]",CELL("filename",A101))+1,31)) &amp; "*",CHOOSE({1,2}, Super_CBSA!$B$2:$B$1917, Super_CBSA!$A$2:$A$1917), 2,FALSE), IFERROR(VLOOKUP(B102  &amp; "*",CHOOSE({1,2}, Super_CBSA!$E$2:$E$1917, Super_CBSA!$A$2:$A$1917), 2,FALSE), ""))</f>
        <v>30140</v>
      </c>
    </row>
    <row r="103" spans="1:7" ht="17">
      <c r="A103" s="2" t="s">
        <v>56</v>
      </c>
      <c r="B103" s="2"/>
      <c r="C103" s="3">
        <v>16055</v>
      </c>
      <c r="D103" s="3">
        <v>685644</v>
      </c>
      <c r="E103" s="3">
        <v>3108919</v>
      </c>
      <c r="F103" s="4">
        <v>81011375</v>
      </c>
    </row>
  </sheetData>
  <hyperlinks>
    <hyperlink ref="A2" r:id="rId1" display="https://www.ahd.com/free_profile/150157/Ascension_Saint_Vincent_Carmel/Carmel/Indiana/" xr:uid="{6F1F2AFC-4182-7748-A305-0843DD44C54A}"/>
    <hyperlink ref="A3" r:id="rId2" display="https://www.ahd.com/free_profile/150100/Ascension_Saint_Vincent_Evansville/Evansville/Indiana/" xr:uid="{DFDD720C-3E1A-414A-B38A-F5D8AA2B8DA6}"/>
    <hyperlink ref="A4" r:id="rId3" display="https://www.ahd.com/free_profile/150084/Ascension_Saint_Vincent_Indianapolis_Hospital/Indianapolis/Indiana/" xr:uid="{69974FFB-00EF-3E46-BEFF-0A81AA58796C}"/>
    <hyperlink ref="A5" r:id="rId4" display="https://www.ahd.com/free_profile/150153/Ascension_St_Vincent_Carmel/Carmel/Indiana/" xr:uid="{19590CC7-BCEA-5D4D-9838-EE3571368A2C}"/>
    <hyperlink ref="A6" r:id="rId5" display="https://www.ahd.com/free_profile/I42294/Ascension_St_Vincent_Castleton/Indianapolis/Indiana/" xr:uid="{3016A5C5-F716-E340-8268-EE5A78C79C54}"/>
    <hyperlink ref="A7" r:id="rId6" display="https://www.ahd.com/free_profile/150184/Ascension_St_Vincent_Hospital_Avon/Avon/Indiana/" xr:uid="{E67E5FE4-97E7-F946-980F-AC5D96586FB5}"/>
    <hyperlink ref="A8" r:id="rId7" display="https://www.ahd.com/free_profile/150010/Ascension_St_Vincent_Kokomo/Kokomo/Indiana/" xr:uid="{C332A7F3-96F6-874B-8AE6-A5599F074E0F}"/>
    <hyperlink ref="A9" r:id="rId8" display="https://www.ahd.com/free_profile/150044/Baptist_Health_Floyd/New_Albany/Indiana/" xr:uid="{E651E63B-4A03-8143-BD4D-9C6760856EE5}"/>
    <hyperlink ref="A10" r:id="rId9" display="https://www.ahd.com/free_profile/150075/Bluffton_Regional_Medical_Center/Bluffton/Indiana/" xr:uid="{2A1E1421-13ED-DD41-8E3B-E466B962F6EB}"/>
    <hyperlink ref="A11" r:id="rId10" display="https://www.ahd.com/free_profile/150009/Clark_Memorial_Hospital/Jeffersonville/Indiana/" xr:uid="{E5ED03FA-8ED3-4245-80B4-BD85EB2D0066}"/>
    <hyperlink ref="A12" r:id="rId11" display="https://www.ahd.com/free_profile/150112/Columbus_Regional_Hospital/Columbus/Indiana/" xr:uid="{2158AC65-0131-1C44-9F44-2FE6AE373884}"/>
    <hyperlink ref="A13" r:id="rId12" display="https://www.ahd.com/free_profile/150154/Community_Heart_And_Vascular_Hospital/Indianapolis/Indiana/" xr:uid="{E6CEE0AE-A00E-394F-A2CE-C23590A959B2}"/>
    <hyperlink ref="A14" r:id="rId13" display="https://www.ahd.com/free_profile/150125/Community_Hospital/Munster/Indiana/" xr:uid="{FBC8A00D-B687-484F-B6A9-953C25C821AB}"/>
    <hyperlink ref="A15" r:id="rId14" display="https://www.ahd.com/free_profile/150113/Community_Hospital_Anderson/Anderson/Indiana/" xr:uid="{ABF4B360-34E8-8F45-807C-1EBC3EA13CCE}"/>
    <hyperlink ref="A16" r:id="rId15" display="https://www.ahd.com/free_profile/150074/Community_Hospital_East/Indianapolis/Indiana/" xr:uid="{FF7ECA36-B25E-CF49-9321-71B7D8F91D9B}"/>
    <hyperlink ref="A17" r:id="rId16" display="https://www.ahd.com/free_profile/150169/Community_Hospital_North/Indianapolis/Indiana/" xr:uid="{BA694185-F6E5-3240-B633-055F9BAB1889}"/>
    <hyperlink ref="A18" r:id="rId17" display="https://www.ahd.com/free_profile/150128/Community_Hospital_South/Indianapolis/Indiana/" xr:uid="{DA3FD0DF-3737-874A-845A-56F8C8EA90F6}"/>
    <hyperlink ref="A19" r:id="rId18" display="https://www.ahd.com/free_profile/150007/Community_Howard_Regional_Health/Kokomo/Indiana/" xr:uid="{8D0DBE9D-33BC-8546-9F2F-3B5C7D776F99}"/>
    <hyperlink ref="A20" r:id="rId19" display="https://www.ahd.com/free_profile/150005/Danville_Hospital_Main_Campus/Danville/Indiana/" xr:uid="{25975A13-7266-C14A-991D-38A7837455C5}"/>
    <hyperlink ref="A21" r:id="rId20" display="https://www.ahd.com/free_profile/150061/Daviess_Community_Hospital/Washington/Indiana/" xr:uid="{E50919FE-F9EE-C94F-BF4A-1DE8209E3980}"/>
    <hyperlink ref="A22" r:id="rId21" display="https://www.ahd.com/free_profile/I41044/Deaconess_Gateway_Hospital/Newburgh/Indiana/" xr:uid="{C8153BCC-3FEE-0E4C-BF78-62DF2738854B}"/>
    <hyperlink ref="A23" r:id="rId22" display="https://www.ahd.com/free_profile/150082/Deaconess_Midtown_Hospital/Evansville/Indiana/" xr:uid="{4B519076-F908-BE48-92C6-2CDB26D1AA7C}"/>
    <hyperlink ref="A24" r:id="rId23" display="https://www.ahd.com/free_profile/150150/Dupont_Hospital/Fort_Wayne/Indiana/" xr:uid="{3401DEED-9DB6-2C4D-B4C9-B9C303C2095F}"/>
    <hyperlink ref="A25" r:id="rId24" display="https://www.ahd.com/free_profile/150018/Elkhart_General_Hospital/Elkhart/Indiana/" xr:uid="{901FCA4D-6AB4-734B-8F95-4A37F66029C3}"/>
    <hyperlink ref="A26" r:id="rId25" display="https://www.ahd.com/free_profile/150179/Fairbanks_Hospital/Indianapolis/Indiana/" xr:uid="{329E4E5B-A31E-094D-89C1-F25E9EB4E05A}"/>
    <hyperlink ref="A27" r:id="rId26" display="https://www.ahd.com/free_profile/150022/Franciscan__Health__Crawfordsville/Crawfordsville/Indiana/" xr:uid="{9E717738-746E-0B46-943A-001D12423DCE}"/>
    <hyperlink ref="A28" r:id="rId27" display="https://www.ahd.com/free_profile/150162/Franciscan__Health__Indianapolis_/Indianapolis/Indiana/" xr:uid="{1B3528F9-8939-8D4D-8566-90283C08AD43}"/>
    <hyperlink ref="A29" r:id="rId28" display="https://www.ahd.com/free_profile/150003/Franciscan__Health__Lafayette_Central/Lafayette/Indiana/" xr:uid="{93CEED54-9176-6C45-B299-FD3DB052E250}"/>
    <hyperlink ref="A30" r:id="rId29" display="https://www.ahd.com/free_profile/150109/Franciscan__Health_Lafayette_East/Lafayette/Indiana/" xr:uid="{2EEC05A0-FCAC-5F4E-AADF-BA038C7F4C84}"/>
    <hyperlink ref="A31" r:id="rId30" display="https://www.ahd.com/free_profile/150004/Franciscan_Health__Hammond/Hammond/Indiana/" xr:uid="{F3103B29-23B3-4245-9C38-08AB5A5FA84D}"/>
    <hyperlink ref="A32" r:id="rId31" display="https://www.ahd.com/free_profile/150015/Franciscan_Health__Michigan_City_/Michigan_City/Indiana/" xr:uid="{D88CD3E8-071B-FC4C-956A-55A88BF4C35B}"/>
    <hyperlink ref="A33" r:id="rId32" display="https://www.ahd.com/free_profile/150057/Franciscan_Health__Mooresville_Campus/Mooresville/Indiana/" xr:uid="{E4D3125A-E067-6349-B513-250ED06F9BFD}"/>
    <hyperlink ref="A34" r:id="rId33" display="https://www.ahd.com/free_profile/150165/Franciscan_Health__Munster_/Munster/Indiana/" xr:uid="{46687243-4A08-0249-8D07-15DA20DCEE1B}"/>
    <hyperlink ref="A35" r:id="rId34" display="https://www.ahd.com/free_profile/150182/Franciscan_Health_Carmel/Carmel/Indiana/" xr:uid="{D313E356-22CF-A544-9576-A35AC74A5530}"/>
    <hyperlink ref="A36" r:id="rId35" display="https://www.ahd.com/free_profile/150126/Franciscan_Health_Crown_Point/Crown_Point/Indiana/" xr:uid="{A4DAB249-2BD1-C140-9D43-4CA9BF2E98D5}"/>
    <hyperlink ref="A37" r:id="rId36" display="https://www.ahd.com/free_profile/150090/Franciscan_Health_Dyer_Campus/Dyer/Indiana/" xr:uid="{6C39F6E5-6EDD-E148-B709-D110D2CA5CE8}"/>
    <hyperlink ref="A38" r:id="rId37" display="https://www.ahd.com/free_profile/150042/Good_Samaritan_Hospital/Vincennes/Indiana/" xr:uid="{5056B7CF-1E1D-5549-9453-A8C8BB3C8A63}"/>
    <hyperlink ref="A39" r:id="rId38" display="https://www.ahd.com/free_profile/150026/Goshen_Hospital/Goshen/Indiana/" xr:uid="{B627DC87-5302-554C-8908-EC47685DF6FE}"/>
    <hyperlink ref="A40" r:id="rId39" display="https://www.ahd.com/free_profile/150037/Hancock_Regional_Hospital/Greenfield/Indiana/" xr:uid="{0CA6576F-75E1-7F46-A0AE-86DEE54ABDDE}"/>
    <hyperlink ref="A41" r:id="rId40" display="https://www.ahd.com/free_profile/150030/Henry_Community_Health/New_Castle/Indiana/" xr:uid="{542C94A0-6061-834C-8690-D489A9E58A39}"/>
    <hyperlink ref="A42" r:id="rId41" display="https://www.ahd.com/free_profile/150086/Highpoint_Health/Lawrenceburg/Indiana/" xr:uid="{FC3F41E1-EE07-614E-A4C7-5B42E54E2C51}"/>
    <hyperlink ref="A43" r:id="rId42" display="https://www.ahd.com/free_profile/150173/IU_Health_Arnett_Hospital/Lafayette/Indiana/" xr:uid="{9829C9A4-87DB-AC45-A738-63EBD617A143}"/>
    <hyperlink ref="A44" r:id="rId43" display="https://www.ahd.com/free_profile/150089/IU_Health_Ball_Memorial_Hospital_/Muncie/Indiana/" xr:uid="{30AC4551-9890-0E42-81D7-0E19AFF6166E}"/>
    <hyperlink ref="A45" r:id="rId44" display="https://www.ahd.com/free_profile/150051/IU_Health_Bloomington_Hospital_/Bloomington/Indiana/" xr:uid="{DF17875A-FBF8-0642-8A91-C3558EB68FCA}"/>
    <hyperlink ref="A46" r:id="rId45" display="https://www.ahd.com/free_profile/150056/IU_Health_Methodist_University/Indianapolis/Indiana/" xr:uid="{3EBAB333-5867-6A4E-9761-287B164CDA4D}"/>
    <hyperlink ref="A47" r:id="rId46" display="https://www.ahd.com/free_profile/150161/IU_Health_North_Hospital_/Carmel/Indiana/" xr:uid="{18DA9202-A8A3-3E4F-9575-C707061BFE48}"/>
    <hyperlink ref="A48" r:id="rId47" display="https://www.ahd.com/free_profile/I41816/IU_Health_Saxony_Hospital_/Fishers/Indiana/" xr:uid="{4D31A72D-21CE-E547-8021-C831151A8C02}"/>
    <hyperlink ref="A49" r:id="rId48" display="https://www.ahd.com/free_profile/I08367/IU_Health_University_Hospital_/Indianapolis/Indiana/" xr:uid="{88AE356D-41B9-8E42-811D-61DE0C451849}"/>
    <hyperlink ref="A50" r:id="rId49" display="https://www.ahd.com/free_profile/150158/IU_Health_West_Hospital_/Avon/Indiana/" xr:uid="{FAC0A7B9-440C-CB4D-B2FC-8FF14514116B}"/>
    <hyperlink ref="A51" r:id="rId50" display="https://www.ahd.com/free_profile/150001/Johnson_Memorial_Hospital/Franklin/Indiana/" xr:uid="{3203816C-09D6-014A-9F97-91717FCD4507}"/>
    <hyperlink ref="A52" r:id="rId51" display="https://www.ahd.com/free_profile/150069/King%27s_Daughters%27_Hospital_%26_Health_Services/Madison/Indiana/" xr:uid="{570242BF-116A-CA4A-98DF-88D033A4FF33}"/>
    <hyperlink ref="A53" r:id="rId52" display="https://www.ahd.com/free_profile/150133/Kosciusko_Community_Hospital/Warsaw/Indiana/" xr:uid="{ECFD6583-E78E-A648-9281-4CE7A1D57CE9}"/>
    <hyperlink ref="A54" r:id="rId53" display="https://www.ahd.com/free_profile/150006/La_Porte_Hospital/La_Porte/Indiana/" xr:uid="{E9AE7211-F4B3-9841-8B62-D678D364EB5D}"/>
    <hyperlink ref="A55" r:id="rId54" display="https://www.ahd.com/free_profile/150072/Logansport_Memorial_Hospital/Logansport/Indiana/" xr:uid="{93A966B8-836D-1F49-9CCA-42BD8BA27939}"/>
    <hyperlink ref="A56" r:id="rId55" display="https://www.ahd.com/free_profile/150168/Lutheran_Health_Network_The_Orthopedic_Hospital/Fort_Wayne/Indiana/" xr:uid="{9639D889-DAC0-1C4C-824C-4479F7D0DB2D}"/>
    <hyperlink ref="A57" r:id="rId56" display="https://www.ahd.com/free_profile/150017/Lutheran_Hospital_/Fort_Wayne/Indiana/" xr:uid="{F8FA6986-98D8-6940-948E-CA4CAE7F6529}"/>
    <hyperlink ref="A58" r:id="rId57" display="https://www.ahd.com/free_profile/150011/Marion_General_Hospital/Marion/Indiana/" xr:uid="{BFFDC506-3FAF-3347-B256-30F812D44689}"/>
    <hyperlink ref="A59" r:id="rId58" display="https://www.ahd.com/free_profile/150058/Memorial_Hospital/South_Bend/Indiana/" xr:uid="{F4E321C8-3263-1945-842F-D68A252748BD}"/>
    <hyperlink ref="A60" r:id="rId59" display="https://www.ahd.com/free_profile/150115/Memorial_Hospital_and_Health_Care_Center/Jasper/Indiana/" xr:uid="{88DBF04E-C6FE-F644-9A84-C6249E1A6D13}"/>
    <hyperlink ref="A61" r:id="rId60" display="https://www.ahd.com/free_profile/150002/Methodist_Hospitals_-_Northlake_Campus/Gary/Indiana/" xr:uid="{D3555C3E-5EE7-D64C-A06A-344FC4DA7D97}"/>
    <hyperlink ref="A62" r:id="rId61" display="https://www.ahd.com/free_profile/150132/Methodist_Hospitals_-_Southlake_Campus/Merrillville/Indiana/" xr:uid="{C5D69ACD-15ED-3C46-8F03-84086AFCE61D}"/>
    <hyperlink ref="A63" r:id="rId62" display="https://www.ahd.com/free_profile/150097/MHP_Medical_Center/Shelbyville/Indiana/" xr:uid="{33D8F43F-CB07-F747-A9BD-C6F5BD9DE8A0}"/>
    <hyperlink ref="A64" r:id="rId63" display="https://www.ahd.com/free_profile/150183/Monroe_Hospital/Bloomington/Indiana/" xr:uid="{D417E2FC-71EC-DA40-80F8-C34A99FDCF93}"/>
    <hyperlink ref="A65" r:id="rId64" display="https://www.ahd.com/free_profile/150160/OrthoIndy_Hospital/Indianapolis/Indiana/" xr:uid="{2FFA0776-A115-7049-AEDB-CEA75A56AD0B}"/>
    <hyperlink ref="A66" r:id="rId65" display="https://www.ahd.com/free_profile/150045/Parkview_DeKalb_Hospital/Auburn/Indiana/" xr:uid="{DA487495-6D91-0649-8D23-E69480C67FFC}"/>
    <hyperlink ref="A67" r:id="rId66" display="https://www.ahd.com/free_profile/I42180/Parkview_Hospital_Randallia/Fort_Wayne/Indiana/" xr:uid="{8B58FB99-2476-E64A-A2BD-19243FC75B5F}"/>
    <hyperlink ref="A68" r:id="rId67" display="https://www.ahd.com/free_profile/150091/Parkview_Huntington_Hospital/Huntington/Indiana/" xr:uid="{7AA9E0BA-EC92-E040-8DBF-4DF1C9B2F9BA}"/>
    <hyperlink ref="A69" r:id="rId68" display="https://www.ahd.com/free_profile/150146/Parkview_Noble_Hospital/Kendallville/Indiana/" xr:uid="{DFDE2BFB-5283-7F4C-B5DD-7EA5F199B431}"/>
    <hyperlink ref="A70" r:id="rId69" display="https://www.ahd.com/free_profile/150167/Parkview_Ortho_Hospital/Fort_Wayne/Indiana/" xr:uid="{31011793-A770-BA4D-9C32-1B007451EEB4}"/>
    <hyperlink ref="A71" r:id="rId70" display="https://www.ahd.com/free_profile/150021/Parkview_Regional_Medical_Center/Fort_Wayne/Indiana/" xr:uid="{81A00D02-20A5-F548-94B7-A0AFFAD999AB}"/>
    <hyperlink ref="A72" r:id="rId71" display="https://www.ahd.com/free_profile/150101/Parkview_Whitley_Hospital/Columbia_City/Indiana/" xr:uid="{8DEE05EA-424D-9548-89C6-4AF0BBA0F223}"/>
    <hyperlink ref="A73" r:id="rId72" display="https://www.ahd.com/free_profile/I41733/Peyton_Manning_Children%27s_Hospital/Indianapolis/Indiana/" xr:uid="{FE1D5F99-1EDA-6646-A92E-BC603C5CC87E}"/>
    <hyperlink ref="A74" r:id="rId73" display="https://www.ahd.com/free_profile/150166/Pinnacle_Hospital/Crown_Point/Indiana/" xr:uid="{63EBB556-3BAE-3845-9D6B-B221DE4A951E}"/>
    <hyperlink ref="A75" r:id="rId74" display="https://www.ahd.com/free_profile/150076/Plymouth_Medical_Center/Plymouth/Indiana/" xr:uid="{DDC645E3-5648-0945-ADED-C642B6B9CA58}"/>
    <hyperlink ref="A76" r:id="rId75" display="https://www.ahd.com/free_profile/150172/PMC_Regional_Hospital_/New_Albany/Indiana/" xr:uid="{15E1163F-754F-F446-9C0F-0AC19D83A756}"/>
    <hyperlink ref="A77" r:id="rId76" display="https://www.ahd.com/free_profile/I41250/Portage_Hospital_/Portage/Indiana/" xr:uid="{1E806F44-7EB2-D742-8AFE-02A903DF2B85}"/>
    <hyperlink ref="A78" r:id="rId77" display="https://www.ahd.com/free_profile/150035/Porter_Regional_Hospital_/Valparaiso/Indiana/" xr:uid="{77669853-981A-1249-B859-BE88336914E6}"/>
    <hyperlink ref="A79" r:id="rId78" display="https://www.ahd.com/free_profile/150048/Reid_Hospital/Richmond/Indiana/" xr:uid="{C64CADF0-E55C-3E42-B03E-24B8AB8D06E0}"/>
    <hyperlink ref="A80" r:id="rId79" display="https://www.ahd.com/free_profile/15003F/Richard_L_Roudebush_VA_Medical_Center/Indianapolis/Indiana/" xr:uid="{651345C3-E1A4-6A4F-A86F-213D6F4F26E6}"/>
    <hyperlink ref="A81" r:id="rId80" display="https://www.ahd.com/free_profile/150059/Riverview_Health_Noblesville_Hospital/Noblesville/Indiana/" xr:uid="{F26E23CD-0E61-BA4F-A40A-16FA3437B621}"/>
    <hyperlink ref="A82" r:id="rId81" display="https://www.ahd.com/free_profile/I42266/Riverview_Health_Westfield_Hospital_/Westfield/Indiana/" xr:uid="{7CDD214E-92B2-7440-BBB5-AF469FFE42DB}"/>
    <hyperlink ref="A83" r:id="rId82" display="https://www.ahd.com/free_profile/150008/Saint_Catherine_Hospital/East_Chicago/Indiana/" xr:uid="{D51264D7-DB59-3848-B1A2-020DDB0B9B50}"/>
    <hyperlink ref="A84" r:id="rId83" display="https://www.ahd.com/free_profile/150012/Saint_Joseph_Health_Mishawaka_Medical_Center/Mishawaka/Indiana/" xr:uid="{CB6ED5FA-91A1-AC48-99F7-DBC7E0910C7F}"/>
    <hyperlink ref="A85" r:id="rId84" display="https://www.ahd.com/free_profile/150047/Saint_Joseph_Hospital/Fort_Wayne/Indiana/" xr:uid="{2F6FB9A8-EDA1-BE43-84B9-4E1F3D76B265}"/>
    <hyperlink ref="A86" r:id="rId85" display="https://www.ahd.com/free_profile/150034/Saint_Mary_Medical_Center/Hobart/Indiana/" xr:uid="{2EAD6A5D-7C15-2C44-9A40-C97F352109AA}"/>
    <hyperlink ref="A87" r:id="rId86" display="https://www.ahd.com/free_profile/150088/Saint_Vincent_Anderson_/Anderson/Indiana/" xr:uid="{AFEC0A4B-9303-4E47-9D62-ACBE49FEDA09}"/>
    <hyperlink ref="A88" r:id="rId87" display="https://www.ahd.com/free_profile/150181/Saint_Vincent_Fishers_Hospital/Fishers/Indiana/" xr:uid="{31037E45-356A-8F4E-A1CD-31D015E13B43}"/>
    <hyperlink ref="A89" r:id="rId88" display="https://www.ahd.com/free_profile/150136/Saint_Vincent_Women%27s_Hospital/Indianapolis/Indiana/" xr:uid="{CFEA0A8A-AE0A-E743-BD76-50797C819D82}"/>
    <hyperlink ref="A90" r:id="rId89" display="https://www.ahd.com/free_profile/150065/Schneck_Medical_Center/Seymour/Indiana/" xr:uid="{18AE1D7F-961D-CD46-A1F6-61BF1B0F9755}"/>
    <hyperlink ref="A91" r:id="rId90" display="https://www.ahd.com/free_profile/150024/Sidney_and_Lois_Eskenazi_Hospital_/Indianapolis/Indiana/" xr:uid="{A2D22751-AD47-0441-B86B-0C9BCE6311AF}"/>
    <hyperlink ref="A92" r:id="rId91" display="https://www.ahd.com/free_profile/I42296/St_Vincent_Neighborhood_Hospital_Indianapolis_South/Indianapolis/Indiana/" xr:uid="{00EB4021-E6BF-A14B-B7D4-9362EC019099}"/>
    <hyperlink ref="A93" r:id="rId92" display="https://www.ahd.com/free_profile/I42298/St_Vincent_Neighborhood_Hospital_Noblesville/Noblesville/Indiana/" xr:uid="{D3F3A605-6182-FF4F-9506-F1FB87D2D662}"/>
    <hyperlink ref="A94" r:id="rId93" display="https://www.ahd.com/free_profile/I42299/St_Vincent_Neighborhood_Hospital_Plainfield/Plainfield/Indiana/" xr:uid="{7570F446-0908-BB4C-B3D2-5BE623F96711}"/>
    <hyperlink ref="A95" r:id="rId94" display="https://www.ahd.com/free_profile/150102/Starke_Hospital/Knox/Indiana/" xr:uid="{3488AB4D-72DE-EF4C-9A80-1D59D052FB28}"/>
    <hyperlink ref="A96" r:id="rId95" display="https://www.ahd.com/free_profile/150046/Terre_Haute_Regional_Hospital/Terre_Haute/Indiana/" xr:uid="{7AF0AF40-1A29-894F-8B1C-81D716595B7E}"/>
    <hyperlink ref="A97" r:id="rId96" display="https://www.ahd.com/free_profile/150175/The_Heart_Hospital_/Newburgh/Indiana/" xr:uid="{CAF0F20B-329C-1F48-8C79-257C7D856818}"/>
    <hyperlink ref="A98" r:id="rId97" display="https://www.ahd.com/free_profile/150149/The_Women%27s_Hospital/Newburgh/Indiana/" xr:uid="{E420931E-B2AB-934D-8AD9-E345F0E4009C}"/>
    <hyperlink ref="A99" r:id="rId98" display="https://www.ahd.com/free_profile/150023/Union_Hospital/Terre_Haute/Indiana/" xr:uid="{BE1683FF-D17B-8042-BE3C-E274926EBCFE}"/>
    <hyperlink ref="A100" r:id="rId99" display="https://www.ahd.com/free_profile/150177/Unity_Medical_and_Surgical_Hospital_/Mishawaka/Indiana/" xr:uid="{016401E8-1E58-CB4A-A94C-9C097CEFF47C}"/>
    <hyperlink ref="A101" r:id="rId100" display="https://www.ahd.com/free_profile/15002F/VA_Northern_Indiana_Health_Care_System_-_Fort_Wayne_Campus/Fort_Wayne/Indiana/" xr:uid="{7009755D-D301-2844-9312-4BC496A974D0}"/>
    <hyperlink ref="A102" r:id="rId101" display="https://www.ahd.com/free_profile/150104/Witham_Memorial_Hospital/Lebanon/Indiana/" xr:uid="{89DA09F9-E0D6-B645-A68A-78D11F5DC214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7ADC-7541-0448-BC5D-7A332357EDA9}">
  <sheetPr codeName="Sheet18"/>
  <dimension ref="A1:G58"/>
  <sheetViews>
    <sheetView workbookViewId="0">
      <selection activeCell="G2" sqref="G2:G57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2163</v>
      </c>
      <c r="B2" s="2" t="s">
        <v>2164</v>
      </c>
      <c r="C2" s="2">
        <v>264</v>
      </c>
      <c r="D2" s="3">
        <v>7106</v>
      </c>
      <c r="E2" s="3">
        <v>27646</v>
      </c>
      <c r="F2" s="4">
        <v>844487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"*",CHOOSE({1,2}, Super_CBSA!$E$2:$E$1917, Super_CBSA!$A$2:$A$1917), 2,FALSE), ""))</f>
        <v>45820</v>
      </c>
    </row>
    <row r="3" spans="1:7" ht="17">
      <c r="A3" s="1" t="s">
        <v>2165</v>
      </c>
      <c r="B3" s="2" t="s">
        <v>1967</v>
      </c>
      <c r="C3" s="2">
        <v>47</v>
      </c>
      <c r="D3" s="3">
        <v>1252</v>
      </c>
      <c r="E3" s="3">
        <v>3627</v>
      </c>
      <c r="F3" s="4">
        <v>109034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"*",CHOOSE({1,2}, Super_CBSA!$E$2:$E$1917, Super_CBSA!$A$2:$A$1917), 2,FALSE), ""))</f>
        <v>36840</v>
      </c>
    </row>
    <row r="4" spans="1:7" ht="17">
      <c r="A4" s="1" t="s">
        <v>2166</v>
      </c>
      <c r="B4" s="2" t="s">
        <v>2167</v>
      </c>
      <c r="C4" s="2">
        <v>365</v>
      </c>
      <c r="D4" s="3">
        <v>19408</v>
      </c>
      <c r="E4" s="3">
        <v>86912</v>
      </c>
      <c r="F4" s="4">
        <v>2350015</v>
      </c>
      <c r="G4" s="11" t="str" cm="1">
        <f t="array" aca="1" ref="G4" ca="1">IFERROR(VLOOKUP("*" &amp; B4  &amp; "*" &amp; (MID(CELL("filename",A3),FIND("]",CELL("filename",A3))+1,31)) &amp; "*",CHOOSE({1,2}, Super_CBSA!$B$2:$B$1917, Super_CBSA!$A$2:$A$1917), 2,FALSE), IFERROR(VLOOKUP(B4  &amp; "*",CHOOSE({1,2}, Super_CBSA!$E$2:$E$1917, Super_CBSA!$A$2:$A$1917), 2,FALSE), ""))</f>
        <v/>
      </c>
    </row>
    <row r="5" spans="1:7" ht="17">
      <c r="A5" s="1" t="s">
        <v>2168</v>
      </c>
      <c r="B5" s="2" t="s">
        <v>2169</v>
      </c>
      <c r="C5" s="2">
        <v>94</v>
      </c>
      <c r="D5" s="3">
        <v>3697</v>
      </c>
      <c r="E5" s="3">
        <v>14241</v>
      </c>
      <c r="F5" s="4">
        <v>328579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"*",CHOOSE({1,2}, Super_CBSA!$E$2:$E$1917, Super_CBSA!$A$2:$A$1917), 2,FALSE), ""))</f>
        <v>31740</v>
      </c>
    </row>
    <row r="6" spans="1:7" ht="17">
      <c r="A6" s="1" t="s">
        <v>2170</v>
      </c>
      <c r="B6" s="2" t="s">
        <v>2171</v>
      </c>
      <c r="C6" s="2">
        <v>78</v>
      </c>
      <c r="D6" s="3">
        <v>3215</v>
      </c>
      <c r="E6" s="3">
        <v>9844</v>
      </c>
      <c r="F6" s="4">
        <v>310810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"*",CHOOSE({1,2}, Super_CBSA!$E$2:$E$1917, Super_CBSA!$A$2:$A$1917), 2,FALSE), ""))</f>
        <v>38260</v>
      </c>
    </row>
    <row r="7" spans="1:7" ht="17">
      <c r="A7" s="1" t="s">
        <v>2172</v>
      </c>
      <c r="B7" s="2" t="s">
        <v>2173</v>
      </c>
      <c r="C7" s="2">
        <v>650</v>
      </c>
      <c r="D7" s="3">
        <v>29101</v>
      </c>
      <c r="E7" s="3">
        <v>153676</v>
      </c>
      <c r="F7" s="4">
        <v>2456655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"*",CHOOSE({1,2}, Super_CBSA!$E$2:$E$1917, Super_CBSA!$A$2:$A$1917), 2,FALSE), ""))</f>
        <v>48620</v>
      </c>
    </row>
    <row r="8" spans="1:7" ht="17">
      <c r="A8" s="1" t="s">
        <v>2174</v>
      </c>
      <c r="B8" s="2" t="s">
        <v>2173</v>
      </c>
      <c r="C8" s="2">
        <v>0</v>
      </c>
      <c r="D8" s="2">
        <v>0</v>
      </c>
      <c r="E8" s="2">
        <v>0</v>
      </c>
      <c r="F8" s="4">
        <v>0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"*",CHOOSE({1,2}, Super_CBSA!$E$2:$E$1917, Super_CBSA!$A$2:$A$1917), 2,FALSE), ""))</f>
        <v>48620</v>
      </c>
    </row>
    <row r="9" spans="1:7" ht="17">
      <c r="A9" s="1" t="s">
        <v>2175</v>
      </c>
      <c r="B9" s="2" t="s">
        <v>2173</v>
      </c>
      <c r="C9" s="2">
        <v>57</v>
      </c>
      <c r="D9" s="3">
        <v>1288</v>
      </c>
      <c r="E9" s="3">
        <v>4467</v>
      </c>
      <c r="F9" s="4">
        <v>167282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"*",CHOOSE({1,2}, Super_CBSA!$E$2:$E$1917, Super_CBSA!$A$2:$A$1917), 2,FALSE), ""))</f>
        <v>48620</v>
      </c>
    </row>
    <row r="10" spans="1:7" ht="17">
      <c r="A10" s="1" t="s">
        <v>2176</v>
      </c>
      <c r="B10" s="2" t="s">
        <v>2177</v>
      </c>
      <c r="C10" s="2">
        <v>26</v>
      </c>
      <c r="D10" s="2">
        <v>278</v>
      </c>
      <c r="E10" s="3">
        <v>1204</v>
      </c>
      <c r="F10" s="4">
        <v>24497</v>
      </c>
      <c r="G10" s="11" t="str" cm="1">
        <f t="array" aca="1" ref="G10" ca="1">IFERROR(VLOOKUP("*" &amp; B10  &amp; "*" &amp; (MID(CELL("filename",A9),FIND("]",CELL("filename",A9))+1,31)) &amp; "*",CHOOSE({1,2}, Super_CBSA!$B$2:$B$1917, Super_CBSA!$A$2:$A$1917), 2,FALSE), IFERROR(VLOOKUP(B10  &amp; "*",CHOOSE({1,2}, Super_CBSA!$E$2:$E$1917, Super_CBSA!$A$2:$A$1917), 2,FALSE), ""))</f>
        <v/>
      </c>
    </row>
    <row r="11" spans="1:7" ht="17">
      <c r="A11" s="1" t="s">
        <v>2178</v>
      </c>
      <c r="B11" s="2" t="s">
        <v>2179</v>
      </c>
      <c r="C11" s="2">
        <v>67</v>
      </c>
      <c r="D11" s="3">
        <v>1446</v>
      </c>
      <c r="E11" s="3">
        <v>4320</v>
      </c>
      <c r="F11" s="4">
        <v>109026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"*",CHOOSE({1,2}, Super_CBSA!$E$2:$E$1917, Super_CBSA!$A$2:$A$1917), 2,FALSE), ""))</f>
        <v>17700</v>
      </c>
    </row>
    <row r="12" spans="1:7" ht="17">
      <c r="A12" s="1" t="s">
        <v>1281</v>
      </c>
      <c r="B12" s="2" t="s">
        <v>2180</v>
      </c>
      <c r="C12" s="2">
        <v>9</v>
      </c>
      <c r="D12" s="2">
        <v>180</v>
      </c>
      <c r="E12" s="2">
        <v>477</v>
      </c>
      <c r="F12" s="4">
        <v>94270</v>
      </c>
      <c r="G12" s="11" t="str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"*",CHOOSE({1,2}, Super_CBSA!$E$2:$E$1917, Super_CBSA!$A$2:$A$1917), 2,FALSE), ""))</f>
        <v/>
      </c>
    </row>
    <row r="13" spans="1:7" ht="17">
      <c r="A13" s="1" t="s">
        <v>2181</v>
      </c>
      <c r="B13" s="2" t="s">
        <v>2182</v>
      </c>
      <c r="C13" s="2">
        <v>49</v>
      </c>
      <c r="D13" s="2">
        <v>979</v>
      </c>
      <c r="E13" s="3">
        <v>3202</v>
      </c>
      <c r="F13" s="4">
        <v>108192</v>
      </c>
      <c r="G13" s="11" t="str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"*",CHOOSE({1,2}, Super_CBSA!$E$2:$E$1917, Super_CBSA!$A$2:$A$1917), 2,FALSE), ""))</f>
        <v/>
      </c>
    </row>
    <row r="14" spans="1:7" ht="17">
      <c r="A14" s="1" t="s">
        <v>2183</v>
      </c>
      <c r="B14" s="2" t="s">
        <v>2184</v>
      </c>
      <c r="C14" s="2">
        <v>33</v>
      </c>
      <c r="D14" s="3">
        <v>1301</v>
      </c>
      <c r="E14" s="3">
        <v>4653</v>
      </c>
      <c r="F14" s="4">
        <v>111163</v>
      </c>
      <c r="G14" s="11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"*",CHOOSE({1,2}, Super_CBSA!$E$2:$E$1917, Super_CBSA!$A$2:$A$1917), 2,FALSE), ""))</f>
        <v>24460</v>
      </c>
    </row>
    <row r="15" spans="1:7" ht="17">
      <c r="A15" s="1" t="s">
        <v>2185</v>
      </c>
      <c r="B15" s="2" t="s">
        <v>2186</v>
      </c>
      <c r="C15" s="2">
        <v>149</v>
      </c>
      <c r="D15" s="3">
        <v>4929</v>
      </c>
      <c r="E15" s="3">
        <v>21695</v>
      </c>
      <c r="F15" s="4">
        <v>539868</v>
      </c>
      <c r="G15" s="11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"*",CHOOSE({1,2}, Super_CBSA!$E$2:$E$1917, Super_CBSA!$A$2:$A$1917), 2,FALSE), ""))</f>
        <v>25700</v>
      </c>
    </row>
    <row r="16" spans="1:7" ht="17">
      <c r="A16" s="1" t="s">
        <v>2187</v>
      </c>
      <c r="B16" s="2" t="s">
        <v>2188</v>
      </c>
      <c r="C16" s="2">
        <v>152</v>
      </c>
      <c r="D16" s="3">
        <v>4754</v>
      </c>
      <c r="E16" s="3">
        <v>16507</v>
      </c>
      <c r="F16" s="4">
        <v>470643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"*",CHOOSE({1,2}, Super_CBSA!$E$2:$E$1917, Super_CBSA!$A$2:$A$1917), 2,FALSE), ""))</f>
        <v>26740</v>
      </c>
    </row>
    <row r="17" spans="1:7" ht="17">
      <c r="A17" s="1" t="s">
        <v>2189</v>
      </c>
      <c r="B17" s="2" t="s">
        <v>2190</v>
      </c>
      <c r="C17" s="2">
        <v>0</v>
      </c>
      <c r="D17" s="2">
        <v>0</v>
      </c>
      <c r="E17" s="2">
        <v>0</v>
      </c>
      <c r="F17" s="4">
        <v>0</v>
      </c>
      <c r="G17" s="11" t="str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"*",CHOOSE({1,2}, Super_CBSA!$E$2:$E$1917, Super_CBSA!$A$2:$A$1917), 2,FALSE), ""))</f>
        <v/>
      </c>
    </row>
    <row r="18" spans="1:7" ht="17">
      <c r="A18" s="1" t="s">
        <v>2191</v>
      </c>
      <c r="B18" s="2" t="s">
        <v>2180</v>
      </c>
      <c r="C18" s="2">
        <v>12</v>
      </c>
      <c r="D18" s="2">
        <v>944</v>
      </c>
      <c r="E18" s="3">
        <v>1759</v>
      </c>
      <c r="F18" s="4">
        <v>142536</v>
      </c>
      <c r="G18" s="11" t="str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"*",CHOOSE({1,2}, Super_CBSA!$E$2:$E$1917, Super_CBSA!$A$2:$A$1917), 2,FALSE), ""))</f>
        <v/>
      </c>
    </row>
    <row r="19" spans="1:7" ht="17">
      <c r="A19" s="1" t="s">
        <v>2192</v>
      </c>
      <c r="B19" s="2" t="s">
        <v>2173</v>
      </c>
      <c r="C19" s="2">
        <v>46</v>
      </c>
      <c r="D19" s="3">
        <v>1752</v>
      </c>
      <c r="E19" s="3">
        <v>7345</v>
      </c>
      <c r="F19" s="4">
        <v>156405</v>
      </c>
      <c r="G19" s="11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"*",CHOOSE({1,2}, Super_CBSA!$E$2:$E$1917, Super_CBSA!$A$2:$A$1917), 2,FALSE), ""))</f>
        <v>48620</v>
      </c>
    </row>
    <row r="20" spans="1:7" ht="17">
      <c r="A20" s="1" t="s">
        <v>2193</v>
      </c>
      <c r="B20" s="2" t="s">
        <v>2194</v>
      </c>
      <c r="C20" s="2">
        <v>55</v>
      </c>
      <c r="D20" s="3">
        <v>2475</v>
      </c>
      <c r="E20" s="3">
        <v>9805</v>
      </c>
      <c r="F20" s="4">
        <v>174213</v>
      </c>
      <c r="G20" s="11" t="str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"*",CHOOSE({1,2}, Super_CBSA!$E$2:$E$1917, Super_CBSA!$A$2:$A$1917), 2,FALSE), ""))</f>
        <v/>
      </c>
    </row>
    <row r="21" spans="1:7" ht="17">
      <c r="A21" s="1" t="s">
        <v>2195</v>
      </c>
      <c r="B21" s="2" t="s">
        <v>2173</v>
      </c>
      <c r="C21" s="2">
        <v>36</v>
      </c>
      <c r="D21" s="3">
        <v>2194</v>
      </c>
      <c r="E21" s="3">
        <v>4821</v>
      </c>
      <c r="F21" s="4">
        <v>210234</v>
      </c>
      <c r="G21" s="11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"*",CHOOSE({1,2}, Super_CBSA!$E$2:$E$1917, Super_CBSA!$A$2:$A$1917), 2,FALSE), ""))</f>
        <v>48620</v>
      </c>
    </row>
    <row r="22" spans="1:7" ht="17">
      <c r="A22" s="1" t="s">
        <v>2196</v>
      </c>
      <c r="B22" s="2" t="s">
        <v>2173</v>
      </c>
      <c r="C22" s="2">
        <v>32</v>
      </c>
      <c r="D22" s="3">
        <v>1909</v>
      </c>
      <c r="E22" s="3">
        <v>4240</v>
      </c>
      <c r="F22" s="4">
        <v>123615</v>
      </c>
      <c r="G22" s="11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"*",CHOOSE({1,2}, Super_CBSA!$E$2:$E$1917, Super_CBSA!$A$2:$A$1917), 2,FALSE), ""))</f>
        <v>48620</v>
      </c>
    </row>
    <row r="23" spans="1:7" ht="17">
      <c r="A23" s="1" t="s">
        <v>2197</v>
      </c>
      <c r="B23" s="2" t="s">
        <v>2198</v>
      </c>
      <c r="C23" s="2">
        <v>53</v>
      </c>
      <c r="D23" s="3">
        <v>1954</v>
      </c>
      <c r="E23" s="3">
        <v>5794</v>
      </c>
      <c r="F23" s="4">
        <v>209382</v>
      </c>
      <c r="G23" s="11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"*",CHOOSE({1,2}, Super_CBSA!$E$2:$E$1917, Super_CBSA!$A$2:$A$1917), 2,FALSE), ""))</f>
        <v>37660</v>
      </c>
    </row>
    <row r="24" spans="1:7" ht="17">
      <c r="A24" s="1" t="s">
        <v>2199</v>
      </c>
      <c r="B24" s="2" t="s">
        <v>2200</v>
      </c>
      <c r="C24" s="2">
        <v>136</v>
      </c>
      <c r="D24" s="3">
        <v>6431</v>
      </c>
      <c r="E24" s="3">
        <v>20603</v>
      </c>
      <c r="F24" s="4">
        <v>942458</v>
      </c>
      <c r="G24" s="11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"*",CHOOSE({1,2}, Super_CBSA!$E$2:$E$1917, Super_CBSA!$A$2:$A$1917), 2,FALSE), ""))</f>
        <v>29940</v>
      </c>
    </row>
    <row r="25" spans="1:7" ht="17">
      <c r="A25" s="1" t="s">
        <v>2201</v>
      </c>
      <c r="B25" s="2" t="s">
        <v>2169</v>
      </c>
      <c r="C25" s="2">
        <v>13</v>
      </c>
      <c r="D25" s="2">
        <v>761</v>
      </c>
      <c r="E25" s="3">
        <v>1227</v>
      </c>
      <c r="F25" s="4">
        <v>125584</v>
      </c>
      <c r="G25" s="11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"*",CHOOSE({1,2}, Super_CBSA!$E$2:$E$1917, Super_CBSA!$A$2:$A$1917), 2,FALSE), ""))</f>
        <v>31740</v>
      </c>
    </row>
    <row r="26" spans="1:7" ht="17">
      <c r="A26" s="1" t="s">
        <v>2202</v>
      </c>
      <c r="B26" s="2" t="s">
        <v>2203</v>
      </c>
      <c r="C26" s="2">
        <v>37</v>
      </c>
      <c r="D26" s="2">
        <v>749</v>
      </c>
      <c r="E26" s="3">
        <v>2694</v>
      </c>
      <c r="F26" s="4">
        <v>78555</v>
      </c>
      <c r="G26" s="11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"*",CHOOSE({1,2}, Super_CBSA!$E$2:$E$1917, Super_CBSA!$A$2:$A$1917), 2,FALSE), ""))</f>
        <v>32700</v>
      </c>
    </row>
    <row r="27" spans="1:7" ht="17">
      <c r="A27" s="1" t="s">
        <v>2204</v>
      </c>
      <c r="B27" s="2" t="s">
        <v>2205</v>
      </c>
      <c r="C27" s="2">
        <v>164</v>
      </c>
      <c r="D27" s="3">
        <v>8593</v>
      </c>
      <c r="E27" s="3">
        <v>35245</v>
      </c>
      <c r="F27" s="4">
        <v>1246636</v>
      </c>
      <c r="G27" s="11" t="str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"*",CHOOSE({1,2}, Super_CBSA!$E$2:$E$1917, Super_CBSA!$A$2:$A$1917), 2,FALSE), ""))</f>
        <v/>
      </c>
    </row>
    <row r="28" spans="1:7" ht="17">
      <c r="A28" s="1" t="s">
        <v>1380</v>
      </c>
      <c r="B28" s="2" t="s">
        <v>2206</v>
      </c>
      <c r="C28" s="2">
        <v>21</v>
      </c>
      <c r="D28" s="2">
        <v>238</v>
      </c>
      <c r="E28" s="2">
        <v>828</v>
      </c>
      <c r="F28" s="4">
        <v>3742</v>
      </c>
      <c r="G28" s="11" t="str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"*",CHOOSE({1,2}, Super_CBSA!$E$2:$E$1917, Super_CBSA!$A$2:$A$1917), 2,FALSE), ""))</f>
        <v/>
      </c>
    </row>
    <row r="29" spans="1:7" ht="17">
      <c r="A29" s="1" t="s">
        <v>2207</v>
      </c>
      <c r="B29" s="2" t="s">
        <v>2208</v>
      </c>
      <c r="C29" s="2">
        <v>18</v>
      </c>
      <c r="D29" s="2">
        <v>485</v>
      </c>
      <c r="E29" s="2">
        <v>970</v>
      </c>
      <c r="F29" s="4">
        <v>69761</v>
      </c>
      <c r="G29" s="11" t="str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"*",CHOOSE({1,2}, Super_CBSA!$E$2:$E$1917, Super_CBSA!$A$2:$A$1917), 2,FALSE), ""))</f>
        <v/>
      </c>
    </row>
    <row r="30" spans="1:7" ht="17">
      <c r="A30" s="1" t="s">
        <v>2209</v>
      </c>
      <c r="B30" s="2" t="s">
        <v>2210</v>
      </c>
      <c r="C30" s="2">
        <v>9</v>
      </c>
      <c r="D30" s="2">
        <v>43</v>
      </c>
      <c r="E30" s="2">
        <v>148</v>
      </c>
      <c r="F30" s="4">
        <v>44526</v>
      </c>
      <c r="G30" s="11" t="str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"*",CHOOSE({1,2}, Super_CBSA!$E$2:$E$1917, Super_CBSA!$A$2:$A$1917), 2,FALSE), ""))</f>
        <v/>
      </c>
    </row>
    <row r="31" spans="1:7" ht="17">
      <c r="A31" s="1" t="s">
        <v>2211</v>
      </c>
      <c r="B31" s="2" t="s">
        <v>2054</v>
      </c>
      <c r="C31" s="2">
        <v>26</v>
      </c>
      <c r="D31" s="2">
        <v>169</v>
      </c>
      <c r="E31" s="2">
        <v>552</v>
      </c>
      <c r="F31" s="4">
        <v>8783</v>
      </c>
      <c r="G31" s="11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"*",CHOOSE({1,2}, Super_CBSA!$E$2:$E$1917, Super_CBSA!$A$2:$A$1917), 2,FALSE), ""))</f>
        <v>21140</v>
      </c>
    </row>
    <row r="32" spans="1:7" ht="17">
      <c r="A32" s="1" t="s">
        <v>2212</v>
      </c>
      <c r="B32" s="2" t="s">
        <v>1734</v>
      </c>
      <c r="C32" s="2">
        <v>97</v>
      </c>
      <c r="D32" s="3">
        <v>2446</v>
      </c>
      <c r="E32" s="3">
        <v>9822</v>
      </c>
      <c r="F32" s="4">
        <v>216896</v>
      </c>
      <c r="G32" s="11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"*",CHOOSE({1,2}, Super_CBSA!$E$2:$E$1917, Super_CBSA!$A$2:$A$1917), 2,FALSE), ""))</f>
        <v>12060</v>
      </c>
    </row>
    <row r="33" spans="1:7" ht="17">
      <c r="A33" s="1" t="s">
        <v>2213</v>
      </c>
      <c r="B33" s="2" t="s">
        <v>2214</v>
      </c>
      <c r="C33" s="2">
        <v>254</v>
      </c>
      <c r="D33" s="3">
        <v>10441</v>
      </c>
      <c r="E33" s="3">
        <v>39957</v>
      </c>
      <c r="F33" s="4">
        <v>837634</v>
      </c>
      <c r="G33" s="11" t="str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"*",CHOOSE({1,2}, Super_CBSA!$E$2:$E$1917, Super_CBSA!$A$2:$A$1917), 2,FALSE), ""))</f>
        <v/>
      </c>
    </row>
    <row r="34" spans="1:7" ht="17">
      <c r="A34" s="1" t="s">
        <v>2215</v>
      </c>
      <c r="B34" s="2" t="s">
        <v>2205</v>
      </c>
      <c r="C34" s="2">
        <v>270</v>
      </c>
      <c r="D34" s="3">
        <v>12115</v>
      </c>
      <c r="E34" s="3">
        <v>61130</v>
      </c>
      <c r="F34" s="4">
        <v>1842459</v>
      </c>
      <c r="G34" s="11" t="str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"*",CHOOSE({1,2}, Super_CBSA!$E$2:$E$1917, Super_CBSA!$A$2:$A$1917), 2,FALSE), ""))</f>
        <v/>
      </c>
    </row>
    <row r="35" spans="1:7" ht="17">
      <c r="A35" s="1" t="s">
        <v>2216</v>
      </c>
      <c r="B35" s="2" t="s">
        <v>2217</v>
      </c>
      <c r="C35" s="2">
        <v>81</v>
      </c>
      <c r="D35" s="3">
        <v>1357</v>
      </c>
      <c r="E35" s="3">
        <v>4219</v>
      </c>
      <c r="F35" s="4">
        <v>98743</v>
      </c>
      <c r="G35" s="11" t="str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"*",CHOOSE({1,2}, Super_CBSA!$E$2:$E$1917, Super_CBSA!$A$2:$A$1917), 2,FALSE), ""))</f>
        <v/>
      </c>
    </row>
    <row r="36" spans="1:7" ht="17">
      <c r="A36" s="1" t="s">
        <v>2218</v>
      </c>
      <c r="B36" s="2" t="s">
        <v>2219</v>
      </c>
      <c r="C36" s="2">
        <v>36</v>
      </c>
      <c r="D36" s="3">
        <v>1403</v>
      </c>
      <c r="E36" s="3">
        <v>3171</v>
      </c>
      <c r="F36" s="4">
        <v>107273</v>
      </c>
      <c r="G36" s="11" t="str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"*",CHOOSE({1,2}, Super_CBSA!$E$2:$E$1917, Super_CBSA!$A$2:$A$1917), 2,FALSE), ""))</f>
        <v/>
      </c>
    </row>
    <row r="37" spans="1:7" ht="17">
      <c r="A37" s="1" t="s">
        <v>2220</v>
      </c>
      <c r="B37" s="2" t="s">
        <v>2221</v>
      </c>
      <c r="C37" s="2">
        <v>216</v>
      </c>
      <c r="D37" s="3">
        <v>8700</v>
      </c>
      <c r="E37" s="3">
        <v>33594</v>
      </c>
      <c r="F37" s="4">
        <v>634594</v>
      </c>
      <c r="G37" s="11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"*",CHOOSE({1,2}, Super_CBSA!$E$2:$E$1917, Super_CBSA!$A$2:$A$1917), 2,FALSE), ""))</f>
        <v>28140</v>
      </c>
    </row>
    <row r="38" spans="1:7" ht="17">
      <c r="A38" s="1" t="s">
        <v>2222</v>
      </c>
      <c r="B38" s="2" t="s">
        <v>2173</v>
      </c>
      <c r="C38" s="2">
        <v>0</v>
      </c>
      <c r="D38" s="2">
        <v>0</v>
      </c>
      <c r="E38" s="2">
        <v>0</v>
      </c>
      <c r="F38" s="4">
        <v>0</v>
      </c>
      <c r="G38" s="11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"*",CHOOSE({1,2}, Super_CBSA!$E$2:$E$1917, Super_CBSA!$A$2:$A$1917), 2,FALSE), ""))</f>
        <v>48620</v>
      </c>
    </row>
    <row r="39" spans="1:7" ht="17">
      <c r="A39" s="1" t="s">
        <v>2223</v>
      </c>
      <c r="B39" s="2" t="s">
        <v>1088</v>
      </c>
      <c r="C39" s="2">
        <v>0</v>
      </c>
      <c r="D39" s="2">
        <v>0</v>
      </c>
      <c r="E39" s="2">
        <v>0</v>
      </c>
      <c r="F39" s="4">
        <v>0</v>
      </c>
      <c r="G39" s="11" t="str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"*",CHOOSE({1,2}, Super_CBSA!$E$2:$E$1917, Super_CBSA!$A$2:$A$1917), 2,FALSE), ""))</f>
        <v/>
      </c>
    </row>
    <row r="40" spans="1:7" ht="17">
      <c r="A40" s="1" t="s">
        <v>2137</v>
      </c>
      <c r="B40" s="2" t="s">
        <v>2224</v>
      </c>
      <c r="C40" s="2">
        <v>100</v>
      </c>
      <c r="D40" s="3">
        <v>3702</v>
      </c>
      <c r="E40" s="3">
        <v>14513</v>
      </c>
      <c r="F40" s="4">
        <v>322191</v>
      </c>
      <c r="G40" s="11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"*",CHOOSE({1,2}, Super_CBSA!$E$2:$E$1917, Super_CBSA!$A$2:$A$1917), 2,FALSE), ""))</f>
        <v>23780</v>
      </c>
    </row>
    <row r="41" spans="1:7" ht="17">
      <c r="A41" s="1" t="s">
        <v>2225</v>
      </c>
      <c r="B41" s="2" t="s">
        <v>2226</v>
      </c>
      <c r="C41" s="2">
        <v>52</v>
      </c>
      <c r="D41" s="3">
        <v>1416</v>
      </c>
      <c r="E41" s="3">
        <v>3874</v>
      </c>
      <c r="F41" s="4">
        <v>120150</v>
      </c>
      <c r="G41" s="11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"*",CHOOSE({1,2}, Super_CBSA!$E$2:$E$1917, Super_CBSA!$A$2:$A$1917), 2,FALSE), ""))</f>
        <v>28140</v>
      </c>
    </row>
    <row r="42" spans="1:7" ht="17">
      <c r="A42" s="1" t="s">
        <v>2227</v>
      </c>
      <c r="B42" s="2" t="s">
        <v>2226</v>
      </c>
      <c r="C42" s="2">
        <v>24</v>
      </c>
      <c r="D42" s="2">
        <v>879</v>
      </c>
      <c r="E42" s="3">
        <v>2806</v>
      </c>
      <c r="F42" s="4">
        <v>163079</v>
      </c>
      <c r="G42" s="11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"*",CHOOSE({1,2}, Super_CBSA!$E$2:$E$1917, Super_CBSA!$A$2:$A$1917), 2,FALSE), ""))</f>
        <v>28140</v>
      </c>
    </row>
    <row r="43" spans="1:7" ht="17">
      <c r="A43" s="1" t="s">
        <v>2228</v>
      </c>
      <c r="B43" s="2" t="s">
        <v>2205</v>
      </c>
      <c r="C43" s="2">
        <v>95</v>
      </c>
      <c r="D43" s="3">
        <v>5499</v>
      </c>
      <c r="E43" s="3">
        <v>19005</v>
      </c>
      <c r="F43" s="4">
        <v>585561</v>
      </c>
      <c r="G43" s="11" t="str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"*",CHOOSE({1,2}, Super_CBSA!$E$2:$E$1917, Super_CBSA!$A$2:$A$1917), 2,FALSE), ""))</f>
        <v/>
      </c>
    </row>
    <row r="44" spans="1:7" ht="17">
      <c r="A44" s="1" t="s">
        <v>2229</v>
      </c>
      <c r="B44" s="2" t="s">
        <v>2230</v>
      </c>
      <c r="C44" s="2">
        <v>205</v>
      </c>
      <c r="D44" s="3">
        <v>8544</v>
      </c>
      <c r="E44" s="3">
        <v>36077</v>
      </c>
      <c r="F44" s="4">
        <v>641076</v>
      </c>
      <c r="G44" s="11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"*",CHOOSE({1,2}, Super_CBSA!$E$2:$E$1917, Super_CBSA!$A$2:$A$1917), 2,FALSE), ""))</f>
        <v>41460</v>
      </c>
    </row>
    <row r="45" spans="1:7" ht="17">
      <c r="A45" s="1" t="s">
        <v>2231</v>
      </c>
      <c r="B45" s="2" t="s">
        <v>2230</v>
      </c>
      <c r="C45" s="2">
        <v>16</v>
      </c>
      <c r="D45" s="2">
        <v>868</v>
      </c>
      <c r="E45" s="3">
        <v>2030</v>
      </c>
      <c r="F45" s="4">
        <v>81137</v>
      </c>
      <c r="G45" s="11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"*",CHOOSE({1,2}, Super_CBSA!$E$2:$E$1917, Super_CBSA!$A$2:$A$1917), 2,FALSE), ""))</f>
        <v>41460</v>
      </c>
    </row>
    <row r="46" spans="1:7" ht="17">
      <c r="A46" s="1" t="s">
        <v>2232</v>
      </c>
      <c r="B46" s="2" t="s">
        <v>2233</v>
      </c>
      <c r="C46" s="2">
        <v>44</v>
      </c>
      <c r="D46" s="3">
        <v>1089</v>
      </c>
      <c r="E46" s="3">
        <v>2462</v>
      </c>
      <c r="F46" s="4">
        <v>39156</v>
      </c>
      <c r="G46" s="11" t="str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"*",CHOOSE({1,2}, Super_CBSA!$E$2:$E$1917, Super_CBSA!$A$2:$A$1917), 2,FALSE), ""))</f>
        <v/>
      </c>
    </row>
    <row r="47" spans="1:7" ht="17">
      <c r="A47" s="1" t="s">
        <v>2234</v>
      </c>
      <c r="B47" s="2" t="s">
        <v>2235</v>
      </c>
      <c r="C47" s="2">
        <v>89</v>
      </c>
      <c r="D47" s="3">
        <v>2361</v>
      </c>
      <c r="E47" s="3">
        <v>8620</v>
      </c>
      <c r="F47" s="4">
        <v>182837</v>
      </c>
      <c r="G47" s="11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"*",CHOOSE({1,2}, Super_CBSA!$E$2:$E$1917, Super_CBSA!$A$2:$A$1917), 2,FALSE), ""))</f>
        <v>30580</v>
      </c>
    </row>
    <row r="48" spans="1:7" ht="17">
      <c r="A48" s="1" t="s">
        <v>2236</v>
      </c>
      <c r="B48" s="2" t="s">
        <v>2164</v>
      </c>
      <c r="C48" s="2">
        <v>426</v>
      </c>
      <c r="D48" s="3">
        <v>25553</v>
      </c>
      <c r="E48" s="3">
        <v>100031</v>
      </c>
      <c r="F48" s="4">
        <v>2154447</v>
      </c>
      <c r="G48" s="11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"*",CHOOSE({1,2}, Super_CBSA!$E$2:$E$1917, Super_CBSA!$A$2:$A$1917), 2,FALSE), ""))</f>
        <v>45820</v>
      </c>
    </row>
    <row r="49" spans="1:7" ht="17">
      <c r="A49" s="1" t="s">
        <v>2237</v>
      </c>
      <c r="B49" s="2" t="s">
        <v>2188</v>
      </c>
      <c r="C49" s="2">
        <v>10</v>
      </c>
      <c r="D49" s="2">
        <v>275</v>
      </c>
      <c r="E49" s="2">
        <v>471</v>
      </c>
      <c r="F49" s="4">
        <v>17165</v>
      </c>
      <c r="G49" s="11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"*",CHOOSE({1,2}, Super_CBSA!$E$2:$E$1917, Super_CBSA!$A$2:$A$1917), 2,FALSE), ""))</f>
        <v>26740</v>
      </c>
    </row>
    <row r="50" spans="1:7" ht="17">
      <c r="A50" s="1" t="s">
        <v>2238</v>
      </c>
      <c r="B50" s="2" t="s">
        <v>291</v>
      </c>
      <c r="C50" s="2">
        <v>53</v>
      </c>
      <c r="D50" s="3">
        <v>1466</v>
      </c>
      <c r="E50" s="3">
        <v>5888</v>
      </c>
      <c r="F50" s="4">
        <v>124848</v>
      </c>
      <c r="G50" s="11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"*",CHOOSE({1,2}, Super_CBSA!$E$2:$E$1917, Super_CBSA!$A$2:$A$1917), 2,FALSE), ""))</f>
        <v>40900</v>
      </c>
    </row>
    <row r="51" spans="1:7" ht="17">
      <c r="A51" s="1" t="s">
        <v>2239</v>
      </c>
      <c r="B51" s="2" t="s">
        <v>2205</v>
      </c>
      <c r="C51" s="2">
        <v>0</v>
      </c>
      <c r="D51" s="2">
        <v>0</v>
      </c>
      <c r="E51" s="2">
        <v>0</v>
      </c>
      <c r="F51" s="4">
        <v>0</v>
      </c>
      <c r="G51" s="11" t="str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"*",CHOOSE({1,2}, Super_CBSA!$E$2:$E$1917, Super_CBSA!$A$2:$A$1917), 2,FALSE), ""))</f>
        <v/>
      </c>
    </row>
    <row r="52" spans="1:7" ht="17">
      <c r="A52" s="1" t="s">
        <v>2240</v>
      </c>
      <c r="B52" s="2" t="s">
        <v>2221</v>
      </c>
      <c r="C52" s="2">
        <v>892</v>
      </c>
      <c r="D52" s="3">
        <v>41549</v>
      </c>
      <c r="E52" s="3">
        <v>227648</v>
      </c>
      <c r="F52" s="4">
        <v>9162211</v>
      </c>
      <c r="G52" s="11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"*",CHOOSE({1,2}, Super_CBSA!$E$2:$E$1917, Super_CBSA!$A$2:$A$1917), 2,FALSE), ""))</f>
        <v>28140</v>
      </c>
    </row>
    <row r="53" spans="1:7" ht="17">
      <c r="A53" s="1" t="s">
        <v>2241</v>
      </c>
      <c r="B53" s="2" t="s">
        <v>2164</v>
      </c>
      <c r="C53" s="2">
        <v>0</v>
      </c>
      <c r="D53" s="2">
        <v>0</v>
      </c>
      <c r="E53" s="2">
        <v>0</v>
      </c>
      <c r="F53" s="4">
        <v>0</v>
      </c>
      <c r="G53" s="11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"*",CHOOSE({1,2}, Super_CBSA!$E$2:$E$1917, Super_CBSA!$A$2:$A$1917), 2,FALSE), ""))</f>
        <v>45820</v>
      </c>
    </row>
    <row r="54" spans="1:7" ht="17">
      <c r="A54" s="1" t="s">
        <v>2242</v>
      </c>
      <c r="B54" s="2" t="s">
        <v>2226</v>
      </c>
      <c r="C54" s="2">
        <v>0</v>
      </c>
      <c r="D54" s="2">
        <v>0</v>
      </c>
      <c r="E54" s="2">
        <v>0</v>
      </c>
      <c r="F54" s="4">
        <v>0</v>
      </c>
      <c r="G54" s="11" cm="1">
        <f t="array" aca="1" ref="G54" ca="1">IFERROR(VLOOKUP("*" &amp; B54  &amp; "*" &amp; (MID(CELL("filename",A53),FIND("]",CELL("filename",A53))+1,31)) &amp; "*",CHOOSE({1,2}, Super_CBSA!$B$2:$B$1917, Super_CBSA!$A$2:$A$1917), 2,FALSE), IFERROR(VLOOKUP(B54  &amp; "*",CHOOSE({1,2}, Super_CBSA!$E$2:$E$1917, Super_CBSA!$A$2:$A$1917), 2,FALSE), ""))</f>
        <v>28140</v>
      </c>
    </row>
    <row r="55" spans="1:7" ht="17">
      <c r="A55" s="1" t="s">
        <v>2243</v>
      </c>
      <c r="B55" s="2" t="s">
        <v>2173</v>
      </c>
      <c r="C55" s="2">
        <v>593</v>
      </c>
      <c r="D55" s="3">
        <v>29403</v>
      </c>
      <c r="E55" s="3">
        <v>144244</v>
      </c>
      <c r="F55" s="4">
        <v>4451780</v>
      </c>
      <c r="G55" s="11" cm="1">
        <f t="array" aca="1" ref="G55" ca="1">IFERROR(VLOOKUP("*" &amp; B55  &amp; "*" &amp; (MID(CELL("filename",A54),FIND("]",CELL("filename",A54))+1,31)) &amp; "*",CHOOSE({1,2}, Super_CBSA!$B$2:$B$1917, Super_CBSA!$A$2:$A$1917), 2,FALSE), IFERROR(VLOOKUP(B55  &amp; "*",CHOOSE({1,2}, Super_CBSA!$E$2:$E$1917, Super_CBSA!$A$2:$A$1917), 2,FALSE), ""))</f>
        <v>48620</v>
      </c>
    </row>
    <row r="56" spans="1:7" ht="17">
      <c r="A56" s="1" t="s">
        <v>2244</v>
      </c>
      <c r="B56" s="2" t="s">
        <v>2173</v>
      </c>
      <c r="C56" s="2">
        <v>71</v>
      </c>
      <c r="D56" s="3">
        <v>4978</v>
      </c>
      <c r="E56" s="3">
        <v>22041</v>
      </c>
      <c r="F56" s="4">
        <v>311466</v>
      </c>
      <c r="G56" s="11" cm="1">
        <f t="array" aca="1" ref="G56" ca="1">IFERROR(VLOOKUP("*" &amp; B56  &amp; "*" &amp; (MID(CELL("filename",A55),FIND("]",CELL("filename",A55))+1,31)) &amp; "*",CHOOSE({1,2}, Super_CBSA!$B$2:$B$1917, Super_CBSA!$A$2:$A$1917), 2,FALSE), IFERROR(VLOOKUP(B56  &amp; "*",CHOOSE({1,2}, Super_CBSA!$E$2:$E$1917, Super_CBSA!$A$2:$A$1917), 2,FALSE), ""))</f>
        <v>48620</v>
      </c>
    </row>
    <row r="57" spans="1:7" ht="17">
      <c r="A57" s="1" t="s">
        <v>2245</v>
      </c>
      <c r="B57" s="2" t="s">
        <v>2246</v>
      </c>
      <c r="C57" s="2">
        <v>60</v>
      </c>
      <c r="D57" s="3">
        <v>1738</v>
      </c>
      <c r="E57" s="3">
        <v>5034</v>
      </c>
      <c r="F57" s="4">
        <v>148552</v>
      </c>
      <c r="G57" s="11" cm="1">
        <f t="array" aca="1" ref="G57" ca="1">IFERROR(VLOOKUP("*" &amp; B57  &amp; "*" &amp; (MID(CELL("filename",A56),FIND("]",CELL("filename",A56))+1,31)) &amp; "*",CHOOSE({1,2}, Super_CBSA!$B$2:$B$1917, Super_CBSA!$A$2:$A$1917), 2,FALSE), IFERROR(VLOOKUP(B57  &amp; "*",CHOOSE({1,2}, Super_CBSA!$E$2:$E$1917, Super_CBSA!$A$2:$A$1917), 2,FALSE), ""))</f>
        <v>19980</v>
      </c>
    </row>
    <row r="58" spans="1:7" ht="17">
      <c r="A58" s="2" t="s">
        <v>56</v>
      </c>
      <c r="B58" s="2"/>
      <c r="C58" s="3">
        <v>6382</v>
      </c>
      <c r="D58" s="3">
        <v>273413</v>
      </c>
      <c r="E58" s="3">
        <v>1195139</v>
      </c>
      <c r="F58" s="4">
        <v>33804205</v>
      </c>
    </row>
  </sheetData>
  <hyperlinks>
    <hyperlink ref="A2" r:id="rId1" display="https://www.ahd.com/free_profile/170016/_University_of_Kansas_Health_System_Saint_Francis_Campus/Topeka/Kansas/" xr:uid="{8D39EEA9-FE5F-674E-9F2E-97E6C6A5D5E0}"/>
    <hyperlink ref="A3" r:id="rId2" display="https://www.ahd.com/free_profile/170014/AdventHealth_Ottawa/Ottawa/Kansas/" xr:uid="{D3FDC235-BC77-3549-9BF0-CD095E3AD479}"/>
    <hyperlink ref="A4" r:id="rId3" display="https://www.ahd.com/free_profile/170104/AdventHealth_Shawnee_Mission/Shawnee_Mission/Kansas/" xr:uid="{9BF9E45E-D06F-0E47-AB86-4CC7C81F21EB}"/>
    <hyperlink ref="A5" r:id="rId4" display="https://www.ahd.com/free_profile/170142/Ascension_Via_Christi_Hospital_in_Manhattan/Manhattan/Kansas/" xr:uid="{6D98C488-7C12-0948-98C1-32C26B1FA6EA}"/>
    <hyperlink ref="A6" r:id="rId5" display="https://www.ahd.com/free_profile/170006/Ascension_Via_Christi_Hospital_in_Pittsburg/Pittsburg/Kansas/" xr:uid="{3E263B76-EEE3-2A44-92A2-E437BD2A7B98}"/>
    <hyperlink ref="A7" r:id="rId6" display="https://www.ahd.com/free_profile/170122/Ascension_Via_Christi_St_Francis/Wichita/Kansas/" xr:uid="{7C541A0F-CBD1-D84E-A78F-9D71CF93DF18}"/>
    <hyperlink ref="A8" r:id="rId7" display="https://www.ahd.com/free_profile/I41235/Ascension_Via_Christi_St_Joseph/Wichita/Kansas/" xr:uid="{A57820DD-80B9-A548-A84A-22C5C19E892E}"/>
    <hyperlink ref="A9" r:id="rId8" display="https://www.ahd.com/free_profile/170200/Ascension_Via_Christi_St_Teresa/Wichita/Kansas/" xr:uid="{00E8470D-227A-C04B-A9BE-329F54A76467}"/>
    <hyperlink ref="A10" r:id="rId9" display="https://www.ahd.com/free_profile/170110/Bob_Wilson_Memorial_Grant_County_Hospital/Ulysses/Kansas/" xr:uid="{75F15CF1-6F09-BC4C-BC83-E4AFFD050C1A}"/>
    <hyperlink ref="A11" r:id="rId10" display="https://www.ahd.com/free_profile/170145/Coffeyville_Regional_Medical_Center/Coffeyville/Kansas/" xr:uid="{68B21392-3AEA-E149-885F-60E14666E439}"/>
    <hyperlink ref="A12" r:id="rId11" display="https://www.ahd.com/free_profile/170194/Doctors_Hospital/Leawood/Kansas/" xr:uid="{F6F21236-93CC-2A48-9553-3B1D4C2DD2E4}"/>
    <hyperlink ref="A13" r:id="rId12" display="https://www.ahd.com/free_profile/170074/Geary_Community_Hospital/Junction_City/Kansas/" xr:uid="{E25719A0-3B1A-3740-98F5-D7BDF4399DFF}"/>
    <hyperlink ref="A14" r:id="rId13" display="https://www.ahd.com/free_profile/170191/Great_Bend_Regional_Hospital/Great_Bend/Kansas/" xr:uid="{5DA7C8E3-41EB-514B-A496-EC3E99740E3A}"/>
    <hyperlink ref="A15" r:id="rId14" display="https://www.ahd.com/free_profile/170013/Hays_Medical_Center/Hays/Kansas/" xr:uid="{C3FB96CE-B3B8-DE46-8208-81E1CD53CE3D}"/>
    <hyperlink ref="A16" r:id="rId15" display="https://www.ahd.com/free_profile/170020/Hutchinson_Regional_Medical_Center/Hutchinson/Kansas/" xr:uid="{D4806B05-574F-1042-9092-95CCBF778BD9}"/>
    <hyperlink ref="A17" r:id="rId16" display="https://www.ahd.com/free_profile/17002F/Irwin_Army_Community_Hospital/Fort_Riley/Kansas/" xr:uid="{038924A2-ADB5-D34F-A8FD-D6E6EE15C0D2}"/>
    <hyperlink ref="A18" r:id="rId17" display="https://www.ahd.com/free_profile/170188/Kansas_City_Orthopaedic_Institute/Leawood/Kansas/" xr:uid="{390AAB4D-829B-6842-81F4-69F94A4D1FB3}"/>
    <hyperlink ref="A19" r:id="rId18" display="https://www.ahd.com/free_profile/170186/Kansas_Heart_Hospital/Wichita/Kansas/" xr:uid="{2D2E7988-8CBA-F34D-AABB-06466C0B74A9}"/>
    <hyperlink ref="A20" r:id="rId19" display="https://www.ahd.com/free_profile/170197/Kansas_Medical_Center/Andover/Kansas/" xr:uid="{AB3C4836-EE60-964F-9E70-788533CFBF39}"/>
    <hyperlink ref="A21" r:id="rId20" display="https://www.ahd.com/free_profile/170196/Kansas_Spine_%26_Specialty_Hospital_/Wichita/Kansas/" xr:uid="{33EB1BCA-DA16-3F4B-B8C9-12A90CBFC703}"/>
    <hyperlink ref="A22" r:id="rId21" display="https://www.ahd.com/free_profile/170183/Kansas_Surgery_%26_Recovery_Center/Wichita/Kansas/" xr:uid="{AB0EA28A-074D-574E-B234-5D97AD5A53C7}"/>
    <hyperlink ref="A23" r:id="rId22" display="https://www.ahd.com/free_profile/170120/Labette_Health_/Parsons/Kansas/" xr:uid="{B12F3139-07C3-8446-838E-7D84DC374549}"/>
    <hyperlink ref="A24" r:id="rId23" display="https://www.ahd.com/free_profile/170137/Lawrence_Memorial_Hospital/Lawrence/Kansas/" xr:uid="{5D36D3F4-4EF6-7540-86B0-D2BF10CDA5C8}"/>
    <hyperlink ref="A25" r:id="rId24" display="https://www.ahd.com/free_profile/170190/Manhattan_Surgical_Center/Manhattan/Kansas/" xr:uid="{FFBE481E-CA37-1F45-8F20-92A702F8F31C}"/>
    <hyperlink ref="A26" r:id="rId25" display="https://www.ahd.com/free_profile/170105/McPherson_Hospital/McPherson/Kansas/" xr:uid="{59AB0F9E-731D-8B47-A77D-04794E244AD0}"/>
    <hyperlink ref="A27" r:id="rId26" display="https://www.ahd.com/free_profile/170182/Menorah_Medical_Center/Overland_Park/Kansas/" xr:uid="{B5ABEEBD-F370-FB43-A1D2-6D278BF6270C}"/>
    <hyperlink ref="A28" r:id="rId27" display="https://www.ahd.com/free_profile/170075/Mercy_Hospital/Moundridge/Kansas/" xr:uid="{1FDF808F-1178-3D4C-B3F4-75C628F15E45}"/>
    <hyperlink ref="A29" r:id="rId28" display="https://www.ahd.com/free_profile/170109/Miami_County_Medical_Center/Paola/Kansas/" xr:uid="{F87FA753-AE01-6442-A018-75C24937A8D7}"/>
    <hyperlink ref="A30" r:id="rId29" display="https://www.ahd.com/free_profile/170199/MISH_Hospital_and_Clinics/Lenexa/Kansas/" xr:uid="{CC08CD11-802E-0F43-BDAE-4C4D6E9358B2}"/>
    <hyperlink ref="A31" r:id="rId30" display="https://www.ahd.com/free_profile/170166/Morton_County_Hospital/Elkhart/Kansas/" xr:uid="{A66E73F6-EEBC-744F-9BA8-AA86AB38B1D5}"/>
    <hyperlink ref="A32" r:id="rId31" display="https://www.ahd.com/free_profile/170103/Newton_Medical_Center/Newton/Kansas/" xr:uid="{25A9767A-09C6-EF41-A633-CBCA734093F0}"/>
    <hyperlink ref="A33" r:id="rId32" display="https://www.ahd.com/free_profile/170049/Olathe_Medical_Center/Olathe/Kansas/" xr:uid="{74F38226-2671-154F-9E6B-AD1FB163AC42}"/>
    <hyperlink ref="A34" r:id="rId33" display="https://www.ahd.com/free_profile/170176/Overland_Park_Regional_Medical_Center/Overland_Park/Kansas/" xr:uid="{D5CBAD0F-7CEB-8241-AF79-DC6BD6558066}"/>
    <hyperlink ref="A35" r:id="rId34" display="https://www.ahd.com/free_profile/170027/Pratt_Regional_Medical_Center/Pratt/Kansas/" xr:uid="{22CD76F1-16AB-E547-8502-52D2FA525ECE}"/>
    <hyperlink ref="A36" r:id="rId35" display="https://www.ahd.com/free_profile/170203/Premier_Surgical_Institute/Galena/Kansas/" xr:uid="{91BEF0D3-7BC2-6449-9448-9EBAF59E1738}"/>
    <hyperlink ref="A37" r:id="rId36" display="https://www.ahd.com/free_profile/170146/Providence_Medical_Center/Kansas_City/Kansas/" xr:uid="{078D0067-1AB1-2048-A380-1672D4C061B9}"/>
    <hyperlink ref="A38" r:id="rId37" display="https://www.ahd.com/free_profile/17008F/Robert_J_Dole_VA_Medical_Center/Wichita/Kansas/" xr:uid="{8730852A-9458-7A43-ADA4-66740404E8A5}"/>
    <hyperlink ref="A39" r:id="rId38" display="https://www.ahd.com/free_profile/170204/Rock_Regional_Hospital/Derby/Kansas/" xr:uid="{103DE59F-52CA-9E4A-BC9E-344CCC374A85}"/>
    <hyperlink ref="A40" r:id="rId39" display="https://www.ahd.com/free_profile/170023/Saint_Catherine_Hospital/Garden_City/Kansas/" xr:uid="{77967797-193D-2B46-A0ED-6FD0AF2D2352}"/>
    <hyperlink ref="A41" r:id="rId40" display="https://www.ahd.com/free_profile/170009/Saint_John_Hospital/Leavenworth/Kansas/" xr:uid="{CD47DC69-708E-9647-9787-D6B736EACAC9}"/>
    <hyperlink ref="A42" r:id="rId41" display="https://www.ahd.com/free_profile/170133/Saint_Luke%27s_Cushing_Memorial_Hospital/Leavenworth/Kansas/" xr:uid="{FE30D15D-5AC9-9E49-B8A7-1C16D5CFB876}"/>
    <hyperlink ref="A43" r:id="rId42" display="https://www.ahd.com/free_profile/170185/Saint_Luke%27s_South_Hospital/Overland_Park/Kansas/" xr:uid="{9C53EB2E-637A-6348-9D1D-415267D69E5E}"/>
    <hyperlink ref="A44" r:id="rId43" display="https://www.ahd.com/free_profile/170012/Salina_Regional_Health_Center/Salina/Kansas/" xr:uid="{1CB7B03E-BE1E-A74B-9D5B-4F35E0A0C855}"/>
    <hyperlink ref="A45" r:id="rId44" display="https://www.ahd.com/free_profile/170187/Salina_Surgical_Hospital/Salina/Kansas/" xr:uid="{9DFCF737-3367-4842-8662-855C1E55B3E1}"/>
    <hyperlink ref="A46" r:id="rId45" display="https://www.ahd.com/free_profile/170150/South_Central_Kansas_Regional_Medical_Center/Arkansas_City/Kansas/" xr:uid="{A30EBFFF-A4BB-DE4B-963B-8D2E0020CB36}"/>
    <hyperlink ref="A47" r:id="rId46" display="https://www.ahd.com/free_profile/170068/Southwest_Medical_Center/Liberal/Kansas/" xr:uid="{EEBDB118-6310-1543-A827-DE333C522CA8}"/>
    <hyperlink ref="A48" r:id="rId47" display="https://www.ahd.com/free_profile/170086/Stormont_Vail_Hospital_/Topeka/Kansas/" xr:uid="{0B0F73F1-4097-B748-95A6-5868831C3E20}"/>
    <hyperlink ref="A49" r:id="rId48" display="https://www.ahd.com/free_profile/170198/Summit_Surgical/Hutchinson/Kansas/" xr:uid="{E75F230F-DE9D-A945-8D9E-F433A80AA6EA}"/>
    <hyperlink ref="A50" r:id="rId49" display="https://www.ahd.com/free_profile/170017/Susan_B_Allen_Memorial_Hospital/El_Dorado/Kansas/" xr:uid="{BBCF4CF4-8BCF-834D-ADD4-21964D0F57BB}"/>
    <hyperlink ref="A51" r:id="rId50" display="https://www.ahd.com/free_profile/I42146/The_University_of_Kansas_Health_System-_Indian_Creek_Campus/Overland_Park/Kansas/" xr:uid="{7B917A73-AEE9-4046-9B1B-2FA6F5BE67D9}"/>
    <hyperlink ref="A52" r:id="rId51" display="https://www.ahd.com/free_profile/170040/The_University_of_Kansas_Hospital_/Kansas_City/Kansas/" xr:uid="{BF8F8E96-FBA2-1C46-B281-F4687EFA8CDD}"/>
    <hyperlink ref="A53" r:id="rId52" display="https://www.ahd.com/free_profile/17005F/VA_Eastern_Kansas_Health_Care_System_-_Colmery-O%27Neil_VA_Medical_Center/Topeka/Kansas/" xr:uid="{A070368E-8CBA-6A43-BFD1-80E523BB486F}"/>
    <hyperlink ref="A54" r:id="rId53" display="https://www.ahd.com/free_profile/I41040/VA_Eastern_Kansas_Health_Care_System_-_Dwight_D_Eisenhower_VA_Medical_Center/Leavenworth/Kansas/" xr:uid="{CE36250B-1F8E-6945-97CC-AD1B209343D1}"/>
    <hyperlink ref="A55" r:id="rId54" display="https://www.ahd.com/free_profile/170123/Wesley_Medical_Center/Wichita/Kansas/" xr:uid="{5F98AB32-7E22-404E-A121-944A1DCB6273}"/>
    <hyperlink ref="A56" r:id="rId55" display="https://www.ahd.com/free_profile/170202/Wesley_Woodlawn_Hospital_%26_ER/Wichita/Kansas/" xr:uid="{253B7740-6E3E-6B48-A77E-0527AB5BE70D}"/>
    <hyperlink ref="A57" r:id="rId56" display="https://www.ahd.com/free_profile/170175/Western_Plains_Medical_Complex/Dodge_City/Kansas/" xr:uid="{7916E6AC-DA8A-4440-85AD-50BC4C871933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988DE-DF54-724E-9793-6DC7B9262DC0}">
  <sheetPr codeName="Sheet19"/>
  <dimension ref="A1:G76"/>
  <sheetViews>
    <sheetView topLeftCell="A50" workbookViewId="0">
      <selection activeCell="G63" sqref="G63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2247</v>
      </c>
      <c r="B2" s="2" t="s">
        <v>1096</v>
      </c>
      <c r="C2" s="2">
        <v>49</v>
      </c>
      <c r="D2" s="3">
        <v>1642</v>
      </c>
      <c r="E2" s="3">
        <v>5566</v>
      </c>
      <c r="F2" s="4">
        <v>197601</v>
      </c>
      <c r="G2" s="11" t="str" cm="1">
        <f t="array" aca="1" ref="G2" ca="1">IFERROR(VLOOKUP("*" &amp; B2  &amp; "*" &amp; (MID(CELL("filename",A1),FIND("]",CELL("filename",A1))+1,31)) &amp; "*",CHOOSE({1,2}, Super_CBSA!$B$2:$B$1917, Super_CBSA!$A$2:$A$1917), 2,FALSE), IFERROR(VLOOKUP(B2  &amp; "*",CHOOSE({1,2}, Super_CBSA!$E$2:$E$1917, Super_CBSA!$A$2:$A$1917), 2,FALSE), ""))</f>
        <v/>
      </c>
    </row>
    <row r="3" spans="1:7" ht="17">
      <c r="A3" s="1" t="s">
        <v>2248</v>
      </c>
      <c r="B3" s="2" t="s">
        <v>2249</v>
      </c>
      <c r="C3" s="2">
        <v>268</v>
      </c>
      <c r="D3" s="3">
        <v>9602</v>
      </c>
      <c r="E3" s="3">
        <v>42260</v>
      </c>
      <c r="F3" s="4">
        <v>1031549</v>
      </c>
      <c r="G3" s="11" t="str" cm="1">
        <f t="array" aca="1" ref="G3" ca="1">IFERROR(VLOOKUP("*" &amp; B3  &amp; "*" &amp; (MID(CELL("filename",A2),FIND("]",CELL("filename",A2))+1,31)) &amp; "*",CHOOSE({1,2}, Super_CBSA!$B$2:$B$1917, Super_CBSA!$A$2:$A$1917), 2,FALSE), IFERROR(VLOOKUP(B3  &amp; "*",CHOOSE({1,2}, Super_CBSA!$E$2:$E$1917, Super_CBSA!$A$2:$A$1917), 2,FALSE), ""))</f>
        <v/>
      </c>
    </row>
    <row r="4" spans="1:7" ht="17">
      <c r="A4" s="1" t="s">
        <v>2250</v>
      </c>
      <c r="B4" s="2" t="s">
        <v>1831</v>
      </c>
      <c r="C4" s="2">
        <v>120</v>
      </c>
      <c r="D4" s="3">
        <v>2196</v>
      </c>
      <c r="E4" s="3">
        <v>7451</v>
      </c>
      <c r="F4" s="4">
        <v>1116972</v>
      </c>
      <c r="G4" s="11" t="str" cm="1">
        <f t="array" aca="1" ref="G4" ca="1">IFERROR(VLOOKUP("*" &amp; B4  &amp; "*" &amp; (MID(CELL("filename",A3),FIND("]",CELL("filename",A3))+1,31)) &amp; "*",CHOOSE({1,2}, Super_CBSA!$B$2:$B$1917, Super_CBSA!$A$2:$A$1917), 2,FALSE), IFERROR(VLOOKUP(B4  &amp; "*",CHOOSE({1,2}, Super_CBSA!$E$2:$E$1917, Super_CBSA!$A$2:$A$1917), 2,FALSE), ""))</f>
        <v/>
      </c>
    </row>
    <row r="5" spans="1:7" ht="17">
      <c r="A5" s="1" t="s">
        <v>2251</v>
      </c>
      <c r="B5" s="2" t="s">
        <v>2252</v>
      </c>
      <c r="C5" s="2">
        <v>391</v>
      </c>
      <c r="D5" s="3">
        <v>23020</v>
      </c>
      <c r="E5" s="3">
        <v>102937</v>
      </c>
      <c r="F5" s="4">
        <v>3302236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"*",CHOOSE({1,2}, Super_CBSA!$E$2:$E$1917, Super_CBSA!$A$2:$A$1917), 2,FALSE), ""))</f>
        <v>30460</v>
      </c>
    </row>
    <row r="6" spans="1:7" ht="17">
      <c r="A6" s="1" t="s">
        <v>2253</v>
      </c>
      <c r="B6" s="2" t="s">
        <v>991</v>
      </c>
      <c r="C6" s="2">
        <v>499</v>
      </c>
      <c r="D6" s="3">
        <v>27938</v>
      </c>
      <c r="E6" s="3">
        <v>117977</v>
      </c>
      <c r="F6" s="4">
        <v>3215029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"*",CHOOSE({1,2}, Super_CBSA!$E$2:$E$1917, Super_CBSA!$A$2:$A$1917), 2,FALSE), ""))</f>
        <v>31140</v>
      </c>
    </row>
    <row r="7" spans="1:7" ht="17">
      <c r="A7" s="1" t="s">
        <v>2254</v>
      </c>
      <c r="B7" s="2" t="s">
        <v>2255</v>
      </c>
      <c r="C7" s="2">
        <v>172</v>
      </c>
      <c r="D7" s="3">
        <v>5925</v>
      </c>
      <c r="E7" s="3">
        <v>26065</v>
      </c>
      <c r="F7" s="4">
        <v>974601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"*",CHOOSE({1,2}, Super_CBSA!$E$2:$E$1917, Super_CBSA!$A$2:$A$1917), 2,FALSE), ""))</f>
        <v>31580</v>
      </c>
    </row>
    <row r="8" spans="1:7" ht="17">
      <c r="A8" s="1" t="s">
        <v>2256</v>
      </c>
      <c r="B8" s="2" t="s">
        <v>2257</v>
      </c>
      <c r="C8" s="2">
        <v>271</v>
      </c>
      <c r="D8" s="3">
        <v>10829</v>
      </c>
      <c r="E8" s="3">
        <v>42445</v>
      </c>
      <c r="F8" s="4">
        <v>1740713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"*",CHOOSE({1,2}, Super_CBSA!$E$2:$E$1917, Super_CBSA!$A$2:$A$1917), 2,FALSE), ""))</f>
        <v>37140</v>
      </c>
    </row>
    <row r="9" spans="1:7" ht="17">
      <c r="A9" s="1" t="s">
        <v>2258</v>
      </c>
      <c r="B9" s="2" t="s">
        <v>803</v>
      </c>
      <c r="C9" s="2">
        <v>60</v>
      </c>
      <c r="D9" s="3">
        <v>3887</v>
      </c>
      <c r="E9" s="3">
        <v>13392</v>
      </c>
      <c r="F9" s="4">
        <v>644109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"*",CHOOSE({1,2}, Super_CBSA!$E$2:$E$1917, Super_CBSA!$A$2:$A$1917), 2,FALSE), ""))</f>
        <v>40080</v>
      </c>
    </row>
    <row r="10" spans="1:7" ht="17">
      <c r="A10" s="1" t="s">
        <v>2259</v>
      </c>
      <c r="B10" s="2" t="s">
        <v>2260</v>
      </c>
      <c r="C10" s="2">
        <v>0</v>
      </c>
      <c r="D10" s="2">
        <v>0</v>
      </c>
      <c r="E10" s="2">
        <v>0</v>
      </c>
      <c r="F10" s="4">
        <v>0</v>
      </c>
      <c r="G10" s="11" t="str" cm="1">
        <f t="array" aca="1" ref="G10" ca="1">IFERROR(VLOOKUP("*" &amp; B10  &amp; "*" &amp; (MID(CELL("filename",A9),FIND("]",CELL("filename",A9))+1,31)) &amp; "*",CHOOSE({1,2}, Super_CBSA!$B$2:$B$1917, Super_CBSA!$A$2:$A$1917), 2,FALSE), IFERROR(VLOOKUP(B10  &amp; "*",CHOOSE({1,2}, Super_CBSA!$E$2:$E$1917, Super_CBSA!$A$2:$A$1917), 2,FALSE), ""))</f>
        <v/>
      </c>
    </row>
    <row r="11" spans="1:7" ht="17">
      <c r="A11" s="1" t="s">
        <v>2261</v>
      </c>
      <c r="B11" s="2" t="s">
        <v>2262</v>
      </c>
      <c r="C11" s="2">
        <v>58</v>
      </c>
      <c r="D11" s="2">
        <v>931</v>
      </c>
      <c r="E11" s="3">
        <v>3706</v>
      </c>
      <c r="F11" s="4">
        <v>133454</v>
      </c>
      <c r="G11" s="11" t="str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"*",CHOOSE({1,2}, Super_CBSA!$E$2:$E$1917, Super_CBSA!$A$2:$A$1917), 2,FALSE), ""))</f>
        <v/>
      </c>
    </row>
    <row r="12" spans="1:7" ht="17">
      <c r="A12" s="1" t="s">
        <v>2263</v>
      </c>
      <c r="B12" s="2" t="s">
        <v>2252</v>
      </c>
      <c r="C12" s="2">
        <v>160</v>
      </c>
      <c r="D12" s="3">
        <v>7098</v>
      </c>
      <c r="E12" s="3">
        <v>31620</v>
      </c>
      <c r="F12" s="4">
        <v>715458</v>
      </c>
      <c r="G12" s="11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"*",CHOOSE({1,2}, Super_CBSA!$E$2:$E$1917, Super_CBSA!$A$2:$A$1917), 2,FALSE), ""))</f>
        <v>30460</v>
      </c>
    </row>
    <row r="13" spans="1:7" ht="17">
      <c r="A13" s="1" t="s">
        <v>2264</v>
      </c>
      <c r="B13" s="2" t="s">
        <v>2252</v>
      </c>
      <c r="C13" s="2">
        <v>255</v>
      </c>
      <c r="D13" s="3">
        <v>12096</v>
      </c>
      <c r="E13" s="3">
        <v>63871</v>
      </c>
      <c r="F13" s="4">
        <v>977736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"*",CHOOSE({1,2}, Super_CBSA!$E$2:$E$1917, Super_CBSA!$A$2:$A$1917), 2,FALSE), ""))</f>
        <v>30460</v>
      </c>
    </row>
    <row r="14" spans="1:7" ht="17">
      <c r="A14" s="1" t="s">
        <v>2265</v>
      </c>
      <c r="B14" s="2" t="s">
        <v>2266</v>
      </c>
      <c r="C14" s="2">
        <v>106</v>
      </c>
      <c r="D14" s="3">
        <v>5872</v>
      </c>
      <c r="E14" s="3">
        <v>26768</v>
      </c>
      <c r="F14" s="4">
        <v>584538</v>
      </c>
      <c r="G14" s="11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"*",CHOOSE({1,2}, Super_CBSA!$E$2:$E$1917, Super_CBSA!$A$2:$A$1917), 2,FALSE), ""))</f>
        <v>30940</v>
      </c>
    </row>
    <row r="15" spans="1:7" ht="17">
      <c r="A15" s="1" t="s">
        <v>2267</v>
      </c>
      <c r="B15" s="2" t="s">
        <v>2268</v>
      </c>
      <c r="C15" s="2">
        <v>42</v>
      </c>
      <c r="D15" s="3">
        <v>1685</v>
      </c>
      <c r="E15" s="3">
        <v>6734</v>
      </c>
      <c r="F15" s="4">
        <v>176724</v>
      </c>
      <c r="G15" s="11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"*",CHOOSE({1,2}, Super_CBSA!$E$2:$E$1917, Super_CBSA!$A$2:$A$1917), 2,FALSE), ""))</f>
        <v>34460</v>
      </c>
    </row>
    <row r="16" spans="1:7" ht="17">
      <c r="A16" s="1" t="s">
        <v>2269</v>
      </c>
      <c r="B16" s="2" t="s">
        <v>2270</v>
      </c>
      <c r="C16" s="2">
        <v>79</v>
      </c>
      <c r="D16" s="3">
        <v>3452</v>
      </c>
      <c r="E16" s="3">
        <v>10312</v>
      </c>
      <c r="F16" s="4">
        <v>490310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"*",CHOOSE({1,2}, Super_CBSA!$E$2:$E$1917, Super_CBSA!$A$2:$A$1917), 2,FALSE), ""))</f>
        <v>49020</v>
      </c>
    </row>
    <row r="17" spans="1:7" ht="17">
      <c r="A17" s="1" t="s">
        <v>2271</v>
      </c>
      <c r="B17" s="2" t="s">
        <v>1888</v>
      </c>
      <c r="C17" s="2">
        <v>48</v>
      </c>
      <c r="D17" s="2">
        <v>456</v>
      </c>
      <c r="E17" s="3">
        <v>1775</v>
      </c>
      <c r="F17" s="4">
        <v>24421</v>
      </c>
      <c r="G17" s="11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"*",CHOOSE({1,2}, Super_CBSA!$E$2:$E$1917, Super_CBSA!$A$2:$A$1917), 2,FALSE), ""))</f>
        <v>16460</v>
      </c>
    </row>
    <row r="18" spans="1:7" ht="17">
      <c r="A18" s="1" t="s">
        <v>2272</v>
      </c>
      <c r="B18" s="2" t="s">
        <v>264</v>
      </c>
      <c r="C18" s="2">
        <v>222</v>
      </c>
      <c r="D18" s="3">
        <v>6197</v>
      </c>
      <c r="E18" s="3">
        <v>27990</v>
      </c>
      <c r="F18" s="4">
        <v>560195</v>
      </c>
      <c r="G18" s="11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"*",CHOOSE({1,2}, Super_CBSA!$E$2:$E$1917, Super_CBSA!$A$2:$A$1917), 2,FALSE), ""))</f>
        <v>19220</v>
      </c>
    </row>
    <row r="19" spans="1:7" ht="17">
      <c r="A19" s="1" t="s">
        <v>2273</v>
      </c>
      <c r="B19" s="2" t="s">
        <v>2252</v>
      </c>
      <c r="C19" s="2">
        <v>0</v>
      </c>
      <c r="D19" s="2">
        <v>0</v>
      </c>
      <c r="E19" s="2">
        <v>0</v>
      </c>
      <c r="F19" s="4">
        <v>0</v>
      </c>
      <c r="G19" s="11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"*",CHOOSE({1,2}, Super_CBSA!$E$2:$E$1917, Super_CBSA!$A$2:$A$1917), 2,FALSE), ""))</f>
        <v>30460</v>
      </c>
    </row>
    <row r="20" spans="1:7" ht="17">
      <c r="A20" s="1" t="s">
        <v>2274</v>
      </c>
      <c r="B20" s="2" t="s">
        <v>2275</v>
      </c>
      <c r="C20" s="2">
        <v>52</v>
      </c>
      <c r="D20" s="3">
        <v>2057</v>
      </c>
      <c r="E20" s="3">
        <v>7035</v>
      </c>
      <c r="F20" s="4">
        <v>286210</v>
      </c>
      <c r="G20" s="11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"*",CHOOSE({1,2}, Super_CBSA!$E$2:$E$1917, Super_CBSA!$A$2:$A$1917), 2,FALSE), ""))</f>
        <v>12680</v>
      </c>
    </row>
    <row r="21" spans="1:7" ht="17">
      <c r="A21" s="1" t="s">
        <v>2276</v>
      </c>
      <c r="B21" s="2" t="s">
        <v>2277</v>
      </c>
      <c r="C21" s="2">
        <v>52</v>
      </c>
      <c r="D21" s="2">
        <v>642</v>
      </c>
      <c r="E21" s="3">
        <v>2112</v>
      </c>
      <c r="F21" s="4">
        <v>62745</v>
      </c>
      <c r="G21" s="11" t="str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"*",CHOOSE({1,2}, Super_CBSA!$E$2:$E$1917, Super_CBSA!$A$2:$A$1917), 2,FALSE), ""))</f>
        <v/>
      </c>
    </row>
    <row r="22" spans="1:7" ht="17">
      <c r="A22" s="1" t="s">
        <v>2278</v>
      </c>
      <c r="B22" s="2" t="s">
        <v>2279</v>
      </c>
      <c r="C22" s="2">
        <v>127</v>
      </c>
      <c r="D22" s="3">
        <v>5739</v>
      </c>
      <c r="E22" s="3">
        <v>26475</v>
      </c>
      <c r="F22" s="4">
        <v>651181</v>
      </c>
      <c r="G22" s="11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"*",CHOOSE({1,2}, Super_CBSA!$E$2:$E$1917, Super_CBSA!$A$2:$A$1917), 2,FALSE), ""))</f>
        <v>23180</v>
      </c>
    </row>
    <row r="23" spans="1:7" ht="17">
      <c r="A23" s="1" t="s">
        <v>2280</v>
      </c>
      <c r="B23" s="2" t="s">
        <v>2281</v>
      </c>
      <c r="C23" s="2">
        <v>75</v>
      </c>
      <c r="D23" s="3">
        <v>1931</v>
      </c>
      <c r="E23" s="3">
        <v>6293</v>
      </c>
      <c r="F23" s="4">
        <v>395058</v>
      </c>
      <c r="G23" s="11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"*",CHOOSE({1,2}, Super_CBSA!$E$2:$E$1917, Super_CBSA!$A$2:$A$1917), 2,FALSE), ""))</f>
        <v>23860</v>
      </c>
    </row>
    <row r="24" spans="1:7" ht="17">
      <c r="A24" s="1" t="s">
        <v>2282</v>
      </c>
      <c r="B24" s="2" t="s">
        <v>2283</v>
      </c>
      <c r="C24" s="2">
        <v>300</v>
      </c>
      <c r="D24" s="3">
        <v>13809</v>
      </c>
      <c r="E24" s="3">
        <v>53595</v>
      </c>
      <c r="F24" s="4">
        <v>1029744</v>
      </c>
      <c r="G24" s="11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"*",CHOOSE({1,2}, Super_CBSA!$E$2:$E$1917, Super_CBSA!$A$2:$A$1917), 2,FALSE), ""))</f>
        <v>21060</v>
      </c>
    </row>
    <row r="25" spans="1:7" ht="17">
      <c r="A25" s="1" t="s">
        <v>2284</v>
      </c>
      <c r="B25" s="2" t="s">
        <v>2285</v>
      </c>
      <c r="C25" s="2">
        <v>111</v>
      </c>
      <c r="D25" s="3">
        <v>3567</v>
      </c>
      <c r="E25" s="3">
        <v>13090</v>
      </c>
      <c r="F25" s="4">
        <v>315985</v>
      </c>
      <c r="G25" s="11" t="str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"*",CHOOSE({1,2}, Super_CBSA!$E$2:$E$1917, Super_CBSA!$A$2:$A$1917), 2,FALSE), ""))</f>
        <v/>
      </c>
    </row>
    <row r="26" spans="1:7" ht="17">
      <c r="A26" s="1" t="s">
        <v>2286</v>
      </c>
      <c r="B26" s="2" t="s">
        <v>2287</v>
      </c>
      <c r="C26" s="2">
        <v>61</v>
      </c>
      <c r="D26" s="3">
        <v>1185</v>
      </c>
      <c r="E26" s="3">
        <v>4077</v>
      </c>
      <c r="F26" s="4">
        <v>172984</v>
      </c>
      <c r="G26" s="11" t="str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"*",CHOOSE({1,2}, Super_CBSA!$E$2:$E$1917, Super_CBSA!$A$2:$A$1917), 2,FALSE), ""))</f>
        <v/>
      </c>
    </row>
    <row r="27" spans="1:7" ht="17">
      <c r="A27" s="1" t="s">
        <v>2288</v>
      </c>
      <c r="B27" s="2" t="s">
        <v>2289</v>
      </c>
      <c r="C27" s="2">
        <v>349</v>
      </c>
      <c r="D27" s="3">
        <v>9699</v>
      </c>
      <c r="E27" s="3">
        <v>56103</v>
      </c>
      <c r="F27" s="4">
        <v>996983</v>
      </c>
      <c r="G27" s="11" t="str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"*",CHOOSE({1,2}, Super_CBSA!$E$2:$E$1917, Super_CBSA!$A$2:$A$1917), 2,FALSE), ""))</f>
        <v/>
      </c>
    </row>
    <row r="28" spans="1:7" ht="17">
      <c r="A28" s="1" t="s">
        <v>2290</v>
      </c>
      <c r="B28" s="2" t="s">
        <v>2291</v>
      </c>
      <c r="C28" s="2">
        <v>150</v>
      </c>
      <c r="D28" s="3">
        <v>2331</v>
      </c>
      <c r="E28" s="3">
        <v>13373</v>
      </c>
      <c r="F28" s="4">
        <v>266615</v>
      </c>
      <c r="G28" s="11" t="str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"*",CHOOSE({1,2}, Super_CBSA!$E$2:$E$1917, Super_CBSA!$A$2:$A$1917), 2,FALSE), ""))</f>
        <v/>
      </c>
    </row>
    <row r="29" spans="1:7" ht="17">
      <c r="A29" s="1" t="s">
        <v>2292</v>
      </c>
      <c r="B29" s="2" t="s">
        <v>2293</v>
      </c>
      <c r="C29" s="2">
        <v>107</v>
      </c>
      <c r="D29" s="3">
        <v>3341</v>
      </c>
      <c r="E29" s="3">
        <v>14086</v>
      </c>
      <c r="F29" s="4">
        <v>409242</v>
      </c>
      <c r="G29" s="11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"*",CHOOSE({1,2}, Super_CBSA!$E$2:$E$1917, Super_CBSA!$A$2:$A$1917), 2,FALSE), ""))</f>
        <v>32460</v>
      </c>
    </row>
    <row r="30" spans="1:7" ht="17">
      <c r="A30" s="1" t="s">
        <v>2294</v>
      </c>
      <c r="B30" s="2" t="s">
        <v>2295</v>
      </c>
      <c r="C30" s="2">
        <v>133</v>
      </c>
      <c r="D30" s="3">
        <v>4175</v>
      </c>
      <c r="E30" s="3">
        <v>16816</v>
      </c>
      <c r="F30" s="4">
        <v>411002</v>
      </c>
      <c r="G30" s="11" t="str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"*",CHOOSE({1,2}, Super_CBSA!$E$2:$E$1917, Super_CBSA!$A$2:$A$1917), 2,FALSE), ""))</f>
        <v/>
      </c>
    </row>
    <row r="31" spans="1:7" ht="17">
      <c r="A31" s="1" t="s">
        <v>2296</v>
      </c>
      <c r="B31" s="2" t="s">
        <v>158</v>
      </c>
      <c r="C31" s="2">
        <v>49</v>
      </c>
      <c r="D31" s="3">
        <v>1712</v>
      </c>
      <c r="E31" s="3">
        <v>4580</v>
      </c>
      <c r="F31" s="4">
        <v>231645</v>
      </c>
      <c r="G31" s="11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"*",CHOOSE({1,2}, Super_CBSA!$E$2:$E$1917, Super_CBSA!$A$2:$A$1917), 2,FALSE), ""))</f>
        <v>11060</v>
      </c>
    </row>
    <row r="32" spans="1:7" ht="17">
      <c r="A32" s="1" t="s">
        <v>2297</v>
      </c>
      <c r="B32" s="2" t="s">
        <v>104</v>
      </c>
      <c r="C32" s="2">
        <v>465</v>
      </c>
      <c r="D32" s="3">
        <v>14255</v>
      </c>
      <c r="E32" s="3">
        <v>61388</v>
      </c>
      <c r="F32" s="4">
        <v>1582084</v>
      </c>
      <c r="G32" s="11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"*",CHOOSE({1,2}, Super_CBSA!$E$2:$E$1917, Super_CBSA!$A$2:$A$1917), 2,FALSE), ""))</f>
        <v>26580</v>
      </c>
    </row>
    <row r="33" spans="1:7" ht="17">
      <c r="A33" s="1" t="s">
        <v>2298</v>
      </c>
      <c r="B33" s="2" t="s">
        <v>2299</v>
      </c>
      <c r="C33" s="2">
        <v>267</v>
      </c>
      <c r="D33" s="3">
        <v>8950</v>
      </c>
      <c r="E33" s="3">
        <v>41264</v>
      </c>
      <c r="F33" s="4">
        <v>1342986</v>
      </c>
      <c r="G33" s="11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"*",CHOOSE({1,2}, Super_CBSA!$E$2:$E$1917, Super_CBSA!$A$2:$A$1917), 2,FALSE), ""))</f>
        <v>43700</v>
      </c>
    </row>
    <row r="34" spans="1:7" ht="17">
      <c r="A34" s="1" t="s">
        <v>2300</v>
      </c>
      <c r="B34" s="2" t="s">
        <v>2252</v>
      </c>
      <c r="C34" s="2">
        <v>0</v>
      </c>
      <c r="D34" s="2">
        <v>0</v>
      </c>
      <c r="E34" s="2">
        <v>0</v>
      </c>
      <c r="F34" s="4">
        <v>0</v>
      </c>
      <c r="G34" s="11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"*",CHOOSE({1,2}, Super_CBSA!$E$2:$E$1917, Super_CBSA!$A$2:$A$1917), 2,FALSE), ""))</f>
        <v>30460</v>
      </c>
    </row>
    <row r="35" spans="1:7" ht="17">
      <c r="A35" s="1" t="s">
        <v>2301</v>
      </c>
      <c r="B35" s="2" t="s">
        <v>206</v>
      </c>
      <c r="C35" s="2">
        <v>75</v>
      </c>
      <c r="D35" s="2">
        <v>651</v>
      </c>
      <c r="E35" s="3">
        <v>2613</v>
      </c>
      <c r="F35" s="4">
        <v>118440</v>
      </c>
      <c r="G35" s="11" t="str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"*",CHOOSE({1,2}, Super_CBSA!$E$2:$E$1917, Super_CBSA!$A$2:$A$1917), 2,FALSE), ""))</f>
        <v/>
      </c>
    </row>
    <row r="36" spans="1:7" ht="17">
      <c r="A36" s="1" t="s">
        <v>2302</v>
      </c>
      <c r="B36" s="2" t="s">
        <v>991</v>
      </c>
      <c r="C36" s="2">
        <v>0</v>
      </c>
      <c r="D36" s="2">
        <v>0</v>
      </c>
      <c r="E36" s="2">
        <v>0</v>
      </c>
      <c r="F36" s="4">
        <v>0</v>
      </c>
      <c r="G36" s="11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"*",CHOOSE({1,2}, Super_CBSA!$E$2:$E$1917, Super_CBSA!$A$2:$A$1917), 2,FALSE), ""))</f>
        <v>31140</v>
      </c>
    </row>
    <row r="37" spans="1:7" ht="17">
      <c r="A37" s="1" t="s">
        <v>2303</v>
      </c>
      <c r="B37" s="2" t="s">
        <v>2304</v>
      </c>
      <c r="C37" s="2">
        <v>100</v>
      </c>
      <c r="D37" s="3">
        <v>2348</v>
      </c>
      <c r="E37" s="3">
        <v>7111</v>
      </c>
      <c r="F37" s="4">
        <v>386049</v>
      </c>
      <c r="G37" s="11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"*",CHOOSE({1,2}, Super_CBSA!$E$2:$E$1917, Super_CBSA!$A$2:$A$1917), 2,FALSE), ""))</f>
        <v>32500</v>
      </c>
    </row>
    <row r="38" spans="1:7" ht="17">
      <c r="A38" s="1" t="s">
        <v>2305</v>
      </c>
      <c r="B38" s="2" t="s">
        <v>2257</v>
      </c>
      <c r="C38" s="2">
        <v>306</v>
      </c>
      <c r="D38" s="3">
        <v>11044</v>
      </c>
      <c r="E38" s="3">
        <v>43554</v>
      </c>
      <c r="F38" s="4">
        <v>970787</v>
      </c>
      <c r="G38" s="11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"*",CHOOSE({1,2}, Super_CBSA!$E$2:$E$1917, Super_CBSA!$A$2:$A$1917), 2,FALSE), ""))</f>
        <v>37140</v>
      </c>
    </row>
    <row r="39" spans="1:7" ht="17">
      <c r="A39" s="1" t="s">
        <v>2306</v>
      </c>
      <c r="B39" s="2" t="s">
        <v>2307</v>
      </c>
      <c r="C39" s="2">
        <v>118</v>
      </c>
      <c r="D39" s="3">
        <v>3875</v>
      </c>
      <c r="E39" s="3">
        <v>14862</v>
      </c>
      <c r="F39" s="4">
        <v>411629</v>
      </c>
      <c r="G39" s="11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"*",CHOOSE({1,2}, Super_CBSA!$E$2:$E$1917, Super_CBSA!$A$2:$A$1917), 2,FALSE), ""))</f>
        <v>11700</v>
      </c>
    </row>
    <row r="40" spans="1:7" ht="17">
      <c r="A40" s="1" t="s">
        <v>2308</v>
      </c>
      <c r="B40" s="2" t="s">
        <v>2309</v>
      </c>
      <c r="C40" s="2">
        <v>46</v>
      </c>
      <c r="D40" s="3">
        <v>1064</v>
      </c>
      <c r="E40" s="3">
        <v>7493</v>
      </c>
      <c r="F40" s="4">
        <v>185499</v>
      </c>
      <c r="G40" s="11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"*",CHOOSE({1,2}, Super_CBSA!$E$2:$E$1917, Super_CBSA!$A$2:$A$1917), 2,FALSE), ""))</f>
        <v>33180</v>
      </c>
    </row>
    <row r="41" spans="1:7" ht="17">
      <c r="A41" s="1" t="s">
        <v>2310</v>
      </c>
      <c r="B41" s="2" t="s">
        <v>2311</v>
      </c>
      <c r="C41" s="2">
        <v>49</v>
      </c>
      <c r="D41" s="3">
        <v>1228</v>
      </c>
      <c r="E41" s="3">
        <v>4369</v>
      </c>
      <c r="F41" s="4">
        <v>43479</v>
      </c>
      <c r="G41" s="11" t="str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"*",CHOOSE({1,2}, Super_CBSA!$E$2:$E$1917, Super_CBSA!$A$2:$A$1917), 2,FALSE), ""))</f>
        <v/>
      </c>
    </row>
    <row r="42" spans="1:7" ht="17">
      <c r="A42" s="1" t="s">
        <v>2312</v>
      </c>
      <c r="B42" s="2" t="s">
        <v>2313</v>
      </c>
      <c r="C42" s="2">
        <v>277</v>
      </c>
      <c r="D42" s="3">
        <v>3046</v>
      </c>
      <c r="E42" s="3">
        <v>13747</v>
      </c>
      <c r="F42" s="4">
        <v>377418</v>
      </c>
      <c r="G42" s="11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"*",CHOOSE({1,2}, Super_CBSA!$E$2:$E$1917, Super_CBSA!$A$2:$A$1917), 2,FALSE), ""))</f>
        <v>34660</v>
      </c>
    </row>
    <row r="43" spans="1:7" ht="17">
      <c r="A43" s="1" t="s">
        <v>2314</v>
      </c>
      <c r="B43" s="2" t="s">
        <v>991</v>
      </c>
      <c r="C43" s="2">
        <v>0</v>
      </c>
      <c r="D43" s="2">
        <v>0</v>
      </c>
      <c r="E43" s="2">
        <v>0</v>
      </c>
      <c r="F43" s="4">
        <v>0</v>
      </c>
      <c r="G43" s="11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"*",CHOOSE({1,2}, Super_CBSA!$E$2:$E$1917, Super_CBSA!$A$2:$A$1917), 2,FALSE), ""))</f>
        <v>31140</v>
      </c>
    </row>
    <row r="44" spans="1:7" ht="17">
      <c r="A44" s="1" t="s">
        <v>2315</v>
      </c>
      <c r="B44" s="2" t="s">
        <v>991</v>
      </c>
      <c r="C44" s="2">
        <v>0</v>
      </c>
      <c r="D44" s="2">
        <v>0</v>
      </c>
      <c r="E44" s="2">
        <v>0</v>
      </c>
      <c r="F44" s="4">
        <v>0</v>
      </c>
      <c r="G44" s="11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"*",CHOOSE({1,2}, Super_CBSA!$E$2:$E$1917, Super_CBSA!$A$2:$A$1917), 2,FALSE), ""))</f>
        <v>31140</v>
      </c>
    </row>
    <row r="45" spans="1:7" ht="17">
      <c r="A45" s="1" t="s">
        <v>2316</v>
      </c>
      <c r="B45" s="2" t="s">
        <v>991</v>
      </c>
      <c r="C45" s="3">
        <v>1430</v>
      </c>
      <c r="D45" s="3">
        <v>73695</v>
      </c>
      <c r="E45" s="3">
        <v>372766</v>
      </c>
      <c r="F45" s="4">
        <v>8056180</v>
      </c>
      <c r="G45" s="11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"*",CHOOSE({1,2}, Super_CBSA!$E$2:$E$1917, Super_CBSA!$A$2:$A$1917), 2,FALSE), ""))</f>
        <v>31140</v>
      </c>
    </row>
    <row r="46" spans="1:7" ht="17">
      <c r="A46" s="1" t="s">
        <v>2317</v>
      </c>
      <c r="B46" s="2" t="s">
        <v>991</v>
      </c>
      <c r="C46" s="2">
        <v>0</v>
      </c>
      <c r="D46" s="2">
        <v>0</v>
      </c>
      <c r="E46" s="2">
        <v>0</v>
      </c>
      <c r="F46" s="4">
        <v>0</v>
      </c>
      <c r="G46" s="11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"*",CHOOSE({1,2}, Super_CBSA!$E$2:$E$1917, Super_CBSA!$A$2:$A$1917), 2,FALSE), ""))</f>
        <v>31140</v>
      </c>
    </row>
    <row r="47" spans="1:7" ht="17">
      <c r="A47" s="1" t="s">
        <v>2318</v>
      </c>
      <c r="B47" s="2" t="s">
        <v>200</v>
      </c>
      <c r="C47" s="2">
        <v>90</v>
      </c>
      <c r="D47" s="2">
        <v>995</v>
      </c>
      <c r="E47" s="3">
        <v>4685</v>
      </c>
      <c r="F47" s="4">
        <v>118770</v>
      </c>
      <c r="G47" s="11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"*",CHOOSE({1,2}, Super_CBSA!$E$2:$E$1917, Super_CBSA!$A$2:$A$1917), 2,FALSE), ""))</f>
        <v>24860</v>
      </c>
    </row>
    <row r="48" spans="1:7" ht="17">
      <c r="A48" s="1" t="s">
        <v>2319</v>
      </c>
      <c r="B48" s="2" t="s">
        <v>2320</v>
      </c>
      <c r="C48" s="2">
        <v>477</v>
      </c>
      <c r="D48" s="3">
        <v>14646</v>
      </c>
      <c r="E48" s="3">
        <v>65273</v>
      </c>
      <c r="F48" s="4">
        <v>1639812</v>
      </c>
      <c r="G48" s="11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"*",CHOOSE({1,2}, Super_CBSA!$E$2:$E$1917, Super_CBSA!$A$2:$A$1917), 2,FALSE), ""))</f>
        <v>36980</v>
      </c>
    </row>
    <row r="49" spans="1:7" ht="17">
      <c r="A49" s="1" t="s">
        <v>2321</v>
      </c>
      <c r="B49" s="2" t="s">
        <v>2322</v>
      </c>
      <c r="C49" s="2">
        <v>72</v>
      </c>
      <c r="D49" s="3">
        <v>1776</v>
      </c>
      <c r="E49" s="3">
        <v>5679</v>
      </c>
      <c r="F49" s="4">
        <v>442679</v>
      </c>
      <c r="G49" s="11" t="str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"*",CHOOSE({1,2}, Super_CBSA!$E$2:$E$1917, Super_CBSA!$A$2:$A$1917), 2,FALSE), ""))</f>
        <v/>
      </c>
    </row>
    <row r="50" spans="1:7" ht="17">
      <c r="A50" s="1" t="s">
        <v>2323</v>
      </c>
      <c r="B50" s="2" t="s">
        <v>2324</v>
      </c>
      <c r="C50" s="2">
        <v>327</v>
      </c>
      <c r="D50" s="3">
        <v>13901</v>
      </c>
      <c r="E50" s="3">
        <v>79128</v>
      </c>
      <c r="F50" s="4">
        <v>2590689</v>
      </c>
      <c r="G50" s="11" t="str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"*",CHOOSE({1,2}, Super_CBSA!$E$2:$E$1917, Super_CBSA!$A$2:$A$1917), 2,FALSE), ""))</f>
        <v/>
      </c>
    </row>
    <row r="51" spans="1:7" ht="17">
      <c r="A51" s="1" t="s">
        <v>2325</v>
      </c>
      <c r="B51" s="2" t="s">
        <v>2326</v>
      </c>
      <c r="C51" s="2">
        <v>53</v>
      </c>
      <c r="D51" s="2">
        <v>398</v>
      </c>
      <c r="E51" s="3">
        <v>1738</v>
      </c>
      <c r="F51" s="4">
        <v>43233</v>
      </c>
      <c r="G51" s="11" t="str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"*",CHOOSE({1,2}, Super_CBSA!$E$2:$E$1917, Super_CBSA!$A$2:$A$1917), 2,FALSE), ""))</f>
        <v/>
      </c>
    </row>
    <row r="52" spans="1:7" ht="17">
      <c r="A52" s="1" t="s">
        <v>2327</v>
      </c>
      <c r="B52" s="2" t="s">
        <v>1863</v>
      </c>
      <c r="C52" s="2">
        <v>147</v>
      </c>
      <c r="D52" s="2">
        <v>842</v>
      </c>
      <c r="E52" s="3">
        <v>3647</v>
      </c>
      <c r="F52" s="4">
        <v>180990</v>
      </c>
      <c r="G52" s="11" t="str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"*",CHOOSE({1,2}, Super_CBSA!$E$2:$E$1917, Super_CBSA!$A$2:$A$1917), 2,FALSE), ""))</f>
        <v/>
      </c>
    </row>
    <row r="53" spans="1:7" ht="17">
      <c r="A53" s="1" t="s">
        <v>2328</v>
      </c>
      <c r="B53" s="2" t="s">
        <v>2329</v>
      </c>
      <c r="C53" s="2">
        <v>127</v>
      </c>
      <c r="D53" s="3">
        <v>4368</v>
      </c>
      <c r="E53" s="3">
        <v>15369</v>
      </c>
      <c r="F53" s="4">
        <v>461991</v>
      </c>
      <c r="G53" s="11" t="str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"*",CHOOSE({1,2}, Super_CBSA!$E$2:$E$1917, Super_CBSA!$A$2:$A$1917), 2,FALSE), ""))</f>
        <v/>
      </c>
    </row>
    <row r="54" spans="1:7" ht="17">
      <c r="A54" s="1" t="s">
        <v>2330</v>
      </c>
      <c r="B54" s="2" t="s">
        <v>1620</v>
      </c>
      <c r="C54" s="2">
        <v>0</v>
      </c>
      <c r="D54" s="2">
        <v>0</v>
      </c>
      <c r="E54" s="2">
        <v>0</v>
      </c>
      <c r="F54" s="4">
        <v>0</v>
      </c>
      <c r="G54" s="11" cm="1">
        <f t="array" aca="1" ref="G54" ca="1">IFERROR(VLOOKUP("*" &amp; B54  &amp; "*" &amp; (MID(CELL("filename",A53),FIND("]",CELL("filename",A53))+1,31)) &amp; "*",CHOOSE({1,2}, Super_CBSA!$B$2:$B$1917, Super_CBSA!$A$2:$A$1917), 2,FALSE), IFERROR(VLOOKUP(B54  &amp; "*",CHOOSE({1,2}, Super_CBSA!$E$2:$E$1917, Super_CBSA!$A$2:$A$1917), 2,FALSE), ""))</f>
        <v>25620</v>
      </c>
    </row>
    <row r="55" spans="1:7" ht="17">
      <c r="A55" s="1" t="s">
        <v>2331</v>
      </c>
      <c r="B55" s="2" t="s">
        <v>2332</v>
      </c>
      <c r="C55" s="2">
        <v>459</v>
      </c>
      <c r="D55" s="3">
        <v>31447</v>
      </c>
      <c r="E55" s="3">
        <v>125429</v>
      </c>
      <c r="F55" s="4">
        <v>2172446</v>
      </c>
      <c r="G55" s="11" t="str" cm="1">
        <f t="array" aca="1" ref="G55" ca="1">IFERROR(VLOOKUP("*" &amp; B55  &amp; "*" &amp; (MID(CELL("filename",A54),FIND("]",CELL("filename",A54))+1,31)) &amp; "*",CHOOSE({1,2}, Super_CBSA!$B$2:$B$1917, Super_CBSA!$A$2:$A$1917), 2,FALSE), IFERROR(VLOOKUP(B55  &amp; "*",CHOOSE({1,2}, Super_CBSA!$E$2:$E$1917, Super_CBSA!$A$2:$A$1917), 2,FALSE), ""))</f>
        <v/>
      </c>
    </row>
    <row r="56" spans="1:7" ht="17">
      <c r="A56" s="1" t="s">
        <v>2333</v>
      </c>
      <c r="B56" s="2" t="s">
        <v>186</v>
      </c>
      <c r="C56" s="2">
        <v>142</v>
      </c>
      <c r="D56" s="3">
        <v>9672</v>
      </c>
      <c r="E56" s="3">
        <v>35831</v>
      </c>
      <c r="F56" s="4">
        <v>483202</v>
      </c>
      <c r="G56" s="11" cm="1">
        <f t="array" aca="1" ref="G56" ca="1">IFERROR(VLOOKUP("*" &amp; B56  &amp; "*" &amp; (MID(CELL("filename",A55),FIND("]",CELL("filename",A55))+1,31)) &amp; "*",CHOOSE({1,2}, Super_CBSA!$B$2:$B$1917, Super_CBSA!$A$2:$A$1917), 2,FALSE), IFERROR(VLOOKUP(B56  &amp; "*",CHOOSE({1,2}, Super_CBSA!$E$2:$E$1917, Super_CBSA!$A$2:$A$1917), 2,FALSE), ""))</f>
        <v>22500</v>
      </c>
    </row>
    <row r="57" spans="1:7" ht="17">
      <c r="A57" s="1" t="s">
        <v>2334</v>
      </c>
      <c r="B57" s="2" t="s">
        <v>2335</v>
      </c>
      <c r="C57" s="2">
        <v>149</v>
      </c>
      <c r="D57" s="3">
        <v>6935</v>
      </c>
      <c r="E57" s="3">
        <v>30487</v>
      </c>
      <c r="F57" s="4">
        <v>414402</v>
      </c>
      <c r="G57" s="11" t="str" cm="1">
        <f t="array" aca="1" ref="G57" ca="1">IFERROR(VLOOKUP("*" &amp; B57  &amp; "*" &amp; (MID(CELL("filename",A56),FIND("]",CELL("filename",A56))+1,31)) &amp; "*",CHOOSE({1,2}, Super_CBSA!$B$2:$B$1917, Super_CBSA!$A$2:$A$1917), 2,FALSE), IFERROR(VLOOKUP(B57  &amp; "*",CHOOSE({1,2}, Super_CBSA!$E$2:$E$1917, Super_CBSA!$A$2:$A$1917), 2,FALSE), ""))</f>
        <v/>
      </c>
    </row>
    <row r="58" spans="1:7" ht="17">
      <c r="A58" s="1" t="s">
        <v>2336</v>
      </c>
      <c r="B58" s="2" t="s">
        <v>2162</v>
      </c>
      <c r="C58" s="2">
        <v>75</v>
      </c>
      <c r="D58" s="3">
        <v>1107</v>
      </c>
      <c r="E58" s="3">
        <v>3106</v>
      </c>
      <c r="F58" s="4">
        <v>178318</v>
      </c>
      <c r="G58" s="11" cm="1">
        <f t="array" aca="1" ref="G58" ca="1">IFERROR(VLOOKUP("*" &amp; B58  &amp; "*" &amp; (MID(CELL("filename",A57),FIND("]",CELL("filename",A57))+1,31)) &amp; "*",CHOOSE({1,2}, Super_CBSA!$B$2:$B$1917, Super_CBSA!$A$2:$A$1917), 2,FALSE), IFERROR(VLOOKUP(B58  &amp; "*",CHOOSE({1,2}, Super_CBSA!$E$2:$E$1917, Super_CBSA!$A$2:$A$1917), 2,FALSE), ""))</f>
        <v>30140</v>
      </c>
    </row>
    <row r="59" spans="1:7" ht="17">
      <c r="A59" s="1" t="s">
        <v>2337</v>
      </c>
      <c r="B59" s="2" t="s">
        <v>2338</v>
      </c>
      <c r="C59" s="2">
        <v>124</v>
      </c>
      <c r="D59" s="3">
        <v>5535</v>
      </c>
      <c r="E59" s="3">
        <v>19987</v>
      </c>
      <c r="F59" s="4">
        <v>549210</v>
      </c>
      <c r="G59" s="11" cm="1">
        <f t="array" aca="1" ref="G59" ca="1">IFERROR(VLOOKUP("*" &amp; B59  &amp; "*" &amp; (MID(CELL("filename",A58),FIND("]",CELL("filename",A58))+1,31)) &amp; "*",CHOOSE({1,2}, Super_CBSA!$B$2:$B$1917, Super_CBSA!$A$2:$A$1917), 2,FALSE), IFERROR(VLOOKUP(B59  &amp; "*",CHOOSE({1,2}, Super_CBSA!$E$2:$E$1917, Super_CBSA!$A$2:$A$1917), 2,FALSE), ""))</f>
        <v>23980</v>
      </c>
    </row>
    <row r="60" spans="1:7" ht="17">
      <c r="A60" s="1" t="s">
        <v>2339</v>
      </c>
      <c r="B60" s="2" t="s">
        <v>2340</v>
      </c>
      <c r="C60" s="2">
        <v>49</v>
      </c>
      <c r="D60" s="2">
        <v>187</v>
      </c>
      <c r="E60" s="2">
        <v>483</v>
      </c>
      <c r="F60" s="4">
        <v>30822</v>
      </c>
      <c r="G60" s="11" cm="1">
        <f t="array" aca="1" ref="G60" ca="1">IFERROR(VLOOKUP("*" &amp; B60  &amp; "*" &amp; (MID(CELL("filename",A59),FIND("]",CELL("filename",A59))+1,31)) &amp; "*",CHOOSE({1,2}, Super_CBSA!$B$2:$B$1917, Super_CBSA!$A$2:$A$1917), 2,FALSE), IFERROR(VLOOKUP(B60  &amp; "*",CHOOSE({1,2}, Super_CBSA!$E$2:$E$1917, Super_CBSA!$A$2:$A$1917), 2,FALSE), ""))</f>
        <v>12260</v>
      </c>
    </row>
    <row r="61" spans="1:7" ht="17">
      <c r="A61" s="1" t="s">
        <v>1647</v>
      </c>
      <c r="B61" s="2" t="s">
        <v>2341</v>
      </c>
      <c r="C61" s="2">
        <v>90</v>
      </c>
      <c r="D61" s="3">
        <v>2346</v>
      </c>
      <c r="E61" s="3">
        <v>10005</v>
      </c>
      <c r="F61" s="4">
        <v>309027</v>
      </c>
      <c r="G61" s="11" cm="1">
        <f t="array" aca="1" ref="G61" ca="1">IFERROR(VLOOKUP("*" &amp; B61  &amp; "*" &amp; (MID(CELL("filename",A60),FIND("]",CELL("filename",A60))+1,31)) &amp; "*",CHOOSE({1,2}, Super_CBSA!$B$2:$B$1917, Super_CBSA!$A$2:$A$1917), 2,FALSE), IFERROR(VLOOKUP(B61  &amp; "*",CHOOSE({1,2}, Super_CBSA!$E$2:$E$1917, Super_CBSA!$A$2:$A$1917), 2,FALSE), ""))</f>
        <v>15820</v>
      </c>
    </row>
    <row r="62" spans="1:7" ht="17">
      <c r="A62" s="1" t="s">
        <v>2342</v>
      </c>
      <c r="B62" s="2" t="s">
        <v>1605</v>
      </c>
      <c r="C62" s="2">
        <v>38</v>
      </c>
      <c r="D62" s="2">
        <v>553</v>
      </c>
      <c r="E62" s="3">
        <v>2276</v>
      </c>
      <c r="F62" s="4">
        <v>39007</v>
      </c>
      <c r="G62" s="11" cm="1">
        <f t="array" aca="1" ref="G62" ca="1">IFERROR(VLOOKUP("*" &amp; B62  &amp; "*" &amp; (MID(CELL("filename",A61),FIND("]",CELL("filename",A61))+1,31)) &amp; "*",CHOOSE({1,2}, Super_CBSA!$B$2:$B$1917, Super_CBSA!$A$2:$A$1917), 2,FALSE), IFERROR(VLOOKUP(B62  &amp; "*",CHOOSE({1,2}, Super_CBSA!$E$2:$E$1917, Super_CBSA!$A$2:$A$1917), 2,FALSE), ""))</f>
        <v>10580</v>
      </c>
    </row>
    <row r="63" spans="1:7" ht="17">
      <c r="A63" s="1" t="s">
        <v>2343</v>
      </c>
      <c r="B63" s="2" t="s">
        <v>2344</v>
      </c>
      <c r="C63" s="2">
        <v>316</v>
      </c>
      <c r="D63" s="3">
        <v>16591</v>
      </c>
      <c r="E63" s="3">
        <v>86994</v>
      </c>
      <c r="F63" s="4">
        <v>1041673</v>
      </c>
      <c r="G63" s="11" cm="1">
        <f t="array" aca="1" ref="G63" ca="1">IFERROR(VLOOKUP("*" &amp; B63  &amp; "*" &amp; (MID(CELL("filename",A62),FIND("]",CELL("filename",A62))+1,31)) &amp; "*",CHOOSE({1,2}, Super_CBSA!$B$2:$B$1917, Super_CBSA!$A$2:$A$1917), 2,FALSE), IFERROR(VLOOKUP(B63  &amp; " city",CHOOSE({1,2}, Super_CBSA!$E$2:$E$1917, Super_CBSA!$A$2:$A$1917), 2,FALSE), ""))</f>
        <v>14540</v>
      </c>
    </row>
    <row r="64" spans="1:7" ht="17">
      <c r="A64" s="1" t="s">
        <v>2345</v>
      </c>
      <c r="B64" s="2" t="s">
        <v>2346</v>
      </c>
      <c r="C64" s="2">
        <v>84</v>
      </c>
      <c r="D64" s="3">
        <v>1634</v>
      </c>
      <c r="E64" s="3">
        <v>4827</v>
      </c>
      <c r="F64" s="4">
        <v>299142</v>
      </c>
      <c r="G64" s="11" t="str" cm="1">
        <f t="array" aca="1" ref="G64" ca="1">IFERROR(VLOOKUP("*" &amp; B64  &amp; "*" &amp; (MID(CELL("filename",A63),FIND("]",CELL("filename",A63))+1,31)) &amp; "*",CHOOSE({1,2}, Super_CBSA!$B$2:$B$1917, Super_CBSA!$A$2:$A$1917), 2,FALSE), IFERROR(VLOOKUP(B64  &amp; "*",CHOOSE({1,2}, Super_CBSA!$E$2:$E$1917, Super_CBSA!$A$2:$A$1917), 2,FALSE), ""))</f>
        <v/>
      </c>
    </row>
    <row r="65" spans="1:7" ht="17">
      <c r="A65" s="1" t="s">
        <v>2347</v>
      </c>
      <c r="B65" s="2" t="s">
        <v>2344</v>
      </c>
      <c r="C65" s="2">
        <v>162</v>
      </c>
      <c r="D65" s="3">
        <v>5957</v>
      </c>
      <c r="E65" s="3">
        <v>20684</v>
      </c>
      <c r="F65" s="4">
        <v>803377</v>
      </c>
      <c r="G65" s="11" cm="1">
        <f t="array" aca="1" ref="G65" ca="1">IFERROR(VLOOKUP("*" &amp; B65  &amp; "*" &amp; (MID(CELL("filename",A64),FIND("]",CELL("filename",A64))+1,31)) &amp; "*",CHOOSE({1,2}, Super_CBSA!$B$2:$B$1917, Super_CBSA!$A$2:$A$1917), 2,FALSE), IFERROR(VLOOKUP(B65  &amp; "*",CHOOSE({1,2}, Super_CBSA!$E$2:$E$1917, Super_CBSA!$A$2:$A$1917), 2,FALSE), ""))</f>
        <v>14540</v>
      </c>
    </row>
    <row r="66" spans="1:7" ht="17">
      <c r="A66" s="1" t="s">
        <v>2348</v>
      </c>
      <c r="B66" s="2" t="s">
        <v>2349</v>
      </c>
      <c r="C66" s="2">
        <v>123</v>
      </c>
      <c r="D66" s="3">
        <v>2085</v>
      </c>
      <c r="E66" s="3">
        <v>7911</v>
      </c>
      <c r="F66" s="4">
        <v>213463</v>
      </c>
      <c r="G66" s="11" t="str" cm="1">
        <f t="array" aca="1" ref="G66" ca="1">IFERROR(VLOOKUP("*" &amp; B66  &amp; "*" &amp; (MID(CELL("filename",A65),FIND("]",CELL("filename",A65))+1,31)) &amp; "*",CHOOSE({1,2}, Super_CBSA!$B$2:$B$1917, Super_CBSA!$A$2:$A$1917), 2,FALSE), IFERROR(VLOOKUP(B66  &amp; "*",CHOOSE({1,2}, Super_CBSA!$E$2:$E$1917, Super_CBSA!$A$2:$A$1917), 2,FALSE), ""))</f>
        <v/>
      </c>
    </row>
    <row r="67" spans="1:7" ht="17">
      <c r="A67" s="1" t="s">
        <v>2350</v>
      </c>
      <c r="B67" s="2" t="s">
        <v>2351</v>
      </c>
      <c r="C67" s="2">
        <v>75</v>
      </c>
      <c r="D67" s="3">
        <v>2180</v>
      </c>
      <c r="E67" s="3">
        <v>8727</v>
      </c>
      <c r="F67" s="4">
        <v>147815</v>
      </c>
      <c r="G67" s="11" t="str" cm="1">
        <f t="array" aca="1" ref="G67" ca="1">IFERROR(VLOOKUP("*" &amp; B67  &amp; "*" &amp; (MID(CELL("filename",A66),FIND("]",CELL("filename",A66))+1,31)) &amp; "*",CHOOSE({1,2}, Super_CBSA!$B$2:$B$1917, Super_CBSA!$A$2:$A$1917), 2,FALSE), IFERROR(VLOOKUP(B67  &amp; "*",CHOOSE({1,2}, Super_CBSA!$E$2:$E$1917, Super_CBSA!$A$2:$A$1917), 2,FALSE), ""))</f>
        <v/>
      </c>
    </row>
    <row r="68" spans="1:7" ht="17">
      <c r="A68" s="1" t="s">
        <v>2352</v>
      </c>
      <c r="B68" s="2" t="s">
        <v>2252</v>
      </c>
      <c r="C68" s="2">
        <v>224</v>
      </c>
      <c r="D68" s="3">
        <v>6259</v>
      </c>
      <c r="E68" s="3">
        <v>25632</v>
      </c>
      <c r="F68" s="4">
        <v>177964</v>
      </c>
      <c r="G68" s="11" cm="1">
        <f t="array" aca="1" ref="G68" ca="1">IFERROR(VLOOKUP("*" &amp; B68  &amp; "*" &amp; (MID(CELL("filename",A67),FIND("]",CELL("filename",A67))+1,31)) &amp; "*",CHOOSE({1,2}, Super_CBSA!$B$2:$B$1917, Super_CBSA!$A$2:$A$1917), 2,FALSE), IFERROR(VLOOKUP(B68  &amp; "*",CHOOSE({1,2}, Super_CBSA!$E$2:$E$1917, Super_CBSA!$A$2:$A$1917), 2,FALSE), ""))</f>
        <v>30460</v>
      </c>
    </row>
    <row r="69" spans="1:7" ht="17">
      <c r="A69" s="1" t="s">
        <v>2353</v>
      </c>
      <c r="B69" s="2" t="s">
        <v>2252</v>
      </c>
      <c r="C69" s="2">
        <v>932</v>
      </c>
      <c r="D69" s="3">
        <v>45156</v>
      </c>
      <c r="E69" s="3">
        <v>276565</v>
      </c>
      <c r="F69" s="4">
        <v>5782852</v>
      </c>
      <c r="G69" s="11" cm="1">
        <f t="array" aca="1" ref="G69" ca="1">IFERROR(VLOOKUP("*" &amp; B69  &amp; "*" &amp; (MID(CELL("filename",A68),FIND("]",CELL("filename",A68))+1,31)) &amp; "*",CHOOSE({1,2}, Super_CBSA!$B$2:$B$1917, Super_CBSA!$A$2:$A$1917), 2,FALSE), IFERROR(VLOOKUP(B69  &amp; "*",CHOOSE({1,2}, Super_CBSA!$E$2:$E$1917, Super_CBSA!$A$2:$A$1917), 2,FALSE), ""))</f>
        <v>30460</v>
      </c>
    </row>
    <row r="70" spans="1:7" ht="17">
      <c r="A70" s="1" t="s">
        <v>2354</v>
      </c>
      <c r="B70" s="2" t="s">
        <v>991</v>
      </c>
      <c r="C70" s="2">
        <v>348</v>
      </c>
      <c r="D70" s="3">
        <v>16507</v>
      </c>
      <c r="E70" s="3">
        <v>100556</v>
      </c>
      <c r="F70" s="4">
        <v>2713620</v>
      </c>
      <c r="G70" s="11" cm="1">
        <f t="array" aca="1" ref="G70" ca="1">IFERROR(VLOOKUP("*" &amp; B70  &amp; "*" &amp; (MID(CELL("filename",A69),FIND("]",CELL("filename",A69))+1,31)) &amp; "*",CHOOSE({1,2}, Super_CBSA!$B$2:$B$1917, Super_CBSA!$A$2:$A$1917), 2,FALSE), IFERROR(VLOOKUP(B70  &amp; "*",CHOOSE({1,2}, Super_CBSA!$E$2:$E$1917, Super_CBSA!$A$2:$A$1917), 2,FALSE), ""))</f>
        <v>31140</v>
      </c>
    </row>
    <row r="71" spans="1:7" ht="17">
      <c r="A71" s="1" t="s">
        <v>2355</v>
      </c>
      <c r="B71" s="2" t="s">
        <v>991</v>
      </c>
      <c r="C71" s="2">
        <v>821</v>
      </c>
      <c r="D71" s="3">
        <v>29369</v>
      </c>
      <c r="E71" s="3">
        <v>105040</v>
      </c>
      <c r="F71" s="4">
        <v>2824596</v>
      </c>
      <c r="G71" s="11" cm="1">
        <f t="array" aca="1" ref="G71" ca="1">IFERROR(VLOOKUP("*" &amp; B71  &amp; "*" &amp; (MID(CELL("filename",A70),FIND("]",CELL("filename",A70))+1,31)) &amp; "*",CHOOSE({1,2}, Super_CBSA!$B$2:$B$1917, Super_CBSA!$A$2:$A$1917), 2,FALSE), IFERROR(VLOOKUP(B71  &amp; "*",CHOOSE({1,2}, Super_CBSA!$E$2:$E$1917, Super_CBSA!$A$2:$A$1917), 2,FALSE), ""))</f>
        <v>31140</v>
      </c>
    </row>
    <row r="72" spans="1:7" ht="17">
      <c r="A72" s="1" t="s">
        <v>2356</v>
      </c>
      <c r="B72" s="2" t="s">
        <v>1894</v>
      </c>
      <c r="C72" s="2">
        <v>30</v>
      </c>
      <c r="D72" s="2">
        <v>382</v>
      </c>
      <c r="E72" s="3">
        <v>1056</v>
      </c>
      <c r="F72" s="4">
        <v>135860</v>
      </c>
      <c r="G72" s="11" t="str" cm="1">
        <f t="array" aca="1" ref="G72" ca="1">IFERROR(VLOOKUP("*" &amp; B72  &amp; "*" &amp; (MID(CELL("filename",A71),FIND("]",CELL("filename",A71))+1,31)) &amp; "*",CHOOSE({1,2}, Super_CBSA!$B$2:$B$1917, Super_CBSA!$A$2:$A$1917), 2,FALSE), IFERROR(VLOOKUP(B72  &amp; "*",CHOOSE({1,2}, Super_CBSA!$E$2:$E$1917, Super_CBSA!$A$2:$A$1917), 2,FALSE), ""))</f>
        <v/>
      </c>
    </row>
    <row r="73" spans="1:7" ht="17">
      <c r="A73" s="1" t="s">
        <v>2357</v>
      </c>
      <c r="B73" s="2" t="s">
        <v>991</v>
      </c>
      <c r="C73" s="2">
        <v>495</v>
      </c>
      <c r="D73" s="3">
        <v>14575</v>
      </c>
      <c r="E73" s="3">
        <v>124501</v>
      </c>
      <c r="F73" s="4">
        <v>463502</v>
      </c>
      <c r="G73" s="11" cm="1">
        <f t="array" aca="1" ref="G73" ca="1">IFERROR(VLOOKUP("*" &amp; B73  &amp; "*" &amp; (MID(CELL("filename",A72),FIND("]",CELL("filename",A72))+1,31)) &amp; "*",CHOOSE({1,2}, Super_CBSA!$B$2:$B$1917, Super_CBSA!$A$2:$A$1917), 2,FALSE), IFERROR(VLOOKUP(B73  &amp; "*",CHOOSE({1,2}, Super_CBSA!$E$2:$E$1917, Super_CBSA!$A$2:$A$1917), 2,FALSE), ""))</f>
        <v>31140</v>
      </c>
    </row>
    <row r="74" spans="1:7" ht="17">
      <c r="A74" s="1" t="s">
        <v>2358</v>
      </c>
      <c r="B74" s="2" t="s">
        <v>2359</v>
      </c>
      <c r="C74" s="2">
        <v>90</v>
      </c>
      <c r="D74" s="3">
        <v>3349</v>
      </c>
      <c r="E74" s="3">
        <v>15331</v>
      </c>
      <c r="F74" s="4">
        <v>215416</v>
      </c>
      <c r="G74" s="11" t="str" cm="1">
        <f t="array" aca="1" ref="G74" ca="1">IFERROR(VLOOKUP("*" &amp; B74  &amp; "*" &amp; (MID(CELL("filename",A73),FIND("]",CELL("filename",A73))+1,31)) &amp; "*",CHOOSE({1,2}, Super_CBSA!$B$2:$B$1917, Super_CBSA!$A$2:$A$1917), 2,FALSE), IFERROR(VLOOKUP(B74  &amp; "*",CHOOSE({1,2}, Super_CBSA!$E$2:$E$1917, Super_CBSA!$A$2:$A$1917), 2,FALSE), ""))</f>
        <v/>
      </c>
    </row>
    <row r="75" spans="1:7" ht="17">
      <c r="A75" s="1" t="s">
        <v>2360</v>
      </c>
      <c r="B75" s="2" t="s">
        <v>2252</v>
      </c>
      <c r="C75" s="2">
        <v>0</v>
      </c>
      <c r="D75" s="2">
        <v>0</v>
      </c>
      <c r="E75" s="2">
        <v>0</v>
      </c>
      <c r="F75" s="4">
        <v>0</v>
      </c>
      <c r="G75" s="11" cm="1">
        <f t="array" aca="1" ref="G75" ca="1">IFERROR(VLOOKUP("*" &amp; B75  &amp; "*" &amp; (MID(CELL("filename",A74),FIND("]",CELL("filename",A74))+1,31)) &amp; "*",CHOOSE({1,2}, Super_CBSA!$B$2:$B$1917, Super_CBSA!$A$2:$A$1917), 2,FALSE), IFERROR(VLOOKUP(B75  &amp; "*",CHOOSE({1,2}, Super_CBSA!$E$2:$E$1917, Super_CBSA!$A$2:$A$1917), 2,FALSE), ""))</f>
        <v>30460</v>
      </c>
    </row>
    <row r="76" spans="1:7" ht="17">
      <c r="A76" s="2" t="s">
        <v>56</v>
      </c>
      <c r="B76" s="2"/>
      <c r="C76" s="3">
        <v>13618</v>
      </c>
      <c r="D76" s="3">
        <v>531922</v>
      </c>
      <c r="E76" s="3">
        <v>2498618</v>
      </c>
      <c r="F76" s="4">
        <v>59063468</v>
      </c>
    </row>
  </sheetData>
  <hyperlinks>
    <hyperlink ref="A2" r:id="rId1" display="https://www.ahd.com/free_profile/180043/AdventHealth_Manchester/Manchester/Kentucky/" xr:uid="{0DFCB041-B165-5742-8930-8565D40B852E}"/>
    <hyperlink ref="A3" r:id="rId2" display="https://www.ahd.com/free_profile/180080/Baptist_Health_Corbin/Corbin/Kentucky/" xr:uid="{1E6D6D3D-FBE8-5D4E-8351-9332648B7568}"/>
    <hyperlink ref="A4" r:id="rId3" display="https://www.ahd.com/free_profile/180138/Baptist_Health_LaGrange/La_Grange/Kentucky/" xr:uid="{9EDFDC99-4BC0-1640-88CE-0E50BD7436CC}"/>
    <hyperlink ref="A5" r:id="rId4" display="https://www.ahd.com/free_profile/180103/Baptist_Health_Lexington/Lexington/Kentucky/" xr:uid="{312DAC6A-F91A-6E4E-A513-A53FCAB37D06}"/>
    <hyperlink ref="A6" r:id="rId5" display="https://www.ahd.com/free_profile/180130/Baptist_Health_Louisville/Louisville/Kentucky/" xr:uid="{921241EE-EB7E-7646-86BB-0D2621CAF321}"/>
    <hyperlink ref="A7" r:id="rId6" display="https://www.ahd.com/free_profile/180093/Baptist_Health_Madisonville/Madisonville/Kentucky/" xr:uid="{BB95675A-E452-C94E-9EE6-E543A47881EC}"/>
    <hyperlink ref="A8" r:id="rId7" display="https://www.ahd.com/free_profile/180104/Baptist_Health_Paducah/Paducah/Kentucky/" xr:uid="{83AABD6C-AFC3-2741-A9AE-68255DEA29F8}"/>
    <hyperlink ref="A9" r:id="rId8" display="https://www.ahd.com/free_profile/180049/Baptist_Health_Richmond/Richmond/Kentucky/" xr:uid="{3584945C-4449-D441-8956-EDB7AE0E16A0}"/>
    <hyperlink ref="A10" r:id="rId9" display="https://www.ahd.com/free_profile/18003F/Blanchfield_Army_Community_Hospital/Fort_Campbell/Kentucky/" xr:uid="{C93AABED-6BA1-8C44-979F-8716709F4876}"/>
    <hyperlink ref="A11" r:id="rId10" display="https://www.ahd.com/free_profile/180046/Bourbon_Community_Hospital/Paris/Kentucky/" xr:uid="{740231C2-FEAE-1145-A3E9-15F683218838}"/>
    <hyperlink ref="A12" r:id="rId11" display="https://www.ahd.com/free_profile/180143/CHI_Saint_Joseph_Health_East/Lexington/Kentucky/" xr:uid="{BA2F878F-F8EB-414E-9FF6-44ADC667A78A}"/>
    <hyperlink ref="A13" r:id="rId12" display="https://www.ahd.com/free_profile/180010/CHI_Saint_Joseph_Health_Hospital/Lexington/Kentucky/" xr:uid="{96A942B7-9BBE-E748-B663-5A6BF0472FB5}"/>
    <hyperlink ref="A14" r:id="rId13" display="https://www.ahd.com/free_profile/180011/CHI_Saint_Joseph_Health_London/London/Kentucky/" xr:uid="{C77150D4-EBD4-7C46-85CB-D7F8029D6323}"/>
    <hyperlink ref="A15" r:id="rId14" display="https://www.ahd.com/free_profile/180064/CHI_Saint_Joseph_Health_Mount_Sterling/Mount_Sterling/Kentucky/" xr:uid="{597F2DAD-D786-9F46-837D-45D0C5ABD551}"/>
    <hyperlink ref="A16" r:id="rId15" display="https://www.ahd.com/free_profile/180092/Clark_Regional_Medical_Center/Winchester/Kentucky/" xr:uid="{579C7EA5-A959-1542-ADB3-BCEFB1116845}"/>
    <hyperlink ref="A17" r:id="rId16" display="https://www.ahd.com/free_profile/180095/Crittenden_Health_System/Marion/Kentucky/" xr:uid="{90D50B24-0E7E-DC42-A8A9-4F00E3EA060D}"/>
    <hyperlink ref="A18" r:id="rId17" display="https://www.ahd.com/free_profile/180048/Ephraim_McDowell_Regional_Medical_Center/Danville/Kentucky/" xr:uid="{18758FF7-1575-5444-8C81-006B085F4255}"/>
    <hyperlink ref="A19" r:id="rId18" display="https://www.ahd.com/free_profile/I08153/Federal_Medical_Center_Lexington/Lexington/Kentucky/" xr:uid="{13EA6C33-7ED4-1349-B37D-11E02C342E07}"/>
    <hyperlink ref="A20" r:id="rId19" display="https://www.ahd.com/free_profile/180025/Flaget_Memorial_Hospital/Bardstown/Kentucky/" xr:uid="{53800E4C-528A-2C44-B342-E30965B6C292}"/>
    <hyperlink ref="A21" r:id="rId20" display="https://www.ahd.com/free_profile/180053/Fleming_County_Hospital/Flemingsburg/Kentucky/" xr:uid="{4513F141-094F-0E4E-9613-F85B8D9EA1BB}"/>
    <hyperlink ref="A22" r:id="rId21" display="https://www.ahd.com/free_profile/180127/Frankfort_Regional_Medical_Center/Frankfort/Kentucky/" xr:uid="{B4918643-8C23-4E48-8604-81915551BB9D}"/>
    <hyperlink ref="A23" r:id="rId22" display="https://www.ahd.com/free_profile/180101/Georgetown_Community_Hospital/Georgetown/Kentucky/" xr:uid="{2C76F624-7ABD-454B-9F6A-D2ED6CE62179}"/>
    <hyperlink ref="A24" r:id="rId23" display="https://www.ahd.com/free_profile/180012/Hardin_Memorial_Hospital/Elizabethtown/Kentucky/" xr:uid="{F2EE6D7D-5A71-4B40-B63A-DD9081B0B428}"/>
    <hyperlink ref="A25" r:id="rId24" display="https://www.ahd.com/free_profile/180050/Harlan_ARH_Hospital/Harlan/Kentucky/" xr:uid="{9E1C4345-39C0-9D4F-9964-5136F5A80AE8}"/>
    <hyperlink ref="A26" r:id="rId25" display="https://www.ahd.com/free_profile/180079/Harrison_Memorial_Hospital/Cynthiana/Kentucky/" xr:uid="{170766F0-DCB8-854F-A6D4-97F3A9B7F64F}"/>
    <hyperlink ref="A27" r:id="rId26" display="https://www.ahd.com/free_profile/180029/Hazard_ARH_Regional_Medical_Center/Hazard/Kentucky/" xr:uid="{898AEDFC-837E-5544-8A9E-4CDBB03BF1D1}"/>
    <hyperlink ref="A28" r:id="rId27" display="https://www.ahd.com/free_profile/180005/Highlands_ARH_Regional_Medical_Center/Prestonsburg/Kentucky/" xr:uid="{3696EC6C-5BB2-D24B-AFE6-4117CC09C501}"/>
    <hyperlink ref="A29" r:id="rId28" display="https://www.ahd.com/free_profile/180116/Jackson_Purchase_Medical_Center/Mayfield/Kentucky/" xr:uid="{2B38D27C-CE38-614D-A671-4BE0842D139C}"/>
    <hyperlink ref="A30" r:id="rId29" display="https://www.ahd.com/free_profile/180051/Jennie_Stuart_Medical_Center/Hopkinsville/Kentucky/" xr:uid="{1CBEF8D7-43E0-2D45-ADC5-DB91C7EE632A}"/>
    <hyperlink ref="A31" r:id="rId30" display="https://www.ahd.com/free_profile/180139/Kentucky_River_Medical_Center/Jackson/Kentucky/" xr:uid="{1E84B285-13E9-1F4B-9E25-62490E2DFC15}"/>
    <hyperlink ref="A32" r:id="rId31" display="https://www.ahd.com/free_profile/180009/King%27s_Daughters_Medical_Center/Ashland/Kentucky/" xr:uid="{7CA4BE05-A1D8-A54E-853B-1AE466E226CC}"/>
    <hyperlink ref="A33" r:id="rId32" display="https://www.ahd.com/free_profile/180132/Lake_Cumberland_Regional_Hospital/Somerset/Kentucky/" xr:uid="{81950342-55B8-CF44-BD75-F681E35F8A76}"/>
    <hyperlink ref="A34" r:id="rId33" display="https://www.ahd.com/free_profile/18007F/Lexington_VA_Medical_Center-Cooper_Division/Lexington/Kentucky/" xr:uid="{DFFFBF41-E7E7-3146-AE48-C9972822F468}"/>
    <hyperlink ref="A35" r:id="rId34" display="https://www.ahd.com/free_profile/180066/Logan_Memorial_Hospital/Russellville/Kentucky/" xr:uid="{8A74E644-0FF0-AA43-95EF-B0122D57E6A4}"/>
    <hyperlink ref="A36" r:id="rId35" display="https://www.ahd.com/free_profile/18006F/Louisville_VA_Medical_Center/Louisville/Kentucky/" xr:uid="{3139BDB2-0CFC-6040-B1F0-10577CD4D188}"/>
    <hyperlink ref="A37" r:id="rId36" display="https://www.ahd.com/free_profile/180019/Meadowview_Regional_Medical_Center/Maysville/Kentucky/" xr:uid="{957D8E2E-ACA3-7949-AD9E-DDD8FCCFC9E2}"/>
    <hyperlink ref="A38" r:id="rId37" display="https://www.ahd.com/free_profile/180102/Mercy_Health-Lourdes_Hospital/Paducah/Kentucky/" xr:uid="{70501AAC-27BC-814A-A335-AAADE709F87B}"/>
    <hyperlink ref="A39" r:id="rId38" display="https://www.ahd.com/free_profile/180056/Methodist_Health_Henderson_County_Campus/Henderson/Kentucky/" xr:uid="{DF1944A0-4D4E-C844-976D-CFB1021DA46B}"/>
    <hyperlink ref="A40" r:id="rId39" display="https://www.ahd.com/free_profile/180020/Middlesboro_ARH_Hospital/Middlesboro/Kentucky/" xr:uid="{99AFCAC0-265C-D248-B353-20D36229580F}"/>
    <hyperlink ref="A41" r:id="rId40" display="https://www.ahd.com/free_profile/180105/Monroe_County_Medical_Center/Tompkinsville/Kentucky/" xr:uid="{61A8CC23-968E-1D43-8031-B88C3CB9D0D8}"/>
    <hyperlink ref="A42" r:id="rId41" display="https://www.ahd.com/free_profile/180027/Murray-Calloway_County_Hospital/Murray/Kentucky/" xr:uid="{A6CAEC77-B680-5F4C-9CC1-E36F20CC2882}"/>
    <hyperlink ref="A43" r:id="rId42" display="https://www.ahd.com/free_profile/I40992/Norton_Audubon_Hospital/Louisville/Kentucky/" xr:uid="{968A3A72-0ADF-C343-ABF7-4721A40DE09E}"/>
    <hyperlink ref="A44" r:id="rId43" display="https://www.ahd.com/free_profile/I41651/Norton_Brownsboro_Hospital/Louisville/Kentucky/" xr:uid="{4D93FB3F-EEAB-2943-97CE-F0F4B0B162E6}"/>
    <hyperlink ref="A45" r:id="rId44" display="https://www.ahd.com/free_profile/180088/Norton_Hospital/Louisville/Kentucky/" xr:uid="{ABDF349C-6A2F-F742-AA07-4C57C9D1E129}"/>
    <hyperlink ref="A46" r:id="rId45" display="https://www.ahd.com/free_profile/I40989/Norton_Women%27s_%26_Children%27s_Hospital/Louisville/Kentucky/" xr:uid="{BE6BDD36-C115-2A4C-9C97-1243A96E8FBB}"/>
    <hyperlink ref="A47" r:id="rId46" display="https://www.ahd.com/free_profile/180004/Owensboro_Health_Muhlenberg_Community_Hospital/Greenville/Kentucky/" xr:uid="{37D14031-911E-5D4A-80E1-97632E1E28A2}"/>
    <hyperlink ref="A48" r:id="rId47" display="https://www.ahd.com/free_profile/180038/Owensboro_Health_Regional_Hospital/Owensboro/Kentucky/" xr:uid="{DB08C4CE-6757-094A-B03B-0F69F2AE6CA7}"/>
    <hyperlink ref="A49" r:id="rId48" display="https://www.ahd.com/free_profile/180078/Paul_B_Hall_Regional_Medical_Center/Paintsville/Kentucky/" xr:uid="{64A886C5-55F6-C04A-A812-FC5EA70D01AD}"/>
    <hyperlink ref="A50" r:id="rId49" display="https://www.ahd.com/free_profile/180044/Pikeville_Medical_Center/Pikeville/Kentucky/" xr:uid="{0DE33702-5C0E-7847-BFED-36B595139B0E}"/>
    <hyperlink ref="A51" r:id="rId50" display="https://www.ahd.com/free_profile/180021/Pineville_Community_Hospital_/Pineville/Kentucky/" xr:uid="{17867C5B-0C94-9A40-A6C7-9378649D7D7B}"/>
    <hyperlink ref="A52" r:id="rId51" display="https://www.ahd.com/free_profile/180115/Rockcastle_Regional_Hospital_/Mount_Vernon/Kentucky/" xr:uid="{EA6BA1D5-09B5-AC49-B2B0-B9F2EAF44671}"/>
    <hyperlink ref="A53" r:id="rId52" display="https://www.ahd.com/free_profile/180018/Saint_Claire_Regional_Medical_Center/Morehead/Kentucky/" xr:uid="{42C7C288-FFA2-4246-96D5-CC7536839B54}"/>
    <hyperlink ref="A54" r:id="rId53" display="https://www.ahd.com/free_profile/I41186/Saint_Elizabeth_Covington/Covington/Kentucky/" xr:uid="{31E3FD6D-D530-5E4E-A00F-81EE11C1D909}"/>
    <hyperlink ref="A55" r:id="rId54" display="https://www.ahd.com/free_profile/180035/Saint_Elizabeth_Edgewood/Edgewood/Kentucky/" xr:uid="{C70BBD6A-3AF3-864E-B7D9-5C13A5F73366}"/>
    <hyperlink ref="A56" r:id="rId55" display="https://www.ahd.com/free_profile/180045/Saint_Elizabeth_Florence/Florence/Kentucky/" xr:uid="{873716CE-DE3F-A148-A26C-785D21940771}"/>
    <hyperlink ref="A57" r:id="rId56" display="https://www.ahd.com/free_profile/180001/Saint_Elizabeth_Fort_Thomas/Fort_Thomas/Kentucky/" xr:uid="{9EF46DFB-40C4-2545-A866-E928DCCFEFE5}"/>
    <hyperlink ref="A58" r:id="rId57" display="https://www.ahd.com/free_profile/180024/Spring_View_Hospital/Lebanon/Kentucky/" xr:uid="{866B66D0-ED16-3E4A-86EB-F0919E79C393}"/>
    <hyperlink ref="A59" r:id="rId58" display="https://www.ahd.com/free_profile/180017/T_J_Samson_Community_Hospital/Glasgow/Kentucky/" xr:uid="{7F77AFC3-9CA6-D047-B8CC-04019D22FADA}"/>
    <hyperlink ref="A60" r:id="rId59" display="https://www.ahd.com/free_profile/180149/TJ_Health_Columbia/Columbia/Kentucky/" xr:uid="{12423ACE-ECCA-C747-B9FE-2C2EE9ED99A9}"/>
    <hyperlink ref="A61" r:id="rId60" display="https://www.ahd.com/free_profile/180087/Taylor_Regional_Hospital/Campbellsville/Kentucky/" xr:uid="{55E1A4BC-124A-4443-9709-43A73A5DB36A}"/>
    <hyperlink ref="A62" r:id="rId61" display="https://www.ahd.com/free_profile/180106/The_Medical_Center_at_Albany/Albany/Kentucky/" xr:uid="{76046750-7B2E-A442-A844-3B67CCC4BBF0}"/>
    <hyperlink ref="A63" r:id="rId62" display="https://www.ahd.com/free_profile/180013/The_Medical_Center_at_Bowling_Green/Bowling_Green/Kentucky/" xr:uid="{CA488282-1516-0F4E-AE00-70B91F8F07C4}"/>
    <hyperlink ref="A64" r:id="rId63" display="https://www.ahd.com/free_profile/180128/Three_Rivers_Medical_Center/Louisa/Kentucky/" xr:uid="{4C926C4F-B2B5-8441-817E-D450BF824FAC}"/>
    <hyperlink ref="A65" r:id="rId64" display="https://www.ahd.com/free_profile/180124/TriStar_Greenview_Regional_Hospital/Bowling_Green/Kentucky/" xr:uid="{5B9A40D6-4C39-1242-9172-57942886FD9D}"/>
    <hyperlink ref="A66" r:id="rId65" display="https://www.ahd.com/free_profile/180069/Tug_Valley_ARH_Regional_Medical_Center/South_Williamson/Kentucky/" xr:uid="{345FA213-6006-A243-A56E-A630532B1DEE}"/>
    <hyperlink ref="A67" r:id="rId66" display="https://www.ahd.com/free_profile/180070/Twin_Lakes_Regional_Medical_Center/Leitchfield/Kentucky/" xr:uid="{5109C515-AD8B-D84B-A61D-AB50D9E24CA4}"/>
    <hyperlink ref="A68" r:id="rId67" display="https://www.ahd.com/free_profile/180151/UK_Good_Samaritan_Hospital/Lexington/Kentucky/" xr:uid="{4559F0BD-1347-A541-AAFE-15A0C75AA26C}"/>
    <hyperlink ref="A69" r:id="rId68" display="https://www.ahd.com/free_profile/180067/University_of_Kentucky_Albert_B_Chandler_Hospital/Lexington/Kentucky/" xr:uid="{53D0678A-51E2-9D4B-8CF4-64C68902C82C}"/>
    <hyperlink ref="A70" r:id="rId69" display="https://www.ahd.com/free_profile/180141/University_of_Louisville_Hospital/Louisville/Kentucky/" xr:uid="{19E66762-7AA5-324F-B393-CF12D405DD67}"/>
    <hyperlink ref="A71" r:id="rId70" display="https://www.ahd.com/free_profile/180040/UofL_Health_-_Jewish_Hospital/Louisville/Kentucky/" xr:uid="{537FD21C-EB0B-5C42-9595-33D952C04765}"/>
    <hyperlink ref="A72" r:id="rId71" display="https://www.ahd.com/free_profile/180016/UofL_Health-_Shelbyville_Hospital/Shelbyville/Kentucky/" xr:uid="{C948AA93-8662-7144-980F-614AF33CA4A7}"/>
    <hyperlink ref="A73" r:id="rId72" display="https://www.ahd.com/free_profile/180037/UofL_Health-Mary_%26_Elizabeth_Hospital/Louisville/Kentucky/" xr:uid="{25E9C889-A37E-6E41-BBF4-017CD7C0B25E}"/>
    <hyperlink ref="A74" r:id="rId73" display="https://www.ahd.com/free_profile/180002/Whitesburg_ARH_Hospital/Whitesburg/Kentucky/" xr:uid="{4677AB46-D452-5247-9FA9-EC0606643926}"/>
    <hyperlink ref="A75" r:id="rId74" display="https://www.ahd.com/free_profile/I42086/Women%27s_Hospital_Saint_Joseph_East/Lexington/Kentucky/" xr:uid="{4BA88A8C-8BBC-C347-8F28-0981C5FE653A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FF141-5764-2C47-80E7-D6BA84535BB9}">
  <sheetPr codeName="Sheet20"/>
  <dimension ref="A1:G110"/>
  <sheetViews>
    <sheetView topLeftCell="A50" workbookViewId="0">
      <selection activeCell="G63" sqref="G63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2361</v>
      </c>
      <c r="B2" s="2" t="s">
        <v>2362</v>
      </c>
      <c r="C2" s="2">
        <v>60</v>
      </c>
      <c r="D2" s="3">
        <v>1240</v>
      </c>
      <c r="E2" s="3">
        <v>5661</v>
      </c>
      <c r="F2" s="4">
        <v>143008</v>
      </c>
      <c r="G2" s="11" t="str" cm="1">
        <f t="array" aca="1" ref="G2" ca="1">IFERROR(VLOOKUP("*" &amp; B2  &amp; "*" &amp; (MID(CELL("filename",A1),FIND("]",CELL("filename",A1))+1,31)) &amp; "*",CHOOSE({1,2}, Super_CBSA!$B$2:$B$1917, Super_CBSA!$A$2:$A$1917), 2,FALSE), IFERROR(VLOOKUP(B2  &amp; "*",CHOOSE({1,2}, Super_CBSA!$E$2:$E$1917, Super_CBSA!$A$2:$A$1917), 2,FALSE), ""))</f>
        <v/>
      </c>
    </row>
    <row r="3" spans="1:7" ht="17">
      <c r="A3" s="1" t="s">
        <v>2363</v>
      </c>
      <c r="B3" s="2" t="s">
        <v>2364</v>
      </c>
      <c r="C3" s="2">
        <v>129</v>
      </c>
      <c r="D3" s="3">
        <v>1700</v>
      </c>
      <c r="E3" s="3">
        <v>7889</v>
      </c>
      <c r="F3" s="4">
        <v>196062</v>
      </c>
      <c r="G3" s="11" t="str" cm="1">
        <f t="array" aca="1" ref="G3" ca="1">IFERROR(VLOOKUP("*" &amp; B3  &amp; "*" &amp; (MID(CELL("filename",A2),FIND("]",CELL("filename",A2))+1,31)) &amp; "*",CHOOSE({1,2}, Super_CBSA!$B$2:$B$1917, Super_CBSA!$A$2:$A$1917), 2,FALSE), IFERROR(VLOOKUP(B3  &amp; "*",CHOOSE({1,2}, Super_CBSA!$E$2:$E$1917, Super_CBSA!$A$2:$A$1917), 2,FALSE), ""))</f>
        <v/>
      </c>
    </row>
    <row r="4" spans="1:7" ht="17">
      <c r="A4" s="1" t="s">
        <v>2365</v>
      </c>
      <c r="B4" s="2" t="s">
        <v>2366</v>
      </c>
      <c r="C4" s="2">
        <v>52</v>
      </c>
      <c r="D4" s="3">
        <v>2315</v>
      </c>
      <c r="E4" s="3">
        <v>9937</v>
      </c>
      <c r="F4" s="4">
        <v>80719</v>
      </c>
      <c r="G4" s="11" t="str" cm="1">
        <f t="array" aca="1" ref="G4" ca="1">IFERROR(VLOOKUP("*" &amp; B4  &amp; "*" &amp; (MID(CELL("filename",A3),FIND("]",CELL("filename",A3))+1,31)) &amp; "*",CHOOSE({1,2}, Super_CBSA!$B$2:$B$1917, Super_CBSA!$A$2:$A$1917), 2,FALSE), IFERROR(VLOOKUP(B4  &amp; "*",CHOOSE({1,2}, Super_CBSA!$E$2:$E$1917, Super_CBSA!$A$2:$A$1917), 2,FALSE), ""))</f>
        <v/>
      </c>
    </row>
    <row r="5" spans="1:7" ht="17">
      <c r="A5" s="1" t="s">
        <v>2367</v>
      </c>
      <c r="B5" s="2" t="s">
        <v>2326</v>
      </c>
      <c r="C5" s="2">
        <v>0</v>
      </c>
      <c r="D5" s="2">
        <v>0</v>
      </c>
      <c r="E5" s="2">
        <v>0</v>
      </c>
      <c r="F5" s="4">
        <v>0</v>
      </c>
      <c r="G5" s="11" t="str" cm="1">
        <f t="array" aca="1" ref="G5" ca="1">IFERROR(VLOOKUP("*" &amp; B5  &amp; "*" &amp; (MID(CELL("filename",A4),FIND("]",CELL("filename",A4))+1,31)) &amp; "*",CHOOSE({1,2}, Super_CBSA!$B$2:$B$1917, Super_CBSA!$A$2:$A$1917), 2,FALSE), IFERROR(VLOOKUP(B5  &amp; "*",CHOOSE({1,2}, Super_CBSA!$E$2:$E$1917, Super_CBSA!$A$2:$A$1917), 2,FALSE), ""))</f>
        <v/>
      </c>
    </row>
    <row r="6" spans="1:7" ht="17">
      <c r="A6" s="1" t="s">
        <v>2368</v>
      </c>
      <c r="B6" s="2" t="s">
        <v>2369</v>
      </c>
      <c r="C6" s="2">
        <v>49</v>
      </c>
      <c r="D6" s="2">
        <v>361</v>
      </c>
      <c r="E6" s="3">
        <v>1107</v>
      </c>
      <c r="F6" s="4">
        <v>31552</v>
      </c>
      <c r="G6" s="11" t="str" cm="1">
        <f t="array" aca="1" ref="G6" ca="1">IFERROR(VLOOKUP("*" &amp; B6  &amp; "*" &amp; (MID(CELL("filename",A5),FIND("]",CELL("filename",A5))+1,31)) &amp; "*",CHOOSE({1,2}, Super_CBSA!$B$2:$B$1917, Super_CBSA!$A$2:$A$1917), 2,FALSE), IFERROR(VLOOKUP(B6  &amp; "*",CHOOSE({1,2}, Super_CBSA!$E$2:$E$1917, Super_CBSA!$A$2:$A$1917), 2,FALSE), ""))</f>
        <v/>
      </c>
    </row>
    <row r="7" spans="1:7" ht="17">
      <c r="A7" s="1" t="s">
        <v>2370</v>
      </c>
      <c r="B7" s="2" t="s">
        <v>1620</v>
      </c>
      <c r="C7" s="2">
        <v>21</v>
      </c>
      <c r="D7" s="2">
        <v>758</v>
      </c>
      <c r="E7" s="3">
        <v>1342</v>
      </c>
      <c r="F7" s="4">
        <v>203796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"*",CHOOSE({1,2}, Super_CBSA!$E$2:$E$1917, Super_CBSA!$A$2:$A$1917), 2,FALSE), ""))</f>
        <v>25620</v>
      </c>
    </row>
    <row r="8" spans="1:7" ht="17">
      <c r="A8" s="1" t="s">
        <v>2371</v>
      </c>
      <c r="B8" s="2" t="s">
        <v>2372</v>
      </c>
      <c r="C8" s="2">
        <v>49</v>
      </c>
      <c r="D8" s="2">
        <v>815</v>
      </c>
      <c r="E8" s="3">
        <v>3071</v>
      </c>
      <c r="F8" s="4">
        <v>71370</v>
      </c>
      <c r="G8" s="11" t="str" cm="1">
        <f t="array" aca="1" ref="G8" ca="1">IFERROR(VLOOKUP("*" &amp; B8  &amp; "*" &amp; (MID(CELL("filename",A7),FIND("]",CELL("filename",A7))+1,31)) &amp; "*",CHOOSE({1,2}, Super_CBSA!$B$2:$B$1917, Super_CBSA!$A$2:$A$1917), 2,FALSE), IFERROR(VLOOKUP(B8  &amp; "*",CHOOSE({1,2}, Super_CBSA!$E$2:$E$1917, Super_CBSA!$A$2:$A$1917), 2,FALSE), ""))</f>
        <v/>
      </c>
    </row>
    <row r="9" spans="1:7" ht="17">
      <c r="A9" s="1" t="s">
        <v>2373</v>
      </c>
      <c r="B9" s="2" t="s">
        <v>2374</v>
      </c>
      <c r="C9" s="2">
        <v>76</v>
      </c>
      <c r="D9" s="3">
        <v>2670</v>
      </c>
      <c r="E9" s="3">
        <v>10575</v>
      </c>
      <c r="F9" s="4">
        <v>57910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"*",CHOOSE({1,2}, Super_CBSA!$E$2:$E$1917, Super_CBSA!$A$2:$A$1917), 2,FALSE), ""))</f>
        <v>12940</v>
      </c>
    </row>
    <row r="10" spans="1:7" ht="17">
      <c r="A10" s="1" t="s">
        <v>2375</v>
      </c>
      <c r="B10" s="2" t="s">
        <v>2374</v>
      </c>
      <c r="C10" s="2">
        <v>361</v>
      </c>
      <c r="D10" s="3">
        <v>13248</v>
      </c>
      <c r="E10" s="3">
        <v>60078</v>
      </c>
      <c r="F10" s="4">
        <v>957796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"*",CHOOSE({1,2}, Super_CBSA!$E$2:$E$1917, Super_CBSA!$A$2:$A$1917), 2,FALSE), ""))</f>
        <v>12940</v>
      </c>
    </row>
    <row r="11" spans="1:7" ht="17">
      <c r="A11" s="1" t="s">
        <v>2376</v>
      </c>
      <c r="B11" s="2" t="s">
        <v>2377</v>
      </c>
      <c r="C11" s="2">
        <v>0</v>
      </c>
      <c r="D11" s="2">
        <v>0</v>
      </c>
      <c r="E11" s="2">
        <v>0</v>
      </c>
      <c r="F11" s="4">
        <v>0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"*",CHOOSE({1,2}, Super_CBSA!$E$2:$E$1917, Super_CBSA!$A$2:$A$1917), 2,FALSE), ""))</f>
        <v>22860</v>
      </c>
    </row>
    <row r="12" spans="1:7" ht="17">
      <c r="A12" s="1" t="s">
        <v>2378</v>
      </c>
      <c r="B12" s="2" t="s">
        <v>2379</v>
      </c>
      <c r="C12" s="2">
        <v>49</v>
      </c>
      <c r="D12" s="3">
        <v>2069</v>
      </c>
      <c r="E12" s="3">
        <v>7769</v>
      </c>
      <c r="F12" s="4">
        <v>181622</v>
      </c>
      <c r="G12" s="11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"*",CHOOSE({1,2}, Super_CBSA!$E$2:$E$1917, Super_CBSA!$A$2:$A$1917), 2,FALSE), ""))</f>
        <v>19760</v>
      </c>
    </row>
    <row r="13" spans="1:7" ht="17">
      <c r="A13" s="1" t="s">
        <v>2380</v>
      </c>
      <c r="B13" s="2" t="s">
        <v>2381</v>
      </c>
      <c r="C13" s="2">
        <v>49</v>
      </c>
      <c r="D13" s="3">
        <v>2013</v>
      </c>
      <c r="E13" s="3">
        <v>7618</v>
      </c>
      <c r="F13" s="4">
        <v>315551</v>
      </c>
      <c r="G13" s="11" t="str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"*",CHOOSE({1,2}, Super_CBSA!$E$2:$E$1917, Super_CBSA!$A$2:$A$1917), 2,FALSE), ""))</f>
        <v/>
      </c>
    </row>
    <row r="14" spans="1:7" ht="17">
      <c r="A14" s="1" t="s">
        <v>2382</v>
      </c>
      <c r="B14" s="2" t="s">
        <v>2340</v>
      </c>
      <c r="C14" s="2">
        <v>47</v>
      </c>
      <c r="D14" s="2">
        <v>575</v>
      </c>
      <c r="E14" s="3">
        <v>2086</v>
      </c>
      <c r="F14" s="4">
        <v>27313</v>
      </c>
      <c r="G14" s="11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"*",CHOOSE({1,2}, Super_CBSA!$E$2:$E$1917, Super_CBSA!$A$2:$A$1917), 2,FALSE), ""))</f>
        <v>12260</v>
      </c>
    </row>
    <row r="15" spans="1:7" ht="17">
      <c r="A15" s="1" t="s">
        <v>2383</v>
      </c>
      <c r="B15" s="2" t="s">
        <v>2384</v>
      </c>
      <c r="C15" s="2">
        <v>24</v>
      </c>
      <c r="D15" s="3">
        <v>1195</v>
      </c>
      <c r="E15" s="3">
        <v>2534</v>
      </c>
      <c r="F15" s="4">
        <v>357072</v>
      </c>
      <c r="G15" s="11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"*",CHOOSE({1,2}, Super_CBSA!$E$2:$E$1917, Super_CBSA!$A$2:$A$1917), 2,FALSE), ""))</f>
        <v>10780</v>
      </c>
    </row>
    <row r="16" spans="1:7" ht="17">
      <c r="A16" s="1" t="s">
        <v>2385</v>
      </c>
      <c r="B16" s="2" t="s">
        <v>2386</v>
      </c>
      <c r="C16" s="2">
        <v>208</v>
      </c>
      <c r="D16" s="3">
        <v>9097</v>
      </c>
      <c r="E16" s="3">
        <v>37380</v>
      </c>
      <c r="F16" s="4">
        <v>1206458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"*",CHOOSE({1,2}, Super_CBSA!$E$2:$E$1917, Super_CBSA!$A$2:$A$1917), 2,FALSE), ""))</f>
        <v>43340</v>
      </c>
    </row>
    <row r="17" spans="1:7" ht="17">
      <c r="A17" s="1" t="s">
        <v>2387</v>
      </c>
      <c r="B17" s="2" t="s">
        <v>2388</v>
      </c>
      <c r="C17" s="2">
        <v>108</v>
      </c>
      <c r="D17" s="3">
        <v>2743</v>
      </c>
      <c r="E17" s="3">
        <v>11561</v>
      </c>
      <c r="F17" s="4">
        <v>548372</v>
      </c>
      <c r="G17" s="11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"*",CHOOSE({1,2}, Super_CBSA!$E$2:$E$1917, Super_CBSA!$A$2:$A$1917), 2,FALSE), ""))</f>
        <v>29340</v>
      </c>
    </row>
    <row r="18" spans="1:7" ht="17">
      <c r="A18" s="1" t="s">
        <v>2389</v>
      </c>
      <c r="B18" s="2" t="s">
        <v>2388</v>
      </c>
      <c r="C18" s="2">
        <v>148</v>
      </c>
      <c r="D18" s="3">
        <v>6611</v>
      </c>
      <c r="E18" s="3">
        <v>27705</v>
      </c>
      <c r="F18" s="4">
        <v>837734</v>
      </c>
      <c r="G18" s="11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"*",CHOOSE({1,2}, Super_CBSA!$E$2:$E$1917, Super_CBSA!$A$2:$A$1917), 2,FALSE), ""))</f>
        <v>29340</v>
      </c>
    </row>
    <row r="19" spans="1:7" ht="17">
      <c r="A19" s="1" t="s">
        <v>2390</v>
      </c>
      <c r="B19" s="2" t="s">
        <v>2384</v>
      </c>
      <c r="C19" s="2">
        <v>301</v>
      </c>
      <c r="D19" s="3">
        <v>11634</v>
      </c>
      <c r="E19" s="3">
        <v>60636</v>
      </c>
      <c r="F19" s="4">
        <v>1205149</v>
      </c>
      <c r="G19" s="11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"*",CHOOSE({1,2}, Super_CBSA!$E$2:$E$1917, Super_CBSA!$A$2:$A$1917), 2,FALSE), ""))</f>
        <v>10780</v>
      </c>
    </row>
    <row r="20" spans="1:7" ht="17">
      <c r="A20" s="1" t="s">
        <v>2391</v>
      </c>
      <c r="B20" s="2" t="s">
        <v>2340</v>
      </c>
      <c r="C20" s="2">
        <v>40</v>
      </c>
      <c r="D20" s="2">
        <v>426</v>
      </c>
      <c r="E20" s="3">
        <v>1816</v>
      </c>
      <c r="F20" s="4">
        <v>25249</v>
      </c>
      <c r="G20" s="11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"*",CHOOSE({1,2}, Super_CBSA!$E$2:$E$1917, Super_CBSA!$A$2:$A$1917), 2,FALSE), ""))</f>
        <v>12260</v>
      </c>
    </row>
    <row r="21" spans="1:7" ht="17">
      <c r="A21" s="1" t="s">
        <v>2392</v>
      </c>
      <c r="B21" s="2" t="s">
        <v>2393</v>
      </c>
      <c r="C21" s="2">
        <v>47</v>
      </c>
      <c r="D21" s="2">
        <v>936</v>
      </c>
      <c r="E21" s="3">
        <v>4415</v>
      </c>
      <c r="F21" s="4">
        <v>38557</v>
      </c>
      <c r="G21" s="11" t="str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"*",CHOOSE({1,2}, Super_CBSA!$E$2:$E$1917, Super_CBSA!$A$2:$A$1917), 2,FALSE), ""))</f>
        <v/>
      </c>
    </row>
    <row r="22" spans="1:7" ht="17">
      <c r="A22" s="1" t="s">
        <v>2394</v>
      </c>
      <c r="B22" s="2" t="s">
        <v>2062</v>
      </c>
      <c r="C22" s="2">
        <v>30</v>
      </c>
      <c r="D22" s="2">
        <v>516</v>
      </c>
      <c r="E22" s="2">
        <v>961</v>
      </c>
      <c r="F22" s="4">
        <v>188895</v>
      </c>
      <c r="G22" s="11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"*",CHOOSE({1,2}, Super_CBSA!$E$2:$E$1917, Super_CBSA!$A$2:$A$1917), 2,FALSE), ""))</f>
        <v>25220</v>
      </c>
    </row>
    <row r="23" spans="1:7" ht="17">
      <c r="A23" s="1" t="s">
        <v>2395</v>
      </c>
      <c r="B23" s="2" t="s">
        <v>2396</v>
      </c>
      <c r="C23" s="2">
        <v>34</v>
      </c>
      <c r="D23" s="2">
        <v>411</v>
      </c>
      <c r="E23" s="3">
        <v>1395</v>
      </c>
      <c r="F23" s="4">
        <v>56498</v>
      </c>
      <c r="G23" s="11" t="str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"*",CHOOSE({1,2}, Super_CBSA!$E$2:$E$1917, Super_CBSA!$A$2:$A$1917), 2,FALSE), ""))</f>
        <v/>
      </c>
    </row>
    <row r="24" spans="1:7" ht="17">
      <c r="A24" s="1" t="s">
        <v>2397</v>
      </c>
      <c r="B24" s="2" t="s">
        <v>2381</v>
      </c>
      <c r="C24" s="2">
        <v>10</v>
      </c>
      <c r="D24" s="2">
        <v>532</v>
      </c>
      <c r="E24" s="3">
        <v>1786</v>
      </c>
      <c r="F24" s="4">
        <v>46763</v>
      </c>
      <c r="G24" s="11" t="str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"*",CHOOSE({1,2}, Super_CBSA!$E$2:$E$1917, Super_CBSA!$A$2:$A$1917), 2,FALSE), ""))</f>
        <v/>
      </c>
    </row>
    <row r="25" spans="1:7" ht="17">
      <c r="A25" s="1" t="s">
        <v>2398</v>
      </c>
      <c r="B25" s="2" t="s">
        <v>2399</v>
      </c>
      <c r="C25" s="2">
        <v>23</v>
      </c>
      <c r="D25" s="2">
        <v>367</v>
      </c>
      <c r="E25" s="3">
        <v>1177</v>
      </c>
      <c r="F25" s="4">
        <v>14950</v>
      </c>
      <c r="G25" s="11" t="str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"*",CHOOSE({1,2}, Super_CBSA!$E$2:$E$1917, Super_CBSA!$A$2:$A$1917), 2,FALSE), ""))</f>
        <v/>
      </c>
    </row>
    <row r="26" spans="1:7" ht="17">
      <c r="A26" s="1" t="s">
        <v>2400</v>
      </c>
      <c r="B26" s="2" t="s">
        <v>2401</v>
      </c>
      <c r="C26" s="2">
        <v>394</v>
      </c>
      <c r="D26" s="3">
        <v>12456</v>
      </c>
      <c r="E26" s="3">
        <v>54116</v>
      </c>
      <c r="F26" s="4">
        <v>1208096</v>
      </c>
      <c r="G26" s="11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"*",CHOOSE({1,2}, Super_CBSA!$E$2:$E$1917, Super_CBSA!$A$2:$A$1917), 2,FALSE), ""))</f>
        <v>35380</v>
      </c>
    </row>
    <row r="27" spans="1:7" ht="17">
      <c r="A27" s="1" t="s">
        <v>2402</v>
      </c>
      <c r="B27" s="2" t="s">
        <v>2403</v>
      </c>
      <c r="C27" s="2">
        <v>37</v>
      </c>
      <c r="D27" s="2">
        <v>589</v>
      </c>
      <c r="E27" s="3">
        <v>2101</v>
      </c>
      <c r="F27" s="4">
        <v>85717</v>
      </c>
      <c r="G27" s="11" t="str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"*",CHOOSE({1,2}, Super_CBSA!$E$2:$E$1917, Super_CBSA!$A$2:$A$1917), 2,FALSE), ""))</f>
        <v/>
      </c>
    </row>
    <row r="28" spans="1:7" ht="17">
      <c r="A28" s="1" t="s">
        <v>2404</v>
      </c>
      <c r="B28" s="2" t="s">
        <v>2405</v>
      </c>
      <c r="C28" s="2">
        <v>284</v>
      </c>
      <c r="D28" s="3">
        <v>10448</v>
      </c>
      <c r="E28" s="3">
        <v>49742</v>
      </c>
      <c r="F28" s="4">
        <v>1014425</v>
      </c>
      <c r="G28" s="11" t="str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"*",CHOOSE({1,2}, Super_CBSA!$E$2:$E$1917, Super_CBSA!$A$2:$A$1917), 2,FALSE), ""))</f>
        <v/>
      </c>
    </row>
    <row r="29" spans="1:7" ht="17">
      <c r="A29" s="1" t="s">
        <v>2406</v>
      </c>
      <c r="B29" s="2" t="s">
        <v>1006</v>
      </c>
      <c r="C29" s="2">
        <v>32</v>
      </c>
      <c r="D29" s="3">
        <v>1621</v>
      </c>
      <c r="E29" s="3">
        <v>6143</v>
      </c>
      <c r="F29" s="4">
        <v>177393</v>
      </c>
      <c r="G29" s="11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"*",CHOOSE({1,2}, Super_CBSA!$E$2:$E$1917, Super_CBSA!$A$2:$A$1917), 2,FALSE), ""))</f>
        <v>29180</v>
      </c>
    </row>
    <row r="30" spans="1:7" ht="17">
      <c r="A30" s="1" t="s">
        <v>2407</v>
      </c>
      <c r="B30" s="2" t="s">
        <v>2408</v>
      </c>
      <c r="C30" s="2">
        <v>139</v>
      </c>
      <c r="D30" s="3">
        <v>4564</v>
      </c>
      <c r="E30" s="3">
        <v>16785</v>
      </c>
      <c r="F30" s="4">
        <v>427690</v>
      </c>
      <c r="G30" s="11" t="str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"*",CHOOSE({1,2}, Super_CBSA!$E$2:$E$1917, Super_CBSA!$A$2:$A$1917), 2,FALSE), ""))</f>
        <v/>
      </c>
    </row>
    <row r="31" spans="1:7" ht="17">
      <c r="A31" s="1" t="s">
        <v>2409</v>
      </c>
      <c r="B31" s="2" t="s">
        <v>2410</v>
      </c>
      <c r="C31" s="2">
        <v>49</v>
      </c>
      <c r="D31" s="3">
        <v>2377</v>
      </c>
      <c r="E31" s="3">
        <v>9620</v>
      </c>
      <c r="F31" s="4">
        <v>116667</v>
      </c>
      <c r="G31" s="11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"*",CHOOSE({1,2}, Super_CBSA!$E$2:$E$1917, Super_CBSA!$A$2:$A$1917), 2,FALSE), ""))</f>
        <v>27660</v>
      </c>
    </row>
    <row r="32" spans="1:7" ht="17">
      <c r="A32" s="1" t="s">
        <v>2411</v>
      </c>
      <c r="B32" s="2" t="s">
        <v>1006</v>
      </c>
      <c r="C32" s="2">
        <v>422</v>
      </c>
      <c r="D32" s="3">
        <v>20048</v>
      </c>
      <c r="E32" s="3">
        <v>105191</v>
      </c>
      <c r="F32" s="4">
        <v>2388591</v>
      </c>
      <c r="G32" s="11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"*",CHOOSE({1,2}, Super_CBSA!$E$2:$E$1917, Super_CBSA!$A$2:$A$1917), 2,FALSE), ""))</f>
        <v>29180</v>
      </c>
    </row>
    <row r="33" spans="1:7" ht="17">
      <c r="A33" s="1" t="s">
        <v>2412</v>
      </c>
      <c r="B33" s="2" t="s">
        <v>1006</v>
      </c>
      <c r="C33" s="2">
        <v>0</v>
      </c>
      <c r="D33" s="2">
        <v>0</v>
      </c>
      <c r="E33" s="2">
        <v>0</v>
      </c>
      <c r="F33" s="4">
        <v>0</v>
      </c>
      <c r="G33" s="11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"*",CHOOSE({1,2}, Super_CBSA!$E$2:$E$1917, Super_CBSA!$A$2:$A$1917), 2,FALSE), ""))</f>
        <v>29180</v>
      </c>
    </row>
    <row r="34" spans="1:7" ht="17">
      <c r="A34" s="1" t="s">
        <v>2413</v>
      </c>
      <c r="B34" s="2" t="s">
        <v>1006</v>
      </c>
      <c r="C34" s="2">
        <v>10</v>
      </c>
      <c r="D34" s="2">
        <v>142</v>
      </c>
      <c r="E34" s="2">
        <v>258</v>
      </c>
      <c r="F34" s="4">
        <v>67033</v>
      </c>
      <c r="G34" s="11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"*",CHOOSE({1,2}, Super_CBSA!$E$2:$E$1917, Super_CBSA!$A$2:$A$1917), 2,FALSE), ""))</f>
        <v>29180</v>
      </c>
    </row>
    <row r="35" spans="1:7" ht="17">
      <c r="A35" s="1" t="s">
        <v>2414</v>
      </c>
      <c r="B35" s="2" t="s">
        <v>1006</v>
      </c>
      <c r="C35" s="2">
        <v>20</v>
      </c>
      <c r="D35" s="2">
        <v>872</v>
      </c>
      <c r="E35" s="3">
        <v>1743</v>
      </c>
      <c r="F35" s="4">
        <v>157319</v>
      </c>
      <c r="G35" s="11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"*",CHOOSE({1,2}, Super_CBSA!$E$2:$E$1917, Super_CBSA!$A$2:$A$1917), 2,FALSE), ""))</f>
        <v>29180</v>
      </c>
    </row>
    <row r="36" spans="1:7" ht="17">
      <c r="A36" s="1" t="s">
        <v>2415</v>
      </c>
      <c r="B36" s="2" t="s">
        <v>2388</v>
      </c>
      <c r="C36" s="2">
        <v>374</v>
      </c>
      <c r="D36" s="3">
        <v>11863</v>
      </c>
      <c r="E36" s="3">
        <v>57737</v>
      </c>
      <c r="F36" s="4">
        <v>1059646</v>
      </c>
      <c r="G36" s="11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"*",CHOOSE({1,2}, Super_CBSA!$E$2:$E$1917, Super_CBSA!$A$2:$A$1917), 2,FALSE), ""))</f>
        <v>29340</v>
      </c>
    </row>
    <row r="37" spans="1:7" ht="17">
      <c r="A37" s="1" t="s">
        <v>2416</v>
      </c>
      <c r="B37" s="2" t="s">
        <v>2388</v>
      </c>
      <c r="C37" s="2">
        <v>0</v>
      </c>
      <c r="D37" s="2">
        <v>0</v>
      </c>
      <c r="E37" s="2">
        <v>0</v>
      </c>
      <c r="F37" s="4">
        <v>0</v>
      </c>
      <c r="G37" s="11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"*",CHOOSE({1,2}, Super_CBSA!$E$2:$E$1917, Super_CBSA!$A$2:$A$1917), 2,FALSE), ""))</f>
        <v>29340</v>
      </c>
    </row>
    <row r="38" spans="1:7" ht="17">
      <c r="A38" s="1" t="s">
        <v>2417</v>
      </c>
      <c r="B38" s="2" t="s">
        <v>1620</v>
      </c>
      <c r="C38" s="2">
        <v>168</v>
      </c>
      <c r="D38" s="3">
        <v>6862</v>
      </c>
      <c r="E38" s="3">
        <v>28950</v>
      </c>
      <c r="F38" s="4">
        <v>964611</v>
      </c>
      <c r="G38" s="11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"*",CHOOSE({1,2}, Super_CBSA!$E$2:$E$1917, Super_CBSA!$A$2:$A$1917), 2,FALSE), ""))</f>
        <v>25620</v>
      </c>
    </row>
    <row r="39" spans="1:7" ht="17">
      <c r="A39" s="1" t="s">
        <v>2418</v>
      </c>
      <c r="B39" s="2" t="s">
        <v>2419</v>
      </c>
      <c r="C39" s="2">
        <v>182</v>
      </c>
      <c r="D39" s="3">
        <v>3833</v>
      </c>
      <c r="E39" s="3">
        <v>13208</v>
      </c>
      <c r="F39" s="4">
        <v>353026</v>
      </c>
      <c r="G39" s="11" t="str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"*",CHOOSE({1,2}, Super_CBSA!$E$2:$E$1917, Super_CBSA!$A$2:$A$1917), 2,FALSE), ""))</f>
        <v/>
      </c>
    </row>
    <row r="40" spans="1:7" ht="17">
      <c r="A40" s="1" t="s">
        <v>2420</v>
      </c>
      <c r="B40" s="2" t="s">
        <v>2421</v>
      </c>
      <c r="C40" s="2">
        <v>46</v>
      </c>
      <c r="D40" s="2">
        <v>660</v>
      </c>
      <c r="E40" s="3">
        <v>2725</v>
      </c>
      <c r="F40" s="4">
        <v>51318</v>
      </c>
      <c r="G40" s="11" t="str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"*",CHOOSE({1,2}, Super_CBSA!$E$2:$E$1917, Super_CBSA!$A$2:$A$1917), 2,FALSE), ""))</f>
        <v/>
      </c>
    </row>
    <row r="41" spans="1:7" ht="17">
      <c r="A41" s="1" t="s">
        <v>2422</v>
      </c>
      <c r="B41" s="2" t="s">
        <v>2423</v>
      </c>
      <c r="C41" s="2">
        <v>90</v>
      </c>
      <c r="D41" s="3">
        <v>1921</v>
      </c>
      <c r="E41" s="3">
        <v>7255</v>
      </c>
      <c r="F41" s="4">
        <v>207938</v>
      </c>
      <c r="G41" s="11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"*",CHOOSE({1,2}, Super_CBSA!$E$2:$E$1917, Super_CBSA!$A$2:$A$1917), 2,FALSE), ""))</f>
        <v>26380</v>
      </c>
    </row>
    <row r="42" spans="1:7" ht="17">
      <c r="A42" s="1" t="s">
        <v>1015</v>
      </c>
      <c r="B42" s="2" t="s">
        <v>2424</v>
      </c>
      <c r="C42" s="2">
        <v>109</v>
      </c>
      <c r="D42" s="3">
        <v>2752</v>
      </c>
      <c r="E42" s="3">
        <v>12966</v>
      </c>
      <c r="F42" s="4">
        <v>365187</v>
      </c>
      <c r="G42" s="11" t="str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"*",CHOOSE({1,2}, Super_CBSA!$E$2:$E$1917, Super_CBSA!$A$2:$A$1917), 2,FALSE), ""))</f>
        <v/>
      </c>
    </row>
    <row r="43" spans="1:7" ht="17">
      <c r="A43" s="1" t="s">
        <v>2425</v>
      </c>
      <c r="B43" s="2" t="s">
        <v>2426</v>
      </c>
      <c r="C43" s="2">
        <v>157</v>
      </c>
      <c r="D43" s="3">
        <v>2536</v>
      </c>
      <c r="E43" s="3">
        <v>9178</v>
      </c>
      <c r="F43" s="4">
        <v>317081</v>
      </c>
      <c r="G43" s="11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"*",CHOOSE({1,2}, Super_CBSA!$E$2:$E$1917, Super_CBSA!$A$2:$A$1917), 2,FALSE), ""))</f>
        <v>33380</v>
      </c>
    </row>
    <row r="44" spans="1:7" ht="17">
      <c r="A44" s="1" t="s">
        <v>2427</v>
      </c>
      <c r="B44" s="2" t="s">
        <v>1624</v>
      </c>
      <c r="C44" s="2">
        <v>10</v>
      </c>
      <c r="D44" s="2">
        <v>209</v>
      </c>
      <c r="E44" s="2">
        <v>456</v>
      </c>
      <c r="F44" s="4">
        <v>97261</v>
      </c>
      <c r="G44" s="11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"*",CHOOSE({1,2}, Super_CBSA!$E$2:$E$1917, Super_CBSA!$A$2:$A$1917), 2,FALSE), ""))</f>
        <v>33740</v>
      </c>
    </row>
    <row r="45" spans="1:7" ht="17">
      <c r="A45" s="1" t="s">
        <v>2428</v>
      </c>
      <c r="B45" s="2" t="s">
        <v>2429</v>
      </c>
      <c r="C45" s="2">
        <v>49</v>
      </c>
      <c r="D45" s="3">
        <v>1087</v>
      </c>
      <c r="E45" s="3">
        <v>3751</v>
      </c>
      <c r="F45" s="4">
        <v>81575</v>
      </c>
      <c r="G45" s="11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"*",CHOOSE({1,2}, Super_CBSA!$E$2:$E$1917, Super_CBSA!$A$2:$A$1917), 2,FALSE), ""))</f>
        <v>12420</v>
      </c>
    </row>
    <row r="46" spans="1:7" ht="17">
      <c r="A46" s="1" t="s">
        <v>2430</v>
      </c>
      <c r="B46" s="2" t="s">
        <v>2431</v>
      </c>
      <c r="C46" s="2">
        <v>208</v>
      </c>
      <c r="D46" s="3">
        <v>2054</v>
      </c>
      <c r="E46" s="3">
        <v>8066</v>
      </c>
      <c r="F46" s="4">
        <v>196475</v>
      </c>
      <c r="G46" s="11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"*",CHOOSE({1,2}, Super_CBSA!$E$2:$E$1917, Super_CBSA!$A$2:$A$1917), 2,FALSE), ""))</f>
        <v>35060</v>
      </c>
    </row>
    <row r="47" spans="1:7" ht="17">
      <c r="A47" s="1" t="s">
        <v>2432</v>
      </c>
      <c r="B47" s="2" t="s">
        <v>2433</v>
      </c>
      <c r="C47" s="2">
        <v>50</v>
      </c>
      <c r="D47" s="3">
        <v>1156</v>
      </c>
      <c r="E47" s="3">
        <v>4647</v>
      </c>
      <c r="F47" s="4">
        <v>220147</v>
      </c>
      <c r="G47" s="11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"*",CHOOSE({1,2}, Super_CBSA!$E$2:$E$1917, Super_CBSA!$A$2:$A$1917), 2,FALSE), ""))</f>
        <v>35380</v>
      </c>
    </row>
    <row r="48" spans="1:7" ht="17">
      <c r="A48" s="1" t="s">
        <v>2434</v>
      </c>
      <c r="B48" s="2" t="s">
        <v>2062</v>
      </c>
      <c r="C48" s="2">
        <v>344</v>
      </c>
      <c r="D48" s="3">
        <v>11286</v>
      </c>
      <c r="E48" s="3">
        <v>57101</v>
      </c>
      <c r="F48" s="4">
        <v>1834381</v>
      </c>
      <c r="G48" s="11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"*",CHOOSE({1,2}, Super_CBSA!$E$2:$E$1917, Super_CBSA!$A$2:$A$1917), 2,FALSE), ""))</f>
        <v>25220</v>
      </c>
    </row>
    <row r="49" spans="1:7" ht="17">
      <c r="A49" s="1" t="s">
        <v>2435</v>
      </c>
      <c r="B49" s="2" t="s">
        <v>2436</v>
      </c>
      <c r="C49" s="2">
        <v>135</v>
      </c>
      <c r="D49" s="3">
        <v>3948</v>
      </c>
      <c r="E49" s="3">
        <v>16966</v>
      </c>
      <c r="F49" s="4">
        <v>414983</v>
      </c>
      <c r="G49" s="11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"*",CHOOSE({1,2}, Super_CBSA!$E$2:$E$1917, Super_CBSA!$A$2:$A$1917), 2,FALSE), ""))</f>
        <v>40820</v>
      </c>
    </row>
    <row r="50" spans="1:7" ht="17">
      <c r="A50" s="1" t="s">
        <v>2437</v>
      </c>
      <c r="B50" s="2" t="s">
        <v>742</v>
      </c>
      <c r="C50" s="2">
        <v>49</v>
      </c>
      <c r="D50" s="2">
        <v>563</v>
      </c>
      <c r="E50" s="3">
        <v>2475</v>
      </c>
      <c r="F50" s="4">
        <v>58694</v>
      </c>
      <c r="G50" s="11" t="str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"*",CHOOSE({1,2}, Super_CBSA!$E$2:$E$1917, Super_CBSA!$A$2:$A$1917), 2,FALSE), ""))</f>
        <v/>
      </c>
    </row>
    <row r="51" spans="1:7" ht="17">
      <c r="A51" s="1" t="s">
        <v>2438</v>
      </c>
      <c r="B51" s="2" t="s">
        <v>2439</v>
      </c>
      <c r="C51" s="2">
        <v>0</v>
      </c>
      <c r="D51" s="2">
        <v>0</v>
      </c>
      <c r="E51" s="2">
        <v>0</v>
      </c>
      <c r="F51" s="4">
        <v>0</v>
      </c>
      <c r="G51" s="11" t="str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"*",CHOOSE({1,2}, Super_CBSA!$E$2:$E$1917, Super_CBSA!$A$2:$A$1917), 2,FALSE), ""))</f>
        <v/>
      </c>
    </row>
    <row r="52" spans="1:7" ht="17">
      <c r="A52" s="1" t="s">
        <v>2440</v>
      </c>
      <c r="B52" s="2" t="s">
        <v>2433</v>
      </c>
      <c r="C52" s="2">
        <v>83</v>
      </c>
      <c r="D52" s="3">
        <v>3118</v>
      </c>
      <c r="E52" s="3">
        <v>12106</v>
      </c>
      <c r="F52" s="4">
        <v>283719</v>
      </c>
      <c r="G52" s="11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"*",CHOOSE({1,2}, Super_CBSA!$E$2:$E$1917, Super_CBSA!$A$2:$A$1917), 2,FALSE), ""))</f>
        <v>35380</v>
      </c>
    </row>
    <row r="53" spans="1:7" ht="17">
      <c r="A53" s="1" t="s">
        <v>2441</v>
      </c>
      <c r="B53" s="2" t="s">
        <v>2386</v>
      </c>
      <c r="C53" s="2">
        <v>406</v>
      </c>
      <c r="D53" s="3">
        <v>21992</v>
      </c>
      <c r="E53" s="3">
        <v>99646</v>
      </c>
      <c r="F53" s="4">
        <v>1258121</v>
      </c>
      <c r="G53" s="11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"*",CHOOSE({1,2}, Super_CBSA!$E$2:$E$1917, Super_CBSA!$A$2:$A$1917), 2,FALSE), ""))</f>
        <v>43340</v>
      </c>
    </row>
    <row r="54" spans="1:7" ht="17">
      <c r="A54" s="1" t="s">
        <v>2442</v>
      </c>
      <c r="B54" s="2" t="s">
        <v>1624</v>
      </c>
      <c r="C54" s="2">
        <v>119</v>
      </c>
      <c r="D54" s="3">
        <v>4664</v>
      </c>
      <c r="E54" s="3">
        <v>18507</v>
      </c>
      <c r="F54" s="4">
        <v>514126</v>
      </c>
      <c r="G54" s="11" cm="1">
        <f t="array" aca="1" ref="G54" ca="1">IFERROR(VLOOKUP("*" &amp; B54  &amp; "*" &amp; (MID(CELL("filename",A53),FIND("]",CELL("filename",A53))+1,31)) &amp; "*",CHOOSE({1,2}, Super_CBSA!$B$2:$B$1917, Super_CBSA!$A$2:$A$1917), 2,FALSE), IFERROR(VLOOKUP(B54  &amp; "*",CHOOSE({1,2}, Super_CBSA!$E$2:$E$1917, Super_CBSA!$A$2:$A$1917), 2,FALSE), ""))</f>
        <v>33740</v>
      </c>
    </row>
    <row r="55" spans="1:7" ht="17">
      <c r="A55" s="1" t="s">
        <v>2443</v>
      </c>
      <c r="B55" s="2" t="s">
        <v>2433</v>
      </c>
      <c r="C55" s="3">
        <v>1017</v>
      </c>
      <c r="D55" s="3">
        <v>44200</v>
      </c>
      <c r="E55" s="3">
        <v>233824</v>
      </c>
      <c r="F55" s="4">
        <v>5120161</v>
      </c>
      <c r="G55" s="11" cm="1">
        <f t="array" aca="1" ref="G55" ca="1">IFERROR(VLOOKUP("*" &amp; B55  &amp; "*" &amp; (MID(CELL("filename",A54),FIND("]",CELL("filename",A54))+1,31)) &amp; "*",CHOOSE({1,2}, Super_CBSA!$B$2:$B$1917, Super_CBSA!$A$2:$A$1917), 2,FALSE), IFERROR(VLOOKUP(B55  &amp; "*",CHOOSE({1,2}, Super_CBSA!$E$2:$E$1917, Super_CBSA!$A$2:$A$1917), 2,FALSE), ""))</f>
        <v>35380</v>
      </c>
    </row>
    <row r="56" spans="1:7" ht="17">
      <c r="A56" s="1" t="s">
        <v>2444</v>
      </c>
      <c r="B56" s="2" t="s">
        <v>2374</v>
      </c>
      <c r="C56" s="2">
        <v>164</v>
      </c>
      <c r="D56" s="3">
        <v>6589</v>
      </c>
      <c r="E56" s="3">
        <v>27743</v>
      </c>
      <c r="F56" s="4">
        <v>923345</v>
      </c>
      <c r="G56" s="11" cm="1">
        <f t="array" aca="1" ref="G56" ca="1">IFERROR(VLOOKUP("*" &amp; B56  &amp; "*" &amp; (MID(CELL("filename",A55),FIND("]",CELL("filename",A55))+1,31)) &amp; "*",CHOOSE({1,2}, Super_CBSA!$B$2:$B$1917, Super_CBSA!$A$2:$A$1917), 2,FALSE), IFERROR(VLOOKUP(B56  &amp; "*",CHOOSE({1,2}, Super_CBSA!$E$2:$E$1917, Super_CBSA!$A$2:$A$1917), 2,FALSE), ""))</f>
        <v>12940</v>
      </c>
    </row>
    <row r="57" spans="1:7" ht="17">
      <c r="A57" s="1" t="s">
        <v>2445</v>
      </c>
      <c r="B57" s="2" t="s">
        <v>2446</v>
      </c>
      <c r="C57" s="2">
        <v>115</v>
      </c>
      <c r="D57" s="3">
        <v>6507</v>
      </c>
      <c r="E57" s="3">
        <v>27332</v>
      </c>
      <c r="F57" s="4">
        <v>712767</v>
      </c>
      <c r="G57" s="11" t="str" cm="1">
        <f t="array" aca="1" ref="G57" ca="1">IFERROR(VLOOKUP("*" &amp; B57  &amp; "*" &amp; (MID(CELL("filename",A56),FIND("]",CELL("filename",A56))+1,31)) &amp; "*",CHOOSE({1,2}, Super_CBSA!$B$2:$B$1917, Super_CBSA!$A$2:$A$1917), 2,FALSE), IFERROR(VLOOKUP(B57  &amp; "*",CHOOSE({1,2}, Super_CBSA!$E$2:$E$1917, Super_CBSA!$A$2:$A$1917), 2,FALSE), ""))</f>
        <v/>
      </c>
    </row>
    <row r="58" spans="1:7" ht="17">
      <c r="A58" s="1" t="s">
        <v>2447</v>
      </c>
      <c r="B58" s="2" t="s">
        <v>2448</v>
      </c>
      <c r="C58" s="2">
        <v>168</v>
      </c>
      <c r="D58" s="3">
        <v>4429</v>
      </c>
      <c r="E58" s="3">
        <v>18412</v>
      </c>
      <c r="F58" s="4">
        <v>515468</v>
      </c>
      <c r="G58" s="11" t="str" cm="1">
        <f t="array" aca="1" ref="G58" ca="1">IFERROR(VLOOKUP("*" &amp; B58  &amp; "*" &amp; (MID(CELL("filename",A57),FIND("]",CELL("filename",A57))+1,31)) &amp; "*",CHOOSE({1,2}, Super_CBSA!$B$2:$B$1917, Super_CBSA!$A$2:$A$1917), 2,FALSE), IFERROR(VLOOKUP(B58  &amp; "*",CHOOSE({1,2}, Super_CBSA!$E$2:$E$1917, Super_CBSA!$A$2:$A$1917), 2,FALSE), ""))</f>
        <v/>
      </c>
    </row>
    <row r="59" spans="1:7" ht="17">
      <c r="A59" s="1" t="s">
        <v>2449</v>
      </c>
      <c r="B59" s="2" t="s">
        <v>2450</v>
      </c>
      <c r="C59" s="2">
        <v>180</v>
      </c>
      <c r="D59" s="3">
        <v>9430</v>
      </c>
      <c r="E59" s="3">
        <v>40689</v>
      </c>
      <c r="F59" s="4">
        <v>559895</v>
      </c>
      <c r="G59" s="11" t="str" cm="1">
        <f t="array" aca="1" ref="G59" ca="1">IFERROR(VLOOKUP("*" &amp; B59  &amp; "*" &amp; (MID(CELL("filename",A58),FIND("]",CELL("filename",A58))+1,31)) &amp; "*",CHOOSE({1,2}, Super_CBSA!$B$2:$B$1917, Super_CBSA!$A$2:$A$1917), 2,FALSE), IFERROR(VLOOKUP(B59  &amp; "*",CHOOSE({1,2}, Super_CBSA!$E$2:$E$1917, Super_CBSA!$A$2:$A$1917), 2,FALSE), ""))</f>
        <v/>
      </c>
    </row>
    <row r="60" spans="1:7" ht="17">
      <c r="A60" s="1" t="s">
        <v>2451</v>
      </c>
      <c r="B60" s="2" t="s">
        <v>2452</v>
      </c>
      <c r="C60" s="2">
        <v>157</v>
      </c>
      <c r="D60" s="3">
        <v>1488</v>
      </c>
      <c r="E60" s="3">
        <v>6121</v>
      </c>
      <c r="F60" s="4">
        <v>262872</v>
      </c>
      <c r="G60" s="11" cm="1">
        <f t="array" aca="1" ref="G60" ca="1">IFERROR(VLOOKUP("*" &amp; B60  &amp; "*" &amp; (MID(CELL("filename",A59),FIND("]",CELL("filename",A59))+1,31)) &amp; "*",CHOOSE({1,2}, Super_CBSA!$B$2:$B$1917, Super_CBSA!$A$2:$A$1917), 2,FALSE), IFERROR(VLOOKUP(B60  &amp; "*",CHOOSE({1,2}, Super_CBSA!$E$2:$E$1917, Super_CBSA!$A$2:$A$1917), 2,FALSE), ""))</f>
        <v>34020</v>
      </c>
    </row>
    <row r="61" spans="1:7" ht="17">
      <c r="A61" s="1" t="s">
        <v>2453</v>
      </c>
      <c r="B61" s="2" t="s">
        <v>2401</v>
      </c>
      <c r="C61" s="2">
        <v>16</v>
      </c>
      <c r="D61" s="2">
        <v>71</v>
      </c>
      <c r="E61" s="2">
        <v>128</v>
      </c>
      <c r="F61" s="4">
        <v>51151</v>
      </c>
      <c r="G61" s="11" cm="1">
        <f t="array" aca="1" ref="G61" ca="1">IFERROR(VLOOKUP("*" &amp; B61  &amp; "*" &amp; (MID(CELL("filename",A60),FIND("]",CELL("filename",A60))+1,31)) &amp; "*",CHOOSE({1,2}, Super_CBSA!$B$2:$B$1917, Super_CBSA!$A$2:$A$1917), 2,FALSE), IFERROR(VLOOKUP(B61  &amp; "*",CHOOSE({1,2}, Super_CBSA!$E$2:$E$1917, Super_CBSA!$A$2:$A$1917), 2,FALSE), ""))</f>
        <v>35380</v>
      </c>
    </row>
    <row r="62" spans="1:7" ht="17">
      <c r="A62" s="1" t="s">
        <v>2454</v>
      </c>
      <c r="B62" s="2" t="s">
        <v>2455</v>
      </c>
      <c r="C62" s="2">
        <v>197</v>
      </c>
      <c r="D62" s="3">
        <v>5530</v>
      </c>
      <c r="E62" s="3">
        <v>21355</v>
      </c>
      <c r="F62" s="4">
        <v>592277</v>
      </c>
      <c r="G62" s="11" cm="1">
        <f t="array" aca="1" ref="G62" ca="1">IFERROR(VLOOKUP("*" &amp; B62  &amp; "*" &amp; (MID(CELL("filename",A61),FIND("]",CELL("filename",A61))+1,31)) &amp; "*",CHOOSE({1,2}, Super_CBSA!$B$2:$B$1917, Super_CBSA!$A$2:$A$1917), 2,FALSE), IFERROR(VLOOKUP(B62  &amp; "*",CHOOSE({1,2}, Super_CBSA!$E$2:$E$1917, Super_CBSA!$A$2:$A$1917), 2,FALSE), ""))</f>
        <v>36660</v>
      </c>
    </row>
    <row r="63" spans="1:7" ht="17">
      <c r="A63" s="1" t="s">
        <v>2456</v>
      </c>
      <c r="B63" s="2" t="s">
        <v>2455</v>
      </c>
      <c r="C63" s="2">
        <v>171</v>
      </c>
      <c r="D63" s="3">
        <v>1805</v>
      </c>
      <c r="E63" s="3">
        <v>8072</v>
      </c>
      <c r="F63" s="4">
        <v>87302</v>
      </c>
      <c r="G63" s="11" cm="1">
        <f t="array" aca="1" ref="G63" ca="1">IFERROR(VLOOKUP("*" &amp; B63  &amp; "*" &amp; (MID(CELL("filename",A62),FIND("]",CELL("filename",A62))+1,31)) &amp; "*",CHOOSE({1,2}, Super_CBSA!$B$2:$B$1917, Super_CBSA!$A$2:$A$1917), 2,FALSE), IFERROR(VLOOKUP(B63  &amp; " city",CHOOSE({1,2}, Super_CBSA!$E$2:$E$1917, Super_CBSA!$A$2:$A$1917), 2,FALSE), ""))</f>
        <v>36660</v>
      </c>
    </row>
    <row r="64" spans="1:7" ht="17">
      <c r="A64" s="1" t="s">
        <v>2457</v>
      </c>
      <c r="B64" s="2" t="s">
        <v>1006</v>
      </c>
      <c r="C64" s="2">
        <v>347</v>
      </c>
      <c r="D64" s="3">
        <v>11972</v>
      </c>
      <c r="E64" s="3">
        <v>63931</v>
      </c>
      <c r="F64" s="4">
        <v>1170368</v>
      </c>
      <c r="G64" s="11" cm="1">
        <f t="array" aca="1" ref="G64" ca="1">IFERROR(VLOOKUP("*" &amp; B64  &amp; "*" &amp; (MID(CELL("filename",A63),FIND("]",CELL("filename",A63))+1,31)) &amp; "*",CHOOSE({1,2}, Super_CBSA!$B$2:$B$1917, Super_CBSA!$A$2:$A$1917), 2,FALSE), IFERROR(VLOOKUP(B64  &amp; "*",CHOOSE({1,2}, Super_CBSA!$E$2:$E$1917, Super_CBSA!$A$2:$A$1917), 2,FALSE), ""))</f>
        <v>29180</v>
      </c>
    </row>
    <row r="65" spans="1:7" ht="17">
      <c r="A65" s="1" t="s">
        <v>2458</v>
      </c>
      <c r="B65" s="2" t="s">
        <v>1006</v>
      </c>
      <c r="C65" s="2">
        <v>161</v>
      </c>
      <c r="D65" s="3">
        <v>6136</v>
      </c>
      <c r="E65" s="3">
        <v>36170</v>
      </c>
      <c r="F65" s="4">
        <v>702744</v>
      </c>
      <c r="G65" s="11" cm="1">
        <f t="array" aca="1" ref="G65" ca="1">IFERROR(VLOOKUP("*" &amp; B65  &amp; "*" &amp; (MID(CELL("filename",A64),FIND("]",CELL("filename",A64))+1,31)) &amp; "*",CHOOSE({1,2}, Super_CBSA!$B$2:$B$1917, Super_CBSA!$A$2:$A$1917), 2,FALSE), IFERROR(VLOOKUP(B65  &amp; "*",CHOOSE({1,2}, Super_CBSA!$E$2:$E$1917, Super_CBSA!$A$2:$A$1917), 2,FALSE), ""))</f>
        <v>29180</v>
      </c>
    </row>
    <row r="66" spans="1:7" ht="17">
      <c r="A66" s="1" t="s">
        <v>2459</v>
      </c>
      <c r="B66" s="2" t="s">
        <v>2460</v>
      </c>
      <c r="C66" s="2">
        <v>48</v>
      </c>
      <c r="D66" s="3">
        <v>1406</v>
      </c>
      <c r="E66" s="3">
        <v>5097</v>
      </c>
      <c r="F66" s="4">
        <v>161509</v>
      </c>
      <c r="G66" s="11" cm="1">
        <f t="array" aca="1" ref="G66" ca="1">IFERROR(VLOOKUP("*" &amp; B66  &amp; "*" &amp; (MID(CELL("filename",A65),FIND("]",CELL("filename",A65))+1,31)) &amp; "*",CHOOSE({1,2}, Super_CBSA!$B$2:$B$1917, Super_CBSA!$A$2:$A$1917), 2,FALSE), IFERROR(VLOOKUP(B66  &amp; "*",CHOOSE({1,2}, Super_CBSA!$E$2:$E$1917, Super_CBSA!$A$2:$A$1917), 2,FALSE), ""))</f>
        <v>14220</v>
      </c>
    </row>
    <row r="67" spans="1:7" ht="17">
      <c r="A67" s="1" t="s">
        <v>2461</v>
      </c>
      <c r="B67" s="2" t="s">
        <v>2462</v>
      </c>
      <c r="C67" s="2">
        <v>78</v>
      </c>
      <c r="D67" s="3">
        <v>2712</v>
      </c>
      <c r="E67" s="3">
        <v>11320</v>
      </c>
      <c r="F67" s="4">
        <v>263635</v>
      </c>
      <c r="G67" s="11" t="str" cm="1">
        <f t="array" aca="1" ref="G67" ca="1">IFERROR(VLOOKUP("*" &amp; B67  &amp; "*" &amp; (MID(CELL("filename",A66),FIND("]",CELL("filename",A66))+1,31)) &amp; "*",CHOOSE({1,2}, Super_CBSA!$B$2:$B$1917, Super_CBSA!$A$2:$A$1917), 2,FALSE), IFERROR(VLOOKUP(B67  &amp; "*",CHOOSE({1,2}, Super_CBSA!$E$2:$E$1917, Super_CBSA!$A$2:$A$1917), 2,FALSE), ""))</f>
        <v/>
      </c>
    </row>
    <row r="68" spans="1:7" ht="17">
      <c r="A68" s="1" t="s">
        <v>2463</v>
      </c>
      <c r="B68" s="2" t="s">
        <v>2374</v>
      </c>
      <c r="C68" s="2">
        <v>0</v>
      </c>
      <c r="D68" s="2">
        <v>0</v>
      </c>
      <c r="E68" s="2">
        <v>0</v>
      </c>
      <c r="F68" s="4">
        <v>0</v>
      </c>
      <c r="G68" s="11" cm="1">
        <f t="array" aca="1" ref="G68" ca="1">IFERROR(VLOOKUP("*" &amp; B68  &amp; "*" &amp; (MID(CELL("filename",A67),FIND("]",CELL("filename",A67))+1,31)) &amp; "*",CHOOSE({1,2}, Super_CBSA!$B$2:$B$1917, Super_CBSA!$A$2:$A$1917), 2,FALSE), IFERROR(VLOOKUP(B68  &amp; "*",CHOOSE({1,2}, Super_CBSA!$E$2:$E$1917, Super_CBSA!$A$2:$A$1917), 2,FALSE), ""))</f>
        <v>12940</v>
      </c>
    </row>
    <row r="69" spans="1:7" ht="17">
      <c r="A69" s="1" t="s">
        <v>2464</v>
      </c>
      <c r="B69" s="2" t="s">
        <v>2374</v>
      </c>
      <c r="C69" s="2">
        <v>876</v>
      </c>
      <c r="D69" s="3">
        <v>33271</v>
      </c>
      <c r="E69" s="3">
        <v>157646</v>
      </c>
      <c r="F69" s="4">
        <v>3498781</v>
      </c>
      <c r="G69" s="11" cm="1">
        <f t="array" aca="1" ref="G69" ca="1">IFERROR(VLOOKUP("*" &amp; B69  &amp; "*" &amp; (MID(CELL("filename",A68),FIND("]",CELL("filename",A68))+1,31)) &amp; "*",CHOOSE({1,2}, Super_CBSA!$B$2:$B$1917, Super_CBSA!$A$2:$A$1917), 2,FALSE), IFERROR(VLOOKUP(B69  &amp; "*",CHOOSE({1,2}, Super_CBSA!$E$2:$E$1917, Super_CBSA!$A$2:$A$1917), 2,FALSE), ""))</f>
        <v>12940</v>
      </c>
    </row>
    <row r="70" spans="1:7" ht="17">
      <c r="A70" s="1" t="s">
        <v>2465</v>
      </c>
      <c r="B70" s="2" t="s">
        <v>2386</v>
      </c>
      <c r="C70" s="2">
        <v>0</v>
      </c>
      <c r="D70" s="2">
        <v>0</v>
      </c>
      <c r="E70" s="2">
        <v>0</v>
      </c>
      <c r="F70" s="4">
        <v>0</v>
      </c>
      <c r="G70" s="11" cm="1">
        <f t="array" aca="1" ref="G70" ca="1">IFERROR(VLOOKUP("*" &amp; B70  &amp; "*" &amp; (MID(CELL("filename",A69),FIND("]",CELL("filename",A69))+1,31)) &amp; "*",CHOOSE({1,2}, Super_CBSA!$B$2:$B$1917, Super_CBSA!$A$2:$A$1917), 2,FALSE), IFERROR(VLOOKUP(B70  &amp; "*",CHOOSE({1,2}, Super_CBSA!$E$2:$E$1917, Super_CBSA!$A$2:$A$1917), 2,FALSE), ""))</f>
        <v>43340</v>
      </c>
    </row>
    <row r="71" spans="1:7" ht="17">
      <c r="A71" s="1" t="s">
        <v>2466</v>
      </c>
      <c r="B71" s="2" t="s">
        <v>1006</v>
      </c>
      <c r="C71" s="2">
        <v>10</v>
      </c>
      <c r="D71" s="2">
        <v>473</v>
      </c>
      <c r="E71" s="2">
        <v>980</v>
      </c>
      <c r="F71" s="4">
        <v>146143</v>
      </c>
      <c r="G71" s="11" cm="1">
        <f t="array" aca="1" ref="G71" ca="1">IFERROR(VLOOKUP("*" &amp; B71  &amp; "*" &amp; (MID(CELL("filename",A70),FIND("]",CELL("filename",A70))+1,31)) &amp; "*",CHOOSE({1,2}, Super_CBSA!$B$2:$B$1917, Super_CBSA!$A$2:$A$1917), 2,FALSE), IFERROR(VLOOKUP(B71  &amp; "*",CHOOSE({1,2}, Super_CBSA!$E$2:$E$1917, Super_CBSA!$A$2:$A$1917), 2,FALSE), ""))</f>
        <v>29180</v>
      </c>
    </row>
    <row r="72" spans="1:7" ht="17">
      <c r="A72" s="1" t="s">
        <v>2467</v>
      </c>
      <c r="B72" s="2" t="s">
        <v>2423</v>
      </c>
      <c r="C72" s="2">
        <v>30</v>
      </c>
      <c r="D72" s="2">
        <v>321</v>
      </c>
      <c r="E72" s="2">
        <v>603</v>
      </c>
      <c r="F72" s="4">
        <v>68940</v>
      </c>
      <c r="G72" s="11" cm="1">
        <f t="array" aca="1" ref="G72" ca="1">IFERROR(VLOOKUP("*" &amp; B72  &amp; "*" &amp; (MID(CELL("filename",A71),FIND("]",CELL("filename",A71))+1,31)) &amp; "*",CHOOSE({1,2}, Super_CBSA!$B$2:$B$1917, Super_CBSA!$A$2:$A$1917), 2,FALSE), IFERROR(VLOOKUP(B72  &amp; "*",CHOOSE({1,2}, Super_CBSA!$E$2:$E$1917, Super_CBSA!$A$2:$A$1917), 2,FALSE), ""))</f>
        <v>26380</v>
      </c>
    </row>
    <row r="73" spans="1:7" ht="17">
      <c r="A73" s="1" t="s">
        <v>2468</v>
      </c>
      <c r="B73" s="2" t="s">
        <v>2469</v>
      </c>
      <c r="C73" s="2">
        <v>0</v>
      </c>
      <c r="D73" s="2">
        <v>0</v>
      </c>
      <c r="E73" s="2">
        <v>0</v>
      </c>
      <c r="F73" s="4">
        <v>0</v>
      </c>
      <c r="G73" s="11" t="str" cm="1">
        <f t="array" aca="1" ref="G73" ca="1">IFERROR(VLOOKUP("*" &amp; B73  &amp; "*" &amp; (MID(CELL("filename",A72),FIND("]",CELL("filename",A72))+1,31)) &amp; "*",CHOOSE({1,2}, Super_CBSA!$B$2:$B$1917, Super_CBSA!$A$2:$A$1917), 2,FALSE), IFERROR(VLOOKUP(B73  &amp; "*",CHOOSE({1,2}, Super_CBSA!$E$2:$E$1917, Super_CBSA!$A$2:$A$1917), 2,FALSE), ""))</f>
        <v/>
      </c>
    </row>
    <row r="74" spans="1:7" ht="17">
      <c r="A74" s="1" t="s">
        <v>2470</v>
      </c>
      <c r="B74" s="2" t="s">
        <v>2384</v>
      </c>
      <c r="C74" s="2">
        <v>357</v>
      </c>
      <c r="D74" s="3">
        <v>15176</v>
      </c>
      <c r="E74" s="3">
        <v>85899</v>
      </c>
      <c r="F74" s="4">
        <v>2210320</v>
      </c>
      <c r="G74" s="11" cm="1">
        <f t="array" aca="1" ref="G74" ca="1">IFERROR(VLOOKUP("*" &amp; B74  &amp; "*" &amp; (MID(CELL("filename",A73),FIND("]",CELL("filename",A73))+1,31)) &amp; "*",CHOOSE({1,2}, Super_CBSA!$B$2:$B$1917, Super_CBSA!$A$2:$A$1917), 2,FALSE), IFERROR(VLOOKUP(B74  &amp; "*",CHOOSE({1,2}, Super_CBSA!$E$2:$E$1917, Super_CBSA!$A$2:$A$1917), 2,FALSE), ""))</f>
        <v>10780</v>
      </c>
    </row>
    <row r="75" spans="1:7" ht="17">
      <c r="A75" s="1" t="s">
        <v>2471</v>
      </c>
      <c r="B75" s="2" t="s">
        <v>2472</v>
      </c>
      <c r="C75" s="2">
        <v>38</v>
      </c>
      <c r="D75" s="2">
        <v>623</v>
      </c>
      <c r="E75" s="3">
        <v>2473</v>
      </c>
      <c r="F75" s="4">
        <v>56642</v>
      </c>
      <c r="G75" s="11" t="str" cm="1">
        <f t="array" aca="1" ref="G75" ca="1">IFERROR(VLOOKUP("*" &amp; B75  &amp; "*" &amp; (MID(CELL("filename",A74),FIND("]",CELL("filename",A74))+1,31)) &amp; "*",CHOOSE({1,2}, Super_CBSA!$B$2:$B$1917, Super_CBSA!$A$2:$A$1917), 2,FALSE), IFERROR(VLOOKUP(B75  &amp; "*",CHOOSE({1,2}, Super_CBSA!$E$2:$E$1917, Super_CBSA!$A$2:$A$1917), 2,FALSE), ""))</f>
        <v/>
      </c>
    </row>
    <row r="76" spans="1:7" ht="17">
      <c r="A76" s="1" t="s">
        <v>2473</v>
      </c>
      <c r="B76" s="2" t="s">
        <v>2474</v>
      </c>
      <c r="C76" s="2">
        <v>48</v>
      </c>
      <c r="D76" s="2">
        <v>403</v>
      </c>
      <c r="E76" s="3">
        <v>1395</v>
      </c>
      <c r="F76" s="4">
        <v>33009</v>
      </c>
      <c r="G76" s="11" t="str" cm="1">
        <f t="array" aca="1" ref="G76" ca="1">IFERROR(VLOOKUP("*" &amp; B76  &amp; "*" &amp; (MID(CELL("filename",A75),FIND("]",CELL("filename",A75))+1,31)) &amp; "*",CHOOSE({1,2}, Super_CBSA!$B$2:$B$1917, Super_CBSA!$A$2:$A$1917), 2,FALSE), IFERROR(VLOOKUP(B76  &amp; "*",CHOOSE({1,2}, Super_CBSA!$E$2:$E$1917, Super_CBSA!$A$2:$A$1917), 2,FALSE), ""))</f>
        <v/>
      </c>
    </row>
    <row r="77" spans="1:7" ht="17">
      <c r="A77" s="1" t="s">
        <v>2475</v>
      </c>
      <c r="B77" s="2" t="s">
        <v>2476</v>
      </c>
      <c r="C77" s="2">
        <v>59</v>
      </c>
      <c r="D77" s="2">
        <v>737</v>
      </c>
      <c r="E77" s="3">
        <v>2527</v>
      </c>
      <c r="F77" s="4">
        <v>131187</v>
      </c>
      <c r="G77" s="11" t="str" cm="1">
        <f t="array" aca="1" ref="G77" ca="1">IFERROR(VLOOKUP("*" &amp; B77  &amp; "*" &amp; (MID(CELL("filename",A76),FIND("]",CELL("filename",A76))+1,31)) &amp; "*",CHOOSE({1,2}, Super_CBSA!$B$2:$B$1917, Super_CBSA!$A$2:$A$1917), 2,FALSE), IFERROR(VLOOKUP(B77  &amp; "*",CHOOSE({1,2}, Super_CBSA!$E$2:$E$1917, Super_CBSA!$A$2:$A$1917), 2,FALSE), ""))</f>
        <v/>
      </c>
    </row>
    <row r="78" spans="1:7" ht="17">
      <c r="A78" s="1" t="s">
        <v>2477</v>
      </c>
      <c r="B78" s="2" t="s">
        <v>2433</v>
      </c>
      <c r="C78" s="2">
        <v>39</v>
      </c>
      <c r="D78" s="2">
        <v>465</v>
      </c>
      <c r="E78" s="3">
        <v>1442</v>
      </c>
      <c r="F78" s="4">
        <v>112203</v>
      </c>
      <c r="G78" s="11" cm="1">
        <f t="array" aca="1" ref="G78" ca="1">IFERROR(VLOOKUP("*" &amp; B78  &amp; "*" &amp; (MID(CELL("filename",A77),FIND("]",CELL("filename",A77))+1,31)) &amp; "*",CHOOSE({1,2}, Super_CBSA!$B$2:$B$1917, Super_CBSA!$A$2:$A$1917), 2,FALSE), IFERROR(VLOOKUP(B78  &amp; "*",CHOOSE({1,2}, Super_CBSA!$E$2:$E$1917, Super_CBSA!$A$2:$A$1917), 2,FALSE), ""))</f>
        <v>35380</v>
      </c>
    </row>
    <row r="79" spans="1:7" ht="17">
      <c r="A79" s="1" t="s">
        <v>2478</v>
      </c>
      <c r="B79" s="2" t="s">
        <v>1624</v>
      </c>
      <c r="C79" s="2">
        <v>375</v>
      </c>
      <c r="D79" s="3">
        <v>12690</v>
      </c>
      <c r="E79" s="3">
        <v>70791</v>
      </c>
      <c r="F79" s="4">
        <v>1097226</v>
      </c>
      <c r="G79" s="11" cm="1">
        <f t="array" aca="1" ref="G79" ca="1">IFERROR(VLOOKUP("*" &amp; B79  &amp; "*" &amp; (MID(CELL("filename",A78),FIND("]",CELL("filename",A78))+1,31)) &amp; "*",CHOOSE({1,2}, Super_CBSA!$B$2:$B$1917, Super_CBSA!$A$2:$A$1917), 2,FALSE), IFERROR(VLOOKUP(B79  &amp; "*",CHOOSE({1,2}, Super_CBSA!$E$2:$E$1917, Super_CBSA!$A$2:$A$1917), 2,FALSE), ""))</f>
        <v>33740</v>
      </c>
    </row>
    <row r="80" spans="1:7" ht="17">
      <c r="A80" s="1" t="s">
        <v>2479</v>
      </c>
      <c r="B80" s="2" t="s">
        <v>1620</v>
      </c>
      <c r="C80" s="2">
        <v>200</v>
      </c>
      <c r="D80" s="3">
        <v>11864</v>
      </c>
      <c r="E80" s="3">
        <v>50462</v>
      </c>
      <c r="F80" s="4">
        <v>1394680</v>
      </c>
      <c r="G80" s="11" cm="1">
        <f t="array" aca="1" ref="G80" ca="1">IFERROR(VLOOKUP("*" &amp; B80  &amp; "*" &amp; (MID(CELL("filename",A79),FIND("]",CELL("filename",A79))+1,31)) &amp; "*",CHOOSE({1,2}, Super_CBSA!$B$2:$B$1917, Super_CBSA!$A$2:$A$1917), 2,FALSE), IFERROR(VLOOKUP(B80  &amp; "*",CHOOSE({1,2}, Super_CBSA!$E$2:$E$1917, Super_CBSA!$A$2:$A$1917), 2,FALSE), ""))</f>
        <v>25620</v>
      </c>
    </row>
    <row r="81" spans="1:7" ht="17">
      <c r="A81" s="1" t="s">
        <v>2480</v>
      </c>
      <c r="B81" s="2" t="s">
        <v>2481</v>
      </c>
      <c r="C81" s="2">
        <v>176</v>
      </c>
      <c r="D81" s="2">
        <v>569</v>
      </c>
      <c r="E81" s="3">
        <v>2928</v>
      </c>
      <c r="F81" s="4">
        <v>91891</v>
      </c>
      <c r="G81" s="11" t="str" cm="1">
        <f t="array" aca="1" ref="G81" ca="1">IFERROR(VLOOKUP("*" &amp; B81  &amp; "*" &amp; (MID(CELL("filename",A80),FIND("]",CELL("filename",A80))+1,31)) &amp; "*",CHOOSE({1,2}, Super_CBSA!$B$2:$B$1917, Super_CBSA!$A$2:$A$1917), 2,FALSE), IFERROR(VLOOKUP(B81  &amp; "*",CHOOSE({1,2}, Super_CBSA!$E$2:$E$1917, Super_CBSA!$A$2:$A$1917), 2,FALSE), ""))</f>
        <v/>
      </c>
    </row>
    <row r="82" spans="1:7" ht="17">
      <c r="A82" s="1" t="s">
        <v>2482</v>
      </c>
      <c r="B82" s="2" t="s">
        <v>2448</v>
      </c>
      <c r="C82" s="2">
        <v>231</v>
      </c>
      <c r="D82" s="3">
        <v>8555</v>
      </c>
      <c r="E82" s="3">
        <v>36429</v>
      </c>
      <c r="F82" s="4">
        <v>1309889</v>
      </c>
      <c r="G82" s="11" t="str" cm="1">
        <f t="array" aca="1" ref="G82" ca="1">IFERROR(VLOOKUP("*" &amp; B82  &amp; "*" &amp; (MID(CELL("filename",A81),FIND("]",CELL("filename",A81))+1,31)) &amp; "*",CHOOSE({1,2}, Super_CBSA!$B$2:$B$1917, Super_CBSA!$A$2:$A$1917), 2,FALSE), IFERROR(VLOOKUP(B82  &amp; "*",CHOOSE({1,2}, Super_CBSA!$E$2:$E$1917, Super_CBSA!$A$2:$A$1917), 2,FALSE), ""))</f>
        <v/>
      </c>
    </row>
    <row r="83" spans="1:7" ht="17">
      <c r="A83" s="1" t="s">
        <v>2483</v>
      </c>
      <c r="B83" s="2" t="s">
        <v>2484</v>
      </c>
      <c r="C83" s="2">
        <v>49</v>
      </c>
      <c r="D83" s="2">
        <v>0</v>
      </c>
      <c r="E83" s="2">
        <v>0</v>
      </c>
      <c r="F83" s="4">
        <v>12555</v>
      </c>
      <c r="G83" s="11" cm="1">
        <f t="array" aca="1" ref="G83" ca="1">IFERROR(VLOOKUP("*" &amp; B83  &amp; "*" &amp; (MID(CELL("filename",A82),FIND("]",CELL("filename",A82))+1,31)) &amp; "*",CHOOSE({1,2}, Super_CBSA!$B$2:$B$1917, Super_CBSA!$A$2:$A$1917), 2,FALSE), IFERROR(VLOOKUP(B83  &amp; "*",CHOOSE({1,2}, Super_CBSA!$E$2:$E$1917, Super_CBSA!$A$2:$A$1917), 2,FALSE), ""))</f>
        <v>15180</v>
      </c>
    </row>
    <row r="84" spans="1:7" ht="17">
      <c r="A84" s="1" t="s">
        <v>2485</v>
      </c>
      <c r="B84" s="2" t="s">
        <v>2433</v>
      </c>
      <c r="C84" s="2">
        <v>0</v>
      </c>
      <c r="D84" s="2">
        <v>0</v>
      </c>
      <c r="E84" s="2">
        <v>0</v>
      </c>
      <c r="F84" s="4">
        <v>0</v>
      </c>
      <c r="G84" s="11" cm="1">
        <f t="array" aca="1" ref="G84" ca="1">IFERROR(VLOOKUP("*" &amp; B84  &amp; "*" &amp; (MID(CELL("filename",A83),FIND("]",CELL("filename",A83))+1,31)) &amp; "*",CHOOSE({1,2}, Super_CBSA!$B$2:$B$1917, Super_CBSA!$A$2:$A$1917), 2,FALSE), IFERROR(VLOOKUP(B84  &amp; "*",CHOOSE({1,2}, Super_CBSA!$E$2:$E$1917, Super_CBSA!$A$2:$A$1917), 2,FALSE), ""))</f>
        <v>35380</v>
      </c>
    </row>
    <row r="85" spans="1:7" ht="17">
      <c r="A85" s="1" t="s">
        <v>2486</v>
      </c>
      <c r="B85" s="2" t="s">
        <v>2448</v>
      </c>
      <c r="C85" s="2">
        <v>37</v>
      </c>
      <c r="D85" s="3">
        <v>1210</v>
      </c>
      <c r="E85" s="3">
        <v>2658</v>
      </c>
      <c r="F85" s="4">
        <v>136915</v>
      </c>
      <c r="G85" s="11" t="str" cm="1">
        <f t="array" aca="1" ref="G85" ca="1">IFERROR(VLOOKUP("*" &amp; B85  &amp; "*" &amp; (MID(CELL("filename",A84),FIND("]",CELL("filename",A84))+1,31)) &amp; "*",CHOOSE({1,2}, Super_CBSA!$B$2:$B$1917, Super_CBSA!$A$2:$A$1917), 2,FALSE), IFERROR(VLOOKUP(B85  &amp; "*",CHOOSE({1,2}, Super_CBSA!$E$2:$E$1917, Super_CBSA!$A$2:$A$1917), 2,FALSE), ""))</f>
        <v/>
      </c>
    </row>
    <row r="86" spans="1:7" ht="17">
      <c r="A86" s="1" t="s">
        <v>2487</v>
      </c>
      <c r="B86" s="2" t="s">
        <v>2386</v>
      </c>
      <c r="C86" s="2">
        <v>15</v>
      </c>
      <c r="D86" s="3">
        <v>1164</v>
      </c>
      <c r="E86" s="3">
        <v>2327</v>
      </c>
      <c r="F86" s="4">
        <v>263228</v>
      </c>
      <c r="G86" s="11" cm="1">
        <f t="array" aca="1" ref="G86" ca="1">IFERROR(VLOOKUP("*" &amp; B86  &amp; "*" &amp; (MID(CELL("filename",A85),FIND("]",CELL("filename",A85))+1,31)) &amp; "*",CHOOSE({1,2}, Super_CBSA!$B$2:$B$1917, Super_CBSA!$A$2:$A$1917), 2,FALSE), IFERROR(VLOOKUP(B86  &amp; "*",CHOOSE({1,2}, Super_CBSA!$E$2:$E$1917, Super_CBSA!$A$2:$A$1917), 2,FALSE), ""))</f>
        <v>43340</v>
      </c>
    </row>
    <row r="87" spans="1:7" ht="17">
      <c r="A87" s="1" t="s">
        <v>220</v>
      </c>
      <c r="B87" s="2" t="s">
        <v>2488</v>
      </c>
      <c r="C87" s="2">
        <v>58</v>
      </c>
      <c r="D87" s="2">
        <v>697</v>
      </c>
      <c r="E87" s="3">
        <v>2197</v>
      </c>
      <c r="F87" s="4">
        <v>42375</v>
      </c>
      <c r="G87" s="11" t="str" cm="1">
        <f t="array" aca="1" ref="G87" ca="1">IFERROR(VLOOKUP("*" &amp; B87  &amp; "*" &amp; (MID(CELL("filename",A86),FIND("]",CELL("filename",A86))+1,31)) &amp; "*",CHOOSE({1,2}, Super_CBSA!$B$2:$B$1917, Super_CBSA!$A$2:$A$1917), 2,FALSE), IFERROR(VLOOKUP(B87  &amp; "*",CHOOSE({1,2}, Super_CBSA!$E$2:$E$1917, Super_CBSA!$A$2:$A$1917), 2,FALSE), ""))</f>
        <v/>
      </c>
    </row>
    <row r="88" spans="1:7" ht="17">
      <c r="A88" s="1" t="s">
        <v>2489</v>
      </c>
      <c r="B88" s="2" t="s">
        <v>2490</v>
      </c>
      <c r="C88" s="2">
        <v>40</v>
      </c>
      <c r="D88" s="3">
        <v>1285</v>
      </c>
      <c r="E88" s="3">
        <v>5635</v>
      </c>
      <c r="F88" s="4">
        <v>130714</v>
      </c>
      <c r="G88" s="11" t="str" cm="1">
        <f t="array" aca="1" ref="G88" ca="1">IFERROR(VLOOKUP("*" &amp; B88  &amp; "*" &amp; (MID(CELL("filename",A87),FIND("]",CELL("filename",A87))+1,31)) &amp; "*",CHOOSE({1,2}, Super_CBSA!$B$2:$B$1917, Super_CBSA!$A$2:$A$1917), 2,FALSE), IFERROR(VLOOKUP(B88  &amp; "*",CHOOSE({1,2}, Super_CBSA!$E$2:$E$1917, Super_CBSA!$A$2:$A$1917), 2,FALSE), ""))</f>
        <v/>
      </c>
    </row>
    <row r="89" spans="1:7" ht="17">
      <c r="A89" s="1" t="s">
        <v>2491</v>
      </c>
      <c r="B89" s="2" t="s">
        <v>1624</v>
      </c>
      <c r="C89" s="2">
        <v>22</v>
      </c>
      <c r="D89" s="2">
        <v>415</v>
      </c>
      <c r="E89" s="2">
        <v>918</v>
      </c>
      <c r="F89" s="4">
        <v>113145</v>
      </c>
      <c r="G89" s="11" cm="1">
        <f t="array" aca="1" ref="G89" ca="1">IFERROR(VLOOKUP("*" &amp; B89  &amp; "*" &amp; (MID(CELL("filename",A88),FIND("]",CELL("filename",A88))+1,31)) &amp; "*",CHOOSE({1,2}, Super_CBSA!$B$2:$B$1917, Super_CBSA!$A$2:$A$1917), 2,FALSE), IFERROR(VLOOKUP(B89  &amp; "*",CHOOSE({1,2}, Super_CBSA!$E$2:$E$1917, Super_CBSA!$A$2:$A$1917), 2,FALSE), ""))</f>
        <v>33740</v>
      </c>
    </row>
    <row r="90" spans="1:7" ht="17">
      <c r="A90" s="1" t="s">
        <v>2492</v>
      </c>
      <c r="B90" s="2" t="s">
        <v>2448</v>
      </c>
      <c r="C90" s="2">
        <v>10</v>
      </c>
      <c r="D90" s="2">
        <v>229</v>
      </c>
      <c r="E90" s="2">
        <v>581</v>
      </c>
      <c r="F90" s="4">
        <v>92015</v>
      </c>
      <c r="G90" s="11" t="str" cm="1">
        <f t="array" aca="1" ref="G90" ca="1">IFERROR(VLOOKUP("*" &amp; B90  &amp; "*" &amp; (MID(CELL("filename",A89),FIND("]",CELL("filename",A89))+1,31)) &amp; "*",CHOOSE({1,2}, Super_CBSA!$B$2:$B$1917, Super_CBSA!$A$2:$A$1917), 2,FALSE), IFERROR(VLOOKUP(B90  &amp; "*",CHOOSE({1,2}, Super_CBSA!$E$2:$E$1917, Super_CBSA!$A$2:$A$1917), 2,FALSE), ""))</f>
        <v/>
      </c>
    </row>
    <row r="91" spans="1:7" ht="17">
      <c r="A91" s="1" t="s">
        <v>2493</v>
      </c>
      <c r="B91" s="2" t="s">
        <v>2374</v>
      </c>
      <c r="C91" s="2">
        <v>16</v>
      </c>
      <c r="D91" s="2">
        <v>616</v>
      </c>
      <c r="E91" s="3">
        <v>1035</v>
      </c>
      <c r="F91" s="4">
        <v>144590</v>
      </c>
      <c r="G91" s="11" cm="1">
        <f t="array" aca="1" ref="G91" ca="1">IFERROR(VLOOKUP("*" &amp; B91  &amp; "*" &amp; (MID(CELL("filename",A90),FIND("]",CELL("filename",A90))+1,31)) &amp; "*",CHOOSE({1,2}, Super_CBSA!$B$2:$B$1917, Super_CBSA!$A$2:$A$1917), 2,FALSE), IFERROR(VLOOKUP(B91  &amp; "*",CHOOSE({1,2}, Super_CBSA!$E$2:$E$1917, Super_CBSA!$A$2:$A$1917), 2,FALSE), ""))</f>
        <v>12940</v>
      </c>
    </row>
    <row r="92" spans="1:7" ht="17">
      <c r="A92" s="1" t="s">
        <v>2494</v>
      </c>
      <c r="B92" s="2" t="s">
        <v>2423</v>
      </c>
      <c r="C92" s="2">
        <v>210</v>
      </c>
      <c r="D92" s="3">
        <v>7827</v>
      </c>
      <c r="E92" s="3">
        <v>38425</v>
      </c>
      <c r="F92" s="4">
        <v>639003</v>
      </c>
      <c r="G92" s="11" cm="1">
        <f t="array" aca="1" ref="G92" ca="1">IFERROR(VLOOKUP("*" &amp; B92  &amp; "*" &amp; (MID(CELL("filename",A91),FIND("]",CELL("filename",A91))+1,31)) &amp; "*",CHOOSE({1,2}, Super_CBSA!$B$2:$B$1917, Super_CBSA!$A$2:$A$1917), 2,FALSE), IFERROR(VLOOKUP(B92  &amp; "*",CHOOSE({1,2}, Super_CBSA!$E$2:$E$1917, Super_CBSA!$A$2:$A$1917), 2,FALSE), ""))</f>
        <v>26380</v>
      </c>
    </row>
    <row r="93" spans="1:7" ht="17">
      <c r="A93" s="1" t="s">
        <v>2495</v>
      </c>
      <c r="B93" s="2" t="s">
        <v>2374</v>
      </c>
      <c r="C93" s="2">
        <v>23</v>
      </c>
      <c r="D93" s="3">
        <v>1409</v>
      </c>
      <c r="E93" s="3">
        <v>2279</v>
      </c>
      <c r="F93" s="4">
        <v>173442</v>
      </c>
      <c r="G93" s="11" cm="1">
        <f t="array" aca="1" ref="G93" ca="1">IFERROR(VLOOKUP("*" &amp; B93  &amp; "*" &amp; (MID(CELL("filename",A92),FIND("]",CELL("filename",A92))+1,31)) &amp; "*",CHOOSE({1,2}, Super_CBSA!$B$2:$B$1917, Super_CBSA!$A$2:$A$1917), 2,FALSE), IFERROR(VLOOKUP(B93  &amp; "*",CHOOSE({1,2}, Super_CBSA!$E$2:$E$1917, Super_CBSA!$A$2:$A$1917), 2,FALSE), ""))</f>
        <v>12940</v>
      </c>
    </row>
    <row r="94" spans="1:7" ht="17">
      <c r="A94" s="1" t="s">
        <v>2496</v>
      </c>
      <c r="B94" s="2" t="s">
        <v>2497</v>
      </c>
      <c r="C94" s="2">
        <v>160</v>
      </c>
      <c r="D94" s="3">
        <v>6116</v>
      </c>
      <c r="E94" s="3">
        <v>21436</v>
      </c>
      <c r="F94" s="4">
        <v>815555</v>
      </c>
      <c r="G94" s="11" cm="1">
        <f t="array" aca="1" ref="G94" ca="1">IFERROR(VLOOKUP("*" &amp; B94  &amp; "*" &amp; (MID(CELL("filename",A93),FIND("]",CELL("filename",A93))+1,31)) &amp; "*",CHOOSE({1,2}, Super_CBSA!$B$2:$B$1917, Super_CBSA!$A$2:$A$1917), 2,FALSE), IFERROR(VLOOKUP(B94  &amp; "*",CHOOSE({1,2}, Super_CBSA!$E$2:$E$1917, Super_CBSA!$A$2:$A$1917), 2,FALSE), ""))</f>
        <v>26380</v>
      </c>
    </row>
    <row r="95" spans="1:7" ht="17">
      <c r="A95" s="1" t="s">
        <v>2498</v>
      </c>
      <c r="B95" s="2" t="s">
        <v>2433</v>
      </c>
      <c r="C95" s="2">
        <v>325</v>
      </c>
      <c r="D95" s="3">
        <v>9756</v>
      </c>
      <c r="E95" s="3">
        <v>55968</v>
      </c>
      <c r="F95" s="4">
        <v>1462644</v>
      </c>
      <c r="G95" s="11" cm="1">
        <f t="array" aca="1" ref="G95" ca="1">IFERROR(VLOOKUP("*" &amp; B95  &amp; "*" &amp; (MID(CELL("filename",A94),FIND("]",CELL("filename",A94))+1,31)) &amp; "*",CHOOSE({1,2}, Super_CBSA!$B$2:$B$1917, Super_CBSA!$A$2:$A$1917), 2,FALSE), IFERROR(VLOOKUP(B95  &amp; "*",CHOOSE({1,2}, Super_CBSA!$E$2:$E$1917, Super_CBSA!$A$2:$A$1917), 2,FALSE), ""))</f>
        <v>35380</v>
      </c>
    </row>
    <row r="96" spans="1:7" ht="17">
      <c r="A96" s="1" t="s">
        <v>2499</v>
      </c>
      <c r="B96" s="2" t="s">
        <v>2401</v>
      </c>
      <c r="C96" s="2">
        <v>126</v>
      </c>
      <c r="D96" s="3">
        <v>2845</v>
      </c>
      <c r="E96" s="3">
        <v>13221</v>
      </c>
      <c r="F96" s="4">
        <v>107862</v>
      </c>
      <c r="G96" s="11" cm="1">
        <f t="array" aca="1" ref="G96" ca="1">IFERROR(VLOOKUP("*" &amp; B96  &amp; "*" &amp; (MID(CELL("filename",A95),FIND("]",CELL("filename",A95))+1,31)) &amp; "*",CHOOSE({1,2}, Super_CBSA!$B$2:$B$1917, Super_CBSA!$A$2:$A$1917), 2,FALSE), IFERROR(VLOOKUP(B96  &amp; "*",CHOOSE({1,2}, Super_CBSA!$E$2:$E$1917, Super_CBSA!$A$2:$A$1917), 2,FALSE), ""))</f>
        <v>35380</v>
      </c>
    </row>
    <row r="97" spans="1:7" ht="17">
      <c r="A97" s="1" t="s">
        <v>2500</v>
      </c>
      <c r="B97" s="2" t="s">
        <v>2433</v>
      </c>
      <c r="C97" s="2">
        <v>518</v>
      </c>
      <c r="D97" s="3">
        <v>18764</v>
      </c>
      <c r="E97" s="3">
        <v>93920</v>
      </c>
      <c r="F97" s="4">
        <v>3941389</v>
      </c>
      <c r="G97" s="11" cm="1">
        <f t="array" aca="1" ref="G97" ca="1">IFERROR(VLOOKUP("*" &amp; B97  &amp; "*" &amp; (MID(CELL("filename",A96),FIND("]",CELL("filename",A96))+1,31)) &amp; "*",CHOOSE({1,2}, Super_CBSA!$B$2:$B$1917, Super_CBSA!$A$2:$A$1917), 2,FALSE), IFERROR(VLOOKUP(B97  &amp; "*",CHOOSE({1,2}, Super_CBSA!$E$2:$E$1917, Super_CBSA!$A$2:$A$1917), 2,FALSE), ""))</f>
        <v>35380</v>
      </c>
    </row>
    <row r="98" spans="1:7" ht="17">
      <c r="A98" s="1" t="s">
        <v>2501</v>
      </c>
      <c r="B98" s="2" t="s">
        <v>1006</v>
      </c>
      <c r="C98" s="2">
        <v>52</v>
      </c>
      <c r="D98" s="3">
        <v>2990</v>
      </c>
      <c r="E98" s="3">
        <v>10940</v>
      </c>
      <c r="F98" s="4">
        <v>375902</v>
      </c>
      <c r="G98" s="11" cm="1">
        <f t="array" aca="1" ref="G98" ca="1">IFERROR(VLOOKUP("*" &amp; B98  &amp; "*" &amp; (MID(CELL("filename",A97),FIND("]",CELL("filename",A97))+1,31)) &amp; "*",CHOOSE({1,2}, Super_CBSA!$B$2:$B$1917, Super_CBSA!$A$2:$A$1917), 2,FALSE), IFERROR(VLOOKUP(B98  &amp; "*",CHOOSE({1,2}, Super_CBSA!$E$2:$E$1917, Super_CBSA!$A$2:$A$1917), 2,FALSE), ""))</f>
        <v>29180</v>
      </c>
    </row>
    <row r="99" spans="1:7" ht="17">
      <c r="A99" s="1" t="s">
        <v>2502</v>
      </c>
      <c r="B99" s="2" t="s">
        <v>2433</v>
      </c>
      <c r="C99" s="2">
        <v>324</v>
      </c>
      <c r="D99" s="3">
        <v>11804</v>
      </c>
      <c r="E99" s="3">
        <v>74231</v>
      </c>
      <c r="F99" s="4">
        <v>1766842</v>
      </c>
      <c r="G99" s="11" cm="1">
        <f t="array" aca="1" ref="G99" ca="1">IFERROR(VLOOKUP("*" &amp; B99  &amp; "*" &amp; (MID(CELL("filename",A98),FIND("]",CELL("filename",A98))+1,31)) &amp; "*",CHOOSE({1,2}, Super_CBSA!$B$2:$B$1917, Super_CBSA!$A$2:$A$1917), 2,FALSE), IFERROR(VLOOKUP(B99  &amp; "*",CHOOSE({1,2}, Super_CBSA!$E$2:$E$1917, Super_CBSA!$A$2:$A$1917), 2,FALSE), ""))</f>
        <v>35380</v>
      </c>
    </row>
    <row r="100" spans="1:7" ht="17">
      <c r="A100" s="1" t="s">
        <v>2503</v>
      </c>
      <c r="B100" s="2" t="s">
        <v>158</v>
      </c>
      <c r="C100" s="2">
        <v>297</v>
      </c>
      <c r="D100" s="2">
        <v>7</v>
      </c>
      <c r="E100" s="2">
        <v>19</v>
      </c>
      <c r="F100" s="4">
        <v>0</v>
      </c>
      <c r="G100" s="11" cm="1">
        <f t="array" aca="1" ref="G100" ca="1">IFERROR(VLOOKUP("*" &amp; B100  &amp; "*" &amp; (MID(CELL("filename",A99),FIND("]",CELL("filename",A99))+1,31)) &amp; "*",CHOOSE({1,2}, Super_CBSA!$B$2:$B$1917, Super_CBSA!$A$2:$A$1917), 2,FALSE), IFERROR(VLOOKUP(B100  &amp; "*",CHOOSE({1,2}, Super_CBSA!$E$2:$E$1917, Super_CBSA!$A$2:$A$1917), 2,FALSE), ""))</f>
        <v>11060</v>
      </c>
    </row>
    <row r="101" spans="1:7" ht="17">
      <c r="A101" s="1" t="s">
        <v>2504</v>
      </c>
      <c r="B101" s="2" t="s">
        <v>2505</v>
      </c>
      <c r="C101" s="2">
        <v>107</v>
      </c>
      <c r="D101" s="3">
        <v>2300</v>
      </c>
      <c r="E101" s="3">
        <v>9462</v>
      </c>
      <c r="F101" s="4">
        <v>192034</v>
      </c>
      <c r="G101" s="11" t="str" cm="1">
        <f t="array" aca="1" ref="G101" ca="1">IFERROR(VLOOKUP("*" &amp; B101  &amp; "*" &amp; (MID(CELL("filename",A100),FIND("]",CELL("filename",A100))+1,31)) &amp; "*",CHOOSE({1,2}, Super_CBSA!$B$2:$B$1917, Super_CBSA!$A$2:$A$1917), 2,FALSE), IFERROR(VLOOKUP(B101  &amp; "*",CHOOSE({1,2}, Super_CBSA!$E$2:$E$1917, Super_CBSA!$A$2:$A$1917), 2,FALSE), ""))</f>
        <v/>
      </c>
    </row>
    <row r="102" spans="1:7" ht="17">
      <c r="A102" s="1" t="s">
        <v>2506</v>
      </c>
      <c r="B102" s="2" t="s">
        <v>2507</v>
      </c>
      <c r="C102" s="2">
        <v>30</v>
      </c>
      <c r="D102" s="2">
        <v>774</v>
      </c>
      <c r="E102" s="3">
        <v>2825</v>
      </c>
      <c r="F102" s="4">
        <v>49403</v>
      </c>
      <c r="G102" s="11" t="str" cm="1">
        <f t="array" aca="1" ref="G102" ca="1">IFERROR(VLOOKUP("*" &amp; B102  &amp; "*" &amp; (MID(CELL("filename",A101),FIND("]",CELL("filename",A101))+1,31)) &amp; "*",CHOOSE({1,2}, Super_CBSA!$B$2:$B$1917, Super_CBSA!$A$2:$A$1917), 2,FALSE), IFERROR(VLOOKUP(B102  &amp; "*",CHOOSE({1,2}, Super_CBSA!$E$2:$E$1917, Super_CBSA!$A$2:$A$1917), 2,FALSE), ""))</f>
        <v/>
      </c>
    </row>
    <row r="103" spans="1:7" ht="17">
      <c r="A103" s="1" t="s">
        <v>2508</v>
      </c>
      <c r="B103" s="2" t="s">
        <v>2439</v>
      </c>
      <c r="C103" s="2">
        <v>255</v>
      </c>
      <c r="D103" s="3">
        <v>8066</v>
      </c>
      <c r="E103" s="3">
        <v>48691</v>
      </c>
      <c r="F103" s="4">
        <v>1287681</v>
      </c>
      <c r="G103" s="11" t="str" cm="1">
        <f t="array" aca="1" ref="G103" ca="1">IFERROR(VLOOKUP("*" &amp; B103  &amp; "*" &amp; (MID(CELL("filename",A102),FIND("]",CELL("filename",A102))+1,31)) &amp; "*",CHOOSE({1,2}, Super_CBSA!$B$2:$B$1917, Super_CBSA!$A$2:$A$1917), 2,FALSE), IFERROR(VLOOKUP(B103  &amp; "*",CHOOSE({1,2}, Super_CBSA!$E$2:$E$1917, Super_CBSA!$A$2:$A$1917), 2,FALSE), ""))</f>
        <v/>
      </c>
    </row>
    <row r="104" spans="1:7" ht="17">
      <c r="A104" s="1" t="s">
        <v>2509</v>
      </c>
      <c r="B104" s="2" t="s">
        <v>2510</v>
      </c>
      <c r="C104" s="2">
        <v>124</v>
      </c>
      <c r="D104" s="3">
        <v>7341</v>
      </c>
      <c r="E104" s="3">
        <v>30875</v>
      </c>
      <c r="F104" s="4">
        <v>584756</v>
      </c>
      <c r="G104" s="11" cm="1">
        <f t="array" aca="1" ref="G104" ca="1">IFERROR(VLOOKUP("*" &amp; B104  &amp; "*" &amp; (MID(CELL("filename",A103),FIND("]",CELL("filename",A103))+1,31)) &amp; "*",CHOOSE({1,2}, Super_CBSA!$B$2:$B$1917, Super_CBSA!$A$2:$A$1917), 2,FALSE), IFERROR(VLOOKUP(B104  &amp; "*",CHOOSE({1,2}, Super_CBSA!$E$2:$E$1917, Super_CBSA!$A$2:$A$1917), 2,FALSE), ""))</f>
        <v>43340</v>
      </c>
    </row>
    <row r="105" spans="1:7" ht="17">
      <c r="A105" s="1" t="s">
        <v>2511</v>
      </c>
      <c r="B105" s="2" t="s">
        <v>2386</v>
      </c>
      <c r="C105" s="2">
        <v>850</v>
      </c>
      <c r="D105" s="3">
        <v>32649</v>
      </c>
      <c r="E105" s="3">
        <v>172236</v>
      </c>
      <c r="F105" s="4">
        <v>3279427</v>
      </c>
      <c r="G105" s="11" cm="1">
        <f t="array" aca="1" ref="G105" ca="1">IFERROR(VLOOKUP("*" &amp; B105  &amp; "*" &amp; (MID(CELL("filename",A104),FIND("]",CELL("filename",A104))+1,31)) &amp; "*",CHOOSE({1,2}, Super_CBSA!$B$2:$B$1917, Super_CBSA!$A$2:$A$1917), 2,FALSE), IFERROR(VLOOKUP(B105  &amp; "*",CHOOSE({1,2}, Super_CBSA!$E$2:$E$1917, Super_CBSA!$A$2:$A$1917), 2,FALSE), ""))</f>
        <v>43340</v>
      </c>
    </row>
    <row r="106" spans="1:7" ht="17">
      <c r="A106" s="1" t="s">
        <v>2512</v>
      </c>
      <c r="B106" s="2" t="s">
        <v>2386</v>
      </c>
      <c r="C106" s="2">
        <v>0</v>
      </c>
      <c r="D106" s="2">
        <v>0</v>
      </c>
      <c r="E106" s="2">
        <v>0</v>
      </c>
      <c r="F106" s="4">
        <v>0</v>
      </c>
      <c r="G106" s="11" cm="1">
        <f t="array" aca="1" ref="G106" ca="1">IFERROR(VLOOKUP("*" &amp; B106  &amp; "*" &amp; (MID(CELL("filename",A105),FIND("]",CELL("filename",A105))+1,31)) &amp; "*",CHOOSE({1,2}, Super_CBSA!$B$2:$B$1917, Super_CBSA!$A$2:$A$1917), 2,FALSE), IFERROR(VLOOKUP(B106  &amp; "*",CHOOSE({1,2}, Super_CBSA!$E$2:$E$1917, Super_CBSA!$A$2:$A$1917), 2,FALSE), ""))</f>
        <v>43340</v>
      </c>
    </row>
    <row r="107" spans="1:7" ht="17">
      <c r="A107" s="1" t="s">
        <v>2513</v>
      </c>
      <c r="B107" s="2" t="s">
        <v>2386</v>
      </c>
      <c r="C107" s="2">
        <v>0</v>
      </c>
      <c r="D107" s="2">
        <v>0</v>
      </c>
      <c r="E107" s="2">
        <v>0</v>
      </c>
      <c r="F107" s="4">
        <v>0</v>
      </c>
      <c r="G107" s="11" cm="1">
        <f t="array" aca="1" ref="G107" ca="1">IFERROR(VLOOKUP("*" &amp; B107  &amp; "*" &amp; (MID(CELL("filename",A106),FIND("]",CELL("filename",A106))+1,31)) &amp; "*",CHOOSE({1,2}, Super_CBSA!$B$2:$B$1917, Super_CBSA!$A$2:$A$1917), 2,FALSE), IFERROR(VLOOKUP(B107  &amp; "*",CHOOSE({1,2}, Super_CBSA!$E$2:$E$1917, Super_CBSA!$A$2:$A$1917), 2,FALSE), ""))</f>
        <v>43340</v>
      </c>
    </row>
    <row r="108" spans="1:7" ht="17">
      <c r="A108" s="1" t="s">
        <v>2514</v>
      </c>
      <c r="B108" s="2" t="s">
        <v>2515</v>
      </c>
      <c r="C108" s="2">
        <v>46</v>
      </c>
      <c r="D108" s="2">
        <v>679</v>
      </c>
      <c r="E108" s="3">
        <v>2422</v>
      </c>
      <c r="F108" s="4">
        <v>51027</v>
      </c>
      <c r="G108" s="11" t="str" cm="1">
        <f t="array" aca="1" ref="G108" ca="1">IFERROR(VLOOKUP("*" &amp; B108  &amp; "*" &amp; (MID(CELL("filename",A107),FIND("]",CELL("filename",A107))+1,31)) &amp; "*",CHOOSE({1,2}, Super_CBSA!$B$2:$B$1917, Super_CBSA!$A$2:$A$1917), 2,FALSE), IFERROR(VLOOKUP(B108  &amp; "*",CHOOSE({1,2}, Super_CBSA!$E$2:$E$1917, Super_CBSA!$A$2:$A$1917), 2,FALSE), ""))</f>
        <v/>
      </c>
    </row>
    <row r="109" spans="1:7" ht="17">
      <c r="A109" s="1" t="s">
        <v>2516</v>
      </c>
      <c r="B109" s="2" t="s">
        <v>2374</v>
      </c>
      <c r="C109" s="2">
        <v>228</v>
      </c>
      <c r="D109" s="3">
        <v>10814</v>
      </c>
      <c r="E109" s="3">
        <v>63509</v>
      </c>
      <c r="F109" s="4">
        <v>524383</v>
      </c>
      <c r="G109" s="11" cm="1">
        <f t="array" aca="1" ref="G109" ca="1">IFERROR(VLOOKUP("*" &amp; B109  &amp; "*" &amp; (MID(CELL("filename",A108),FIND("]",CELL("filename",A108))+1,31)) &amp; "*",CHOOSE({1,2}, Super_CBSA!$B$2:$B$1917, Super_CBSA!$A$2:$A$1917), 2,FALSE), IFERROR(VLOOKUP(B109  &amp; "*",CHOOSE({1,2}, Super_CBSA!$E$2:$E$1917, Super_CBSA!$A$2:$A$1917), 2,FALSE), ""))</f>
        <v>12940</v>
      </c>
    </row>
    <row r="110" spans="1:7" ht="17">
      <c r="A110" s="2" t="s">
        <v>56</v>
      </c>
      <c r="B110" s="2"/>
      <c r="C110" s="3">
        <v>15061</v>
      </c>
      <c r="D110" s="3">
        <v>513032</v>
      </c>
      <c r="E110" s="3">
        <v>2439517</v>
      </c>
      <c r="F110" s="4">
        <v>58174907</v>
      </c>
    </row>
  </sheetData>
  <hyperlinks>
    <hyperlink ref="A2" r:id="rId1" display="https://www.ahd.com/free_profile/190034/Abbeville_General_Hospital/Abbeville/Louisiana/" xr:uid="{81683C1F-B5AC-F446-B068-6B9D4072EB1E}"/>
    <hyperlink ref="A3" r:id="rId2" display="https://www.ahd.com/free_profile/190044/Acadia_General_Hospital/Crowley/Louisiana/" xr:uid="{18F8FC10-D24E-7348-AD49-67CA24A02DEA}"/>
    <hyperlink ref="A4" r:id="rId3" display="https://www.ahd.com/free_profile/190078/Acadian_Medical_Center/Eunice/Louisiana/" xr:uid="{7897ED42-F54E-4E4F-B603-03AC10D9D9FC}"/>
    <hyperlink ref="A5" r:id="rId4" display="https://www.ahd.com/free_profile/19043F/Alexandria_VA_Health_Care_System/Pineville/Louisiana/" xr:uid="{D126C219-4D0D-1840-B1D6-9C2D4A15C2A1}"/>
    <hyperlink ref="A6" r:id="rId5" display="https://www.ahd.com/free_profile/190133/Allen_Parish_Community_Healthcare/Kinder/Louisiana/" xr:uid="{CB8F04FA-D2E2-3A48-9ABD-E321D1D93BA3}"/>
    <hyperlink ref="A7" r:id="rId6" display="https://www.ahd.com/free_profile/190267/Avala_Hospital/Covington/Louisiana/" xr:uid="{9B8A1407-FC5C-CF4B-AD15-6ED71074228B}"/>
    <hyperlink ref="A8" r:id="rId7" display="https://www.ahd.com/free_profile/190099/Avoyelles_Hospital/Marksville/Louisiana/" xr:uid="{91D537AB-03AE-294B-A375-27AC413DFA6C}"/>
    <hyperlink ref="A9" r:id="rId8" display="https://www.ahd.com/free_profile/190231/Baton_Rouge_General_Bluebonnet_Campus/Baton_Rouge/Louisiana/" xr:uid="{8FCBE4C6-73E5-AF4F-B144-1CDE783542B1}"/>
    <hyperlink ref="A10" r:id="rId9" display="https://www.ahd.com/free_profile/190065/Baton_Rouge_General_Mid_City_Campus/Baton_Rouge/Louisiana/" xr:uid="{B83904A4-4965-1A4F-A2ED-B5A378058A10}"/>
    <hyperlink ref="A11" r:id="rId10" display="https://www.ahd.com/free_profile/19050F/Bayne-Jones_Army_Community_Hospital/Fort_Polk/Louisiana/" xr:uid="{F67DC3F5-677E-6B49-A280-405E208C1810}"/>
    <hyperlink ref="A12" r:id="rId11" display="https://www.ahd.com/free_profile/190050/Beauregard_Memorial_Hospital/DeRidder/Louisiana/" xr:uid="{C1384105-E161-9944-8FC5-6CBEB89BBF87}"/>
    <hyperlink ref="A13" r:id="rId12" display="https://www.ahd.com/free_profile/190164/Byrd_Regional_Hospital/Leesville/Louisiana/" xr:uid="{DCA61055-AB8A-274A-8C54-48A5D273FBA8}"/>
    <hyperlink ref="A14" r:id="rId13" display="https://www.ahd.com/free_profile/190190/Caldwell_Memorial_Hospital/Columbia/Louisiana/" xr:uid="{C8BEC514-8754-0346-BC3F-C8EA66FC34E9}"/>
    <hyperlink ref="A15" r:id="rId14" display="https://www.ahd.com/free_profile/190298/Central_Louisiana_Surgical_Hospital/Alexandria/Louisiana/" xr:uid="{BA636F73-2889-4A4D-8374-C1C34A6F0D50}"/>
    <hyperlink ref="A16" r:id="rId15" display="https://www.ahd.com/free_profile/190041/CHRISTUS_Highland_Medical_Center/Shreveport/Louisiana/" xr:uid="{EECD4144-89EA-A041-8C5A-7A01F6039A45}"/>
    <hyperlink ref="A17" r:id="rId16" display="https://www.ahd.com/free_profile/190201/CHRISTUS_Ochsner_Lake_Area_Hospital/Lake_Charles/Louisiana/" xr:uid="{F87BBB70-303C-2B4C-B2F6-81813B46B7D6}"/>
    <hyperlink ref="A18" r:id="rId17" display="https://www.ahd.com/free_profile/190027/CHRISTUS_Ochsner_St_Patrick_Hospital/Lake_Charles/Louisiana/" xr:uid="{9AFC117C-D419-9745-91C4-2116981BAAC6}"/>
    <hyperlink ref="A19" r:id="rId18" display="https://www.ahd.com/free_profile/190019/CHRISTUS_Saint_Frances_Cabrini_Hospital/Alexandria/Louisiana/" xr:uid="{D9B2DDB4-43AE-4D42-8F9D-9349E476D96F}"/>
    <hyperlink ref="A20" r:id="rId19" display="https://www.ahd.com/free_profile/190184/Citizens_Medical_Center/Columbia/Louisiana/" xr:uid="{76E2D9F7-1F98-874E-A7CA-1465C8313C17}"/>
    <hyperlink ref="A21" r:id="rId20" display="https://www.ahd.com/free_profile/190114/Claiborne_Memorial_Medical_Center/Homer/Louisiana/" xr:uid="{F7E84172-FD88-4A4F-9F81-7CC3F3B677E8}"/>
    <hyperlink ref="A22" r:id="rId21" display="https://www.ahd.com/free_profile/190303/Cypress_Pointe_Surgical_Hospital/Hammond/Louisiana/" xr:uid="{1AF8FC20-82F1-E94A-8333-5F827BA5871F}"/>
    <hyperlink ref="A23" r:id="rId22" display="https://www.ahd.com/free_profile/190118/Desoto_Regional_Health_System/Mansfield/Louisiana/" xr:uid="{B3D304E3-DC03-C144-96BB-FF1836F2C2E8}"/>
    <hyperlink ref="A24" r:id="rId23" display="https://www.ahd.com/free_profile/190297/Doctors_Hospital_at_Deer_Creek/Leesville/Louisiana/" xr:uid="{17FF5625-5A75-5B4A-8E34-2967E5672129}"/>
    <hyperlink ref="A25" r:id="rId24" display="https://www.ahd.com/free_profile/190208/East_Carroll_Parish_Hospital/Lake_Providence/Louisiana/" xr:uid="{677AE2D7-65DE-1349-AE5C-5BAE81450E57}"/>
    <hyperlink ref="A26" r:id="rId25" display="https://www.ahd.com/free_profile/190146/East_Jefferson_General_Hospital/Metairie/Louisiana/" xr:uid="{8710F2E5-4581-EE48-B52F-7E4C22C16CDF}"/>
    <hyperlink ref="A27" r:id="rId26" display="https://www.ahd.com/free_profile/190140/Franklin_Medical_Center/Winnsboro/Louisiana/" xr:uid="{40D845EF-44DD-F54F-9062-04CBEB38ACC8}"/>
    <hyperlink ref="A28" r:id="rId27" display="https://www.ahd.com/free_profile/190160/Glenwood_Regional_Medical_Center/West_Monroe/Louisiana/" xr:uid="{BD27E193-E837-984F-A1D2-EB48AEF8B8E1}"/>
    <hyperlink ref="A29" r:id="rId28" display="https://www.ahd.com/free_profile/190263/Heart_Hospital_of_Lafayette/Lafayette/Louisiana/" xr:uid="{BD91612D-3A3E-0F4B-A716-6E8833A876B8}"/>
    <hyperlink ref="A30" r:id="rId29" display="https://www.ahd.com/free_profile/190054/Iberia_Medical_Center/New_Iberia/Louisiana/" xr:uid="{E4A8AF06-05FA-2E42-AD9A-7BA31006E7D8}"/>
    <hyperlink ref="A31" r:id="rId30" display="https://www.ahd.com/free_profile/190053/Jennings_American_Legion_Hospital/Jennings/Louisiana/" xr:uid="{EC6FE781-74D5-D041-A391-48493B42D858}"/>
    <hyperlink ref="A32" r:id="rId31" display="https://www.ahd.com/free_profile/190002/Lafayette_General_Medical_Center/Lafayette/Louisiana/" xr:uid="{A3625E4F-ACFD-ED4F-AB8E-71D3428A3723}"/>
    <hyperlink ref="A33" r:id="rId32" display="https://www.ahd.com/free_profile/I42224/Lafayette_General_Orthopaedic_Hospital/Lafayette/Louisiana/" xr:uid="{AD5B5C83-925F-C340-B617-58FBBDFD696C}"/>
    <hyperlink ref="A34" r:id="rId33" display="https://www.ahd.com/free_profile/190268/Lafayette_General_Surgical_Hospital/Lafayette/Louisiana/" xr:uid="{A303B9DC-2A41-B14A-977F-EB6F2F370030}"/>
    <hyperlink ref="A35" r:id="rId34" display="https://www.ahd.com/free_profile/190259/Lafayette_Surgical_Specialty_Hospital/Lafayette/Louisiana/" xr:uid="{BD767D05-A0FB-7B42-A1E2-D8D36C5C357D}"/>
    <hyperlink ref="A36" r:id="rId35" display="https://www.ahd.com/free_profile/190060/Lake_Charles_Memorial_Hospital/Lake_Charles/Louisiana/" xr:uid="{DC9AF1AA-7B33-DD48-861D-AA3B5B94C8E2}"/>
    <hyperlink ref="A37" r:id="rId36" display="https://www.ahd.com/free_profile/I41857/Lake_Charles_Memorial_Hospital_for_Women/Lake_Charles/Louisiana/" xr:uid="{C80CF4FB-3C25-644D-8293-CCA1851B5A54}"/>
    <hyperlink ref="A38" r:id="rId37" display="https://www.ahd.com/free_profile/190177/Lakeview_Regional_Medical_Center/Covington/Louisiana/" xr:uid="{A517B42B-882E-F444-B87C-F92D92E08B0B}"/>
    <hyperlink ref="A39" r:id="rId38" display="https://www.ahd.com/free_profile/190020/Lane_Regional_Medical_Center/Zachary/Louisiana/" xr:uid="{12066564-43A5-0945-A19E-1C825AD5B40F}"/>
    <hyperlink ref="A40" r:id="rId39" display="https://www.ahd.com/free_profile/190145/Lasalle_General_Hospital/Jena/Louisiana/" xr:uid="{B58ED6F5-B7B6-5E4D-A691-E2E5A836A063}"/>
    <hyperlink ref="A41" r:id="rId40" display="https://www.ahd.com/free_profile/190183/Leonard_J_Chabert_Medical_Center/Houma/Louisiana/" xr:uid="{FAB158DE-67DE-234A-A0C7-B05F6B3609A1}"/>
    <hyperlink ref="A42" r:id="rId41" display="https://www.ahd.com/free_profile/190167/Mercy_Regional_Medical_Center/Ville_Platte/Louisiana/" xr:uid="{F4711F69-0B1B-1949-856A-529682DD0B48}"/>
    <hyperlink ref="A43" r:id="rId42" display="https://www.ahd.com/free_profile/190144/Minden_Medical_Center/Minden/Louisiana/" xr:uid="{D0A71066-7606-CD4E-93E3-F4A0591AB14F}"/>
    <hyperlink ref="A44" r:id="rId43" display="https://www.ahd.com/free_profile/190245/Monroe_Surgical_Hospital/Monroe/Louisiana/" xr:uid="{8A6BC0D2-776B-C74F-B17B-DFDB1BF5F663}"/>
    <hyperlink ref="A45" r:id="rId44" display="https://www.ahd.com/free_profile/190116/Morehouse_General_Hospital/Bastrop/Louisiana/" xr:uid="{FC4FE8CB-74D8-E946-9F42-3106609738E4}"/>
    <hyperlink ref="A46" r:id="rId45" display="https://www.ahd.com/free_profile/190007/Natchitoches_Regional_Medical_Center/Natchitoches/Louisiana/" xr:uid="{31F12C23-44C7-0845-B229-14EC6CF0F25B}"/>
    <hyperlink ref="A47" r:id="rId46" display="https://www.ahd.com/free_profile/190313/New_Orleans_East_Hospital/New_Orleans_/Louisiana/" xr:uid="{0E7FE93A-51C6-5A40-B86B-C5A24AC8F1B5}"/>
    <hyperlink ref="A48" r:id="rId47" display="https://www.ahd.com/free_profile/190015/North_Oaks_Medical_Center/Hammond/Louisiana/" xr:uid="{5B6C693A-6526-2749-B8F8-8259799CEBCA}"/>
    <hyperlink ref="A49" r:id="rId48" display="https://www.ahd.com/free_profile/190086/Northern_Louisiana_Medical_Center/Ruston/Louisiana/" xr:uid="{99DD31C4-6183-7B46-83E0-D25DDC841640}"/>
    <hyperlink ref="A50" r:id="rId49" display="https://www.ahd.com/free_profile/190106/Oakdale_Community_Hospital/Oakdale/Louisiana/" xr:uid="{0B225BEB-38E3-644A-9857-1F5D6886A3AB}"/>
    <hyperlink ref="A51" r:id="rId50" display="https://www.ahd.com/free_profile/I42332/Oceans_Behavioral_Hospital_Greater_New_Orleans_-_Marrero/Marrero/Louisiana/" xr:uid="{99FEB69B-F7B9-E542-9245-2E455E700501}"/>
    <hyperlink ref="A52" r:id="rId51" display="https://www.ahd.com/free_profile/190135/Ochsner_Baptist_-_A_Campus_of_Ochsner_Medical_Center/New_Orleans/Louisiana/" xr:uid="{381F0FA6-A7C5-D74A-858B-027D6C08BBDF}"/>
    <hyperlink ref="A53" r:id="rId52" display="https://www.ahd.com/free_profile/190098/Ochsner_LSU_Health_Shreveport_-_Academic_Medical_Center/Shreveport/Louisiana/" xr:uid="{9AFB53E9-07C4-3E4A-8FDB-BB16691F290A}"/>
    <hyperlink ref="A54" r:id="rId53" display="https://www.ahd.com/free_profile/190011/Ochsner_LSU_Health_Shreveport_-_Monroe_Medical_Center/Monroe/Louisiana/" xr:uid="{D1407020-8D3B-9D41-A8C3-33730F90E5C6}"/>
    <hyperlink ref="A55" r:id="rId54" display="https://www.ahd.com/free_profile/190036/Ochsner_Medical_Center_/New_Orleans/Louisiana/" xr:uid="{8EEC1D87-509F-DF4B-8075-F40F860415DA}"/>
    <hyperlink ref="A56" r:id="rId55" display="https://www.ahd.com/free_profile/190202/Ochsner_Medical_Center_-_Baton_Rouge/Baton_Rouge/Louisiana/" xr:uid="{20E3D109-A227-9544-9CB6-3A39016BA208}"/>
    <hyperlink ref="A57" r:id="rId56" display="https://www.ahd.com/free_profile/190274/Ochsner_Medical_Center_-_Kenner/Kenner/Louisiana/" xr:uid="{65E56F39-CB18-CC43-8642-6F88E5BE9799}"/>
    <hyperlink ref="A58" r:id="rId57" display="https://www.ahd.com/free_profile/190204/Ochsner_Medical_Center_-_North_Shore/Slidell/Louisiana/" xr:uid="{86A355BB-D9A6-2E46-BBC9-C977280B77FF}"/>
    <hyperlink ref="A59" r:id="rId58" display="https://www.ahd.com/free_profile/190275/Ochsner_Medical_Center_-_West_Bank/Gretna/Louisiana/" xr:uid="{9B5D9D6D-0E51-C94D-96C2-6AF4A6C6F19E}"/>
    <hyperlink ref="A60" r:id="rId59" display="https://www.ahd.com/free_profile/190014/Ochsner_St_Mary/Morgan_City/Louisiana/" xr:uid="{0AC12AD6-FFEF-EA46-AEDF-A5E08361B251}"/>
    <hyperlink ref="A61" r:id="rId60" display="https://www.ahd.com/free_profile/190302/Omega_Hospital/Metairie/Louisiana/" xr:uid="{20661606-A70F-FF4B-B71B-2CE19ACA020F}"/>
    <hyperlink ref="A62" r:id="rId61" display="https://www.ahd.com/free_profile/190017/Opelousas_General_Main_Campus/Opelousas/Louisiana/" xr:uid="{75B4D9AC-FF09-E84A-87AC-D3D7B2F61ED2}"/>
    <hyperlink ref="A63" r:id="rId62" display="https://www.ahd.com/free_profile/190191/Opelousas_General_South_Campus/Opelousas/Louisiana/" xr:uid="{93F2AD6E-8A66-C544-8C1C-FEB285FC5B06}"/>
    <hyperlink ref="A64" r:id="rId63" display="https://www.ahd.com/free_profile/190102/Our_Lady_of_Lourdes_Regional_Medical_Center/Lafayette/Louisiana/" xr:uid="{F9D88AF4-B132-FB48-BBAB-7B20AD884E7B}"/>
    <hyperlink ref="A65" r:id="rId64" display="https://www.ahd.com/free_profile/190205/Our_Lady_of_Lourdes_Women%27s_and_Children%27s_Hospital/Lafayette/Louisiana/" xr:uid="{98BA266F-CD8E-2942-A60B-F161F71E8DC2}"/>
    <hyperlink ref="A66" r:id="rId65" display="https://www.ahd.com/free_profile/190312/Our_Lady_of_the_Angels_Hospital/Bogalusa/Louisiana/" xr:uid="{858D5D66-8ECE-9242-9B63-99D39680578E}"/>
    <hyperlink ref="A67" r:id="rId66" display="https://www.ahd.com/free_profile/190242/Our_Lady_of_the_Lake_Ascension/Gonzales/Louisiana/" xr:uid="{C8D7FEAB-993B-6442-A6CD-19EAF7725518}"/>
    <hyperlink ref="A68" r:id="rId67" display="https://www.ahd.com/free_profile/I42246/Our_Lady_of_the_Lake_Children%27s_Hospital/Baton_Rouge/Louisiana/" xr:uid="{6F1662AD-5217-7C4F-97F1-4F5E3568ADEF}"/>
    <hyperlink ref="A69" r:id="rId68" display="https://www.ahd.com/free_profile/190064/Our_Lady_of_the_Lake_Regional_Medical_Center/Baton_Rouge/Louisiana/" xr:uid="{E5641EC7-5BF0-5B4E-B8AE-B3FC69B42D01}"/>
    <hyperlink ref="A70" r:id="rId69" display="https://www.ahd.com/free_profile/19048F/Overton_Brooks_VA_Medical_Center/Shreveport/Louisiana/" xr:uid="{8DA25900-6388-314D-8259-D94308E51E71}"/>
    <hyperlink ref="A71" r:id="rId70" display="https://www.ahd.com/free_profile/190255/Park_Place_Surgical_Hospital/Lafayette/Louisiana/" xr:uid="{47660091-6C64-DF46-8997-F388B273CD4D}"/>
    <hyperlink ref="A72" r:id="rId71" display="https://www.ahd.com/free_profile/190241/Physicians_Medical_Center_of_Houma/Houma/Louisiana/" xr:uid="{6BCDF187-7A06-BC44-A9D1-6EFA393EBD6A}"/>
    <hyperlink ref="A73" r:id="rId72" display="https://www.ahd.com/free_profile/I42329/Prairieville_Family_Hospital/Prairieville/Louisiana/" xr:uid="{39B8951A-B951-6541-A51D-41D537DCED65}"/>
    <hyperlink ref="A74" r:id="rId73" display="https://www.ahd.com/free_profile/190026/Rapides_Regional_Medical_Center/Alexandria/Louisiana/" xr:uid="{23965085-7983-D947-A337-EBBD300A701C}"/>
    <hyperlink ref="A75" r:id="rId74" display="https://www.ahd.com/free_profile/190151/Richardson_Medical_Center/Rayville/Louisiana/" xr:uid="{69BE2806-01CC-E340-9637-FF837AF6E8B9}"/>
    <hyperlink ref="A76" r:id="rId75" display="https://www.ahd.com/free_profile/190218/Sabine_Medical_Center/Many/Louisiana/" xr:uid="{DF55A910-509E-724F-B5AA-FF7D2A10EA76}"/>
    <hyperlink ref="A77" r:id="rId76" display="https://www.ahd.com/free_profile/190079/Saint_Charles_Parish_Hospital/Luling/Louisiana/" xr:uid="{3A4C47C3-4A76-7C48-B003-C3EFE0E78635}"/>
    <hyperlink ref="A78" r:id="rId77" display="https://www.ahd.com/free_profile/190300/Saint_Charles_Surgical_Hospital/New_Orleans/Louisiana/" xr:uid="{9854AB6D-3511-DD40-AE58-CFBCAC0C871C}"/>
    <hyperlink ref="A79" r:id="rId78" display="https://www.ahd.com/free_profile/190125/Saint_Francis_Medical_Center_-_Downtown/Monroe/Louisiana/" xr:uid="{7BAEE26C-312A-B741-9B09-EB935B05FE99}"/>
    <hyperlink ref="A80" r:id="rId79" display="https://www.ahd.com/free_profile/190045/Saint_Tammany_Parish_Hospital/Covington/Louisiana/" xr:uid="{586FEBE7-BA7D-3548-875D-E339293CB2DE}"/>
    <hyperlink ref="A81" r:id="rId80" display="https://www.ahd.com/free_profile/190025/Savoy_Medical_Center/Mamou/Louisiana/" xr:uid="{4B569B87-46F0-D540-9DC1-FE8D318B929A}"/>
    <hyperlink ref="A82" r:id="rId81" display="https://www.ahd.com/free_profile/190040/Slidell_Memorial_Hospital/Slidell/Louisiana/" xr:uid="{27FB4B22-B1E6-6E42-A479-BFE80644E5EA}"/>
    <hyperlink ref="A83" r:id="rId82" display="https://www.ahd.com/free_profile/190307/South_Cameron_Memorial_Hospital/Cameron/Louisiana/" xr:uid="{8442EF76-9068-F04C-929A-26D5E5B405E8}"/>
    <hyperlink ref="A84" r:id="rId83" display="https://www.ahd.com/free_profile/19047F/Southeast_Louisiana_Veterans_Health_Care_System/New_Orleans/Louisiana/" xr:uid="{DC362A16-DB08-714A-8023-8C857A9CE39E}"/>
    <hyperlink ref="A85" r:id="rId84" display="https://www.ahd.com/free_profile/190270/Southern_Surgical_Hospital/Slidell/Louisiana/" xr:uid="{AC4C3AB4-DAB1-7045-8DE4-C0FA0E7D5FF9}"/>
    <hyperlink ref="A86" r:id="rId85" display="https://www.ahd.com/free_profile/190278/Specialists_Hospital__Shreveport/Shreveport/Louisiana/" xr:uid="{2842821C-0719-D246-8256-0B330796E962}"/>
    <hyperlink ref="A87" r:id="rId86" display="https://www.ahd.com/free_profile/190088/Springhill_Medical_Center/Springhill/Louisiana/" xr:uid="{96DA8C1A-98C0-7143-A2C7-834EF32E5CAC}"/>
    <hyperlink ref="A88" r:id="rId87" display="https://www.ahd.com/free_profile/190308/St_Bernard_Parish_Hospital/Chalmette/Louisiana/" xr:uid="{5B5AB4B6-80AF-A740-919A-D62D678AEF5F}"/>
    <hyperlink ref="A89" r:id="rId88" display="https://www.ahd.com/free_profile/190246/St_Francis_P%26S_Surgery_%26_Heart_Center/Monroe/Louisiana/" xr:uid="{B32C2788-5C04-2444-BBBB-CFB4082C423F}"/>
    <hyperlink ref="A90" r:id="rId89" display="https://www.ahd.com/free_profile/190256/Sterling_Surgical_Hospital/Slidell/Louisiana/" xr:uid="{1D0DF834-FF47-1647-958C-C16CFFF9F597}"/>
    <hyperlink ref="A91" r:id="rId90" display="https://www.ahd.com/free_profile/190251/Surgical_Specialty_Center_of_Baton_Rouge/Baton_Rouge/Louisiana/" xr:uid="{5747C7DF-F4DD-E84B-8601-DE2544CF70FA}"/>
    <hyperlink ref="A92" r:id="rId91" display="https://www.ahd.com/free_profile/190008/Terrebonne_General_Medical_Center/Houma/Louisiana/" xr:uid="{039F8FF7-51DD-034A-A17F-742C62E71482}"/>
    <hyperlink ref="A93" r:id="rId92" display="https://www.ahd.com/free_profile/190266/The_Spine_Hospital_of_Louisiana_/Baton_Rouge/Louisiana/" xr:uid="{A4CB168F-02F0-F142-887A-2E4F24BB1634}"/>
    <hyperlink ref="A94" r:id="rId93" display="https://www.ahd.com/free_profile/190004/Thibodaux_Regional_Health_System/Thibodaux/Louisiana/" xr:uid="{1A70A874-3B1E-6242-B9FD-0CC6A22ECB7E}"/>
    <hyperlink ref="A95" r:id="rId94" display="https://www.ahd.com/free_profile/190046/Touro_Infirmary/New_Orleans/Louisiana/" xr:uid="{E950B108-58B6-5E42-841B-04A331298A1E}"/>
    <hyperlink ref="A96" r:id="rId95" display="https://www.ahd.com/free_profile/190182/Tulane_Lakeside_Hospital_/Metairie/Louisiana/" xr:uid="{E3CF6723-C853-9747-91A4-43A3C9223B2A}"/>
    <hyperlink ref="A97" r:id="rId96" display="https://www.ahd.com/free_profile/190176/Tulane_Medical_Center/New_Orleans/Louisiana/" xr:uid="{804BFF0D-5CAC-B649-BF24-0131EF0EB0CC}"/>
    <hyperlink ref="A98" r:id="rId97" display="https://www.ahd.com/free_profile/190006/University_Hospital_and_Clinics/Lafayette/Louisiana/" xr:uid="{63B5E7F9-38BD-CB43-92BB-1222E21ECD2C}"/>
    <hyperlink ref="A99" r:id="rId98" display="https://www.ahd.com/free_profile/190005/University_Medical_Center_New_Orleans/New_Orleans/Louisiana/" xr:uid="{FB0135AA-5B1A-4743-B852-FD0A6DB0C55B}"/>
    <hyperlink ref="A100" r:id="rId99" display="https://www.ahd.com/free_profile/190199/Villa_Feliciana_Medical_Complex/Jackson/Louisiana/" xr:uid="{5C78EAD5-A61C-3C49-88B2-980873232037}"/>
    <hyperlink ref="A101" r:id="rId100" display="https://www.ahd.com/free_profile/190013/West_Calcasieu_Cameron_Hospital/Sulphur/Louisiana/" xr:uid="{2BAD0E94-C9E3-0647-81FA-BCAEB554B38D}"/>
    <hyperlink ref="A102" r:id="rId101" display="https://www.ahd.com/free_profile/190081/West_Carroll_Memorial_Hospital/Oak_Grove/Louisiana/" xr:uid="{37EB86D3-C8D9-A042-971B-01AE05B1C278}"/>
    <hyperlink ref="A103" r:id="rId102" display="https://www.ahd.com/free_profile/190039/West_Jefferson_Medical_Center/Marrero/Louisiana/" xr:uid="{7DD2798D-DEA8-2641-BF02-4A154A2D41FB}"/>
    <hyperlink ref="A104" r:id="rId103" display="https://www.ahd.com/free_profile/190236/Willis-Knighton_Bossier_Health_Center/Bossier_City/Louisiana/" xr:uid="{F65F49D8-C42D-C446-BA90-F725AFC7BCB6}"/>
    <hyperlink ref="A105" r:id="rId104" display="https://www.ahd.com/free_profile/190111/Willis-Knighton_Medical_Center/Shreveport/Louisiana/" xr:uid="{CF09BE68-00DD-F54D-A0AF-9C7B5C8EE15B}"/>
    <hyperlink ref="A106" r:id="rId105" display="https://www.ahd.com/free_profile/I16388/Willis-Knighton_Pierremont_Health_Center/Shreveport/Louisiana/" xr:uid="{A6BCFA67-F713-1947-8FD2-1F3B8E83D811}"/>
    <hyperlink ref="A107" r:id="rId106" display="https://www.ahd.com/free_profile/I16387/Willis-Knighton_South_%26_the_Center_for_Women%27s_Health/Shreveport/Louisiana/" xr:uid="{839EC027-7D50-3B41-AD4A-EE1EBBA995A8}"/>
    <hyperlink ref="A108" r:id="rId107" display="https://www.ahd.com/free_profile/190090/Winn_Parish_Medical_Center/Winnfield/Louisiana/" xr:uid="{25B90B7E-3D08-594F-ABE3-E785AB0347A8}"/>
    <hyperlink ref="A109" r:id="rId108" display="https://www.ahd.com/free_profile/190128/Woman%27s_Hospital/Baton_Rouge/Louisiana/" xr:uid="{4ABE124B-F4DD-B346-A5F4-3F3A95D9A88F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7EFBD-1F9E-6149-9C55-550D925194C4}">
  <sheetPr codeName="Sheet21"/>
  <dimension ref="A1:G75"/>
  <sheetViews>
    <sheetView topLeftCell="A50" workbookViewId="0">
      <selection activeCell="G63" sqref="G63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2517</v>
      </c>
      <c r="B2" s="2" t="s">
        <v>2518</v>
      </c>
      <c r="C2" s="2">
        <v>197</v>
      </c>
      <c r="D2" s="3">
        <v>9634</v>
      </c>
      <c r="E2" s="3">
        <v>45107</v>
      </c>
      <c r="F2" s="4">
        <v>858176</v>
      </c>
      <c r="G2" s="11" t="str" cm="1">
        <f t="array" aca="1" ref="G2" ca="1">IFERROR(VLOOKUP("*" &amp; B2  &amp; "*" &amp; (MID(CELL("filename",A1),FIND("]",CELL("filename",A1))+1,31)) &amp; "*",CHOOSE({1,2}, Super_CBSA!$B$2:$B$1917, Super_CBSA!$A$2:$A$1917), 2,FALSE), IFERROR(VLOOKUP(B2  &amp; "*",CHOOSE({1,2}, Super_CBSA!$E$2:$E$1917, Super_CBSA!$A$2:$A$1917), 2,FALSE), ""))</f>
        <v/>
      </c>
    </row>
    <row r="3" spans="1:7" ht="17">
      <c r="A3" s="1" t="s">
        <v>2519</v>
      </c>
      <c r="B3" s="2" t="s">
        <v>2520</v>
      </c>
      <c r="C3" s="2">
        <v>114</v>
      </c>
      <c r="D3" s="3">
        <v>6037</v>
      </c>
      <c r="E3" s="3">
        <v>37647</v>
      </c>
      <c r="F3" s="4">
        <v>75141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"*",CHOOSE({1,2}, Super_CBSA!$E$2:$E$1917, Super_CBSA!$A$2:$A$1917), 2,FALSE), ""))</f>
        <v>49340</v>
      </c>
    </row>
    <row r="4" spans="1:7" ht="17">
      <c r="A4" s="1" t="s">
        <v>2521</v>
      </c>
      <c r="B4" s="2" t="s">
        <v>2522</v>
      </c>
      <c r="C4" s="2">
        <v>79</v>
      </c>
      <c r="D4" s="3">
        <v>2538</v>
      </c>
      <c r="E4" s="3">
        <v>11812</v>
      </c>
      <c r="F4" s="4">
        <v>44239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"*",CHOOSE({1,2}, Super_CBSA!$E$2:$E$1917, Super_CBSA!$A$2:$A$1917), 2,FALSE), ""))</f>
        <v>37980</v>
      </c>
    </row>
    <row r="5" spans="1:7" ht="17">
      <c r="A5" s="1" t="s">
        <v>2523</v>
      </c>
      <c r="B5" s="2" t="s">
        <v>2524</v>
      </c>
      <c r="C5" s="2">
        <v>140</v>
      </c>
      <c r="D5" s="3">
        <v>5580</v>
      </c>
      <c r="E5" s="3">
        <v>24698</v>
      </c>
      <c r="F5" s="4">
        <v>294055</v>
      </c>
      <c r="G5" s="11" t="str" cm="1">
        <f t="array" aca="1" ref="G5" ca="1">IFERROR(VLOOKUP("*" &amp; B5  &amp; "*" &amp; (MID(CELL("filename",A4),FIND("]",CELL("filename",A4))+1,31)) &amp; "*",CHOOSE({1,2}, Super_CBSA!$B$2:$B$1917, Super_CBSA!$A$2:$A$1917), 2,FALSE), IFERROR(VLOOKUP(B5  &amp; "*",CHOOSE({1,2}, Super_CBSA!$E$2:$E$1917, Super_CBSA!$A$2:$A$1917), 2,FALSE), ""))</f>
        <v/>
      </c>
    </row>
    <row r="6" spans="1:7" ht="17">
      <c r="A6" s="1" t="s">
        <v>2525</v>
      </c>
      <c r="B6" s="2" t="s">
        <v>2077</v>
      </c>
      <c r="C6" s="2">
        <v>89</v>
      </c>
      <c r="D6" s="3">
        <v>4504</v>
      </c>
      <c r="E6" s="3">
        <v>19489</v>
      </c>
      <c r="F6" s="4">
        <v>267947</v>
      </c>
      <c r="G6" s="11" t="str" cm="1">
        <f t="array" aca="1" ref="G6" ca="1">IFERROR(VLOOKUP("*" &amp; B6  &amp; "*" &amp; (MID(CELL("filename",A5),FIND("]",CELL("filename",A5))+1,31)) &amp; "*",CHOOSE({1,2}, Super_CBSA!$B$2:$B$1917, Super_CBSA!$A$2:$A$1917), 2,FALSE), IFERROR(VLOOKUP(B6  &amp; "*",CHOOSE({1,2}, Super_CBSA!$E$2:$E$1917, Super_CBSA!$A$2:$A$1917), 2,FALSE), ""))</f>
        <v/>
      </c>
    </row>
    <row r="7" spans="1:7" ht="17">
      <c r="A7" s="1" t="s">
        <v>2526</v>
      </c>
      <c r="B7" s="2" t="s">
        <v>1901</v>
      </c>
      <c r="C7" s="2">
        <v>733</v>
      </c>
      <c r="D7" s="3">
        <v>38132</v>
      </c>
      <c r="E7" s="3">
        <v>207938</v>
      </c>
      <c r="F7" s="4">
        <v>2811316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"*",CHOOSE({1,2}, Super_CBSA!$E$2:$E$1917, Super_CBSA!$A$2:$A$1917), 2,FALSE), ""))</f>
        <v>44140</v>
      </c>
    </row>
    <row r="8" spans="1:7" ht="17">
      <c r="A8" s="1" t="s">
        <v>2527</v>
      </c>
      <c r="B8" s="2" t="s">
        <v>2136</v>
      </c>
      <c r="C8" s="2">
        <v>97</v>
      </c>
      <c r="D8" s="3">
        <v>2350</v>
      </c>
      <c r="E8" s="3">
        <v>12244</v>
      </c>
      <c r="F8" s="4">
        <v>140456</v>
      </c>
      <c r="G8" s="11" t="str" cm="1">
        <f t="array" aca="1" ref="G8" ca="1">IFERROR(VLOOKUP("*" &amp; B8  &amp; "*" &amp; (MID(CELL("filename",A7),FIND("]",CELL("filename",A7))+1,31)) &amp; "*",CHOOSE({1,2}, Super_CBSA!$B$2:$B$1917, Super_CBSA!$A$2:$A$1917), 2,FALSE), IFERROR(VLOOKUP(B8  &amp; "*",CHOOSE({1,2}, Super_CBSA!$E$2:$E$1917, Super_CBSA!$A$2:$A$1917), 2,FALSE), ""))</f>
        <v/>
      </c>
    </row>
    <row r="9" spans="1:7" ht="17">
      <c r="A9" s="1" t="s">
        <v>2528</v>
      </c>
      <c r="B9" s="2" t="s">
        <v>71</v>
      </c>
      <c r="C9" s="2">
        <v>74</v>
      </c>
      <c r="D9" s="3">
        <v>2654</v>
      </c>
      <c r="E9" s="3">
        <v>9001</v>
      </c>
      <c r="F9" s="4">
        <v>209266</v>
      </c>
      <c r="G9" s="11" t="str" cm="1">
        <f t="array" aca="1" ref="G9" ca="1">IFERROR(VLOOKUP("*" &amp; B9  &amp; "*" &amp; (MID(CELL("filename",A8),FIND("]",CELL("filename",A8))+1,31)) &amp; "*",CHOOSE({1,2}, Super_CBSA!$B$2:$B$1917, Super_CBSA!$A$2:$A$1917), 2,FALSE), IFERROR(VLOOKUP(B9  &amp; "*",CHOOSE({1,2}, Super_CBSA!$E$2:$E$1917, Super_CBSA!$A$2:$A$1917), 2,FALSE), ""))</f>
        <v/>
      </c>
    </row>
    <row r="10" spans="1:7" ht="17">
      <c r="A10" s="1" t="s">
        <v>2529</v>
      </c>
      <c r="B10" s="2" t="s">
        <v>2530</v>
      </c>
      <c r="C10" s="2">
        <v>275</v>
      </c>
      <c r="D10" s="3">
        <v>12760</v>
      </c>
      <c r="E10" s="3">
        <v>59041</v>
      </c>
      <c r="F10" s="4">
        <v>1045134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"*",CHOOSE({1,2}, Super_CBSA!$E$2:$E$1917, Super_CBSA!$A$2:$A$1917), 2,FALSE), ""))</f>
        <v>38340</v>
      </c>
    </row>
    <row r="11" spans="1:7" ht="17">
      <c r="A11" s="1" t="s">
        <v>2531</v>
      </c>
      <c r="B11" s="2" t="s">
        <v>1447</v>
      </c>
      <c r="C11" s="2">
        <v>102</v>
      </c>
      <c r="D11" s="3">
        <v>6135</v>
      </c>
      <c r="E11" s="3">
        <v>22976</v>
      </c>
      <c r="F11" s="4">
        <v>272042</v>
      </c>
      <c r="G11" s="11" t="str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"*",CHOOSE({1,2}, Super_CBSA!$E$2:$E$1917, Super_CBSA!$A$2:$A$1917), 2,FALSE), ""))</f>
        <v/>
      </c>
    </row>
    <row r="12" spans="1:7" ht="17">
      <c r="A12" s="1" t="s">
        <v>2532</v>
      </c>
      <c r="B12" s="2" t="s">
        <v>2533</v>
      </c>
      <c r="C12" s="2">
        <v>58</v>
      </c>
      <c r="D12" s="3">
        <v>2503</v>
      </c>
      <c r="E12" s="3">
        <v>10621</v>
      </c>
      <c r="F12" s="4">
        <v>216964</v>
      </c>
      <c r="G12" s="11" t="str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"*",CHOOSE({1,2}, Super_CBSA!$E$2:$E$1917, Super_CBSA!$A$2:$A$1917), 2,FALSE), ""))</f>
        <v/>
      </c>
    </row>
    <row r="13" spans="1:7" ht="17">
      <c r="A13" s="1" t="s">
        <v>2534</v>
      </c>
      <c r="B13" s="2" t="s">
        <v>2125</v>
      </c>
      <c r="C13" s="2">
        <v>164</v>
      </c>
      <c r="D13" s="3">
        <v>11284</v>
      </c>
      <c r="E13" s="3">
        <v>45131</v>
      </c>
      <c r="F13" s="4">
        <v>706880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"*",CHOOSE({1,2}, Super_CBSA!$E$2:$E$1917, Super_CBSA!$A$2:$A$1917), 2,FALSE), ""))</f>
        <v>14460</v>
      </c>
    </row>
    <row r="14" spans="1:7" ht="17">
      <c r="A14" s="1" t="s">
        <v>2535</v>
      </c>
      <c r="B14" s="2" t="s">
        <v>2536</v>
      </c>
      <c r="C14" s="2">
        <v>719</v>
      </c>
      <c r="D14" s="3">
        <v>39871</v>
      </c>
      <c r="E14" s="3">
        <v>229963</v>
      </c>
      <c r="F14" s="4">
        <v>3121290</v>
      </c>
      <c r="G14" s="11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"*",CHOOSE({1,2}, Super_CBSA!$E$2:$E$1917, Super_CBSA!$A$2:$A$1917), 2,FALSE), ""))</f>
        <v>14460</v>
      </c>
    </row>
    <row r="15" spans="1:7" ht="17">
      <c r="A15" s="1" t="s">
        <v>498</v>
      </c>
      <c r="B15" s="2" t="s">
        <v>2537</v>
      </c>
      <c r="C15" s="2">
        <v>364</v>
      </c>
      <c r="D15" s="3">
        <v>19620</v>
      </c>
      <c r="E15" s="3">
        <v>74036</v>
      </c>
      <c r="F15" s="4">
        <v>920880</v>
      </c>
      <c r="G15" s="11" t="str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"*",CHOOSE({1,2}, Super_CBSA!$E$2:$E$1917, Super_CBSA!$A$2:$A$1917), 2,FALSE), ""))</f>
        <v/>
      </c>
    </row>
    <row r="16" spans="1:7" ht="17">
      <c r="A16" s="1" t="s">
        <v>2538</v>
      </c>
      <c r="B16" s="2" t="s">
        <v>2536</v>
      </c>
      <c r="C16" s="2">
        <v>399</v>
      </c>
      <c r="D16" s="3">
        <v>25816</v>
      </c>
      <c r="E16" s="3">
        <v>140500</v>
      </c>
      <c r="F16" s="4">
        <v>2902123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"*",CHOOSE({1,2}, Super_CBSA!$E$2:$E$1917, Super_CBSA!$A$2:$A$1917), 2,FALSE), ""))</f>
        <v>14460</v>
      </c>
    </row>
    <row r="17" spans="1:7" ht="17">
      <c r="A17" s="1" t="s">
        <v>2539</v>
      </c>
      <c r="B17" s="2" t="s">
        <v>2536</v>
      </c>
      <c r="C17" s="2">
        <v>171</v>
      </c>
      <c r="D17" s="3">
        <v>9191</v>
      </c>
      <c r="E17" s="3">
        <v>36211</v>
      </c>
      <c r="F17" s="4">
        <v>872183</v>
      </c>
      <c r="G17" s="11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"*",CHOOSE({1,2}, Super_CBSA!$E$2:$E$1917, Super_CBSA!$A$2:$A$1917), 2,FALSE), ""))</f>
        <v>14460</v>
      </c>
    </row>
    <row r="18" spans="1:7" ht="17">
      <c r="A18" s="1" t="s">
        <v>2540</v>
      </c>
      <c r="B18" s="2" t="s">
        <v>2536</v>
      </c>
      <c r="C18" s="2">
        <v>804</v>
      </c>
      <c r="D18" s="3">
        <v>42328</v>
      </c>
      <c r="E18" s="3">
        <v>280628</v>
      </c>
      <c r="F18" s="4">
        <v>7630150</v>
      </c>
      <c r="G18" s="11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"*",CHOOSE({1,2}, Super_CBSA!$E$2:$E$1917, Super_CBSA!$A$2:$A$1917), 2,FALSE), ""))</f>
        <v>14460</v>
      </c>
    </row>
    <row r="19" spans="1:7" ht="17">
      <c r="A19" s="1" t="s">
        <v>2541</v>
      </c>
      <c r="B19" s="2" t="s">
        <v>2542</v>
      </c>
      <c r="C19" s="2">
        <v>259</v>
      </c>
      <c r="D19" s="3">
        <v>16308</v>
      </c>
      <c r="E19" s="3">
        <v>66241</v>
      </c>
      <c r="F19" s="4">
        <v>1273053</v>
      </c>
      <c r="G19" s="11" t="str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"*",CHOOSE({1,2}, Super_CBSA!$E$2:$E$1917, Super_CBSA!$A$2:$A$1917), 2,FALSE), ""))</f>
        <v/>
      </c>
    </row>
    <row r="20" spans="1:7" ht="17">
      <c r="A20" s="1" t="s">
        <v>2543</v>
      </c>
      <c r="B20" s="2" t="s">
        <v>2544</v>
      </c>
      <c r="C20" s="2">
        <v>126</v>
      </c>
      <c r="D20" s="3">
        <v>4478</v>
      </c>
      <c r="E20" s="3">
        <v>22740</v>
      </c>
      <c r="F20" s="4">
        <v>202529</v>
      </c>
      <c r="G20" s="11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"*",CHOOSE({1,2}, Super_CBSA!$E$2:$E$1917, Super_CBSA!$A$2:$A$1917), 2,FALSE), ""))</f>
        <v>15700</v>
      </c>
    </row>
    <row r="21" spans="1:7" ht="17">
      <c r="A21" s="1" t="s">
        <v>2545</v>
      </c>
      <c r="B21" s="2" t="s">
        <v>2546</v>
      </c>
      <c r="C21" s="2">
        <v>262</v>
      </c>
      <c r="D21" s="3">
        <v>7372</v>
      </c>
      <c r="E21" s="3">
        <v>37595</v>
      </c>
      <c r="F21" s="4">
        <v>903041</v>
      </c>
      <c r="G21" s="11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"*",CHOOSE({1,2}, Super_CBSA!$E$2:$E$1917, Super_CBSA!$A$2:$A$1917), 2,FALSE), ""))</f>
        <v>14460</v>
      </c>
    </row>
    <row r="22" spans="1:7" ht="17">
      <c r="A22" s="1" t="s">
        <v>2547</v>
      </c>
      <c r="B22" s="2" t="s">
        <v>2548</v>
      </c>
      <c r="C22" s="2">
        <v>0</v>
      </c>
      <c r="D22" s="2">
        <v>0</v>
      </c>
      <c r="E22" s="2">
        <v>0</v>
      </c>
      <c r="F22" s="4">
        <v>0</v>
      </c>
      <c r="G22" s="11" t="str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"*",CHOOSE({1,2}, Super_CBSA!$E$2:$E$1917, Super_CBSA!$A$2:$A$1917), 2,FALSE), ""))</f>
        <v/>
      </c>
    </row>
    <row r="23" spans="1:7" ht="17">
      <c r="A23" s="1" t="s">
        <v>2549</v>
      </c>
      <c r="B23" s="2" t="s">
        <v>2550</v>
      </c>
      <c r="C23" s="2">
        <v>0</v>
      </c>
      <c r="D23" s="2">
        <v>0</v>
      </c>
      <c r="E23" s="2">
        <v>0</v>
      </c>
      <c r="F23" s="4">
        <v>0</v>
      </c>
      <c r="G23" s="11" t="str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"*",CHOOSE({1,2}, Super_CBSA!$E$2:$E$1917, Super_CBSA!$A$2:$A$1917), 2,FALSE), ""))</f>
        <v/>
      </c>
    </row>
    <row r="24" spans="1:7" ht="17">
      <c r="A24" s="1" t="s">
        <v>2551</v>
      </c>
      <c r="B24" s="2" t="s">
        <v>2552</v>
      </c>
      <c r="C24" s="2">
        <v>867</v>
      </c>
      <c r="D24" s="3">
        <v>34283</v>
      </c>
      <c r="E24" s="3">
        <v>153113</v>
      </c>
      <c r="F24" s="4">
        <v>2157617</v>
      </c>
      <c r="G24" s="11" t="str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"*",CHOOSE({1,2}, Super_CBSA!$E$2:$E$1917, Super_CBSA!$A$2:$A$1917), 2,FALSE), ""))</f>
        <v/>
      </c>
    </row>
    <row r="25" spans="1:7" ht="17">
      <c r="A25" s="1" t="s">
        <v>2553</v>
      </c>
      <c r="B25" s="2" t="s">
        <v>2554</v>
      </c>
      <c r="C25" s="2">
        <v>140</v>
      </c>
      <c r="D25" s="3">
        <v>5931</v>
      </c>
      <c r="E25" s="3">
        <v>24667</v>
      </c>
      <c r="F25" s="4">
        <v>520595</v>
      </c>
      <c r="G25" s="11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"*",CHOOSE({1,2}, Super_CBSA!$E$2:$E$1917, Super_CBSA!$A$2:$A$1917), 2,FALSE), ""))</f>
        <v>10900</v>
      </c>
    </row>
    <row r="26" spans="1:7" ht="17">
      <c r="A26" s="1" t="s">
        <v>2555</v>
      </c>
      <c r="B26" s="2" t="s">
        <v>2536</v>
      </c>
      <c r="C26" s="2">
        <v>30</v>
      </c>
      <c r="D26" s="3">
        <v>1568</v>
      </c>
      <c r="E26" s="3">
        <v>10255</v>
      </c>
      <c r="F26" s="4">
        <v>3686206</v>
      </c>
      <c r="G26" s="11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"*",CHOOSE({1,2}, Super_CBSA!$E$2:$E$1917, Super_CBSA!$A$2:$A$1917), 2,FALSE), ""))</f>
        <v>14460</v>
      </c>
    </row>
    <row r="27" spans="1:7" ht="17">
      <c r="A27" s="1" t="s">
        <v>2556</v>
      </c>
      <c r="B27" s="2" t="s">
        <v>2557</v>
      </c>
      <c r="C27" s="2">
        <v>0</v>
      </c>
      <c r="D27" s="2">
        <v>0</v>
      </c>
      <c r="E27" s="2">
        <v>0</v>
      </c>
      <c r="F27" s="4">
        <v>0</v>
      </c>
      <c r="G27" s="11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"*",CHOOSE({1,2}, Super_CBSA!$E$2:$E$1917, Super_CBSA!$A$2:$A$1917), 2,FALSE), ""))</f>
        <v>31340</v>
      </c>
    </row>
    <row r="28" spans="1:7" ht="17">
      <c r="A28" s="1" t="s">
        <v>2558</v>
      </c>
      <c r="B28" s="2" t="s">
        <v>539</v>
      </c>
      <c r="C28" s="2">
        <v>160</v>
      </c>
      <c r="D28" s="3">
        <v>5675</v>
      </c>
      <c r="E28" s="3">
        <v>24199</v>
      </c>
      <c r="F28" s="4">
        <v>691432</v>
      </c>
      <c r="G28" s="11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"*",CHOOSE({1,2}, Super_CBSA!$E$2:$E$1917, Super_CBSA!$A$2:$A$1917), 2,FALSE), ""))</f>
        <v>35020</v>
      </c>
    </row>
    <row r="29" spans="1:7" ht="17">
      <c r="A29" s="1" t="s">
        <v>2559</v>
      </c>
      <c r="B29" s="2" t="s">
        <v>2560</v>
      </c>
      <c r="C29" s="2">
        <v>95</v>
      </c>
      <c r="D29" s="3">
        <v>6270</v>
      </c>
      <c r="E29" s="3">
        <v>22907</v>
      </c>
      <c r="F29" s="4">
        <v>395626</v>
      </c>
      <c r="G29" s="11" t="str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"*",CHOOSE({1,2}, Super_CBSA!$E$2:$E$1917, Super_CBSA!$A$2:$A$1917), 2,FALSE), ""))</f>
        <v/>
      </c>
    </row>
    <row r="30" spans="1:7" ht="17">
      <c r="A30" s="1" t="s">
        <v>2561</v>
      </c>
      <c r="B30" s="2" t="s">
        <v>2562</v>
      </c>
      <c r="C30" s="2">
        <v>288</v>
      </c>
      <c r="D30" s="3">
        <v>8346</v>
      </c>
      <c r="E30" s="3">
        <v>33926</v>
      </c>
      <c r="F30" s="4">
        <v>999266</v>
      </c>
      <c r="G30" s="11" t="str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"*",CHOOSE({1,2}, Super_CBSA!$E$2:$E$1917, Super_CBSA!$A$2:$A$1917), 2,FALSE), ""))</f>
        <v/>
      </c>
    </row>
    <row r="31" spans="1:7" ht="17">
      <c r="A31" s="1" t="s">
        <v>1005</v>
      </c>
      <c r="B31" s="2" t="s">
        <v>2518</v>
      </c>
      <c r="C31" s="2">
        <v>265</v>
      </c>
      <c r="D31" s="3">
        <v>15718</v>
      </c>
      <c r="E31" s="3">
        <v>70836</v>
      </c>
      <c r="F31" s="4">
        <v>588612</v>
      </c>
      <c r="G31" s="11" t="str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"*",CHOOSE({1,2}, Super_CBSA!$E$2:$E$1917, Super_CBSA!$A$2:$A$1917), 2,FALSE), ""))</f>
        <v/>
      </c>
    </row>
    <row r="32" spans="1:7" ht="17">
      <c r="A32" s="1" t="s">
        <v>2563</v>
      </c>
      <c r="B32" s="2" t="s">
        <v>2564</v>
      </c>
      <c r="C32" s="2">
        <v>119</v>
      </c>
      <c r="D32" s="3">
        <v>4321</v>
      </c>
      <c r="E32" s="3">
        <v>19431</v>
      </c>
      <c r="F32" s="4">
        <v>385827</v>
      </c>
      <c r="G32" s="11" t="str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"*",CHOOSE({1,2}, Super_CBSA!$E$2:$E$1917, Super_CBSA!$A$2:$A$1917), 2,FALSE), ""))</f>
        <v/>
      </c>
    </row>
    <row r="33" spans="1:7" ht="17">
      <c r="A33" s="1" t="s">
        <v>2565</v>
      </c>
      <c r="B33" s="2" t="s">
        <v>2566</v>
      </c>
      <c r="C33" s="2">
        <v>134</v>
      </c>
      <c r="D33" s="3">
        <v>4009</v>
      </c>
      <c r="E33" s="3">
        <v>15756</v>
      </c>
      <c r="F33" s="4">
        <v>300938</v>
      </c>
      <c r="G33" s="11" t="str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"*",CHOOSE({1,2}, Super_CBSA!$E$2:$E$1917, Super_CBSA!$A$2:$A$1917), 2,FALSE), ""))</f>
        <v/>
      </c>
    </row>
    <row r="34" spans="1:7" ht="17">
      <c r="A34" s="1" t="s">
        <v>2567</v>
      </c>
      <c r="B34" s="2" t="s">
        <v>2568</v>
      </c>
      <c r="C34" s="2">
        <v>347</v>
      </c>
      <c r="D34" s="3">
        <v>11538</v>
      </c>
      <c r="E34" s="3">
        <v>58894</v>
      </c>
      <c r="F34" s="4">
        <v>526554</v>
      </c>
      <c r="G34" s="11" t="str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"*",CHOOSE({1,2}, Super_CBSA!$E$2:$E$1917, Super_CBSA!$A$2:$A$1917), 2,FALSE), ""))</f>
        <v/>
      </c>
    </row>
    <row r="35" spans="1:7" ht="17">
      <c r="A35" s="1" t="s">
        <v>2569</v>
      </c>
      <c r="B35" s="2" t="s">
        <v>2570</v>
      </c>
      <c r="C35" s="2">
        <v>122</v>
      </c>
      <c r="D35" s="3">
        <v>2814</v>
      </c>
      <c r="E35" s="3">
        <v>12549</v>
      </c>
      <c r="F35" s="4">
        <v>112225</v>
      </c>
      <c r="G35" s="11" t="str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"*",CHOOSE({1,2}, Super_CBSA!$E$2:$E$1917, Super_CBSA!$A$2:$A$1917), 2,FALSE), ""))</f>
        <v/>
      </c>
    </row>
    <row r="36" spans="1:7" ht="17">
      <c r="A36" s="1" t="s">
        <v>2571</v>
      </c>
      <c r="B36" s="2" t="s">
        <v>2572</v>
      </c>
      <c r="C36" s="2">
        <v>185</v>
      </c>
      <c r="D36" s="3">
        <v>5655</v>
      </c>
      <c r="E36" s="3">
        <v>21587</v>
      </c>
      <c r="F36" s="4">
        <v>368417</v>
      </c>
      <c r="G36" s="11" t="str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"*",CHOOSE({1,2}, Super_CBSA!$E$2:$E$1917, Super_CBSA!$A$2:$A$1917), 2,FALSE), ""))</f>
        <v/>
      </c>
    </row>
    <row r="37" spans="1:7" ht="17">
      <c r="A37" s="1" t="s">
        <v>2573</v>
      </c>
      <c r="B37" s="2" t="s">
        <v>2574</v>
      </c>
      <c r="C37" s="2">
        <v>345</v>
      </c>
      <c r="D37" s="3">
        <v>23936</v>
      </c>
      <c r="E37" s="3">
        <v>117524</v>
      </c>
      <c r="F37" s="4">
        <v>2355283</v>
      </c>
      <c r="G37" s="11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"*",CHOOSE({1,2}, Super_CBSA!$E$2:$E$1917, Super_CBSA!$A$2:$A$1917), 2,FALSE), ""))</f>
        <v>37980</v>
      </c>
    </row>
    <row r="38" spans="1:7" ht="17">
      <c r="A38" s="1" t="s">
        <v>2575</v>
      </c>
      <c r="B38" s="2" t="s">
        <v>2576</v>
      </c>
      <c r="C38" s="2">
        <v>0</v>
      </c>
      <c r="D38" s="2">
        <v>0</v>
      </c>
      <c r="E38" s="2">
        <v>0</v>
      </c>
      <c r="F38" s="4">
        <v>0</v>
      </c>
      <c r="G38" s="11" t="str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"*",CHOOSE({1,2}, Super_CBSA!$E$2:$E$1917, Super_CBSA!$A$2:$A$1917), 2,FALSE), ""))</f>
        <v/>
      </c>
    </row>
    <row r="39" spans="1:7" ht="17">
      <c r="A39" s="1" t="s">
        <v>2577</v>
      </c>
      <c r="B39" s="2" t="s">
        <v>2200</v>
      </c>
      <c r="C39" s="2">
        <v>186</v>
      </c>
      <c r="D39" s="3">
        <v>11933</v>
      </c>
      <c r="E39" s="3">
        <v>45958</v>
      </c>
      <c r="F39" s="4">
        <v>552330</v>
      </c>
      <c r="G39" s="11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"*",CHOOSE({1,2}, Super_CBSA!$E$2:$E$1917, Super_CBSA!$A$2:$A$1917), 2,FALSE), ""))</f>
        <v>13260</v>
      </c>
    </row>
    <row r="40" spans="1:7" ht="17">
      <c r="A40" s="1" t="s">
        <v>2199</v>
      </c>
      <c r="B40" s="2" t="s">
        <v>2578</v>
      </c>
      <c r="C40" s="2">
        <v>216</v>
      </c>
      <c r="D40" s="3">
        <v>7544</v>
      </c>
      <c r="E40" s="3">
        <v>32890</v>
      </c>
      <c r="F40" s="4">
        <v>524976</v>
      </c>
      <c r="G40" s="11" t="str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"*",CHOOSE({1,2}, Super_CBSA!$E$2:$E$1917, Super_CBSA!$A$2:$A$1917), 2,FALSE), ""))</f>
        <v/>
      </c>
    </row>
    <row r="41" spans="1:7" ht="17">
      <c r="A41" s="1" t="s">
        <v>2579</v>
      </c>
      <c r="B41" s="2" t="s">
        <v>2580</v>
      </c>
      <c r="C41" s="2">
        <v>0</v>
      </c>
      <c r="D41" s="2">
        <v>0</v>
      </c>
      <c r="E41" s="2">
        <v>0</v>
      </c>
      <c r="F41" s="4">
        <v>0</v>
      </c>
      <c r="G41" s="11" t="str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"*",CHOOSE({1,2}, Super_CBSA!$E$2:$E$1917, Super_CBSA!$A$2:$A$1917), 2,FALSE), ""))</f>
        <v/>
      </c>
    </row>
    <row r="42" spans="1:7" ht="17">
      <c r="A42" s="1" t="s">
        <v>2581</v>
      </c>
      <c r="B42" s="2" t="s">
        <v>2582</v>
      </c>
      <c r="C42" s="2">
        <v>407</v>
      </c>
      <c r="D42" s="3">
        <v>18305</v>
      </c>
      <c r="E42" s="3">
        <v>81302</v>
      </c>
      <c r="F42" s="4">
        <v>1270623</v>
      </c>
      <c r="G42" s="11" t="str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"*",CHOOSE({1,2}, Super_CBSA!$E$2:$E$1917, Super_CBSA!$A$2:$A$1917), 2,FALSE), ""))</f>
        <v/>
      </c>
    </row>
    <row r="43" spans="1:7" ht="17">
      <c r="A43" s="1" t="s">
        <v>2583</v>
      </c>
      <c r="B43" s="2" t="s">
        <v>2582</v>
      </c>
      <c r="C43" s="2">
        <v>157</v>
      </c>
      <c r="D43" s="3">
        <v>4634</v>
      </c>
      <c r="E43" s="3">
        <v>20198</v>
      </c>
      <c r="F43" s="4">
        <v>283531</v>
      </c>
      <c r="G43" s="11" t="str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"*",CHOOSE({1,2}, Super_CBSA!$E$2:$E$1917, Super_CBSA!$A$2:$A$1917), 2,FALSE), ""))</f>
        <v/>
      </c>
    </row>
    <row r="44" spans="1:7" ht="17">
      <c r="A44" s="1" t="s">
        <v>2584</v>
      </c>
      <c r="B44" s="2" t="s">
        <v>2536</v>
      </c>
      <c r="C44" s="2">
        <v>41</v>
      </c>
      <c r="D44" s="3">
        <v>1175</v>
      </c>
      <c r="E44" s="3">
        <v>4469</v>
      </c>
      <c r="F44" s="4">
        <v>536324</v>
      </c>
      <c r="G44" s="11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"*",CHOOSE({1,2}, Super_CBSA!$E$2:$E$1917, Super_CBSA!$A$2:$A$1917), 2,FALSE), ""))</f>
        <v>14460</v>
      </c>
    </row>
    <row r="45" spans="1:7" ht="17">
      <c r="A45" s="1" t="s">
        <v>2585</v>
      </c>
      <c r="B45" s="2" t="s">
        <v>2536</v>
      </c>
      <c r="C45" s="3">
        <v>1017</v>
      </c>
      <c r="D45" s="3">
        <v>49506</v>
      </c>
      <c r="E45" s="3">
        <v>321235</v>
      </c>
      <c r="F45" s="4">
        <v>10102096</v>
      </c>
      <c r="G45" s="11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"*",CHOOSE({1,2}, Super_CBSA!$E$2:$E$1917, Super_CBSA!$A$2:$A$1917), 2,FALSE), ""))</f>
        <v>14460</v>
      </c>
    </row>
    <row r="46" spans="1:7" ht="17">
      <c r="A46" s="1" t="s">
        <v>2586</v>
      </c>
      <c r="B46" s="2" t="s">
        <v>2587</v>
      </c>
      <c r="C46" s="2">
        <v>0</v>
      </c>
      <c r="D46" s="2">
        <v>0</v>
      </c>
      <c r="E46" s="2">
        <v>0</v>
      </c>
      <c r="F46" s="4">
        <v>0</v>
      </c>
      <c r="G46" s="11" t="str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"*",CHOOSE({1,2}, Super_CBSA!$E$2:$E$1917, Super_CBSA!$A$2:$A$1917), 2,FALSE), ""))</f>
        <v/>
      </c>
    </row>
    <row r="47" spans="1:7" ht="17">
      <c r="A47" s="1" t="s">
        <v>702</v>
      </c>
      <c r="B47" s="2" t="s">
        <v>1901</v>
      </c>
      <c r="C47" s="2">
        <v>317</v>
      </c>
      <c r="D47" s="3">
        <v>13412</v>
      </c>
      <c r="E47" s="3">
        <v>55558</v>
      </c>
      <c r="F47" s="4">
        <v>700893</v>
      </c>
      <c r="G47" s="11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"*",CHOOSE({1,2}, Super_CBSA!$E$2:$E$1917, Super_CBSA!$A$2:$A$1917), 2,FALSE), ""))</f>
        <v>44140</v>
      </c>
    </row>
    <row r="48" spans="1:7" ht="17">
      <c r="A48" s="1" t="s">
        <v>2588</v>
      </c>
      <c r="B48" s="2" t="s">
        <v>1076</v>
      </c>
      <c r="C48" s="2">
        <v>149</v>
      </c>
      <c r="D48" s="3">
        <v>8999</v>
      </c>
      <c r="E48" s="3">
        <v>35197</v>
      </c>
      <c r="F48" s="4">
        <v>546013</v>
      </c>
      <c r="G48" s="11" t="str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"*",CHOOSE({1,2}, Super_CBSA!$E$2:$E$1917, Super_CBSA!$A$2:$A$1917), 2,FALSE), ""))</f>
        <v/>
      </c>
    </row>
    <row r="49" spans="1:7" ht="17">
      <c r="A49" s="1" t="s">
        <v>2589</v>
      </c>
      <c r="B49" s="2" t="s">
        <v>2590</v>
      </c>
      <c r="C49" s="2">
        <v>112</v>
      </c>
      <c r="D49" s="3">
        <v>5246</v>
      </c>
      <c r="E49" s="3">
        <v>20942</v>
      </c>
      <c r="F49" s="4">
        <v>224383</v>
      </c>
      <c r="G49" s="11" t="str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"*",CHOOSE({1,2}, Super_CBSA!$E$2:$E$1917, Super_CBSA!$A$2:$A$1917), 2,FALSE), ""))</f>
        <v/>
      </c>
    </row>
    <row r="50" spans="1:7" ht="17">
      <c r="A50" s="1" t="s">
        <v>2591</v>
      </c>
      <c r="B50" s="2" t="s">
        <v>2546</v>
      </c>
      <c r="C50" s="2">
        <v>208</v>
      </c>
      <c r="D50" s="3">
        <v>13247</v>
      </c>
      <c r="E50" s="3">
        <v>54516</v>
      </c>
      <c r="F50" s="4">
        <v>635677</v>
      </c>
      <c r="G50" s="11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"*",CHOOSE({1,2}, Super_CBSA!$E$2:$E$1917, Super_CBSA!$A$2:$A$1917), 2,FALSE), ""))</f>
        <v>14460</v>
      </c>
    </row>
    <row r="51" spans="1:7" ht="17">
      <c r="A51" s="1" t="s">
        <v>2592</v>
      </c>
      <c r="B51" s="2" t="s">
        <v>2593</v>
      </c>
      <c r="C51" s="2">
        <v>19</v>
      </c>
      <c r="D51" s="2">
        <v>444</v>
      </c>
      <c r="E51" s="3">
        <v>1783</v>
      </c>
      <c r="F51" s="4">
        <v>87518</v>
      </c>
      <c r="G51" s="11" t="str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"*",CHOOSE({1,2}, Super_CBSA!$E$2:$E$1917, Super_CBSA!$A$2:$A$1917), 2,FALSE), ""))</f>
        <v/>
      </c>
    </row>
    <row r="52" spans="1:7" ht="17">
      <c r="A52" s="1" t="s">
        <v>2594</v>
      </c>
      <c r="B52" s="2" t="s">
        <v>2595</v>
      </c>
      <c r="C52" s="2">
        <v>77</v>
      </c>
      <c r="D52" s="3">
        <v>1690</v>
      </c>
      <c r="E52" s="3">
        <v>5497</v>
      </c>
      <c r="F52" s="4">
        <v>158311</v>
      </c>
      <c r="G52" s="11" t="str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"*",CHOOSE({1,2}, Super_CBSA!$E$2:$E$1917, Super_CBSA!$A$2:$A$1917), 2,FALSE), ""))</f>
        <v/>
      </c>
    </row>
    <row r="53" spans="1:7" ht="17">
      <c r="A53" s="1" t="s">
        <v>2596</v>
      </c>
      <c r="B53" s="2" t="s">
        <v>2536</v>
      </c>
      <c r="C53" s="2">
        <v>98</v>
      </c>
      <c r="D53" s="3">
        <v>8146</v>
      </c>
      <c r="E53" s="3">
        <v>18866</v>
      </c>
      <c r="F53" s="4">
        <v>381284</v>
      </c>
      <c r="G53" s="11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"*",CHOOSE({1,2}, Super_CBSA!$E$2:$E$1917, Super_CBSA!$A$2:$A$1917), 2,FALSE), ""))</f>
        <v>14460</v>
      </c>
    </row>
    <row r="54" spans="1:7" ht="17">
      <c r="A54" s="1" t="s">
        <v>2597</v>
      </c>
      <c r="B54" s="2" t="s">
        <v>1734</v>
      </c>
      <c r="C54" s="2">
        <v>273</v>
      </c>
      <c r="D54" s="3">
        <v>15050</v>
      </c>
      <c r="E54" s="3">
        <v>61421</v>
      </c>
      <c r="F54" s="4">
        <v>1434243</v>
      </c>
      <c r="G54" s="11" cm="1">
        <f t="array" aca="1" ref="G54" ca="1">IFERROR(VLOOKUP("*" &amp; B54  &amp; "*" &amp; (MID(CELL("filename",A53),FIND("]",CELL("filename",A53))+1,31)) &amp; "*",CHOOSE({1,2}, Super_CBSA!$B$2:$B$1917, Super_CBSA!$A$2:$A$1917), 2,FALSE), IFERROR(VLOOKUP(B54  &amp; "*",CHOOSE({1,2}, Super_CBSA!$E$2:$E$1917, Super_CBSA!$A$2:$A$1917), 2,FALSE), ""))</f>
        <v>14460</v>
      </c>
    </row>
    <row r="55" spans="1:7" ht="17">
      <c r="A55" s="1" t="s">
        <v>2598</v>
      </c>
      <c r="B55" s="2" t="s">
        <v>2599</v>
      </c>
      <c r="C55" s="2">
        <v>210</v>
      </c>
      <c r="D55" s="3">
        <v>8219</v>
      </c>
      <c r="E55" s="3">
        <v>33495</v>
      </c>
      <c r="F55" s="4">
        <v>390821</v>
      </c>
      <c r="G55" s="11" t="str" cm="1">
        <f t="array" aca="1" ref="G55" ca="1">IFERROR(VLOOKUP("*" &amp; B55  &amp; "*" &amp; (MID(CELL("filename",A54),FIND("]",CELL("filename",A54))+1,31)) &amp; "*",CHOOSE({1,2}, Super_CBSA!$B$2:$B$1917, Super_CBSA!$A$2:$A$1917), 2,FALSE), IFERROR(VLOOKUP(B55  &amp; "*",CHOOSE({1,2}, Super_CBSA!$E$2:$E$1917, Super_CBSA!$A$2:$A$1917), 2,FALSE), ""))</f>
        <v/>
      </c>
    </row>
    <row r="56" spans="1:7" ht="17">
      <c r="A56" s="1" t="s">
        <v>2600</v>
      </c>
      <c r="B56" s="2" t="s">
        <v>2601</v>
      </c>
      <c r="C56" s="2">
        <v>268</v>
      </c>
      <c r="D56" s="3">
        <v>12770</v>
      </c>
      <c r="E56" s="3">
        <v>69824</v>
      </c>
      <c r="F56" s="4">
        <v>429233</v>
      </c>
      <c r="G56" s="11" cm="1">
        <f t="array" aca="1" ref="G56" ca="1">IFERROR(VLOOKUP("*" &amp; B56  &amp; "*" &amp; (MID(CELL("filename",A55),FIND("]",CELL("filename",A55))+1,31)) &amp; "*",CHOOSE({1,2}, Super_CBSA!$B$2:$B$1917, Super_CBSA!$A$2:$A$1917), 2,FALSE), IFERROR(VLOOKUP(B56  &amp; "*",CHOOSE({1,2}, Super_CBSA!$E$2:$E$1917, Super_CBSA!$A$2:$A$1917), 2,FALSE), ""))</f>
        <v>37980</v>
      </c>
    </row>
    <row r="57" spans="1:7" ht="17">
      <c r="A57" s="1" t="s">
        <v>2602</v>
      </c>
      <c r="B57" s="2" t="s">
        <v>2603</v>
      </c>
      <c r="C57" s="2">
        <v>350</v>
      </c>
      <c r="D57" s="3">
        <v>15287</v>
      </c>
      <c r="E57" s="3">
        <v>70790</v>
      </c>
      <c r="F57" s="4">
        <v>1402328</v>
      </c>
      <c r="G57" s="11" cm="1">
        <f t="array" aca="1" ref="G57" ca="1">IFERROR(VLOOKUP("*" &amp; B57  &amp; "*" &amp; (MID(CELL("filename",A56),FIND("]",CELL("filename",A56))+1,31)) &amp; "*",CHOOSE({1,2}, Super_CBSA!$B$2:$B$1917, Super_CBSA!$A$2:$A$1917), 2,FALSE), IFERROR(VLOOKUP(B57  &amp; "*",CHOOSE({1,2}, Super_CBSA!$E$2:$E$1917, Super_CBSA!$A$2:$A$1917), 2,FALSE), ""))</f>
        <v>31180</v>
      </c>
    </row>
    <row r="58" spans="1:7" ht="17">
      <c r="A58" s="1" t="s">
        <v>2604</v>
      </c>
      <c r="B58" s="2" t="s">
        <v>2552</v>
      </c>
      <c r="C58" s="2">
        <v>206</v>
      </c>
      <c r="D58" s="3">
        <v>9118</v>
      </c>
      <c r="E58" s="3">
        <v>37496</v>
      </c>
      <c r="F58" s="4">
        <v>657511</v>
      </c>
      <c r="G58" s="11" t="str" cm="1">
        <f t="array" aca="1" ref="G58" ca="1">IFERROR(VLOOKUP("*" &amp; B58  &amp; "*" &amp; (MID(CELL("filename",A57),FIND("]",CELL("filename",A57))+1,31)) &amp; "*",CHOOSE({1,2}, Super_CBSA!$B$2:$B$1917, Super_CBSA!$A$2:$A$1917), 2,FALSE), IFERROR(VLOOKUP(B58  &amp; "*",CHOOSE({1,2}, Super_CBSA!$E$2:$E$1917, Super_CBSA!$A$2:$A$1917), 2,FALSE), ""))</f>
        <v/>
      </c>
    </row>
    <row r="59" spans="1:7" ht="17">
      <c r="A59" s="1" t="s">
        <v>2605</v>
      </c>
      <c r="B59" s="2" t="s">
        <v>1031</v>
      </c>
      <c r="C59" s="2">
        <v>274</v>
      </c>
      <c r="D59" s="3">
        <v>10714</v>
      </c>
      <c r="E59" s="3">
        <v>54367</v>
      </c>
      <c r="F59" s="4">
        <v>648964</v>
      </c>
      <c r="G59" s="11" t="str" cm="1">
        <f t="array" aca="1" ref="G59" ca="1">IFERROR(VLOOKUP("*" &amp; B59  &amp; "*" &amp; (MID(CELL("filename",A58),FIND("]",CELL("filename",A58))+1,31)) &amp; "*",CHOOSE({1,2}, Super_CBSA!$B$2:$B$1917, Super_CBSA!$A$2:$A$1917), 2,FALSE), IFERROR(VLOOKUP(B59  &amp; "*",CHOOSE({1,2}, Super_CBSA!$E$2:$E$1917, Super_CBSA!$A$2:$A$1917), 2,FALSE), ""))</f>
        <v/>
      </c>
    </row>
    <row r="60" spans="1:7" ht="17">
      <c r="A60" s="1" t="s">
        <v>1749</v>
      </c>
      <c r="B60" s="2" t="s">
        <v>2606</v>
      </c>
      <c r="C60" s="2">
        <v>0</v>
      </c>
      <c r="D60" s="2">
        <v>0</v>
      </c>
      <c r="E60" s="2">
        <v>0</v>
      </c>
      <c r="F60" s="4">
        <v>0</v>
      </c>
      <c r="G60" s="11" t="str" cm="1">
        <f t="array" aca="1" ref="G60" ca="1">IFERROR(VLOOKUP("*" &amp; B60  &amp; "*" &amp; (MID(CELL("filename",A59),FIND("]",CELL("filename",A59))+1,31)) &amp; "*",CHOOSE({1,2}, Super_CBSA!$B$2:$B$1917, Super_CBSA!$A$2:$A$1917), 2,FALSE), IFERROR(VLOOKUP(B60  &amp; "*",CHOOSE({1,2}, Super_CBSA!$E$2:$E$1917, Super_CBSA!$A$2:$A$1917), 2,FALSE), ""))</f>
        <v/>
      </c>
    </row>
    <row r="61" spans="1:7" ht="17">
      <c r="A61" s="1" t="s">
        <v>2607</v>
      </c>
      <c r="B61" s="2" t="s">
        <v>2520</v>
      </c>
      <c r="C61" s="2">
        <v>272</v>
      </c>
      <c r="D61" s="3">
        <v>16843</v>
      </c>
      <c r="E61" s="3">
        <v>68213</v>
      </c>
      <c r="F61" s="4">
        <v>1997855</v>
      </c>
      <c r="G61" s="11" cm="1">
        <f t="array" aca="1" ref="G61" ca="1">IFERROR(VLOOKUP("*" &amp; B61  &amp; "*" &amp; (MID(CELL("filename",A60),FIND("]",CELL("filename",A60))+1,31)) &amp; "*",CHOOSE({1,2}, Super_CBSA!$B$2:$B$1917, Super_CBSA!$A$2:$A$1917), 2,FALSE), IFERROR(VLOOKUP(B61  &amp; "*",CHOOSE({1,2}, Super_CBSA!$E$2:$E$1917, Super_CBSA!$A$2:$A$1917), 2,FALSE), ""))</f>
        <v>49340</v>
      </c>
    </row>
    <row r="62" spans="1:7" ht="17">
      <c r="A62" s="1" t="s">
        <v>1992</v>
      </c>
      <c r="B62" s="2" t="s">
        <v>2608</v>
      </c>
      <c r="C62" s="2">
        <v>390</v>
      </c>
      <c r="D62" s="3">
        <v>27383</v>
      </c>
      <c r="E62" s="3">
        <v>123837</v>
      </c>
      <c r="F62" s="4">
        <v>1218926</v>
      </c>
      <c r="G62" s="11" t="str" cm="1">
        <f t="array" aca="1" ref="G62" ca="1">IFERROR(VLOOKUP("*" &amp; B62  &amp; "*" &amp; (MID(CELL("filename",A61),FIND("]",CELL("filename",A61))+1,31)) &amp; "*",CHOOSE({1,2}, Super_CBSA!$B$2:$B$1917, Super_CBSA!$A$2:$A$1917), 2,FALSE), IFERROR(VLOOKUP(B62  &amp; "*",CHOOSE({1,2}, Super_CBSA!$E$2:$E$1917, Super_CBSA!$A$2:$A$1917), 2,FALSE), ""))</f>
        <v/>
      </c>
    </row>
    <row r="63" spans="1:7" ht="17">
      <c r="A63" s="1" t="s">
        <v>2609</v>
      </c>
      <c r="B63" s="2" t="s">
        <v>2610</v>
      </c>
      <c r="C63" s="2">
        <v>131</v>
      </c>
      <c r="D63" s="3">
        <v>7175</v>
      </c>
      <c r="E63" s="3">
        <v>28450</v>
      </c>
      <c r="F63" s="4">
        <v>379608</v>
      </c>
      <c r="G63" s="11" t="str" cm="1">
        <f t="array" aca="1" ref="G63" ca="1">IFERROR(VLOOKUP("*" &amp; B63  &amp; "*" &amp; (MID(CELL("filename",A62),FIND("]",CELL("filename",A62))+1,31)) &amp; "*",CHOOSE({1,2}, Super_CBSA!$B$2:$B$1917, Super_CBSA!$A$2:$A$1917), 2,FALSE), IFERROR(VLOOKUP(B63  &amp; " city",CHOOSE({1,2}, Super_CBSA!$E$2:$E$1917, Super_CBSA!$A$2:$A$1917), 2,FALSE), ""))</f>
        <v/>
      </c>
    </row>
    <row r="64" spans="1:7" ht="17">
      <c r="A64" s="1" t="s">
        <v>2611</v>
      </c>
      <c r="B64" s="2" t="s">
        <v>2612</v>
      </c>
      <c r="C64" s="2">
        <v>0</v>
      </c>
      <c r="D64" s="2">
        <v>0</v>
      </c>
      <c r="E64" s="2">
        <v>0</v>
      </c>
      <c r="F64" s="4">
        <v>0</v>
      </c>
      <c r="G64" s="11" t="str" cm="1">
        <f t="array" aca="1" ref="G64" ca="1">IFERROR(VLOOKUP("*" &amp; B64  &amp; "*" &amp; (MID(CELL("filename",A63),FIND("]",CELL("filename",A63))+1,31)) &amp; "*",CHOOSE({1,2}, Super_CBSA!$B$2:$B$1917, Super_CBSA!$A$2:$A$1917), 2,FALSE), IFERROR(VLOOKUP(B64  &amp; "*",CHOOSE({1,2}, Super_CBSA!$E$2:$E$1917, Super_CBSA!$A$2:$A$1917), 2,FALSE), ""))</f>
        <v/>
      </c>
    </row>
    <row r="65" spans="1:7" ht="17">
      <c r="A65" s="1" t="s">
        <v>2613</v>
      </c>
      <c r="B65" s="2" t="s">
        <v>2536</v>
      </c>
      <c r="C65" s="2">
        <v>384</v>
      </c>
      <c r="D65" s="3">
        <v>16749</v>
      </c>
      <c r="E65" s="3">
        <v>91708</v>
      </c>
      <c r="F65" s="4">
        <v>2219184</v>
      </c>
      <c r="G65" s="11" cm="1">
        <f t="array" aca="1" ref="G65" ca="1">IFERROR(VLOOKUP("*" &amp; B65  &amp; "*" &amp; (MID(CELL("filename",A64),FIND("]",CELL("filename",A64))+1,31)) &amp; "*",CHOOSE({1,2}, Super_CBSA!$B$2:$B$1917, Super_CBSA!$A$2:$A$1917), 2,FALSE), IFERROR(VLOOKUP(B65  &amp; "*",CHOOSE({1,2}, Super_CBSA!$E$2:$E$1917, Super_CBSA!$A$2:$A$1917), 2,FALSE), ""))</f>
        <v>14460</v>
      </c>
    </row>
    <row r="66" spans="1:7" ht="17">
      <c r="A66" s="1" t="s">
        <v>2614</v>
      </c>
      <c r="B66" s="2" t="s">
        <v>1729</v>
      </c>
      <c r="C66" s="2">
        <v>41</v>
      </c>
      <c r="D66" s="2">
        <v>573</v>
      </c>
      <c r="E66" s="3">
        <v>2111</v>
      </c>
      <c r="F66" s="4">
        <v>91620</v>
      </c>
      <c r="G66" s="11" cm="1">
        <f t="array" aca="1" ref="G66" ca="1">IFERROR(VLOOKUP("*" &amp; B66  &amp; "*" &amp; (MID(CELL("filename",A65),FIND("]",CELL("filename",A65))+1,31)) &amp; "*",CHOOSE({1,2}, Super_CBSA!$B$2:$B$1917, Super_CBSA!$A$2:$A$1917), 2,FALSE), IFERROR(VLOOKUP(B66  &amp; "*",CHOOSE({1,2}, Super_CBSA!$E$2:$E$1917, Super_CBSA!$A$2:$A$1917), 2,FALSE), ""))</f>
        <v>17540</v>
      </c>
    </row>
    <row r="67" spans="1:7" ht="17">
      <c r="A67" s="1" t="s">
        <v>2615</v>
      </c>
      <c r="B67" s="2" t="s">
        <v>2616</v>
      </c>
      <c r="C67" s="2">
        <v>145</v>
      </c>
      <c r="D67" s="3">
        <v>7390</v>
      </c>
      <c r="E67" s="3">
        <v>29530</v>
      </c>
      <c r="F67" s="4">
        <v>634344</v>
      </c>
      <c r="G67" s="11" t="str" cm="1">
        <f t="array" aca="1" ref="G67" ca="1">IFERROR(VLOOKUP("*" &amp; B67  &amp; "*" &amp; (MID(CELL("filename",A66),FIND("]",CELL("filename",A66))+1,31)) &amp; "*",CHOOSE({1,2}, Super_CBSA!$B$2:$B$1917, Super_CBSA!$A$2:$A$1917), 2,FALSE), IFERROR(VLOOKUP(B67  &amp; "*",CHOOSE({1,2}, Super_CBSA!$E$2:$E$1917, Super_CBSA!$A$2:$A$1917), 2,FALSE), ""))</f>
        <v/>
      </c>
    </row>
    <row r="68" spans="1:7" ht="17">
      <c r="A68" s="1" t="s">
        <v>2617</v>
      </c>
      <c r="B68" s="2" t="s">
        <v>2618</v>
      </c>
      <c r="C68" s="2">
        <v>67</v>
      </c>
      <c r="D68" s="3">
        <v>3360</v>
      </c>
      <c r="E68" s="3">
        <v>16569</v>
      </c>
      <c r="F68" s="4">
        <v>284876</v>
      </c>
      <c r="G68" s="11" t="str" cm="1">
        <f t="array" aca="1" ref="G68" ca="1">IFERROR(VLOOKUP("*" &amp; B68  &amp; "*" &amp; (MID(CELL("filename",A67),FIND("]",CELL("filename",A67))+1,31)) &amp; "*",CHOOSE({1,2}, Super_CBSA!$B$2:$B$1917, Super_CBSA!$A$2:$A$1917), 2,FALSE), IFERROR(VLOOKUP(B68  &amp; "*",CHOOSE({1,2}, Super_CBSA!$E$2:$E$1917, Super_CBSA!$A$2:$A$1917), 2,FALSE), ""))</f>
        <v/>
      </c>
    </row>
    <row r="69" spans="1:7" ht="17">
      <c r="A69" s="1" t="s">
        <v>2619</v>
      </c>
      <c r="B69" s="2" t="s">
        <v>2520</v>
      </c>
      <c r="C69" s="2">
        <v>0</v>
      </c>
      <c r="D69" s="2">
        <v>0</v>
      </c>
      <c r="E69" s="2">
        <v>0</v>
      </c>
      <c r="F69" s="4">
        <v>0</v>
      </c>
      <c r="G69" s="11" cm="1">
        <f t="array" aca="1" ref="G69" ca="1">IFERROR(VLOOKUP("*" &amp; B69  &amp; "*" &amp; (MID(CELL("filename",A68),FIND("]",CELL("filename",A68))+1,31)) &amp; "*",CHOOSE({1,2}, Super_CBSA!$B$2:$B$1917, Super_CBSA!$A$2:$A$1917), 2,FALSE), IFERROR(VLOOKUP(B69  &amp; "*",CHOOSE({1,2}, Super_CBSA!$E$2:$E$1917, Super_CBSA!$A$2:$A$1917), 2,FALSE), ""))</f>
        <v>49340</v>
      </c>
    </row>
    <row r="70" spans="1:7" ht="17">
      <c r="A70" s="1" t="s">
        <v>2620</v>
      </c>
      <c r="B70" s="2" t="s">
        <v>2520</v>
      </c>
      <c r="C70" s="2">
        <v>649</v>
      </c>
      <c r="D70" s="3">
        <v>37164</v>
      </c>
      <c r="E70" s="3">
        <v>204649</v>
      </c>
      <c r="F70" s="4">
        <v>5185548</v>
      </c>
      <c r="G70" s="11" cm="1">
        <f t="array" aca="1" ref="G70" ca="1">IFERROR(VLOOKUP("*" &amp; B70  &amp; "*" &amp; (MID(CELL("filename",A69),FIND("]",CELL("filename",A69))+1,31)) &amp; "*",CHOOSE({1,2}, Super_CBSA!$B$2:$B$1917, Super_CBSA!$A$2:$A$1917), 2,FALSE), IFERROR(VLOOKUP(B70  &amp; "*",CHOOSE({1,2}, Super_CBSA!$E$2:$E$1917, Super_CBSA!$A$2:$A$1917), 2,FALSE), ""))</f>
        <v>49340</v>
      </c>
    </row>
    <row r="71" spans="1:7" ht="17">
      <c r="A71" s="1" t="s">
        <v>2621</v>
      </c>
      <c r="B71" s="2" t="s">
        <v>2518</v>
      </c>
      <c r="C71" s="2">
        <v>0</v>
      </c>
      <c r="D71" s="2">
        <v>0</v>
      </c>
      <c r="E71" s="2">
        <v>0</v>
      </c>
      <c r="F71" s="4">
        <v>0</v>
      </c>
      <c r="G71" s="11" t="str" cm="1">
        <f t="array" aca="1" ref="G71" ca="1">IFERROR(VLOOKUP("*" &amp; B71  &amp; "*" &amp; (MID(CELL("filename",A70),FIND("]",CELL("filename",A70))+1,31)) &amp; "*",CHOOSE({1,2}, Super_CBSA!$B$2:$B$1917, Super_CBSA!$A$2:$A$1917), 2,FALSE), IFERROR(VLOOKUP(B71  &amp; "*",CHOOSE({1,2}, Super_CBSA!$E$2:$E$1917, Super_CBSA!$A$2:$A$1917), 2,FALSE), ""))</f>
        <v/>
      </c>
    </row>
    <row r="72" spans="1:7" ht="17">
      <c r="A72" s="1" t="s">
        <v>2622</v>
      </c>
      <c r="B72" s="2" t="s">
        <v>2536</v>
      </c>
      <c r="C72" s="2">
        <v>0</v>
      </c>
      <c r="D72" s="2">
        <v>0</v>
      </c>
      <c r="E72" s="2">
        <v>0</v>
      </c>
      <c r="F72" s="4">
        <v>0</v>
      </c>
      <c r="G72" s="11" cm="1">
        <f t="array" aca="1" ref="G72" ca="1">IFERROR(VLOOKUP("*" &amp; B72  &amp; "*" &amp; (MID(CELL("filename",A71),FIND("]",CELL("filename",A71))+1,31)) &amp; "*",CHOOSE({1,2}, Super_CBSA!$B$2:$B$1917, Super_CBSA!$A$2:$A$1917), 2,FALSE), IFERROR(VLOOKUP(B72  &amp; "*",CHOOSE({1,2}, Super_CBSA!$E$2:$E$1917, Super_CBSA!$A$2:$A$1917), 2,FALSE), ""))</f>
        <v>14460</v>
      </c>
    </row>
    <row r="73" spans="1:7" ht="17">
      <c r="A73" s="1" t="s">
        <v>2623</v>
      </c>
      <c r="B73" s="2" t="s">
        <v>2624</v>
      </c>
      <c r="C73" s="2">
        <v>0</v>
      </c>
      <c r="D73" s="2">
        <v>0</v>
      </c>
      <c r="E73" s="2">
        <v>0</v>
      </c>
      <c r="F73" s="4">
        <v>0</v>
      </c>
      <c r="G73" s="11" t="str" cm="1">
        <f t="array" aca="1" ref="G73" ca="1">IFERROR(VLOOKUP("*" &amp; B73  &amp; "*" &amp; (MID(CELL("filename",A72),FIND("]",CELL("filename",A72))+1,31)) &amp; "*",CHOOSE({1,2}, Super_CBSA!$B$2:$B$1917, Super_CBSA!$A$2:$A$1917), 2,FALSE), IFERROR(VLOOKUP(B73  &amp; "*",CHOOSE({1,2}, Super_CBSA!$E$2:$E$1917, Super_CBSA!$A$2:$A$1917), 2,FALSE), ""))</f>
        <v/>
      </c>
    </row>
    <row r="74" spans="1:7" ht="17">
      <c r="A74" s="1" t="s">
        <v>2625</v>
      </c>
      <c r="B74" s="2" t="s">
        <v>2270</v>
      </c>
      <c r="C74" s="2">
        <v>205</v>
      </c>
      <c r="D74" s="3">
        <v>11884</v>
      </c>
      <c r="E74" s="3">
        <v>47927</v>
      </c>
      <c r="F74" s="4">
        <v>574319</v>
      </c>
      <c r="G74" s="11" cm="1">
        <f t="array" aca="1" ref="G74" ca="1">IFERROR(VLOOKUP("*" &amp; B74  &amp; "*" &amp; (MID(CELL("filename",A73),FIND("]",CELL("filename",A73))+1,31)) &amp; "*",CHOOSE({1,2}, Super_CBSA!$B$2:$B$1917, Super_CBSA!$A$2:$A$1917), 2,FALSE), IFERROR(VLOOKUP(B74  &amp; "*",CHOOSE({1,2}, Super_CBSA!$E$2:$E$1917, Super_CBSA!$A$2:$A$1917), 2,FALSE), ""))</f>
        <v>49020</v>
      </c>
    </row>
    <row r="75" spans="1:7" ht="17">
      <c r="A75" s="2" t="s">
        <v>56</v>
      </c>
      <c r="B75" s="2"/>
      <c r="C75" s="3">
        <v>15192</v>
      </c>
      <c r="D75" s="3">
        <v>743119</v>
      </c>
      <c r="E75" s="3">
        <v>3618061</v>
      </c>
      <c r="F75" s="4">
        <v>71408802</v>
      </c>
    </row>
  </sheetData>
  <hyperlinks>
    <hyperlink ref="A2" r:id="rId1" display="https://www.ahd.com/free_profile/220052/_Brockton_Hospital/Brockton/Massachusetts/" xr:uid="{1FB02A98-1793-B94A-BAB7-83A3F0A6AE74}"/>
    <hyperlink ref="A3" r:id="rId2" display="https://www.ahd.com/free_profile/220062/AdCare_Hospital/Worcester/Massachusetts/" xr:uid="{7FB938C5-4818-9746-B90A-5F88AC8C3F1D}"/>
    <hyperlink ref="A4" r:id="rId3" display="https://www.ahd.com/free_profile/220128/Addison_Gilbert_Hospital/Gloucester/Massachusetts/" xr:uid="{B12C1E1A-08BE-8E4A-B95E-C499BE6FF8A8}"/>
    <hyperlink ref="A5" r:id="rId4" display="https://www.ahd.com/free_profile/220029/Anna_Jaques_Hospital/Newburyport/Massachusetts/" xr:uid="{1399DEC8-ECB2-4E45-858B-97B6220D3273}"/>
    <hyperlink ref="A6" r:id="rId5" display="https://www.ahd.com/free_profile/220016/Baystate_Franklin_Medical_Center/Greenfield/Massachusetts/" xr:uid="{57AC3655-D8DE-404D-B711-1CDFC903F741}"/>
    <hyperlink ref="A7" r:id="rId6" display="https://www.ahd.com/free_profile/220077/Baystate_Medical_Center/Springfield/Massachusetts/" xr:uid="{AB8483CA-0437-054C-84CB-5655CF15027F}"/>
    <hyperlink ref="A8" r:id="rId7" display="https://www.ahd.com/free_profile/220065/Baystate_Noble_Hospital/Westfield/Massachusetts/" xr:uid="{6F53A064-D50C-6D48-83E1-96E6A2D39F94}"/>
    <hyperlink ref="A9" r:id="rId8" display="https://www.ahd.com/free_profile/220030/Baystate_Wing_Hospital/Palmer/Massachusetts/" xr:uid="{858BC29F-B1B8-EF49-B491-1E4D8847EDE5}"/>
    <hyperlink ref="A10" r:id="rId9" display="https://www.ahd.com/free_profile/220046/Berkshire_Medical_Center/Pittsfield/Massachusetts/" xr:uid="{6C85204E-D952-7749-9D74-CD6EBF4B8037}"/>
    <hyperlink ref="A11" r:id="rId10" display="https://www.ahd.com/free_profile/220108/Beth_Israel_Deaconess_Hospital_Milton/Milton/Massachusetts/" xr:uid="{28012B33-2B83-8948-A686-B4A10388E063}"/>
    <hyperlink ref="A12" r:id="rId11" display="https://www.ahd.com/free_profile/220083/Beth_Israel_Deaconess_Hospital_Needham/Needham/Massachusetts/" xr:uid="{55077393-3147-AD44-ACCF-1C8D6BAE8CA1}"/>
    <hyperlink ref="A13" r:id="rId12" display="https://www.ahd.com/free_profile/220060/Beth_Israel_Deaconess_Hospital-Plymouth/Plymouth/Massachusetts/" xr:uid="{CEA77BF6-2608-3645-9CDE-5BFB618FD79D}"/>
    <hyperlink ref="A14" r:id="rId13" display="https://www.ahd.com/free_profile/220086/Beth_Israel_Deaconess_Medical_Center/Boston/Massachusetts/" xr:uid="{C259DB4C-6F31-B84C-B7FB-53BFDFEAEF6F}"/>
    <hyperlink ref="A15" r:id="rId14" display="https://www.ahd.com/free_profile/220033/Beverly_Hospital/Beverly/Massachusetts/" xr:uid="{AE42457B-22E5-7F45-AC44-749BD1BDD6E3}"/>
    <hyperlink ref="A16" r:id="rId15" display="https://www.ahd.com/free_profile/220031/Boston_Medical_Center/Boston/Massachusetts/" xr:uid="{506A69AC-7A3F-F74B-985B-635D724FC797}"/>
    <hyperlink ref="A17" r:id="rId16" display="https://www.ahd.com/free_profile/220119/Brigham_and_Women%27s_Faulkner_Hospital/Boston/Massachusetts/" xr:uid="{8F60C7A2-6EA1-944E-BAA7-B698BAB66136}"/>
    <hyperlink ref="A18" r:id="rId17" display="https://www.ahd.com/free_profile/220110/Brigham_and_Women%27s_Hospital/Boston/Massachusetts/" xr:uid="{07ADE8E8-0CBA-F64B-9C79-4EE0AD2B88E8}"/>
    <hyperlink ref="A19" r:id="rId18" display="https://www.ahd.com/free_profile/220012/Cape_Cod_Hospital/Hyannis/Massachusetts/" xr:uid="{0D7057C7-51EE-BF43-9D5D-91D6F8129595}"/>
    <hyperlink ref="A20" r:id="rId19" display="https://www.ahd.com/free_profile/220017/Carney_Hospital/Dorchester/Massachusetts/" xr:uid="{27379E49-49FB-A540-9DE7-A6A68B293659}"/>
    <hyperlink ref="A21" r:id="rId20" display="https://www.ahd.com/free_profile/220011/CHA_Cambridge_Hospital_/Cambridge/Massachusetts/" xr:uid="{73A70974-2287-CE42-B745-D7B71BFDBE6E}"/>
    <hyperlink ref="A22" r:id="rId21" display="https://www.ahd.com/free_profile/I41024/CHA_Everett_Hospital/Everett/Massachusetts/" xr:uid="{8A3397F3-154A-BB41-A1E5-504D4A1DACE4}"/>
    <hyperlink ref="A23" r:id="rId22" display="https://www.ahd.com/free_profile/220004/CHA_Somerville_Hospital/Somerville/Massachusetts/" xr:uid="{19541CEF-F56D-BC45-83CC-E747689405E6}"/>
    <hyperlink ref="A24" r:id="rId23" display="https://www.ahd.com/free_profile/220074/Charlton_Memorial_Hospital/Fall_River/Massachusetts/" xr:uid="{B160584C-00EC-5143-8F13-DB32FA90D6D0}"/>
    <hyperlink ref="A25" r:id="rId24" display="https://www.ahd.com/free_profile/220015/Cooley_Dickinson_Hospital/Northampton/Massachusetts/" xr:uid="{642E00B8-EF0B-3C43-AD5A-BCFBEF2BAED8}"/>
    <hyperlink ref="A26" r:id="rId25" display="https://www.ahd.com/free_profile/220162/Dana-Farber_Cancer_Institute/Boston/Massachusetts/" xr:uid="{1ABBE138-B0B6-0B4F-AD19-E459801AF6CC}"/>
    <hyperlink ref="A27" r:id="rId26" display="https://www.ahd.com/free_profile/22001F/Edith_Nourse_Rogers_Memorial_Veterans_Hospital/Bedford/Massachusetts/" xr:uid="{B4EB4AF8-01CA-9F45-91F5-AE8BCF92260A}"/>
    <hyperlink ref="A28" r:id="rId27" display="https://www.ahd.com/free_profile/220084/Emerson_Hospital/Concord/Massachusetts/" xr:uid="{710C3B65-C556-454C-8119-F2FAF530D9A1}"/>
    <hyperlink ref="A29" r:id="rId28" display="https://www.ahd.com/free_profile/220135/Falmouth_Hospital/Falmouth/Massachusetts/" xr:uid="{6C89A5AB-AA77-434A-927A-019287FE8EA5}"/>
    <hyperlink ref="A30" r:id="rId29" display="https://www.ahd.com/free_profile/220175/Framingham_Union_Hospital/Framingham/Massachusetts/" xr:uid="{515A5D1B-F23A-5E4F-B074-5210272A5122}"/>
    <hyperlink ref="A31" r:id="rId30" display="https://www.ahd.com/free_profile/220111/Good_Samaritan_Medical_Center/Brockton/Massachusetts/" xr:uid="{DB9FA691-48AC-AA4E-BDC4-245437EAD966}"/>
    <hyperlink ref="A32" r:id="rId31" display="https://www.ahd.com/free_profile/220019/Harrington_Hospital/Southbridge/Massachusetts/" xr:uid="{45E1C24F-2A01-334C-A008-12DF067BF845}"/>
    <hyperlink ref="A33" r:id="rId32" display="https://www.ahd.com/free_profile/220095/Heywood_Hospital/Gardner/Massachusetts/" xr:uid="{E3DBA0FD-50EC-5640-AD0B-5D091C5DE734}"/>
    <hyperlink ref="A34" r:id="rId33" display="https://www.ahd.com/free_profile/220080/Holy_Family_Hospital_-_Methuen/Methuen/Massachusetts/" xr:uid="{BFD9CBB1-495E-2E43-A13C-49F343CEB763}"/>
    <hyperlink ref="A35" r:id="rId34" display="https://www.ahd.com/free_profile/220174/Holy_Family_Hospital_-Haverhill/Haverhill/Massachusetts/" xr:uid="{BEDFFD67-67E9-9C4B-82AA-7A01F345567C}"/>
    <hyperlink ref="A36" r:id="rId35" display="https://www.ahd.com/free_profile/220024/Holyoke_Medical_Center/Holyoke/Massachusetts/" xr:uid="{92A79B49-009A-3045-8CA9-CA34AB6CE3CA}"/>
    <hyperlink ref="A37" r:id="rId36" display="https://www.ahd.com/free_profile/220171/Lahey_Hospital_and_Medical_Center_Burlington/Burlington/Massachusetts/" xr:uid="{FEC367B5-8403-054B-B5FE-A014F6EA3C0C}"/>
    <hyperlink ref="A38" r:id="rId37" display="https://www.ahd.com/free_profile/I42046/Lahey_Medical_Center_Peabody/Peabody/Massachusetts/" xr:uid="{6FF2399F-90E5-B149-AC5B-85957051A65D}"/>
    <hyperlink ref="A39" r:id="rId38" display="https://www.ahd.com/free_profile/220010/Lawrence_General_Hospital/Lawrence/Massachusetts/" xr:uid="{EEC844EB-E353-4E43-B8C0-E74319E83D88}"/>
    <hyperlink ref="A40" r:id="rId39" display="https://www.ahd.com/free_profile/220070/Lawrence_Memorial_Hospital/Medford/Massachusetts/" xr:uid="{5A353A7F-06BC-6E4D-A1B6-96F8479248E7}"/>
    <hyperlink ref="A41" r:id="rId40" display="https://www.ahd.com/free_profile/I08145/Leonard_Morse_Hospital/Natick/Massachusetts/" xr:uid="{7F8DBAC1-80D6-BC46-B601-D3AE02A15827}"/>
    <hyperlink ref="A42" r:id="rId41" display="https://www.ahd.com/free_profile/220063/Lowell_General_Hospital_-_Main_Campus/Lowell/Massachusetts/" xr:uid="{4B537601-7866-6C49-B8EB-A73477824E3D}"/>
    <hyperlink ref="A43" r:id="rId42" display="https://www.ahd.com/free_profile/220082/Lowell_General_Hospital_-_Saints_Campus/Lowell/Massachusetts/" xr:uid="{CE27E357-D893-E340-A6F5-7CFABB4ADCEF}"/>
    <hyperlink ref="A44" r:id="rId43" display="https://www.ahd.com/free_profile/220075/Massachusetts_Eye_and_Ear_Infirmary/Boston/Massachusetts/" xr:uid="{737CA4B8-B755-DD47-9DD7-B9B4027F643D}"/>
    <hyperlink ref="A45" r:id="rId44" display="https://www.ahd.com/free_profile/220071/Massachusetts_General_Hospital/Boston/Massachusetts/" xr:uid="{8E93651E-4780-D64D-A795-0CEC56D4B2CF}"/>
    <hyperlink ref="A46" r:id="rId45" display="https://www.ahd.com/free_profile/I41166/Melrose-Wakefield_Hospital/Melrose/Massachusetts/" xr:uid="{A44E584E-156F-F544-AF12-1415E468F0BB}"/>
    <hyperlink ref="A47" r:id="rId46" display="https://www.ahd.com/free_profile/220066/Mercy_Medical_Center/Springfield/Massachusetts/" xr:uid="{744D8E95-FFA3-1845-BB69-1399CAE4D81F}"/>
    <hyperlink ref="A48" r:id="rId47" display="https://www.ahd.com/free_profile/220090/Milford_Regional_Medical_Center/Milford/Massachusetts/" xr:uid="{E48ECEE1-8D6F-574D-AE3F-591BA0288F35}"/>
    <hyperlink ref="A49" r:id="rId48" display="https://www.ahd.com/free_profile/220073/Morton_Hospital_/Taunton/Massachusetts/" xr:uid="{959F1E91-C4F8-014A-83A3-E026AB087579}"/>
    <hyperlink ref="A50" r:id="rId49" display="https://www.ahd.com/free_profile/220002/Mount_Auburn_Hospital/Cambridge/Massachusetts/" xr:uid="{A6569BE4-6D4C-EB48-9005-A9B0CE3E6FA8}"/>
    <hyperlink ref="A51" r:id="rId50" display="https://www.ahd.com/free_profile/220177/Nantucket_Cottage_Hospital/Nantucket/Massachusetts/" xr:uid="{A168B430-C10E-1849-85CC-798F3DA54BE9}"/>
    <hyperlink ref="A52" r:id="rId51" display="https://www.ahd.com/free_profile/220098/Nashoba_Valley_Medical_Center/Ayer/Massachusetts/" xr:uid="{7C0DE7E2-940C-3548-9E45-E7322185B7C7}"/>
    <hyperlink ref="A53" r:id="rId52" display="https://www.ahd.com/free_profile/220088/New_England_Baptist_Hospital/Boston/Massachusetts/" xr:uid="{345CF912-EC62-244B-9DB5-A9C5ABBA0093}"/>
    <hyperlink ref="A54" r:id="rId53" display="https://www.ahd.com/free_profile/220101/Newton-Wellesley_Hospital/Newton/Massachusetts/" xr:uid="{A5C72931-93B3-834C-882A-D36178995D84}"/>
    <hyperlink ref="A55" r:id="rId54" display="https://www.ahd.com/free_profile/220126/Norwood_Hospital/Norwood/Massachusetts/" xr:uid="{4757B3B6-C516-154C-8DF0-FA2A382409FA}"/>
    <hyperlink ref="A56" r:id="rId55" display="https://www.ahd.com/free_profile/220006/NSMC_Salem_Hospital/Salem/Massachusetts/" xr:uid="{4650641D-DDE5-794E-9E48-170EC008898D}"/>
    <hyperlink ref="A57" r:id="rId56" display="https://www.ahd.com/free_profile/220035/NSMC_Union_Hospital/Lynn/Massachusetts/" xr:uid="{8676154C-DA1A-2248-9F8F-01666D24AA15}"/>
    <hyperlink ref="A58" r:id="rId57" display="https://www.ahd.com/free_profile/220020/Saint_Anne%27s_Hospital/Fall_River/Massachusetts/" xr:uid="{78549817-AFC9-7742-A38A-EBC3BCC35B3A}"/>
    <hyperlink ref="A59" r:id="rId58" display="https://www.ahd.com/free_profile/220036/Saint_Elizabeth%27s_Medical_Center/Brighton/Massachusetts/" xr:uid="{94A38662-89D2-4A45-AE28-9A829DB20049}"/>
    <hyperlink ref="A60" r:id="rId59" display="https://www.ahd.com/free_profile/I08183/Saint_Luke%27s_Hospital/New_Bedford/Massachusetts/" xr:uid="{84EEA098-1E78-7F4F-B536-D56B048E8DD1}"/>
    <hyperlink ref="A61" r:id="rId60" display="https://www.ahd.com/free_profile/220176/Saint_Vincent_Hospital_at_Worcester_Medical_Center/Worcester/Massachusetts/" xr:uid="{63E342FE-A37D-5449-9AE8-F482D497B920}"/>
    <hyperlink ref="A62" r:id="rId61" display="https://www.ahd.com/free_profile/220100/South_Shore_Hospital/South_Weymouth/Massachusetts/" xr:uid="{E0696C16-09CC-9647-8869-110CDD4F9099}"/>
    <hyperlink ref="A63" r:id="rId62" display="https://www.ahd.com/free_profile/220008/Sturdy_Memorial_Hospital/Attleboro/Massachusetts/" xr:uid="{8ADF9A9B-AF12-564D-9597-35ED8F6F9C5B}"/>
    <hyperlink ref="A64" r:id="rId63" display="https://www.ahd.com/free_profile/I08182/Tobey_Hospital/Wareham/Massachusetts/" xr:uid="{19C3221C-B010-8E4D-8F33-F81E44FED114}"/>
    <hyperlink ref="A65" r:id="rId64" display="https://www.ahd.com/free_profile/220116/Tufts_Medical_Center/Boston/Massachusetts/" xr:uid="{2485BFB0-2959-EE43-ACEA-EDF14219CD58}"/>
    <hyperlink ref="A66" r:id="rId65" display="https://www.ahd.com/free_profile/220058/UMass_Memorial_Health_Alliance-Clinton_Hospital/Clinton/Massachusetts/" xr:uid="{17FBFA2A-92B5-9E4E-86ED-6B30EFBE894C}"/>
    <hyperlink ref="A67" r:id="rId66" display="https://www.ahd.com/free_profile/220001/UMass_Memorial_HealthAlliance_-_Clinton_Hospital_-_Leominster_Campus/Leominster/Massachusetts/" xr:uid="{25CB1AB8-E865-164B-A8CC-616A2EFE52FC}"/>
    <hyperlink ref="A68" r:id="rId67" display="https://www.ahd.com/free_profile/220049/UMass_Memorial_Marlborough_Hospital/Marlborough/Massachusetts/" xr:uid="{80298BB1-531A-EE4B-915A-2DBFD53F8066}"/>
    <hyperlink ref="A69" r:id="rId68" display="https://www.ahd.com/free_profile/I41160/UMass_Memorial_Medical_Center_-_Memorial_Campus/Worcester/Massachusetts/" xr:uid="{AF0772BF-3277-CB4A-ADEE-FC8389F1C81E}"/>
    <hyperlink ref="A70" r:id="rId69" display="https://www.ahd.com/free_profile/220163/UMass_Memorial_Medical_Center_-_University_Campus/Worcester/Massachusetts/" xr:uid="{884B70C6-EF5E-0744-8DAD-FFCA2114EE3A}"/>
    <hyperlink ref="A71" r:id="rId70" display="https://www.ahd.com/free_profile/22004F/VA_Boston_Healthcare_System_-_Brockton_Campus/Brockton/Massachusetts/" xr:uid="{C5269305-DA09-D044-A5A2-3929EC02CA4B}"/>
    <hyperlink ref="A72" r:id="rId71" display="https://www.ahd.com/free_profile/22010F/VA_Boston_Healthcare_System_-_Jamaica_Plain_Division/Boston/Massachusetts/" xr:uid="{06625866-8E8B-1343-91FD-F4960BD8A144}"/>
    <hyperlink ref="A73" r:id="rId72" display="https://www.ahd.com/free_profile/22003F/VA_Boston_Healthcare_System_-_West_Roxbury_Campus/West_Roxbury/Massachusetts/" xr:uid="{D201B62D-B6A6-1744-B67C-6F512C863905}"/>
    <hyperlink ref="A74" r:id="rId73" display="https://www.ahd.com/free_profile/220105/Winchester_Hospital/Winchester/Massachusetts/" xr:uid="{645498AD-3CC0-5045-9D84-EFCDF83E24B7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01B30-7D6D-7543-B9CA-9C94E77BBA83}">
  <sheetPr codeName="Sheet22"/>
  <dimension ref="A1:G55"/>
  <sheetViews>
    <sheetView workbookViewId="0">
      <selection activeCell="G2" sqref="G2:G54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2626</v>
      </c>
      <c r="B2" s="2" t="s">
        <v>2627</v>
      </c>
      <c r="C2" s="2">
        <v>338</v>
      </c>
      <c r="D2" s="3">
        <v>21310</v>
      </c>
      <c r="E2" s="3">
        <v>94261</v>
      </c>
      <c r="F2" s="4">
        <v>451476</v>
      </c>
      <c r="G2" s="11" t="str" cm="1">
        <f t="array" aca="1" ref="G2" ca="1">IFERROR(VLOOKUP("*" &amp; B2  &amp; "*" &amp; (MID(CELL("filename",A1),FIND("]",CELL("filename",A1))+1,31)) &amp; "*",CHOOSE({1,2}, Super_CBSA!$B$2:$B$1917, Super_CBSA!$A$2:$A$1917), 2,FALSE), IFERROR(VLOOKUP(B2  &amp; "*",CHOOSE({1,2}, Super_CBSA!$E$2:$E$1917, Super_CBSA!$A$2:$A$1917), 2,FALSE), ""))</f>
        <v/>
      </c>
    </row>
    <row r="3" spans="1:7" ht="17">
      <c r="A3" s="1" t="s">
        <v>2628</v>
      </c>
      <c r="B3" s="2" t="s">
        <v>2629</v>
      </c>
      <c r="C3" s="2">
        <v>198</v>
      </c>
      <c r="D3" s="3">
        <v>12438</v>
      </c>
      <c r="E3" s="3">
        <v>51881</v>
      </c>
      <c r="F3" s="4">
        <v>279807</v>
      </c>
      <c r="G3" s="11" t="str" cm="1">
        <f t="array" aca="1" ref="G3" ca="1">IFERROR(VLOOKUP("*" &amp; B3  &amp; "*" &amp; (MID(CELL("filename",A2),FIND("]",CELL("filename",A2))+1,31)) &amp; "*",CHOOSE({1,2}, Super_CBSA!$B$2:$B$1917, Super_CBSA!$A$2:$A$1917), 2,FALSE), IFERROR(VLOOKUP(B3  &amp; "*",CHOOSE({1,2}, Super_CBSA!$E$2:$E$1917, Super_CBSA!$A$2:$A$1917), 2,FALSE), ""))</f>
        <v/>
      </c>
    </row>
    <row r="4" spans="1:7" ht="17">
      <c r="A4" s="1" t="s">
        <v>2630</v>
      </c>
      <c r="B4" s="2" t="s">
        <v>2631</v>
      </c>
      <c r="C4" s="2">
        <v>0</v>
      </c>
      <c r="D4" s="2">
        <v>0</v>
      </c>
      <c r="E4" s="2">
        <v>0</v>
      </c>
      <c r="F4" s="4">
        <v>0</v>
      </c>
      <c r="G4" s="11" t="str" cm="1">
        <f t="array" aca="1" ref="G4" ca="1">IFERROR(VLOOKUP("*" &amp; B4  &amp; "*" &amp; (MID(CELL("filename",A3),FIND("]",CELL("filename",A3))+1,31)) &amp; "*",CHOOSE({1,2}, Super_CBSA!$B$2:$B$1917, Super_CBSA!$A$2:$A$1917), 2,FALSE), IFERROR(VLOOKUP(B4  &amp; "*",CHOOSE({1,2}, Super_CBSA!$E$2:$E$1917, Super_CBSA!$A$2:$A$1917), 2,FALSE), ""))</f>
        <v/>
      </c>
    </row>
    <row r="5" spans="1:7" ht="17">
      <c r="A5" s="1" t="s">
        <v>2632</v>
      </c>
      <c r="B5" s="2" t="s">
        <v>2633</v>
      </c>
      <c r="C5" s="2">
        <v>379</v>
      </c>
      <c r="D5" s="3">
        <v>25122</v>
      </c>
      <c r="E5" s="3">
        <v>107444</v>
      </c>
      <c r="F5" s="4">
        <v>651785</v>
      </c>
      <c r="G5" s="11" t="str" cm="1">
        <f t="array" aca="1" ref="G5" ca="1">IFERROR(VLOOKUP("*" &amp; B5  &amp; "*" &amp; (MID(CELL("filename",A4),FIND("]",CELL("filename",A4))+1,31)) &amp; "*",CHOOSE({1,2}, Super_CBSA!$B$2:$B$1917, Super_CBSA!$A$2:$A$1917), 2,FALSE), IFERROR(VLOOKUP(B5  &amp; "*",CHOOSE({1,2}, Super_CBSA!$E$2:$E$1917, Super_CBSA!$A$2:$A$1917), 2,FALSE), ""))</f>
        <v/>
      </c>
    </row>
    <row r="6" spans="1:7" ht="17">
      <c r="A6" s="1" t="s">
        <v>2634</v>
      </c>
      <c r="B6" s="2" t="s">
        <v>2635</v>
      </c>
      <c r="C6" s="2">
        <v>48</v>
      </c>
      <c r="D6" s="3">
        <v>3112</v>
      </c>
      <c r="E6" s="3">
        <v>10463</v>
      </c>
      <c r="F6" s="4">
        <v>180090</v>
      </c>
      <c r="G6" s="11" t="str" cm="1">
        <f t="array" aca="1" ref="G6" ca="1">IFERROR(VLOOKUP("*" &amp; B6  &amp; "*" &amp; (MID(CELL("filename",A5),FIND("]",CELL("filename",A5))+1,31)) &amp; "*",CHOOSE({1,2}, Super_CBSA!$B$2:$B$1917, Super_CBSA!$A$2:$A$1917), 2,FALSE), IFERROR(VLOOKUP(B6  &amp; "*",CHOOSE({1,2}, Super_CBSA!$E$2:$E$1917, Super_CBSA!$A$2:$A$1917), 2,FALSE), ""))</f>
        <v/>
      </c>
    </row>
    <row r="7" spans="1:7" ht="17">
      <c r="A7" s="1" t="s">
        <v>2636</v>
      </c>
      <c r="B7" s="2" t="s">
        <v>2637</v>
      </c>
      <c r="C7" s="2">
        <v>68</v>
      </c>
      <c r="D7" s="3">
        <v>5452</v>
      </c>
      <c r="E7" s="3">
        <v>19854</v>
      </c>
      <c r="F7" s="4">
        <v>162694</v>
      </c>
      <c r="G7" s="11" t="str" cm="1">
        <f t="array" aca="1" ref="G7" ca="1">IFERROR(VLOOKUP("*" &amp; B7  &amp; "*" &amp; (MID(CELL("filename",A6),FIND("]",CELL("filename",A6))+1,31)) &amp; "*",CHOOSE({1,2}, Super_CBSA!$B$2:$B$1917, Super_CBSA!$A$2:$A$1917), 2,FALSE), IFERROR(VLOOKUP(B7  &amp; "*",CHOOSE({1,2}, Super_CBSA!$E$2:$E$1917, Super_CBSA!$A$2:$A$1917), 2,FALSE), ""))</f>
        <v/>
      </c>
    </row>
    <row r="8" spans="1:7" ht="17">
      <c r="A8" s="1" t="s">
        <v>2638</v>
      </c>
      <c r="B8" s="2" t="s">
        <v>1039</v>
      </c>
      <c r="C8" s="2">
        <v>153</v>
      </c>
      <c r="D8" s="3">
        <v>10591</v>
      </c>
      <c r="E8" s="3">
        <v>44735</v>
      </c>
      <c r="F8" s="4">
        <v>318069</v>
      </c>
      <c r="G8" s="11" t="str" cm="1">
        <f t="array" aca="1" ref="G8" ca="1">IFERROR(VLOOKUP("*" &amp; B8  &amp; "*" &amp; (MID(CELL("filename",A7),FIND("]",CELL("filename",A7))+1,31)) &amp; "*",CHOOSE({1,2}, Super_CBSA!$B$2:$B$1917, Super_CBSA!$A$2:$A$1917), 2,FALSE), IFERROR(VLOOKUP(B8  &amp; "*",CHOOSE({1,2}, Super_CBSA!$E$2:$E$1917, Super_CBSA!$A$2:$A$1917), 2,FALSE), ""))</f>
        <v/>
      </c>
    </row>
    <row r="9" spans="1:7" ht="17">
      <c r="A9" s="1" t="s">
        <v>2639</v>
      </c>
      <c r="B9" s="2" t="s">
        <v>2640</v>
      </c>
      <c r="C9" s="2">
        <v>190</v>
      </c>
      <c r="D9" s="3">
        <v>10361</v>
      </c>
      <c r="E9" s="3">
        <v>54955</v>
      </c>
      <c r="F9" s="4">
        <v>257470</v>
      </c>
      <c r="G9" s="11" t="str" cm="1">
        <f t="array" aca="1" ref="G9" ca="1">IFERROR(VLOOKUP("*" &amp; B9  &amp; "*" &amp; (MID(CELL("filename",A8),FIND("]",CELL("filename",A8))+1,31)) &amp; "*",CHOOSE({1,2}, Super_CBSA!$B$2:$B$1917, Super_CBSA!$A$2:$A$1917), 2,FALSE), IFERROR(VLOOKUP(B9  &amp; "*",CHOOSE({1,2}, Super_CBSA!$E$2:$E$1917, Super_CBSA!$A$2:$A$1917), 2,FALSE), ""))</f>
        <v/>
      </c>
    </row>
    <row r="10" spans="1:7" ht="17">
      <c r="A10" s="1" t="s">
        <v>2641</v>
      </c>
      <c r="B10" s="2" t="s">
        <v>2642</v>
      </c>
      <c r="C10" s="2">
        <v>29</v>
      </c>
      <c r="D10" s="3">
        <v>1735</v>
      </c>
      <c r="E10" s="3">
        <v>8349</v>
      </c>
      <c r="F10" s="4">
        <v>55129</v>
      </c>
      <c r="G10" s="11" t="str" cm="1">
        <f t="array" aca="1" ref="G10" ca="1">IFERROR(VLOOKUP("*" &amp; B10  &amp; "*" &amp; (MID(CELL("filename",A9),FIND("]",CELL("filename",A9))+1,31)) &amp; "*",CHOOSE({1,2}, Super_CBSA!$B$2:$B$1917, Super_CBSA!$A$2:$A$1917), 2,FALSE), IFERROR(VLOOKUP(B10  &amp; "*",CHOOSE({1,2}, Super_CBSA!$E$2:$E$1917, Super_CBSA!$A$2:$A$1917), 2,FALSE), ""))</f>
        <v/>
      </c>
    </row>
    <row r="11" spans="1:7" ht="17">
      <c r="A11" s="1" t="s">
        <v>2643</v>
      </c>
      <c r="B11" s="2" t="s">
        <v>2644</v>
      </c>
      <c r="C11" s="2">
        <v>281</v>
      </c>
      <c r="D11" s="3">
        <v>15876</v>
      </c>
      <c r="E11" s="3">
        <v>78640</v>
      </c>
      <c r="F11" s="4">
        <v>436062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"*",CHOOSE({1,2}, Super_CBSA!$E$2:$E$1917, Super_CBSA!$A$2:$A$1917), 2,FALSE), ""))</f>
        <v>47900</v>
      </c>
    </row>
    <row r="12" spans="1:7" ht="17">
      <c r="A12" s="1" t="s">
        <v>2645</v>
      </c>
      <c r="B12" s="2" t="s">
        <v>474</v>
      </c>
      <c r="C12" s="2">
        <v>37</v>
      </c>
      <c r="D12" s="3">
        <v>1220</v>
      </c>
      <c r="E12" s="3">
        <v>6402</v>
      </c>
      <c r="F12" s="4">
        <v>66583</v>
      </c>
      <c r="G12" s="11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"*",CHOOSE({1,2}, Super_CBSA!$E$2:$E$1917, Super_CBSA!$A$2:$A$1917), 2,FALSE), ""))</f>
        <v>19820</v>
      </c>
    </row>
    <row r="13" spans="1:7" ht="17">
      <c r="A13" s="1" t="s">
        <v>2646</v>
      </c>
      <c r="B13" s="2" t="s">
        <v>2647</v>
      </c>
      <c r="C13" s="2">
        <v>69</v>
      </c>
      <c r="D13" s="3">
        <v>2996</v>
      </c>
      <c r="E13" s="3">
        <v>19026</v>
      </c>
      <c r="F13" s="4">
        <v>169044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"*",CHOOSE({1,2}, Super_CBSA!$E$2:$E$1917, Super_CBSA!$A$2:$A$1917), 2,FALSE), ""))</f>
        <v>12580</v>
      </c>
    </row>
    <row r="14" spans="1:7" ht="17">
      <c r="A14" s="1" t="s">
        <v>2648</v>
      </c>
      <c r="B14" s="2" t="s">
        <v>2647</v>
      </c>
      <c r="C14" s="2">
        <v>296</v>
      </c>
      <c r="D14" s="3">
        <v>21752</v>
      </c>
      <c r="E14" s="3">
        <v>83498</v>
      </c>
      <c r="F14" s="4">
        <v>655090</v>
      </c>
      <c r="G14" s="11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"*",CHOOSE({1,2}, Super_CBSA!$E$2:$E$1917, Super_CBSA!$A$2:$A$1917), 2,FALSE), ""))</f>
        <v>12580</v>
      </c>
    </row>
    <row r="15" spans="1:7" ht="17">
      <c r="A15" s="1" t="s">
        <v>2649</v>
      </c>
      <c r="B15" s="2" t="s">
        <v>2650</v>
      </c>
      <c r="C15" s="2">
        <v>73</v>
      </c>
      <c r="D15" s="3">
        <v>5199</v>
      </c>
      <c r="E15" s="3">
        <v>21943</v>
      </c>
      <c r="F15" s="4">
        <v>113007</v>
      </c>
      <c r="G15" s="11" t="str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"*",CHOOSE({1,2}, Super_CBSA!$E$2:$E$1917, Super_CBSA!$A$2:$A$1917), 2,FALSE), ""))</f>
        <v/>
      </c>
    </row>
    <row r="16" spans="1:7" ht="17">
      <c r="A16" s="1" t="s">
        <v>1321</v>
      </c>
      <c r="B16" s="2" t="s">
        <v>2631</v>
      </c>
      <c r="C16" s="2">
        <v>441</v>
      </c>
      <c r="D16" s="3">
        <v>25005</v>
      </c>
      <c r="E16" s="3">
        <v>132136</v>
      </c>
      <c r="F16" s="4">
        <v>547997</v>
      </c>
      <c r="G16" s="11" t="str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"*",CHOOSE({1,2}, Super_CBSA!$E$2:$E$1917, Super_CBSA!$A$2:$A$1917), 2,FALSE), ""))</f>
        <v/>
      </c>
    </row>
    <row r="17" spans="1:7" ht="17">
      <c r="A17" s="1" t="s">
        <v>2651</v>
      </c>
      <c r="B17" s="2" t="s">
        <v>2340</v>
      </c>
      <c r="C17" s="2">
        <v>245</v>
      </c>
      <c r="D17" s="3">
        <v>14469</v>
      </c>
      <c r="E17" s="3">
        <v>70482</v>
      </c>
      <c r="F17" s="4">
        <v>308067</v>
      </c>
      <c r="G17" s="11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"*",CHOOSE({1,2}, Super_CBSA!$E$2:$E$1917, Super_CBSA!$A$2:$A$1917), 2,FALSE), ""))</f>
        <v>12580</v>
      </c>
    </row>
    <row r="18" spans="1:7" ht="17">
      <c r="A18" s="1" t="s">
        <v>2652</v>
      </c>
      <c r="B18" s="2" t="s">
        <v>2647</v>
      </c>
      <c r="C18" s="2">
        <v>411</v>
      </c>
      <c r="D18" s="3">
        <v>19138</v>
      </c>
      <c r="E18" s="3">
        <v>117322</v>
      </c>
      <c r="F18" s="4">
        <v>697300</v>
      </c>
      <c r="G18" s="11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"*",CHOOSE({1,2}, Super_CBSA!$E$2:$E$1917, Super_CBSA!$A$2:$A$1917), 2,FALSE), ""))</f>
        <v>12580</v>
      </c>
    </row>
    <row r="19" spans="1:7" ht="17">
      <c r="A19" s="1" t="s">
        <v>2653</v>
      </c>
      <c r="B19" s="2" t="s">
        <v>2654</v>
      </c>
      <c r="C19" s="2">
        <v>233</v>
      </c>
      <c r="D19" s="3">
        <v>13781</v>
      </c>
      <c r="E19" s="3">
        <v>56807</v>
      </c>
      <c r="F19" s="4">
        <v>338131</v>
      </c>
      <c r="G19" s="11" t="str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"*",CHOOSE({1,2}, Super_CBSA!$E$2:$E$1917, Super_CBSA!$A$2:$A$1917), 2,FALSE), ""))</f>
        <v/>
      </c>
    </row>
    <row r="20" spans="1:7" ht="17">
      <c r="A20" s="1" t="s">
        <v>2655</v>
      </c>
      <c r="B20" s="2" t="s">
        <v>2647</v>
      </c>
      <c r="C20" s="2">
        <v>330</v>
      </c>
      <c r="D20" s="3">
        <v>1304</v>
      </c>
      <c r="E20" s="3">
        <v>35686</v>
      </c>
      <c r="F20" s="4">
        <v>93358</v>
      </c>
      <c r="G20" s="11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"*",CHOOSE({1,2}, Super_CBSA!$E$2:$E$1917, Super_CBSA!$A$2:$A$1917), 2,FALSE), ""))</f>
        <v>12580</v>
      </c>
    </row>
    <row r="21" spans="1:7" ht="17">
      <c r="A21" s="1" t="s">
        <v>2656</v>
      </c>
      <c r="B21" s="2" t="s">
        <v>2657</v>
      </c>
      <c r="C21" s="2">
        <v>0</v>
      </c>
      <c r="D21" s="2">
        <v>0</v>
      </c>
      <c r="E21" s="2">
        <v>0</v>
      </c>
      <c r="F21" s="4">
        <v>0</v>
      </c>
      <c r="G21" s="11" t="str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"*",CHOOSE({1,2}, Super_CBSA!$E$2:$E$1917, Super_CBSA!$A$2:$A$1917), 2,FALSE), ""))</f>
        <v/>
      </c>
    </row>
    <row r="22" spans="1:7" ht="17">
      <c r="A22" s="1" t="s">
        <v>2658</v>
      </c>
      <c r="B22" s="2" t="s">
        <v>2647</v>
      </c>
      <c r="C22" s="2">
        <v>347</v>
      </c>
      <c r="D22" s="3">
        <v>20083</v>
      </c>
      <c r="E22" s="3">
        <v>95909</v>
      </c>
      <c r="F22" s="4">
        <v>720953</v>
      </c>
      <c r="G22" s="11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"*",CHOOSE({1,2}, Super_CBSA!$E$2:$E$1917, Super_CBSA!$A$2:$A$1917), 2,FALSE), ""))</f>
        <v>12580</v>
      </c>
    </row>
    <row r="23" spans="1:7" ht="17">
      <c r="A23" s="1" t="s">
        <v>2659</v>
      </c>
      <c r="B23" s="2" t="s">
        <v>2647</v>
      </c>
      <c r="C23" s="2">
        <v>201</v>
      </c>
      <c r="D23" s="3">
        <v>8471</v>
      </c>
      <c r="E23" s="3">
        <v>37418</v>
      </c>
      <c r="F23" s="4">
        <v>307127</v>
      </c>
      <c r="G23" s="11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"*",CHOOSE({1,2}, Super_CBSA!$E$2:$E$1917, Super_CBSA!$A$2:$A$1917), 2,FALSE), ""))</f>
        <v>12580</v>
      </c>
    </row>
    <row r="24" spans="1:7" ht="17">
      <c r="A24" s="1" t="s">
        <v>2660</v>
      </c>
      <c r="B24" s="2" t="s">
        <v>2647</v>
      </c>
      <c r="C24" s="2">
        <v>129</v>
      </c>
      <c r="D24" s="3">
        <v>7468</v>
      </c>
      <c r="E24" s="3">
        <v>36610</v>
      </c>
      <c r="F24" s="4">
        <v>236956</v>
      </c>
      <c r="G24" s="11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"*",CHOOSE({1,2}, Super_CBSA!$E$2:$E$1917, Super_CBSA!$A$2:$A$1917), 2,FALSE), ""))</f>
        <v>12580</v>
      </c>
    </row>
    <row r="25" spans="1:7" ht="17">
      <c r="A25" s="1" t="s">
        <v>2661</v>
      </c>
      <c r="B25" s="2" t="s">
        <v>1800</v>
      </c>
      <c r="C25" s="2">
        <v>117</v>
      </c>
      <c r="D25" s="3">
        <v>6147</v>
      </c>
      <c r="E25" s="3">
        <v>27430</v>
      </c>
      <c r="F25" s="4">
        <v>202932</v>
      </c>
      <c r="G25" s="11" t="str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"*",CHOOSE({1,2}, Super_CBSA!$E$2:$E$1917, Super_CBSA!$A$2:$A$1917), 2,FALSE), ""))</f>
        <v/>
      </c>
    </row>
    <row r="26" spans="1:7" ht="17">
      <c r="A26" s="1" t="s">
        <v>2662</v>
      </c>
      <c r="B26" s="2" t="s">
        <v>2663</v>
      </c>
      <c r="C26" s="2">
        <v>96</v>
      </c>
      <c r="D26" s="3">
        <v>6385</v>
      </c>
      <c r="E26" s="3">
        <v>25933</v>
      </c>
      <c r="F26" s="4">
        <v>202479</v>
      </c>
      <c r="G26" s="11" t="str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"*",CHOOSE({1,2}, Super_CBSA!$E$2:$E$1917, Super_CBSA!$A$2:$A$1917), 2,FALSE), ""))</f>
        <v/>
      </c>
    </row>
    <row r="27" spans="1:7" ht="17">
      <c r="A27" s="1" t="s">
        <v>2664</v>
      </c>
      <c r="B27" s="2" t="s">
        <v>1729</v>
      </c>
      <c r="C27" s="2">
        <v>176</v>
      </c>
      <c r="D27" s="3">
        <v>10173</v>
      </c>
      <c r="E27" s="3">
        <v>50407</v>
      </c>
      <c r="F27" s="4">
        <v>297304</v>
      </c>
      <c r="G27" s="11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"*",CHOOSE({1,2}, Super_CBSA!$E$2:$E$1917, Super_CBSA!$A$2:$A$1917), 2,FALSE), ""))</f>
        <v>17540</v>
      </c>
    </row>
    <row r="28" spans="1:7" ht="17">
      <c r="A28" s="1" t="s">
        <v>2665</v>
      </c>
      <c r="B28" s="2" t="s">
        <v>2647</v>
      </c>
      <c r="C28" s="2">
        <v>185</v>
      </c>
      <c r="D28" s="3">
        <v>10769</v>
      </c>
      <c r="E28" s="3">
        <v>48320</v>
      </c>
      <c r="F28" s="4">
        <v>545835</v>
      </c>
      <c r="G28" s="11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"*",CHOOSE({1,2}, Super_CBSA!$E$2:$E$1917, Super_CBSA!$A$2:$A$1917), 2,FALSE), ""))</f>
        <v>12580</v>
      </c>
    </row>
    <row r="29" spans="1:7" ht="17">
      <c r="A29" s="1" t="s">
        <v>702</v>
      </c>
      <c r="B29" s="2" t="s">
        <v>2647</v>
      </c>
      <c r="C29" s="2">
        <v>229</v>
      </c>
      <c r="D29" s="3">
        <v>13334</v>
      </c>
      <c r="E29" s="3">
        <v>59870</v>
      </c>
      <c r="F29" s="4">
        <v>563400</v>
      </c>
      <c r="G29" s="11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"*",CHOOSE({1,2}, Super_CBSA!$E$2:$E$1917, Super_CBSA!$A$2:$A$1917), 2,FALSE), ""))</f>
        <v>12580</v>
      </c>
    </row>
    <row r="30" spans="1:7" ht="17">
      <c r="A30" s="1" t="s">
        <v>2666</v>
      </c>
      <c r="B30" s="2" t="s">
        <v>2667</v>
      </c>
      <c r="C30" s="2">
        <v>254</v>
      </c>
      <c r="D30" s="3">
        <v>15466</v>
      </c>
      <c r="E30" s="3">
        <v>72492</v>
      </c>
      <c r="F30" s="4">
        <v>389342</v>
      </c>
      <c r="G30" s="11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"*",CHOOSE({1,2}, Super_CBSA!$E$2:$E$1917, Super_CBSA!$A$2:$A$1917), 2,FALSE), ""))</f>
        <v>25180</v>
      </c>
    </row>
    <row r="31" spans="1:7" ht="17">
      <c r="A31" s="1" t="s">
        <v>2668</v>
      </c>
      <c r="B31" s="2" t="s">
        <v>2669</v>
      </c>
      <c r="C31" s="2">
        <v>228</v>
      </c>
      <c r="D31" s="3">
        <v>10140</v>
      </c>
      <c r="E31" s="3">
        <v>48127</v>
      </c>
      <c r="F31" s="4">
        <v>309246</v>
      </c>
      <c r="G31" s="11" t="str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"*",CHOOSE({1,2}, Super_CBSA!$E$2:$E$1917, Super_CBSA!$A$2:$A$1917), 2,FALSE), ""))</f>
        <v/>
      </c>
    </row>
    <row r="32" spans="1:7" ht="17">
      <c r="A32" s="1" t="s">
        <v>2670</v>
      </c>
      <c r="B32" s="2" t="s">
        <v>2671</v>
      </c>
      <c r="C32" s="2">
        <v>288</v>
      </c>
      <c r="D32" s="3">
        <v>13715</v>
      </c>
      <c r="E32" s="3">
        <v>68699</v>
      </c>
      <c r="F32" s="4">
        <v>577596</v>
      </c>
      <c r="G32" s="11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"*",CHOOSE({1,2}, Super_CBSA!$E$2:$E$1917, Super_CBSA!$A$2:$A$1917), 2,FALSE), ""))</f>
        <v>41540</v>
      </c>
    </row>
    <row r="33" spans="1:7" ht="17">
      <c r="A33" s="1" t="s">
        <v>2672</v>
      </c>
      <c r="B33" s="2" t="s">
        <v>2647</v>
      </c>
      <c r="C33" s="2">
        <v>267</v>
      </c>
      <c r="D33" s="3">
        <v>13949</v>
      </c>
      <c r="E33" s="3">
        <v>73537</v>
      </c>
      <c r="F33" s="4">
        <v>598367</v>
      </c>
      <c r="G33" s="11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"*",CHOOSE({1,2}, Super_CBSA!$E$2:$E$1917, Super_CBSA!$A$2:$A$1917), 2,FALSE), ""))</f>
        <v>12580</v>
      </c>
    </row>
    <row r="34" spans="1:7" ht="17">
      <c r="A34" s="1" t="s">
        <v>2673</v>
      </c>
      <c r="B34" s="2" t="s">
        <v>2647</v>
      </c>
      <c r="C34" s="2">
        <v>418</v>
      </c>
      <c r="D34" s="3">
        <v>21418</v>
      </c>
      <c r="E34" s="3">
        <v>109812</v>
      </c>
      <c r="F34" s="4">
        <v>1007649</v>
      </c>
      <c r="G34" s="11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"*",CHOOSE({1,2}, Super_CBSA!$E$2:$E$1917, Super_CBSA!$A$2:$A$1917), 2,FALSE), ""))</f>
        <v>12580</v>
      </c>
    </row>
    <row r="35" spans="1:7" ht="17">
      <c r="A35" s="1" t="s">
        <v>2674</v>
      </c>
      <c r="B35" s="2" t="s">
        <v>2647</v>
      </c>
      <c r="C35" s="2">
        <v>0</v>
      </c>
      <c r="D35" s="2">
        <v>0</v>
      </c>
      <c r="E35" s="2">
        <v>0</v>
      </c>
      <c r="F35" s="4">
        <v>0</v>
      </c>
      <c r="G35" s="11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"*",CHOOSE({1,2}, Super_CBSA!$E$2:$E$1917, Super_CBSA!$A$2:$A$1917), 2,FALSE), ""))</f>
        <v>12580</v>
      </c>
    </row>
    <row r="36" spans="1:7" ht="17">
      <c r="A36" s="1" t="s">
        <v>2675</v>
      </c>
      <c r="B36" s="2" t="s">
        <v>2647</v>
      </c>
      <c r="C36" s="3">
        <v>1003</v>
      </c>
      <c r="D36" s="3">
        <v>42755</v>
      </c>
      <c r="E36" s="3">
        <v>311296</v>
      </c>
      <c r="F36" s="4">
        <v>2511043</v>
      </c>
      <c r="G36" s="11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"*",CHOOSE({1,2}, Super_CBSA!$E$2:$E$1917, Super_CBSA!$A$2:$A$1917), 2,FALSE), ""))</f>
        <v>12580</v>
      </c>
    </row>
    <row r="37" spans="1:7" ht="17">
      <c r="A37" s="1" t="s">
        <v>2676</v>
      </c>
      <c r="B37" s="2" t="s">
        <v>2654</v>
      </c>
      <c r="C37" s="2">
        <v>0</v>
      </c>
      <c r="D37" s="2">
        <v>0</v>
      </c>
      <c r="E37" s="2">
        <v>0</v>
      </c>
      <c r="F37" s="4">
        <v>0</v>
      </c>
      <c r="G37" s="11" t="str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"*",CHOOSE({1,2}, Super_CBSA!$E$2:$E$1917, Super_CBSA!$A$2:$A$1917), 2,FALSE), ""))</f>
        <v/>
      </c>
    </row>
    <row r="38" spans="1:7" ht="17">
      <c r="A38" s="1" t="s">
        <v>2677</v>
      </c>
      <c r="B38" s="2" t="s">
        <v>2678</v>
      </c>
      <c r="C38" s="2">
        <v>124</v>
      </c>
      <c r="D38" s="3">
        <v>3539</v>
      </c>
      <c r="E38" s="3">
        <v>18517</v>
      </c>
      <c r="F38" s="4">
        <v>85660</v>
      </c>
      <c r="G38" s="11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"*",CHOOSE({1,2}, Super_CBSA!$E$2:$E$1917, Super_CBSA!$A$2:$A$1917), 2,FALSE), ""))</f>
        <v>30940</v>
      </c>
    </row>
    <row r="39" spans="1:7" ht="17">
      <c r="A39" s="1" t="s">
        <v>2158</v>
      </c>
      <c r="B39" s="2" t="s">
        <v>2679</v>
      </c>
      <c r="C39" s="2">
        <v>96</v>
      </c>
      <c r="D39" s="3">
        <v>4923</v>
      </c>
      <c r="E39" s="3">
        <v>20823</v>
      </c>
      <c r="F39" s="4">
        <v>164099</v>
      </c>
      <c r="G39" s="11" t="str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"*",CHOOSE({1,2}, Super_CBSA!$E$2:$E$1917, Super_CBSA!$A$2:$A$1917), 2,FALSE), ""))</f>
        <v/>
      </c>
    </row>
    <row r="40" spans="1:7" ht="17">
      <c r="A40" s="1" t="s">
        <v>2680</v>
      </c>
      <c r="B40" s="2" t="s">
        <v>2681</v>
      </c>
      <c r="C40" s="2">
        <v>272</v>
      </c>
      <c r="D40" s="3">
        <v>27193</v>
      </c>
      <c r="E40" s="3">
        <v>79893</v>
      </c>
      <c r="F40" s="4">
        <v>457874</v>
      </c>
      <c r="G40" s="11" t="str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"*",CHOOSE({1,2}, Super_CBSA!$E$2:$E$1917, Super_CBSA!$A$2:$A$1917), 2,FALSE), ""))</f>
        <v/>
      </c>
    </row>
    <row r="41" spans="1:7" ht="17">
      <c r="A41" s="1" t="s">
        <v>2682</v>
      </c>
      <c r="B41" s="2" t="s">
        <v>2683</v>
      </c>
      <c r="C41" s="2">
        <v>98</v>
      </c>
      <c r="D41" s="3">
        <v>6424</v>
      </c>
      <c r="E41" s="3">
        <v>27218</v>
      </c>
      <c r="F41" s="4">
        <v>158092</v>
      </c>
      <c r="G41" s="11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"*",CHOOSE({1,2}, Super_CBSA!$E$2:$E$1917, Super_CBSA!$A$2:$A$1917), 2,FALSE), ""))</f>
        <v>20420</v>
      </c>
    </row>
    <row r="42" spans="1:7" ht="17">
      <c r="A42" s="1" t="s">
        <v>2684</v>
      </c>
      <c r="B42" s="2" t="s">
        <v>2685</v>
      </c>
      <c r="C42" s="2">
        <v>82</v>
      </c>
      <c r="D42" s="3">
        <v>4433</v>
      </c>
      <c r="E42" s="3">
        <v>20249</v>
      </c>
      <c r="F42" s="4">
        <v>108469</v>
      </c>
      <c r="G42" s="11" t="str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"*",CHOOSE({1,2}, Super_CBSA!$E$2:$E$1917, Super_CBSA!$A$2:$A$1917), 2,FALSE), ""))</f>
        <v/>
      </c>
    </row>
    <row r="43" spans="1:7" ht="17">
      <c r="A43" s="1" t="s">
        <v>2686</v>
      </c>
      <c r="B43" s="2" t="s">
        <v>2647</v>
      </c>
      <c r="C43" s="2">
        <v>829</v>
      </c>
      <c r="D43" s="3">
        <v>26014</v>
      </c>
      <c r="E43" s="3">
        <v>228585</v>
      </c>
      <c r="F43" s="4">
        <v>1807611</v>
      </c>
      <c r="G43" s="11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"*",CHOOSE({1,2}, Super_CBSA!$E$2:$E$1917, Super_CBSA!$A$2:$A$1917), 2,FALSE), ""))</f>
        <v>12580</v>
      </c>
    </row>
    <row r="44" spans="1:7" ht="17">
      <c r="A44" s="1" t="s">
        <v>2687</v>
      </c>
      <c r="B44" s="2" t="s">
        <v>2647</v>
      </c>
      <c r="C44" s="2">
        <v>177</v>
      </c>
      <c r="D44" s="3">
        <v>4618</v>
      </c>
      <c r="E44" s="3">
        <v>34524</v>
      </c>
      <c r="F44" s="4">
        <v>236670</v>
      </c>
      <c r="G44" s="11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"*",CHOOSE({1,2}, Super_CBSA!$E$2:$E$1917, Super_CBSA!$A$2:$A$1917), 2,FALSE), ""))</f>
        <v>12580</v>
      </c>
    </row>
    <row r="45" spans="1:7" ht="17">
      <c r="A45" s="1" t="s">
        <v>2688</v>
      </c>
      <c r="B45" s="2" t="s">
        <v>2689</v>
      </c>
      <c r="C45" s="2">
        <v>382</v>
      </c>
      <c r="D45" s="3">
        <v>14704</v>
      </c>
      <c r="E45" s="3">
        <v>70686</v>
      </c>
      <c r="F45" s="4">
        <v>385120</v>
      </c>
      <c r="G45" s="11" t="str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"*",CHOOSE({1,2}, Super_CBSA!$E$2:$E$1917, Super_CBSA!$A$2:$A$1917), 2,FALSE), ""))</f>
        <v/>
      </c>
    </row>
    <row r="46" spans="1:7" ht="17">
      <c r="A46" s="1" t="s">
        <v>2690</v>
      </c>
      <c r="B46" s="2" t="s">
        <v>2647</v>
      </c>
      <c r="C46" s="2">
        <v>137</v>
      </c>
      <c r="D46" s="3">
        <v>2345</v>
      </c>
      <c r="E46" s="3">
        <v>32505</v>
      </c>
      <c r="F46" s="4">
        <v>125742</v>
      </c>
      <c r="G46" s="11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"*",CHOOSE({1,2}, Super_CBSA!$E$2:$E$1917, Super_CBSA!$A$2:$A$1917), 2,FALSE), ""))</f>
        <v>12580</v>
      </c>
    </row>
    <row r="47" spans="1:7" ht="17">
      <c r="A47" s="1" t="s">
        <v>2691</v>
      </c>
      <c r="B47" s="2" t="s">
        <v>2692</v>
      </c>
      <c r="C47" s="2">
        <v>238</v>
      </c>
      <c r="D47" s="3">
        <v>14899</v>
      </c>
      <c r="E47" s="3">
        <v>64392</v>
      </c>
      <c r="F47" s="4">
        <v>395301</v>
      </c>
      <c r="G47" s="11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"*",CHOOSE({1,2}, Super_CBSA!$E$2:$E$1917, Super_CBSA!$A$2:$A$1917), 2,FALSE), ""))</f>
        <v>12580</v>
      </c>
    </row>
    <row r="48" spans="1:7" ht="17">
      <c r="A48" s="1" t="s">
        <v>2693</v>
      </c>
      <c r="B48" s="2" t="s">
        <v>2694</v>
      </c>
      <c r="C48" s="2">
        <v>21</v>
      </c>
      <c r="D48" s="2">
        <v>746</v>
      </c>
      <c r="E48" s="3">
        <v>2859</v>
      </c>
      <c r="F48" s="4">
        <v>54056</v>
      </c>
      <c r="G48" s="11" t="str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"*",CHOOSE({1,2}, Super_CBSA!$E$2:$E$1917, Super_CBSA!$A$2:$A$1917), 2,FALSE), ""))</f>
        <v/>
      </c>
    </row>
    <row r="49" spans="1:7" ht="17">
      <c r="A49" s="1" t="s">
        <v>2695</v>
      </c>
      <c r="B49" s="2" t="s">
        <v>2546</v>
      </c>
      <c r="C49" s="2">
        <v>66</v>
      </c>
      <c r="D49" s="3">
        <v>4018</v>
      </c>
      <c r="E49" s="3">
        <v>16645</v>
      </c>
      <c r="F49" s="4">
        <v>38691</v>
      </c>
      <c r="G49" s="11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"*",CHOOSE({1,2}, Super_CBSA!$E$2:$E$1917, Super_CBSA!$A$2:$A$1917), 2,FALSE), ""))</f>
        <v>15700</v>
      </c>
    </row>
    <row r="50" spans="1:7" ht="17">
      <c r="A50" s="1" t="s">
        <v>2696</v>
      </c>
      <c r="B50" s="2" t="s">
        <v>2697</v>
      </c>
      <c r="C50" s="2">
        <v>162</v>
      </c>
      <c r="D50" s="3">
        <v>8836</v>
      </c>
      <c r="E50" s="3">
        <v>38839</v>
      </c>
      <c r="F50" s="4">
        <v>328141</v>
      </c>
      <c r="G50" s="11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"*",CHOOSE({1,2}, Super_CBSA!$E$2:$E$1917, Super_CBSA!$A$2:$A$1917), 2,FALSE), ""))</f>
        <v>20660</v>
      </c>
    </row>
    <row r="51" spans="1:7" ht="17">
      <c r="A51" s="1" t="s">
        <v>2698</v>
      </c>
      <c r="B51" s="2" t="s">
        <v>2699</v>
      </c>
      <c r="C51" s="2">
        <v>149</v>
      </c>
      <c r="D51" s="3">
        <v>11536</v>
      </c>
      <c r="E51" s="3">
        <v>45160</v>
      </c>
      <c r="F51" s="4">
        <v>324966</v>
      </c>
      <c r="G51" s="11" t="str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"*",CHOOSE({1,2}, Super_CBSA!$E$2:$E$1917, Super_CBSA!$A$2:$A$1917), 2,FALSE), ""))</f>
        <v/>
      </c>
    </row>
    <row r="52" spans="1:7" ht="17">
      <c r="A52" s="1" t="s">
        <v>2700</v>
      </c>
      <c r="B52" s="2" t="s">
        <v>2701</v>
      </c>
      <c r="C52" s="2">
        <v>213</v>
      </c>
      <c r="D52" s="3">
        <v>11933</v>
      </c>
      <c r="E52" s="3">
        <v>52768</v>
      </c>
      <c r="F52" s="4">
        <v>411264</v>
      </c>
      <c r="G52" s="11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"*",CHOOSE({1,2}, Super_CBSA!$E$2:$E$1917, Super_CBSA!$A$2:$A$1917), 2,FALSE), ""))</f>
        <v>19060</v>
      </c>
    </row>
    <row r="53" spans="1:7" ht="17">
      <c r="A53" s="1" t="s">
        <v>2702</v>
      </c>
      <c r="B53" s="2" t="s">
        <v>2647</v>
      </c>
      <c r="C53" s="2">
        <v>0</v>
      </c>
      <c r="D53" s="2">
        <v>0</v>
      </c>
      <c r="E53" s="2">
        <v>0</v>
      </c>
      <c r="F53" s="4">
        <v>0</v>
      </c>
      <c r="G53" s="11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"*",CHOOSE({1,2}, Super_CBSA!$E$2:$E$1917, Super_CBSA!$A$2:$A$1917), 2,FALSE), ""))</f>
        <v>12580</v>
      </c>
    </row>
    <row r="54" spans="1:7" ht="17">
      <c r="A54" s="1" t="s">
        <v>2703</v>
      </c>
      <c r="B54" s="2" t="s">
        <v>2654</v>
      </c>
      <c r="C54" s="2">
        <v>0</v>
      </c>
      <c r="D54" s="2">
        <v>0</v>
      </c>
      <c r="E54" s="2">
        <v>0</v>
      </c>
      <c r="F54" s="4">
        <v>0</v>
      </c>
      <c r="G54" s="11" t="str" cm="1">
        <f t="array" aca="1" ref="G54" ca="1">IFERROR(VLOOKUP("*" &amp; B54  &amp; "*" &amp; (MID(CELL("filename",A53),FIND("]",CELL("filename",A53))+1,31)) &amp; "*",CHOOSE({1,2}, Super_CBSA!$B$2:$B$1917, Super_CBSA!$A$2:$A$1917), 2,FALSE), IFERROR(VLOOKUP(B54  &amp; "*",CHOOSE({1,2}, Super_CBSA!$E$2:$E$1917, Super_CBSA!$A$2:$A$1917), 2,FALSE), ""))</f>
        <v/>
      </c>
    </row>
    <row r="55" spans="1:7" ht="17">
      <c r="A55" s="2" t="s">
        <v>56</v>
      </c>
      <c r="B55" s="2"/>
      <c r="C55" s="3">
        <v>10803</v>
      </c>
      <c r="D55" s="3">
        <v>557295</v>
      </c>
      <c r="E55" s="3">
        <v>2833407</v>
      </c>
      <c r="F55" s="4">
        <v>19333142</v>
      </c>
    </row>
  </sheetData>
  <hyperlinks>
    <hyperlink ref="A2" r:id="rId1" display="https://www.ahd.com/free_profile/210057/Adventist_HealthCare_Shady_Grove_Medical_Center/Rockville/Maryland/" xr:uid="{229E2358-BE1E-9046-BBDE-5F51ED89CF11}"/>
    <hyperlink ref="A3" r:id="rId2" display="https://www.ahd.com/free_profile/210016/Adventist_HealthCare_Takoma_Park/Takoma_Park/Maryland/" xr:uid="{98402E65-EB49-0945-B031-B603E8A9363D}"/>
    <hyperlink ref="A4" r:id="rId3" display="https://www.ahd.com/free_profile/I42337/Adventist_HealthCare_White_Oak_Medical_Center/Silver_Spring/Maryland/" xr:uid="{A79D0FE5-448A-6E4D-813D-EF88B91767F3}"/>
    <hyperlink ref="A5" r:id="rId4" display="https://www.ahd.com/free_profile/210023/Anne_Arundel_Medical_Center/Annapolis/Maryland/" xr:uid="{278D1B45-57AA-6A4E-92B1-61DF1A1C05B4}"/>
    <hyperlink ref="A6" r:id="rId5" display="https://www.ahd.com/free_profile/210061/Atlantic_General_Hospital/Berlin/Maryland/" xr:uid="{4B99C252-F174-0E44-9DE3-BA04089C90B4}"/>
    <hyperlink ref="A7" r:id="rId6" display="https://www.ahd.com/free_profile/210039/CalvertHealth_Medical_Center/Prince_Frederick/Maryland/" xr:uid="{BB4B6A10-3BDB-114B-901A-E8021A5F63A0}"/>
    <hyperlink ref="A8" r:id="rId7" display="https://www.ahd.com/free_profile/210033/Carroll_Hospital_/Westminster/Maryland/" xr:uid="{F9840D98-75F9-304C-89C9-2BA6B576710A}"/>
    <hyperlink ref="A9" r:id="rId8" display="https://www.ahd.com/free_profile/210051/Doctors_Community_Hospital/Lanham/Maryland/" xr:uid="{A11AA844-398C-E148-B799-AE9154DB8C52}"/>
    <hyperlink ref="A10" r:id="rId9" display="https://www.ahd.com/free_profile/210060/Fort_Washington_Medical_Center/Fort_Washington/Maryland/" xr:uid="{F9A87A4A-5720-C341-AB7D-7CBBB67BF397}"/>
    <hyperlink ref="A11" r:id="rId10" display="https://www.ahd.com/free_profile/210005/Frederick_Memorial_Hospital/Frederick/Maryland/" xr:uid="{949452F8-18DD-184C-9E7C-DDBA8576069F}"/>
    <hyperlink ref="A12" r:id="rId11" display="https://www.ahd.com/free_profile/210017/Garrett_Regional_Medical_Center/Oakland/Maryland/" xr:uid="{4DD42F28-3346-C649-AE10-DF38657507FE}"/>
    <hyperlink ref="A13" r:id="rId12" display="https://www.ahd.com/free_profile/210013/Grace_Medical_Center/Baltimore/Maryland/" xr:uid="{0B3D7D4F-1E5B-C242-A824-75E8EBEEBFAA}"/>
    <hyperlink ref="A14" r:id="rId13" display="https://www.ahd.com/free_profile/210044/Greater_Baltimore_Medical_Center/Baltimore/Maryland/" xr:uid="{952C768F-EFD0-AE49-9D17-B3DB7AB89FF8}"/>
    <hyperlink ref="A15" r:id="rId14" display="https://www.ahd.com/free_profile/210065/Holy_Cross_Germantown_Hospital/Germantown/Maryland/" xr:uid="{FD0F4CC6-43F1-2B49-BEEB-EB0BC48BE762}"/>
    <hyperlink ref="A16" r:id="rId15" display="https://www.ahd.com/free_profile/210004/Holy_Cross_Hospital/Silver_Spring/Maryland/" xr:uid="{929F757A-83F3-7644-BF77-CC791EB102D2}"/>
    <hyperlink ref="A17" r:id="rId16" display="https://www.ahd.com/free_profile/210048/Howard_County_General_Hospital/Columbia/Maryland/" xr:uid="{E01FBE3D-DE2C-1046-B6E2-BDF2980DB909}"/>
    <hyperlink ref="A18" r:id="rId17" display="https://www.ahd.com/free_profile/210029/Johns_Hopkins_Bayview_Medical_Center/Baltimore/Maryland/" xr:uid="{08B22597-786A-3D45-92FB-046C7A0036F7}"/>
    <hyperlink ref="A19" r:id="rId18" display="https://www.ahd.com/free_profile/210022/Johns_Hopkins_Suburban_Hospital/Bethesda/Maryland/" xr:uid="{4C69E1AE-D837-284B-8FB5-BE154B82BDA6}"/>
    <hyperlink ref="A20" r:id="rId19" display="https://www.ahd.com/free_profile/210064/Levindale_Hebrew_Geriatric_Center_and_Hospital/Baltimore/Maryland/" xr:uid="{69446C72-0602-A246-B52E-8326D192F745}"/>
    <hyperlink ref="A21" r:id="rId20" display="https://www.ahd.com/free_profile/I08126/Malcolm_Grow_Medical_Clinics_and_Surgery_Center/Andrews_Air_Force_Base/Maryland/" xr:uid="{2D174D41-CCCD-AB40-89E6-B6F8C8FB884A}"/>
    <hyperlink ref="A22" r:id="rId21" display="https://www.ahd.com/free_profile/210015/MedStar_Franklin_Square_Medical_Center/Baltimore/Maryland/" xr:uid="{C0120C04-6E16-5F4F-A968-73F197F94F42}"/>
    <hyperlink ref="A23" r:id="rId22" display="https://www.ahd.com/free_profile/210056/Medstar_Good_Samaritan_Hospital/Baltimore/Maryland/" xr:uid="{F84D3A95-8D99-8A42-875A-E070DBC44BBB}"/>
    <hyperlink ref="A24" r:id="rId23" display="https://www.ahd.com/free_profile/210034/MedStar_Harbor_Hospital/Baltimore/Maryland/" xr:uid="{491A5B1D-2D60-124F-81E0-71E2A4358ED2}"/>
    <hyperlink ref="A25" r:id="rId24" display="https://www.ahd.com/free_profile/210018/MedStar_Montgomery_Medical_Center/Olney/Maryland/" xr:uid="{81C2CFFA-CCA2-2A46-B0C4-EFA5B458DB29}"/>
    <hyperlink ref="A26" r:id="rId25" display="https://www.ahd.com/free_profile/210028/MedStar_Saint_Mary%27s_Hospital/Leonardtown/Maryland/" xr:uid="{35BC0AA6-AF8E-9E4F-AD01-FD31C186896A}"/>
    <hyperlink ref="A27" r:id="rId26" display="https://www.ahd.com/free_profile/210062/MedStar_Southern_Maryland_Hospital/Clinton/Maryland/" xr:uid="{D51D975F-235D-9B4B-9C29-6A44AD110B54}"/>
    <hyperlink ref="A28" r:id="rId27" display="https://www.ahd.com/free_profile/210024/MedStar_Union_Memorial_Hospital/Baltimore/Maryland/" xr:uid="{C0257405-E282-AB43-AC4D-F21ACDF9476B}"/>
    <hyperlink ref="A29" r:id="rId28" display="https://www.ahd.com/free_profile/210008/Mercy_Medical_Center/Baltimore/Maryland/" xr:uid="{A6F98FC5-D03E-0C47-96CF-3430DDB17BFE}"/>
    <hyperlink ref="A30" r:id="rId29" display="https://www.ahd.com/free_profile/210001/Meritus_Medical_Center/Hagerstown/Maryland/" xr:uid="{CD92A88C-715C-5245-9E10-3F7675F850C0}"/>
    <hyperlink ref="A31" r:id="rId30" display="https://www.ahd.com/free_profile/210040/Northwest_Hospital/Randallstown/Maryland/" xr:uid="{CFC9ED52-74FC-FC4C-8613-16F83EDABF0C}"/>
    <hyperlink ref="A32" r:id="rId31" display="https://www.ahd.com/free_profile/210019/Peninsula_Regional_Medical_Center/Salisbury/Maryland/" xr:uid="{49DF9665-7AD5-7048-93A8-9852BA3E72BB}"/>
    <hyperlink ref="A33" r:id="rId32" display="https://www.ahd.com/free_profile/210011/Saint_Agnes_Hospital/Baltimore/Maryland/" xr:uid="{B9C87F4A-6BAF-4947-9BF8-97980180AB8C}"/>
    <hyperlink ref="A34" r:id="rId33" display="https://www.ahd.com/free_profile/210012/Sinai_Hospital_/Baltimore/Maryland/" xr:uid="{3CB0E6A8-EF7E-9E4C-9330-DAEFC0DDE4A9}"/>
    <hyperlink ref="A35" r:id="rId34" display="https://www.ahd.com/free_profile/I42352/The_Herman_%26_Walter_Samuelson_Children%27s_Hospital_at_Sinai/Baltimore/Maryland/" xr:uid="{86B0C469-EC6A-804B-960E-5BA050A647A1}"/>
    <hyperlink ref="A36" r:id="rId35" display="https://www.ahd.com/free_profile/210009/The_Johns_Hopkins_Hospital/Baltimore/Maryland/" xr:uid="{D6A94CF8-D9F0-A248-A1C3-86A8F2E17824}"/>
    <hyperlink ref="A37" r:id="rId36" display="https://www.ahd.com/free_profile/21006F/The_National_Institutes_of_Health_%28NIH%29_Clinical_Center/Bethesda/Maryland/" xr:uid="{71B1909D-9280-314E-98D9-2CA26AC9E933}"/>
    <hyperlink ref="A38" r:id="rId37" display="https://www.ahd.com/free_profile/210055/UM_Laurel_Medical_Center/Laurel/Maryland/" xr:uid="{4C0D7DB2-5F26-D54F-8D4B-C40DB1FB4832}"/>
    <hyperlink ref="A39" r:id="rId38" display="https://www.ahd.com/free_profile/210032/Union_Hospital/Elkton/Maryland/" xr:uid="{B52B4142-E4D7-594F-B1C1-36C89E39A576}"/>
    <hyperlink ref="A40" r:id="rId39" display="https://www.ahd.com/free_profile/210043/University_of_Maryland_Baltimore_Washington_Medical_Center/Glen_Burnie/Maryland/" xr:uid="{B29F74E1-34DE-184B-9B2B-69F30795612F}"/>
    <hyperlink ref="A41" r:id="rId40" display="https://www.ahd.com/free_profile/210035/University_of_Maryland_Charles_Regional_Medical_Center/La_Plata/Maryland/" xr:uid="{84184D7D-91F4-0D48-B801-F912317D861A}"/>
    <hyperlink ref="A42" r:id="rId41" display="https://www.ahd.com/free_profile/210006/University_of_Maryland_Harford_Memorial_Hospital/Havre_de_Grace/Maryland/" xr:uid="{2D65F3D5-1E53-D84E-9B8F-D3CCFEAB7320}"/>
    <hyperlink ref="A43" r:id="rId42" display="https://www.ahd.com/free_profile/210002/University_of_Maryland_Medical_Center/Baltimore/Maryland/" xr:uid="{6EF0FB3A-3D1D-694A-92E5-171737E1DD4F}"/>
    <hyperlink ref="A44" r:id="rId43" display="https://www.ahd.com/free_profile/210038/University_of_Maryland_Medical_Center_Midtown_Campus/Baltimore/Maryland/" xr:uid="{138A1374-631C-4E48-A4EA-434D49F445EA}"/>
    <hyperlink ref="A45" r:id="rId44" display="https://www.ahd.com/free_profile/210003/University_of_Maryland_Prince_George%27s_Hospital_Center/Cheverly/Maryland/" xr:uid="{25E31A7E-976B-F94D-B3C4-2707178C7C1D}"/>
    <hyperlink ref="A46" r:id="rId45" display="https://www.ahd.com/free_profile/210058/University_of_Maryland_Rehabilitaion_and_Orthopaedic_Insitute/Baltimore/Maryland/" xr:uid="{14229444-A0F4-8548-B965-78D65FCB4DE2}"/>
    <hyperlink ref="A47" r:id="rId46" display="https://www.ahd.com/free_profile/210063/University_of_Maryland_Saint_Joseph_Medical_Center/Towson/Maryland/" xr:uid="{6FF501EF-A042-C44B-9C71-D6042D32D240}"/>
    <hyperlink ref="A48" r:id="rId47" display="https://www.ahd.com/free_profile/210030/University_of_Maryland_Shore_Medical_Center_at_Chestertown/Chestertown/Maryland/" xr:uid="{3A256628-6D7E-DD41-98C6-54284BF0C0FC}"/>
    <hyperlink ref="A49" r:id="rId48" display="https://www.ahd.com/free_profile/210010/University_of_Maryland_Shore_Medical_Center_at_Dorchester/Cambridge/Maryland/" xr:uid="{9C1B923D-229F-A244-9917-1751F6909D71}"/>
    <hyperlink ref="A50" r:id="rId49" display="https://www.ahd.com/free_profile/210037/University_of_Maryland_Shore_Medical_Center_at_Easton/Easton/Maryland/" xr:uid="{BCF080BC-CEA4-C54C-90D4-DE0EBB1F0749}"/>
    <hyperlink ref="A51" r:id="rId50" display="https://www.ahd.com/free_profile/210049/University_of_Maryland_Upper_Chesapeake_Medical_Center_/Bel_Air/Maryland/" xr:uid="{3C3B6C76-A10E-3143-A408-B6937E472BDC}"/>
    <hyperlink ref="A52" r:id="rId51" display="https://www.ahd.com/free_profile/210027/UPMC_Western_Maryland/Cumberland/Maryland/" xr:uid="{0B5B0D5B-1AD2-3543-87F7-6B77AB2CD858}"/>
    <hyperlink ref="A53" r:id="rId52" display="https://www.ahd.com/free_profile/21005F/VA_Maryland_Health_Care_System_-_Baltimore_VA_Medical_Center/Baltimore/Maryland/" xr:uid="{5146BCA9-341A-EB4D-8D68-D18BE4554EA0}"/>
    <hyperlink ref="A54" r:id="rId53" display="https://www.ahd.com/free_profile/21007F/Walter_Reed_National_Military_Medical_Center/Bethesda/Maryland/" xr:uid="{F20A831D-AE88-034A-A7CE-EA0104CC8CCE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8C53E-1931-084E-9B66-63B449F11B6B}">
  <sheetPr codeName="Sheet23"/>
  <dimension ref="A1:G21"/>
  <sheetViews>
    <sheetView workbookViewId="0">
      <selection activeCell="G2" sqref="G2:G20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2704</v>
      </c>
      <c r="B2" s="2" t="s">
        <v>2705</v>
      </c>
      <c r="C2" s="2">
        <v>49</v>
      </c>
      <c r="D2" s="3">
        <v>1700</v>
      </c>
      <c r="E2" s="3">
        <v>7359</v>
      </c>
      <c r="F2" s="4">
        <v>123116</v>
      </c>
      <c r="G2" s="11" t="str" cm="1">
        <f t="array" aca="1" ref="G2" ca="1">IFERROR(VLOOKUP("*" &amp; B2  &amp; "*" &amp; (MID(CELL("filename",A1),FIND("]",CELL("filename",A1))+1,31)) &amp; "*",CHOOSE({1,2}, Super_CBSA!$B$2:$B$1917, Super_CBSA!$A$2:$A$1917), 2,FALSE), IFERROR(VLOOKUP(B2  &amp; "*",CHOOSE({1,2}, Super_CBSA!$E$2:$E$1917, Super_CBSA!$A$2:$A$1917), 2,FALSE), ""))</f>
        <v/>
      </c>
    </row>
    <row r="3" spans="1:7" ht="17">
      <c r="A3" s="1" t="s">
        <v>2706</v>
      </c>
      <c r="B3" s="2" t="s">
        <v>1789</v>
      </c>
      <c r="C3" s="2">
        <v>234</v>
      </c>
      <c r="D3" s="3">
        <v>9094</v>
      </c>
      <c r="E3" s="3">
        <v>42185</v>
      </c>
      <c r="F3" s="4">
        <v>926532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"*",CHOOSE({1,2}, Super_CBSA!$E$2:$E$1917, Super_CBSA!$A$2:$A$1917), 2,FALSE), ""))</f>
        <v>30340</v>
      </c>
    </row>
    <row r="4" spans="1:7" ht="17">
      <c r="A4" s="1" t="s">
        <v>2707</v>
      </c>
      <c r="B4" s="2" t="s">
        <v>1124</v>
      </c>
      <c r="C4" s="2">
        <v>48</v>
      </c>
      <c r="D4" s="3">
        <v>2549</v>
      </c>
      <c r="E4" s="3">
        <v>6856</v>
      </c>
      <c r="F4" s="4">
        <v>184857</v>
      </c>
      <c r="G4" s="11" t="str" cm="1">
        <f t="array" aca="1" ref="G4" ca="1">IFERROR(VLOOKUP("*" &amp; B4  &amp; "*" &amp; (MID(CELL("filename",A3),FIND("]",CELL("filename",A3))+1,31)) &amp; "*",CHOOSE({1,2}, Super_CBSA!$B$2:$B$1917, Super_CBSA!$A$2:$A$1917), 2,FALSE), IFERROR(VLOOKUP(B4  &amp; "*",CHOOSE({1,2}, Super_CBSA!$E$2:$E$1917, Super_CBSA!$A$2:$A$1917), 2,FALSE), ""))</f>
        <v/>
      </c>
    </row>
    <row r="5" spans="1:7" ht="17">
      <c r="A5" s="1" t="s">
        <v>2708</v>
      </c>
      <c r="B5" s="2" t="s">
        <v>2709</v>
      </c>
      <c r="C5" s="2">
        <v>596</v>
      </c>
      <c r="D5" s="3">
        <v>29336</v>
      </c>
      <c r="E5" s="3">
        <v>160456</v>
      </c>
      <c r="F5" s="4">
        <v>3135245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"*",CHOOSE({1,2}, Super_CBSA!$E$2:$E$1917, Super_CBSA!$A$2:$A$1917), 2,FALSE), ""))</f>
        <v>38860</v>
      </c>
    </row>
    <row r="6" spans="1:7" ht="17">
      <c r="A6" s="1" t="s">
        <v>2710</v>
      </c>
      <c r="B6" s="2" t="s">
        <v>1505</v>
      </c>
      <c r="C6" s="2">
        <v>0</v>
      </c>
      <c r="D6" s="2">
        <v>0</v>
      </c>
      <c r="E6" s="2">
        <v>0</v>
      </c>
      <c r="F6" s="4">
        <v>0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"*",CHOOSE({1,2}, Super_CBSA!$E$2:$E$1917, Super_CBSA!$A$2:$A$1917), 2,FALSE), ""))</f>
        <v>12300</v>
      </c>
    </row>
    <row r="7" spans="1:7" ht="17">
      <c r="A7" s="1" t="s">
        <v>2711</v>
      </c>
      <c r="B7" s="2" t="s">
        <v>1505</v>
      </c>
      <c r="C7" s="2">
        <v>192</v>
      </c>
      <c r="D7" s="3">
        <v>11033</v>
      </c>
      <c r="E7" s="3">
        <v>53676</v>
      </c>
      <c r="F7" s="4">
        <v>1118915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"*",CHOOSE({1,2}, Super_CBSA!$E$2:$E$1917, Super_CBSA!$A$2:$A$1917), 2,FALSE), ""))</f>
        <v>12300</v>
      </c>
    </row>
    <row r="8" spans="1:7" ht="17">
      <c r="A8" s="1" t="s">
        <v>2712</v>
      </c>
      <c r="B8" s="2" t="s">
        <v>1633</v>
      </c>
      <c r="C8" s="2">
        <v>92</v>
      </c>
      <c r="D8" s="3">
        <v>5116</v>
      </c>
      <c r="E8" s="3">
        <v>24285</v>
      </c>
      <c r="F8" s="4">
        <v>499189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"*",CHOOSE({1,2}, Super_CBSA!$E$2:$E$1917, Super_CBSA!$A$2:$A$1917), 2,FALSE), ""))</f>
        <v>34820</v>
      </c>
    </row>
    <row r="9" spans="1:7" ht="17">
      <c r="A9" s="1" t="s">
        <v>2713</v>
      </c>
      <c r="B9" s="2" t="s">
        <v>2714</v>
      </c>
      <c r="C9" s="2">
        <v>112</v>
      </c>
      <c r="D9" s="3">
        <v>1974</v>
      </c>
      <c r="E9" s="3">
        <v>8414</v>
      </c>
      <c r="F9" s="4">
        <v>0</v>
      </c>
      <c r="G9" s="11" t="str" cm="1">
        <f t="array" aca="1" ref="G9" ca="1">IFERROR(VLOOKUP("*" &amp; B9  &amp; "*" &amp; (MID(CELL("filename",A8),FIND("]",CELL("filename",A8))+1,31)) &amp; "*",CHOOSE({1,2}, Super_CBSA!$B$2:$B$1917, Super_CBSA!$A$2:$A$1917), 2,FALSE), IFERROR(VLOOKUP(B9  &amp; "*",CHOOSE({1,2}, Super_CBSA!$E$2:$E$1917, Super_CBSA!$A$2:$A$1917), 2,FALSE), ""))</f>
        <v/>
      </c>
    </row>
    <row r="10" spans="1:7" ht="17">
      <c r="A10" s="1" t="s">
        <v>2715</v>
      </c>
      <c r="B10" s="2" t="s">
        <v>2716</v>
      </c>
      <c r="C10" s="2">
        <v>349</v>
      </c>
      <c r="D10" s="3">
        <v>18113</v>
      </c>
      <c r="E10" s="3">
        <v>106986</v>
      </c>
      <c r="F10" s="4">
        <v>2106626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"*",CHOOSE({1,2}, Super_CBSA!$E$2:$E$1917, Super_CBSA!$A$2:$A$1917), 2,FALSE), ""))</f>
        <v>12620</v>
      </c>
    </row>
    <row r="11" spans="1:7" ht="17">
      <c r="A11" s="1" t="s">
        <v>2717</v>
      </c>
      <c r="B11" s="2" t="s">
        <v>2718</v>
      </c>
      <c r="C11" s="2">
        <v>33</v>
      </c>
      <c r="D11" s="3">
        <v>1261</v>
      </c>
      <c r="E11" s="3">
        <v>5077</v>
      </c>
      <c r="F11" s="4">
        <v>135894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"*",CHOOSE({1,2}, Super_CBSA!$E$2:$E$1917, Super_CBSA!$A$2:$A$1917), 2,FALSE), ""))</f>
        <v>12300</v>
      </c>
    </row>
    <row r="12" spans="1:7" ht="17">
      <c r="A12" s="1" t="s">
        <v>2719</v>
      </c>
      <c r="B12" s="2" t="s">
        <v>2720</v>
      </c>
      <c r="C12" s="2">
        <v>48</v>
      </c>
      <c r="D12" s="3">
        <v>1631</v>
      </c>
      <c r="E12" s="3">
        <v>7948</v>
      </c>
      <c r="F12" s="4">
        <v>194324</v>
      </c>
      <c r="G12" s="11" t="str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"*",CHOOSE({1,2}, Super_CBSA!$E$2:$E$1917, Super_CBSA!$A$2:$A$1917), 2,FALSE), ""))</f>
        <v/>
      </c>
    </row>
    <row r="13" spans="1:7" ht="17">
      <c r="A13" s="1" t="s">
        <v>2721</v>
      </c>
      <c r="B13" s="2" t="s">
        <v>2709</v>
      </c>
      <c r="C13" s="2">
        <v>103</v>
      </c>
      <c r="D13" s="3">
        <v>4241</v>
      </c>
      <c r="E13" s="3">
        <v>17525</v>
      </c>
      <c r="F13" s="4">
        <v>529529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"*",CHOOSE({1,2}, Super_CBSA!$E$2:$E$1917, Super_CBSA!$A$2:$A$1917), 2,FALSE), ""))</f>
        <v>38860</v>
      </c>
    </row>
    <row r="14" spans="1:7" ht="17">
      <c r="A14" s="1" t="s">
        <v>2722</v>
      </c>
      <c r="B14" s="2" t="s">
        <v>2723</v>
      </c>
      <c r="C14" s="2">
        <v>94</v>
      </c>
      <c r="D14" s="3">
        <v>1027</v>
      </c>
      <c r="E14" s="3">
        <v>4036</v>
      </c>
      <c r="F14" s="4">
        <v>92248</v>
      </c>
      <c r="G14" s="11" t="str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"*",CHOOSE({1,2}, Super_CBSA!$E$2:$E$1917, Super_CBSA!$A$2:$A$1917), 2,FALSE), ""))</f>
        <v/>
      </c>
    </row>
    <row r="15" spans="1:7" ht="17">
      <c r="A15" s="1" t="s">
        <v>2724</v>
      </c>
      <c r="B15" s="2" t="s">
        <v>2725</v>
      </c>
      <c r="C15" s="2">
        <v>165</v>
      </c>
      <c r="D15" s="3">
        <v>3080</v>
      </c>
      <c r="E15" s="3">
        <v>16903</v>
      </c>
      <c r="F15" s="4">
        <v>360764</v>
      </c>
      <c r="G15" s="11" t="str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"*",CHOOSE({1,2}, Super_CBSA!$E$2:$E$1917, Super_CBSA!$A$2:$A$1917), 2,FALSE), ""))</f>
        <v/>
      </c>
    </row>
    <row r="16" spans="1:7" ht="17">
      <c r="A16" s="1" t="s">
        <v>1042</v>
      </c>
      <c r="B16" s="2" t="s">
        <v>2716</v>
      </c>
      <c r="C16" s="2">
        <v>99</v>
      </c>
      <c r="D16" s="3">
        <v>3781</v>
      </c>
      <c r="E16" s="3">
        <v>16134</v>
      </c>
      <c r="F16" s="4">
        <v>344542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"*",CHOOSE({1,2}, Super_CBSA!$E$2:$E$1917, Super_CBSA!$A$2:$A$1917), 2,FALSE), ""))</f>
        <v>12620</v>
      </c>
    </row>
    <row r="17" spans="1:7" ht="17">
      <c r="A17" s="1" t="s">
        <v>2726</v>
      </c>
      <c r="B17" s="2" t="s">
        <v>1789</v>
      </c>
      <c r="C17" s="2">
        <v>381</v>
      </c>
      <c r="D17" s="3">
        <v>5315</v>
      </c>
      <c r="E17" s="3">
        <v>21706</v>
      </c>
      <c r="F17" s="4">
        <v>527768</v>
      </c>
      <c r="G17" s="11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"*",CHOOSE({1,2}, Super_CBSA!$E$2:$E$1917, Super_CBSA!$A$2:$A$1917), 2,FALSE), ""))</f>
        <v>30340</v>
      </c>
    </row>
    <row r="18" spans="1:7" ht="17">
      <c r="A18" s="1" t="s">
        <v>2727</v>
      </c>
      <c r="B18" s="2" t="s">
        <v>2728</v>
      </c>
      <c r="C18" s="2">
        <v>226</v>
      </c>
      <c r="D18" s="3">
        <v>9373</v>
      </c>
      <c r="E18" s="3">
        <v>26008</v>
      </c>
      <c r="F18" s="4">
        <v>643422</v>
      </c>
      <c r="G18" s="11" t="str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"*",CHOOSE({1,2}, Super_CBSA!$E$2:$E$1917, Super_CBSA!$A$2:$A$1917), 2,FALSE), ""))</f>
        <v/>
      </c>
    </row>
    <row r="19" spans="1:7" ht="17">
      <c r="A19" s="1" t="s">
        <v>2729</v>
      </c>
      <c r="B19" s="2" t="s">
        <v>2709</v>
      </c>
      <c r="C19" s="2">
        <v>0</v>
      </c>
      <c r="D19" s="2">
        <v>0</v>
      </c>
      <c r="E19" s="2">
        <v>0</v>
      </c>
      <c r="F19" s="4">
        <v>0</v>
      </c>
      <c r="G19" s="11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"*",CHOOSE({1,2}, Super_CBSA!$E$2:$E$1917, Super_CBSA!$A$2:$A$1917), 2,FALSE), ""))</f>
        <v>38860</v>
      </c>
    </row>
    <row r="20" spans="1:7" ht="17">
      <c r="A20" s="1" t="s">
        <v>2730</v>
      </c>
      <c r="B20" s="2" t="s">
        <v>152</v>
      </c>
      <c r="C20" s="2">
        <v>66</v>
      </c>
      <c r="D20" s="3">
        <v>3255</v>
      </c>
      <c r="E20" s="3">
        <v>12922</v>
      </c>
      <c r="F20" s="4">
        <v>398032</v>
      </c>
      <c r="G20" s="11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"*",CHOOSE({1,2}, Super_CBSA!$E$2:$E$1917, Super_CBSA!$A$2:$A$1917), 2,FALSE), ""))</f>
        <v>16740</v>
      </c>
    </row>
    <row r="21" spans="1:7" ht="17">
      <c r="A21" s="2" t="s">
        <v>56</v>
      </c>
      <c r="B21" s="2"/>
      <c r="C21" s="3">
        <v>2887</v>
      </c>
      <c r="D21" s="3">
        <v>111879</v>
      </c>
      <c r="E21" s="3">
        <v>538476</v>
      </c>
      <c r="F21" s="4">
        <v>11321002</v>
      </c>
    </row>
  </sheetData>
  <hyperlinks>
    <hyperlink ref="A2" r:id="rId1" display="https://www.ahd.com/free_profile/200031/Cary_Medical_Center/Caribou/Maine/" xr:uid="{FFBE3D4B-2A25-A142-9165-68651568D58C}"/>
    <hyperlink ref="A3" r:id="rId2" display="https://www.ahd.com/free_profile/200024/Central_Maine_Medical_Center/Lewiston/Maine/" xr:uid="{97367537-118E-5D41-A8C7-2F4426584AE7}"/>
    <hyperlink ref="A4" r:id="rId3" display="https://www.ahd.com/free_profile/200037/Franklin_Memorial_Hospital/Farmington/Maine/" xr:uid="{F8F1EE92-6705-4F4E-B432-1BDD8A5BCF64}"/>
    <hyperlink ref="A5" r:id="rId4" display="https://www.ahd.com/free_profile/200009/Maine_Medical_Center_/Portland/Maine/" xr:uid="{303B8BFB-7693-FF42-86DF-7D2944ABBA21}"/>
    <hyperlink ref="A6" r:id="rId5" display="https://www.ahd.com/free_profile/20003F/Maine_VA_Medical_Center/Augusta/Maine/" xr:uid="{6EBE09DF-6CEA-FD44-A0B4-3488C69B532C}"/>
    <hyperlink ref="A7" r:id="rId6" display="https://www.ahd.com/free_profile/200039/MaineGeneral_Health/Augusta/Maine/" xr:uid="{303D6018-E7E4-754A-B1A8-20A40801939F}"/>
    <hyperlink ref="A8" r:id="rId7" display="https://www.ahd.com/free_profile/200021/Mid_Coast_Hospital/Brunswick/Maine/" xr:uid="{9E86D39B-AA3B-1844-830A-1632C3231DEE}"/>
    <hyperlink ref="A9" r:id="rId8" display="https://www.ahd.com/free_profile/200018/Northern_Light_AR_Gould_Hospital/Presque_Isle/Maine/" xr:uid="{429FC80E-440D-BD49-8737-51EA86BEE911}"/>
    <hyperlink ref="A10" r:id="rId9" display="https://www.ahd.com/free_profile/200033/Northern_Light_Eastern_Maine_Medical_Center/Bangor/Maine/" xr:uid="{47F87FA1-BAD4-874B-B9EA-94E6CF304725}"/>
    <hyperlink ref="A11" r:id="rId10" display="https://www.ahd.com/free_profile/200041/Northern_Light_Inland_Hospital/Waterville/Maine/" xr:uid="{EB42CCB9-7DAF-C14C-983B-A65639BB8A88}"/>
    <hyperlink ref="A12" r:id="rId11" display="https://www.ahd.com/free_profile/200050/Northern_Light_Maine_Coast_Hospital/Ellsworth/Maine/" xr:uid="{C280EE5F-257F-954A-B965-D554E4775D83}"/>
    <hyperlink ref="A13" r:id="rId12" display="https://www.ahd.com/free_profile/200008/Northern_Light_Mercy_Hospital/Portland/Maine/" xr:uid="{69365A36-A494-454F-9E33-62F8225DA9EF}"/>
    <hyperlink ref="A14" r:id="rId13" display="https://www.ahd.com/free_profile/200052/Northern_Maine_Medical_Center/Fort_Kent/Maine/" xr:uid="{8D2A90CE-0154-CB4C-841C-0B6A2459E8A2}"/>
    <hyperlink ref="A15" r:id="rId14" display="https://www.ahd.com/free_profile/200063/Pen_Bay_Medical_Center/Rockport/Maine/" xr:uid="{2A1531BC-D1B7-014E-A5D7-54CB56E6BA2F}"/>
    <hyperlink ref="A16" r:id="rId15" display="https://www.ahd.com/free_profile/200001/Saint_Joseph_Hospital/Bangor/Maine/" xr:uid="{D4F43BD9-F3BE-5C4A-B549-F686700B81AA}"/>
    <hyperlink ref="A17" r:id="rId16" display="https://www.ahd.com/free_profile/200034/Saint_Mary%27s_Regional_Medical_Center/Lewiston/Maine/" xr:uid="{D4CA9713-46AE-3042-9828-18A4B198F89C}"/>
    <hyperlink ref="A18" r:id="rId17" display="https://www.ahd.com/free_profile/200019/SMHC_Medical_Center_-_Biddeford/Biddeford/Maine/" xr:uid="{9DF421E7-4D38-F544-8F53-BF20F5FC5942}"/>
    <hyperlink ref="A19" r:id="rId18" display="https://www.ahd.com/free_profile/I42268/The_Barbara_Bush_Children%27s_Hospital_at_Maine_Medical_Center/Portland/Maine/" xr:uid="{CC9278B3-997F-5946-AEBF-243A01814A83}"/>
    <hyperlink ref="A20" r:id="rId19" display="https://www.ahd.com/free_profile/200020/York_Hospital/York/Maine/" xr:uid="{79D57DF6-4651-8A41-8FE7-DFACD59FBD92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ECE8-9283-5A40-9A76-F39C88AF7253}">
  <sheetPr codeName="Sheet24"/>
  <dimension ref="A1:G107"/>
  <sheetViews>
    <sheetView topLeftCell="A50" workbookViewId="0">
      <selection activeCell="G63" sqref="G63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2731</v>
      </c>
      <c r="B2" s="2" t="s">
        <v>2732</v>
      </c>
      <c r="C2" s="2">
        <v>612</v>
      </c>
      <c r="D2" s="3">
        <v>25466</v>
      </c>
      <c r="E2" s="3">
        <v>128671</v>
      </c>
      <c r="F2" s="4">
        <v>2326172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"*",CHOOSE({1,2}, Super_CBSA!$E$2:$E$1917, Super_CBSA!$A$2:$A$1917), 2,FALSE), ""))</f>
        <v>19820</v>
      </c>
    </row>
    <row r="3" spans="1:7" ht="17">
      <c r="A3" s="1" t="s">
        <v>2733</v>
      </c>
      <c r="B3" s="2" t="s">
        <v>2734</v>
      </c>
      <c r="C3" s="2">
        <v>45</v>
      </c>
      <c r="D3" s="3">
        <v>1301</v>
      </c>
      <c r="E3" s="3">
        <v>3602</v>
      </c>
      <c r="F3" s="4">
        <v>202178</v>
      </c>
      <c r="G3" s="11" t="str" cm="1">
        <f t="array" aca="1" ref="G3" ca="1">IFERROR(VLOOKUP("*" &amp; B3  &amp; "*" &amp; (MID(CELL("filename",A2),FIND("]",CELL("filename",A2))+1,31)) &amp; "*",CHOOSE({1,2}, Super_CBSA!$B$2:$B$1917, Super_CBSA!$A$2:$A$1917), 2,FALSE), IFERROR(VLOOKUP(B3  &amp; "*",CHOOSE({1,2}, Super_CBSA!$E$2:$E$1917, Super_CBSA!$A$2:$A$1917), 2,FALSE), ""))</f>
        <v/>
      </c>
    </row>
    <row r="4" spans="1:7" ht="17">
      <c r="A4" s="1" t="s">
        <v>2735</v>
      </c>
      <c r="B4" s="2" t="s">
        <v>2736</v>
      </c>
      <c r="C4" s="2">
        <v>55</v>
      </c>
      <c r="D4" s="3">
        <v>3304</v>
      </c>
      <c r="E4" s="3">
        <v>7494</v>
      </c>
      <c r="F4" s="4">
        <v>188688</v>
      </c>
      <c r="G4" s="11" t="str" cm="1">
        <f t="array" aca="1" ref="G4" ca="1">IFERROR(VLOOKUP("*" &amp; B4  &amp; "*" &amp; (MID(CELL("filename",A3),FIND("]",CELL("filename",A3))+1,31)) &amp; "*",CHOOSE({1,2}, Super_CBSA!$B$2:$B$1917, Super_CBSA!$A$2:$A$1917), 2,FALSE), IFERROR(VLOOKUP(B4  &amp; "*",CHOOSE({1,2}, Super_CBSA!$E$2:$E$1917, Super_CBSA!$A$2:$A$1917), 2,FALSE), ""))</f>
        <v/>
      </c>
    </row>
    <row r="5" spans="1:7" ht="17">
      <c r="A5" s="1" t="s">
        <v>2737</v>
      </c>
      <c r="B5" s="2" t="s">
        <v>2738</v>
      </c>
      <c r="C5" s="2">
        <v>0</v>
      </c>
      <c r="D5" s="2">
        <v>0</v>
      </c>
      <c r="E5" s="2">
        <v>0</v>
      </c>
      <c r="F5" s="4">
        <v>0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"*",CHOOSE({1,2}, Super_CBSA!$E$2:$E$1917, Super_CBSA!$A$2:$A$1917), 2,FALSE), ""))</f>
        <v>40980</v>
      </c>
    </row>
    <row r="6" spans="1:7" ht="17">
      <c r="A6" s="1" t="s">
        <v>2739</v>
      </c>
      <c r="B6" s="2" t="s">
        <v>2740</v>
      </c>
      <c r="C6" s="2">
        <v>371</v>
      </c>
      <c r="D6" s="3">
        <v>15308</v>
      </c>
      <c r="E6" s="3">
        <v>60736</v>
      </c>
      <c r="F6" s="4">
        <v>1768028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"*",CHOOSE({1,2}, Super_CBSA!$E$2:$E$1917, Super_CBSA!$A$2:$A$1917), 2,FALSE), ""))</f>
        <v>28020</v>
      </c>
    </row>
    <row r="7" spans="1:7" ht="17">
      <c r="A7" s="1" t="s">
        <v>2741</v>
      </c>
      <c r="B7" s="2" t="s">
        <v>1031</v>
      </c>
      <c r="C7" s="2">
        <v>99</v>
      </c>
      <c r="D7" s="3">
        <v>2243</v>
      </c>
      <c r="E7" s="3">
        <v>16578</v>
      </c>
      <c r="F7" s="4">
        <v>23491</v>
      </c>
      <c r="G7" s="11" t="str" cm="1">
        <f t="array" aca="1" ref="G7" ca="1">IFERROR(VLOOKUP("*" &amp; B7  &amp; "*" &amp; (MID(CELL("filename",A6),FIND("]",CELL("filename",A6))+1,31)) &amp; "*",CHOOSE({1,2}, Super_CBSA!$B$2:$B$1917, Super_CBSA!$A$2:$A$1917), 2,FALSE), IFERROR(VLOOKUP(B7  &amp; "*",CHOOSE({1,2}, Super_CBSA!$E$2:$E$1917, Super_CBSA!$A$2:$A$1917), 2,FALSE), ""))</f>
        <v/>
      </c>
    </row>
    <row r="8" spans="1:7" ht="17">
      <c r="A8" s="1" t="s">
        <v>2742</v>
      </c>
      <c r="B8" s="2" t="s">
        <v>2743</v>
      </c>
      <c r="C8" s="2">
        <v>370</v>
      </c>
      <c r="D8" s="3">
        <v>19591</v>
      </c>
      <c r="E8" s="3">
        <v>84516</v>
      </c>
      <c r="F8" s="4">
        <v>1287725</v>
      </c>
      <c r="G8" s="11" t="str" cm="1">
        <f t="array" aca="1" ref="G8" ca="1">IFERROR(VLOOKUP("*" &amp; B8  &amp; "*" &amp; (MID(CELL("filename",A7),FIND("]",CELL("filename",A7))+1,31)) &amp; "*",CHOOSE({1,2}, Super_CBSA!$B$2:$B$1917, Super_CBSA!$A$2:$A$1917), 2,FALSE), IFERROR(VLOOKUP(B8  &amp; "*",CHOOSE({1,2}, Super_CBSA!$E$2:$E$1917, Super_CBSA!$A$2:$A$1917), 2,FALSE), ""))</f>
        <v/>
      </c>
    </row>
    <row r="9" spans="1:7" ht="17">
      <c r="A9" s="1" t="s">
        <v>2744</v>
      </c>
      <c r="B9" s="2" t="s">
        <v>2745</v>
      </c>
      <c r="C9" s="2">
        <v>507</v>
      </c>
      <c r="D9" s="3">
        <v>21954</v>
      </c>
      <c r="E9" s="3">
        <v>103643</v>
      </c>
      <c r="F9" s="4">
        <v>1379221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"*",CHOOSE({1,2}, Super_CBSA!$E$2:$E$1917, Super_CBSA!$A$2:$A$1917), 2,FALSE), ""))</f>
        <v>19820</v>
      </c>
    </row>
    <row r="10" spans="1:7" ht="17">
      <c r="A10" s="1" t="s">
        <v>2746</v>
      </c>
      <c r="B10" s="2" t="s">
        <v>2747</v>
      </c>
      <c r="C10" s="2">
        <v>159</v>
      </c>
      <c r="D10" s="3">
        <v>6832</v>
      </c>
      <c r="E10" s="3">
        <v>31318</v>
      </c>
      <c r="F10" s="4">
        <v>263533</v>
      </c>
      <c r="G10" s="11" t="str" cm="1">
        <f t="array" aca="1" ref="G10" ca="1">IFERROR(VLOOKUP("*" &amp; B10  &amp; "*" &amp; (MID(CELL("filename",A9),FIND("]",CELL("filename",A9))+1,31)) &amp; "*",CHOOSE({1,2}, Super_CBSA!$B$2:$B$1917, Super_CBSA!$A$2:$A$1917), 2,FALSE), IFERROR(VLOOKUP(B10  &amp; "*",CHOOSE({1,2}, Super_CBSA!$E$2:$E$1917, Super_CBSA!$A$2:$A$1917), 2,FALSE), ""))</f>
        <v/>
      </c>
    </row>
    <row r="11" spans="1:7" ht="17">
      <c r="A11" s="1" t="s">
        <v>2748</v>
      </c>
      <c r="B11" s="2" t="s">
        <v>2749</v>
      </c>
      <c r="C11" s="2">
        <v>0</v>
      </c>
      <c r="D11" s="2">
        <v>0</v>
      </c>
      <c r="E11" s="2">
        <v>0</v>
      </c>
      <c r="F11" s="4">
        <v>0</v>
      </c>
      <c r="G11" s="11" t="str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"*",CHOOSE({1,2}, Super_CBSA!$E$2:$E$1917, Super_CBSA!$A$2:$A$1917), 2,FALSE), ""))</f>
        <v/>
      </c>
    </row>
    <row r="12" spans="1:7" ht="17">
      <c r="A12" s="1" t="s">
        <v>2750</v>
      </c>
      <c r="B12" s="2" t="s">
        <v>2751</v>
      </c>
      <c r="C12" s="2">
        <v>583</v>
      </c>
      <c r="D12" s="3">
        <v>30604</v>
      </c>
      <c r="E12" s="3">
        <v>131980</v>
      </c>
      <c r="F12" s="4">
        <v>2231854</v>
      </c>
      <c r="G12" s="11" t="str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"*",CHOOSE({1,2}, Super_CBSA!$E$2:$E$1917, Super_CBSA!$A$2:$A$1917), 2,FALSE), ""))</f>
        <v/>
      </c>
    </row>
    <row r="13" spans="1:7" ht="17">
      <c r="A13" s="1" t="s">
        <v>2752</v>
      </c>
      <c r="B13" s="2" t="s">
        <v>2753</v>
      </c>
      <c r="C13" s="2">
        <v>224</v>
      </c>
      <c r="D13" s="3">
        <v>7868</v>
      </c>
      <c r="E13" s="3">
        <v>32030</v>
      </c>
      <c r="F13" s="4">
        <v>643846</v>
      </c>
      <c r="G13" s="11" t="str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"*",CHOOSE({1,2}, Super_CBSA!$E$2:$E$1917, Super_CBSA!$A$2:$A$1917), 2,FALSE), ""))</f>
        <v/>
      </c>
    </row>
    <row r="14" spans="1:7" ht="17">
      <c r="A14" s="1" t="s">
        <v>2754</v>
      </c>
      <c r="B14" s="2" t="s">
        <v>2755</v>
      </c>
      <c r="C14" s="2">
        <v>65</v>
      </c>
      <c r="D14" s="3">
        <v>1135</v>
      </c>
      <c r="E14" s="3">
        <v>3339</v>
      </c>
      <c r="F14" s="4">
        <v>77686</v>
      </c>
      <c r="G14" s="11" t="str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"*",CHOOSE({1,2}, Super_CBSA!$E$2:$E$1917, Super_CBSA!$A$2:$A$1917), 2,FALSE), ""))</f>
        <v/>
      </c>
    </row>
    <row r="15" spans="1:7" ht="17">
      <c r="A15" s="1" t="s">
        <v>2756</v>
      </c>
      <c r="B15" s="2" t="s">
        <v>2757</v>
      </c>
      <c r="C15" s="2">
        <v>47</v>
      </c>
      <c r="D15" s="3">
        <v>1705</v>
      </c>
      <c r="E15" s="3">
        <v>3702</v>
      </c>
      <c r="F15" s="4">
        <v>100042</v>
      </c>
      <c r="G15" s="11" t="str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"*",CHOOSE({1,2}, Super_CBSA!$E$2:$E$1917, Super_CBSA!$A$2:$A$1917), 2,FALSE), ""))</f>
        <v/>
      </c>
    </row>
    <row r="16" spans="1:7" ht="17">
      <c r="A16" s="1" t="s">
        <v>2758</v>
      </c>
      <c r="B16" s="2" t="s">
        <v>2738</v>
      </c>
      <c r="C16" s="2">
        <v>204</v>
      </c>
      <c r="D16" s="3">
        <v>9667</v>
      </c>
      <c r="E16" s="3">
        <v>45882</v>
      </c>
      <c r="F16" s="4">
        <v>801475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"*",CHOOSE({1,2}, Super_CBSA!$E$2:$E$1917, Super_CBSA!$A$2:$A$1917), 2,FALSE), ""))</f>
        <v>40980</v>
      </c>
    </row>
    <row r="17" spans="1:7" ht="17">
      <c r="A17" s="1" t="s">
        <v>2759</v>
      </c>
      <c r="B17" s="2" t="s">
        <v>2760</v>
      </c>
      <c r="C17" s="2">
        <v>0</v>
      </c>
      <c r="D17" s="2">
        <v>0</v>
      </c>
      <c r="E17" s="2">
        <v>0</v>
      </c>
      <c r="F17" s="4">
        <v>0</v>
      </c>
      <c r="G17" s="11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"*",CHOOSE({1,2}, Super_CBSA!$E$2:$E$1917, Super_CBSA!$A$2:$A$1917), 2,FALSE), ""))</f>
        <v>12980</v>
      </c>
    </row>
    <row r="18" spans="1:7" ht="17">
      <c r="A18" s="1" t="s">
        <v>2761</v>
      </c>
      <c r="B18" s="2" t="s">
        <v>2762</v>
      </c>
      <c r="C18" s="2">
        <v>567</v>
      </c>
      <c r="D18" s="3">
        <v>30354</v>
      </c>
      <c r="E18" s="3">
        <v>171934</v>
      </c>
      <c r="F18" s="4">
        <v>2734306</v>
      </c>
      <c r="G18" s="11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"*",CHOOSE({1,2}, Super_CBSA!$E$2:$E$1917, Super_CBSA!$A$2:$A$1917), 2,FALSE), ""))</f>
        <v>19820</v>
      </c>
    </row>
    <row r="19" spans="1:7" ht="17">
      <c r="A19" s="1" t="s">
        <v>2763</v>
      </c>
      <c r="B19" s="2" t="s">
        <v>2764</v>
      </c>
      <c r="C19" s="2">
        <v>301</v>
      </c>
      <c r="D19" s="3">
        <v>13159</v>
      </c>
      <c r="E19" s="3">
        <v>58319</v>
      </c>
      <c r="F19" s="4">
        <v>1329096</v>
      </c>
      <c r="G19" s="11" t="str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"*",CHOOSE({1,2}, Super_CBSA!$E$2:$E$1917, Super_CBSA!$A$2:$A$1917), 2,FALSE), ""))</f>
        <v/>
      </c>
    </row>
    <row r="20" spans="1:7" ht="17">
      <c r="A20" s="1" t="s">
        <v>2765</v>
      </c>
      <c r="B20" s="2" t="s">
        <v>2766</v>
      </c>
      <c r="C20" s="2">
        <v>266</v>
      </c>
      <c r="D20" s="3">
        <v>12186</v>
      </c>
      <c r="E20" s="3">
        <v>46820</v>
      </c>
      <c r="F20" s="4">
        <v>984240</v>
      </c>
      <c r="G20" s="11" t="str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"*",CHOOSE({1,2}, Super_CBSA!$E$2:$E$1917, Super_CBSA!$A$2:$A$1917), 2,FALSE), ""))</f>
        <v/>
      </c>
    </row>
    <row r="21" spans="1:7" ht="17">
      <c r="A21" s="1" t="s">
        <v>2767</v>
      </c>
      <c r="B21" s="2" t="s">
        <v>2768</v>
      </c>
      <c r="C21" s="3">
        <v>1089</v>
      </c>
      <c r="D21" s="3">
        <v>61758</v>
      </c>
      <c r="E21" s="3">
        <v>280175</v>
      </c>
      <c r="F21" s="4">
        <v>4759971</v>
      </c>
      <c r="G21" s="11" t="str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"*",CHOOSE({1,2}, Super_CBSA!$E$2:$E$1917, Super_CBSA!$A$2:$A$1917), 2,FALSE), ""))</f>
        <v/>
      </c>
    </row>
    <row r="22" spans="1:7" ht="17">
      <c r="A22" s="1" t="s">
        <v>2769</v>
      </c>
      <c r="B22" s="2" t="s">
        <v>2770</v>
      </c>
      <c r="C22" s="2">
        <v>180</v>
      </c>
      <c r="D22" s="3">
        <v>6142</v>
      </c>
      <c r="E22" s="3">
        <v>25512</v>
      </c>
      <c r="F22" s="4">
        <v>712089</v>
      </c>
      <c r="G22" s="11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"*",CHOOSE({1,2}, Super_CBSA!$E$2:$E$1917, Super_CBSA!$A$2:$A$1917), 2,FALSE), ""))</f>
        <v>10180</v>
      </c>
    </row>
    <row r="23" spans="1:7" ht="17">
      <c r="A23" s="1" t="s">
        <v>2771</v>
      </c>
      <c r="B23" s="2" t="s">
        <v>2772</v>
      </c>
      <c r="C23" s="2">
        <v>193</v>
      </c>
      <c r="D23" s="3">
        <v>9816</v>
      </c>
      <c r="E23" s="3">
        <v>40584</v>
      </c>
      <c r="F23" s="4">
        <v>907220</v>
      </c>
      <c r="G23" s="11" t="str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"*",CHOOSE({1,2}, Super_CBSA!$E$2:$E$1917, Super_CBSA!$A$2:$A$1917), 2,FALSE), ""))</f>
        <v/>
      </c>
    </row>
    <row r="24" spans="1:7" ht="17">
      <c r="A24" s="1" t="s">
        <v>2773</v>
      </c>
      <c r="B24" s="2" t="s">
        <v>224</v>
      </c>
      <c r="C24" s="2">
        <v>520</v>
      </c>
      <c r="D24" s="3">
        <v>34863</v>
      </c>
      <c r="E24" s="3">
        <v>149331</v>
      </c>
      <c r="F24" s="4">
        <v>2541196</v>
      </c>
      <c r="G24" s="11" t="str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"*",CHOOSE({1,2}, Super_CBSA!$E$2:$E$1917, Super_CBSA!$A$2:$A$1917), 2,FALSE), ""))</f>
        <v/>
      </c>
    </row>
    <row r="25" spans="1:7" ht="17">
      <c r="A25" s="1" t="s">
        <v>2774</v>
      </c>
      <c r="B25" s="2" t="s">
        <v>2775</v>
      </c>
      <c r="C25" s="2">
        <v>170</v>
      </c>
      <c r="D25" s="3">
        <v>7797</v>
      </c>
      <c r="E25" s="3">
        <v>31806</v>
      </c>
      <c r="F25" s="4">
        <v>787883</v>
      </c>
      <c r="G25" s="11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"*",CHOOSE({1,2}, Super_CBSA!$E$2:$E$1917, Super_CBSA!$A$2:$A$1917), 2,FALSE), ""))</f>
        <v>19820</v>
      </c>
    </row>
    <row r="26" spans="1:7" ht="17">
      <c r="A26" s="1" t="s">
        <v>2776</v>
      </c>
      <c r="B26" s="2" t="s">
        <v>2760</v>
      </c>
      <c r="C26" s="2">
        <v>198</v>
      </c>
      <c r="D26" s="3">
        <v>7254</v>
      </c>
      <c r="E26" s="3">
        <v>28515</v>
      </c>
      <c r="F26" s="4">
        <v>644726</v>
      </c>
      <c r="G26" s="11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"*",CHOOSE({1,2}, Super_CBSA!$E$2:$E$1917, Super_CBSA!$A$2:$A$1917), 2,FALSE), ""))</f>
        <v>12980</v>
      </c>
    </row>
    <row r="27" spans="1:7" ht="17">
      <c r="A27" s="1" t="s">
        <v>2777</v>
      </c>
      <c r="B27" s="2" t="s">
        <v>2740</v>
      </c>
      <c r="C27" s="2">
        <v>415</v>
      </c>
      <c r="D27" s="3">
        <v>26705</v>
      </c>
      <c r="E27" s="3">
        <v>107574</v>
      </c>
      <c r="F27" s="4">
        <v>1765509</v>
      </c>
      <c r="G27" s="11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"*",CHOOSE({1,2}, Super_CBSA!$E$2:$E$1917, Super_CBSA!$A$2:$A$1917), 2,FALSE), ""))</f>
        <v>28020</v>
      </c>
    </row>
    <row r="28" spans="1:7" ht="17">
      <c r="A28" s="1" t="s">
        <v>2778</v>
      </c>
      <c r="B28" s="2" t="s">
        <v>2779</v>
      </c>
      <c r="C28" s="2">
        <v>49</v>
      </c>
      <c r="D28" s="2">
        <v>534</v>
      </c>
      <c r="E28" s="3">
        <v>1252</v>
      </c>
      <c r="F28" s="4">
        <v>84942</v>
      </c>
      <c r="G28" s="11" t="str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"*",CHOOSE({1,2}, Super_CBSA!$E$2:$E$1917, Super_CBSA!$A$2:$A$1917), 2,FALSE), ""))</f>
        <v/>
      </c>
    </row>
    <row r="29" spans="1:7" ht="17">
      <c r="A29" s="1" t="s">
        <v>2780</v>
      </c>
      <c r="B29" s="2" t="s">
        <v>2738</v>
      </c>
      <c r="C29" s="2">
        <v>0</v>
      </c>
      <c r="D29" s="2">
        <v>0</v>
      </c>
      <c r="E29" s="2">
        <v>0</v>
      </c>
      <c r="F29" s="4">
        <v>0</v>
      </c>
      <c r="G29" s="11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"*",CHOOSE({1,2}, Super_CBSA!$E$2:$E$1917, Super_CBSA!$A$2:$A$1917), 2,FALSE), ""))</f>
        <v>40980</v>
      </c>
    </row>
    <row r="30" spans="1:7" ht="17">
      <c r="A30" s="1" t="s">
        <v>2781</v>
      </c>
      <c r="B30" s="2" t="s">
        <v>2738</v>
      </c>
      <c r="C30" s="2">
        <v>534</v>
      </c>
      <c r="D30" s="3">
        <v>25113</v>
      </c>
      <c r="E30" s="3">
        <v>130098</v>
      </c>
      <c r="F30" s="4">
        <v>2266575</v>
      </c>
      <c r="G30" s="11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"*",CHOOSE({1,2}, Super_CBSA!$E$2:$E$1917, Super_CBSA!$A$2:$A$1917), 2,FALSE), ""))</f>
        <v>40980</v>
      </c>
    </row>
    <row r="31" spans="1:7" ht="17">
      <c r="A31" s="1" t="s">
        <v>2782</v>
      </c>
      <c r="B31" s="2" t="s">
        <v>2783</v>
      </c>
      <c r="C31" s="2">
        <v>39</v>
      </c>
      <c r="D31" s="3">
        <v>2325</v>
      </c>
      <c r="E31" s="3">
        <v>8183</v>
      </c>
      <c r="F31" s="4">
        <v>308606</v>
      </c>
      <c r="G31" s="11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"*",CHOOSE({1,2}, Super_CBSA!$E$2:$E$1917, Super_CBSA!$A$2:$A$1917), 2,FALSE), ""))</f>
        <v>27020</v>
      </c>
    </row>
    <row r="32" spans="1:7" ht="17">
      <c r="A32" s="1" t="s">
        <v>2784</v>
      </c>
      <c r="B32" s="2" t="s">
        <v>2732</v>
      </c>
      <c r="C32" s="2">
        <v>214</v>
      </c>
      <c r="D32" s="3">
        <v>10815</v>
      </c>
      <c r="E32" s="3">
        <v>60473</v>
      </c>
      <c r="F32" s="4">
        <v>1112606</v>
      </c>
      <c r="G32" s="11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"*",CHOOSE({1,2}, Super_CBSA!$E$2:$E$1917, Super_CBSA!$A$2:$A$1917), 2,FALSE), ""))</f>
        <v>19820</v>
      </c>
    </row>
    <row r="33" spans="1:7" ht="17">
      <c r="A33" s="1" t="s">
        <v>2785</v>
      </c>
      <c r="B33" s="2" t="s">
        <v>2732</v>
      </c>
      <c r="C33" s="2">
        <v>368</v>
      </c>
      <c r="D33" s="3">
        <v>19882</v>
      </c>
      <c r="E33" s="3">
        <v>96286</v>
      </c>
      <c r="F33" s="4">
        <v>1676687</v>
      </c>
      <c r="G33" s="11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"*",CHOOSE({1,2}, Super_CBSA!$E$2:$E$1917, Super_CBSA!$A$2:$A$1917), 2,FALSE), ""))</f>
        <v>19820</v>
      </c>
    </row>
    <row r="34" spans="1:7" ht="17">
      <c r="A34" s="1" t="s">
        <v>2786</v>
      </c>
      <c r="B34" s="2" t="s">
        <v>1593</v>
      </c>
      <c r="C34" s="2">
        <v>130</v>
      </c>
      <c r="D34" s="3">
        <v>7704</v>
      </c>
      <c r="E34" s="3">
        <v>29441</v>
      </c>
      <c r="F34" s="4">
        <v>722517</v>
      </c>
      <c r="G34" s="11" t="str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"*",CHOOSE({1,2}, Super_CBSA!$E$2:$E$1917, Super_CBSA!$A$2:$A$1917), 2,FALSE), ""))</f>
        <v/>
      </c>
    </row>
    <row r="35" spans="1:7" ht="17">
      <c r="A35" s="1" t="s">
        <v>2787</v>
      </c>
      <c r="B35" s="2" t="s">
        <v>2732</v>
      </c>
      <c r="C35" s="2">
        <v>390</v>
      </c>
      <c r="D35" s="3">
        <v>18345</v>
      </c>
      <c r="E35" s="3">
        <v>85263</v>
      </c>
      <c r="F35" s="4">
        <v>1383482</v>
      </c>
      <c r="G35" s="11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"*",CHOOSE({1,2}, Super_CBSA!$E$2:$E$1917, Super_CBSA!$A$2:$A$1917), 2,FALSE), ""))</f>
        <v>19820</v>
      </c>
    </row>
    <row r="36" spans="1:7" ht="17">
      <c r="A36" s="1" t="s">
        <v>2788</v>
      </c>
      <c r="B36" s="2" t="s">
        <v>2789</v>
      </c>
      <c r="C36" s="2">
        <v>24</v>
      </c>
      <c r="D36" s="2">
        <v>860</v>
      </c>
      <c r="E36" s="3">
        <v>1544</v>
      </c>
      <c r="F36" s="4">
        <v>130110</v>
      </c>
      <c r="G36" s="11" t="str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"*",CHOOSE({1,2}, Super_CBSA!$E$2:$E$1917, Super_CBSA!$A$2:$A$1917), 2,FALSE), ""))</f>
        <v/>
      </c>
    </row>
    <row r="37" spans="1:7" ht="17">
      <c r="A37" s="1" t="s">
        <v>2790</v>
      </c>
      <c r="B37" s="2" t="s">
        <v>2224</v>
      </c>
      <c r="C37" s="2">
        <v>148</v>
      </c>
      <c r="D37" s="3">
        <v>8082</v>
      </c>
      <c r="E37" s="3">
        <v>31464</v>
      </c>
      <c r="F37" s="4">
        <v>620463</v>
      </c>
      <c r="G37" s="11" t="str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"*",CHOOSE({1,2}, Super_CBSA!$E$2:$E$1917, Super_CBSA!$A$2:$A$1917), 2,FALSE), ""))</f>
        <v/>
      </c>
    </row>
    <row r="38" spans="1:7" ht="17">
      <c r="A38" s="1" t="s">
        <v>2791</v>
      </c>
      <c r="B38" s="2" t="s">
        <v>2738</v>
      </c>
      <c r="C38" s="2">
        <v>343</v>
      </c>
      <c r="D38" s="2">
        <v>512</v>
      </c>
      <c r="E38" s="3">
        <v>1470</v>
      </c>
      <c r="F38" s="4">
        <v>78206</v>
      </c>
      <c r="G38" s="11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"*",CHOOSE({1,2}, Super_CBSA!$E$2:$E$1917, Super_CBSA!$A$2:$A$1917), 2,FALSE), ""))</f>
        <v>40980</v>
      </c>
    </row>
    <row r="39" spans="1:7" ht="17">
      <c r="A39" s="1" t="s">
        <v>2792</v>
      </c>
      <c r="B39" s="2" t="s">
        <v>158</v>
      </c>
      <c r="C39" s="2">
        <v>353</v>
      </c>
      <c r="D39" s="3">
        <v>18252</v>
      </c>
      <c r="E39" s="3">
        <v>77496</v>
      </c>
      <c r="F39" s="4">
        <v>1766857</v>
      </c>
      <c r="G39" s="11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"*",CHOOSE({1,2}, Super_CBSA!$E$2:$E$1917, Super_CBSA!$A$2:$A$1917), 2,FALSE), ""))</f>
        <v>27100</v>
      </c>
    </row>
    <row r="40" spans="1:7" ht="17">
      <c r="A40" s="1" t="s">
        <v>2793</v>
      </c>
      <c r="B40" s="2" t="s">
        <v>2732</v>
      </c>
      <c r="C40" s="2">
        <v>685</v>
      </c>
      <c r="D40" s="3">
        <v>35908</v>
      </c>
      <c r="E40" s="3">
        <v>192954</v>
      </c>
      <c r="F40" s="4">
        <v>4890956</v>
      </c>
      <c r="G40" s="11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"*",CHOOSE({1,2}, Super_CBSA!$E$2:$E$1917, Super_CBSA!$A$2:$A$1917), 2,FALSE), ""))</f>
        <v>19820</v>
      </c>
    </row>
    <row r="41" spans="1:7" ht="17">
      <c r="A41" s="1" t="s">
        <v>2794</v>
      </c>
      <c r="B41" s="2" t="s">
        <v>2795</v>
      </c>
      <c r="C41" s="2">
        <v>433</v>
      </c>
      <c r="D41" s="3">
        <v>18166</v>
      </c>
      <c r="E41" s="3">
        <v>71125</v>
      </c>
      <c r="F41" s="4">
        <v>1279393</v>
      </c>
      <c r="G41" s="11" t="str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"*",CHOOSE({1,2}, Super_CBSA!$E$2:$E$1917, Super_CBSA!$A$2:$A$1917), 2,FALSE), ""))</f>
        <v/>
      </c>
    </row>
    <row r="42" spans="1:7" ht="17">
      <c r="A42" s="1" t="s">
        <v>2796</v>
      </c>
      <c r="B42" s="2" t="s">
        <v>2797</v>
      </c>
      <c r="C42" s="2">
        <v>191</v>
      </c>
      <c r="D42" s="3">
        <v>12260</v>
      </c>
      <c r="E42" s="3">
        <v>46082</v>
      </c>
      <c r="F42" s="4">
        <v>978836</v>
      </c>
      <c r="G42" s="11" t="str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"*",CHOOSE({1,2}, Super_CBSA!$E$2:$E$1917, Super_CBSA!$A$2:$A$1917), 2,FALSE), ""))</f>
        <v/>
      </c>
    </row>
    <row r="43" spans="1:7" ht="17">
      <c r="A43" s="1" t="s">
        <v>2798</v>
      </c>
      <c r="B43" s="2" t="s">
        <v>2799</v>
      </c>
      <c r="C43" s="2">
        <v>357</v>
      </c>
      <c r="D43" s="3">
        <v>14206</v>
      </c>
      <c r="E43" s="3">
        <v>54036</v>
      </c>
      <c r="F43" s="4">
        <v>824732</v>
      </c>
      <c r="G43" s="11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"*",CHOOSE({1,2}, Super_CBSA!$E$2:$E$1917, Super_CBSA!$A$2:$A$1917), 2,FALSE), ""))</f>
        <v>28140</v>
      </c>
    </row>
    <row r="44" spans="1:7" ht="17">
      <c r="A44" s="1" t="s">
        <v>2800</v>
      </c>
      <c r="B44" s="2" t="s">
        <v>2801</v>
      </c>
      <c r="C44" s="2">
        <v>93</v>
      </c>
      <c r="D44" s="3">
        <v>1981</v>
      </c>
      <c r="E44" s="3">
        <v>5049</v>
      </c>
      <c r="F44" s="4">
        <v>141756</v>
      </c>
      <c r="G44" s="11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"*",CHOOSE({1,2}, Super_CBSA!$E$2:$E$1917, Super_CBSA!$A$2:$A$1917), 2,FALSE), ""))</f>
        <v>25880</v>
      </c>
    </row>
    <row r="45" spans="1:7" ht="17">
      <c r="A45" s="1" t="s">
        <v>2802</v>
      </c>
      <c r="B45" s="2" t="s">
        <v>2803</v>
      </c>
      <c r="C45" s="2">
        <v>189</v>
      </c>
      <c r="D45" s="3">
        <v>8639</v>
      </c>
      <c r="E45" s="3">
        <v>33821</v>
      </c>
      <c r="F45" s="4">
        <v>692645</v>
      </c>
      <c r="G45" s="11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"*",CHOOSE({1,2}, Super_CBSA!$E$2:$E$1917, Super_CBSA!$A$2:$A$1917), 2,FALSE), ""))</f>
        <v>26090</v>
      </c>
    </row>
    <row r="46" spans="1:7" ht="17">
      <c r="A46" s="1" t="s">
        <v>2804</v>
      </c>
      <c r="B46" s="2" t="s">
        <v>2805</v>
      </c>
      <c r="C46" s="2">
        <v>418</v>
      </c>
      <c r="D46" s="3">
        <v>17240</v>
      </c>
      <c r="E46" s="3">
        <v>93862</v>
      </c>
      <c r="F46" s="4">
        <v>1429025</v>
      </c>
      <c r="G46" s="11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"*",CHOOSE({1,2}, Super_CBSA!$E$2:$E$1917, Super_CBSA!$A$2:$A$1917), 2,FALSE), ""))</f>
        <v>22420</v>
      </c>
    </row>
    <row r="47" spans="1:7" ht="17">
      <c r="A47" s="1" t="s">
        <v>2806</v>
      </c>
      <c r="B47" s="2" t="s">
        <v>2732</v>
      </c>
      <c r="C47" s="2">
        <v>0</v>
      </c>
      <c r="D47" s="2">
        <v>0</v>
      </c>
      <c r="E47" s="2">
        <v>0</v>
      </c>
      <c r="F47" s="4">
        <v>0</v>
      </c>
      <c r="G47" s="11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"*",CHOOSE({1,2}, Super_CBSA!$E$2:$E$1917, Super_CBSA!$A$2:$A$1917), 2,FALSE), ""))</f>
        <v>19820</v>
      </c>
    </row>
    <row r="48" spans="1:7" ht="17">
      <c r="A48" s="1" t="s">
        <v>2807</v>
      </c>
      <c r="B48" s="2" t="s">
        <v>2732</v>
      </c>
      <c r="C48" s="2">
        <v>123</v>
      </c>
      <c r="D48" s="3">
        <v>3036</v>
      </c>
      <c r="E48" s="3">
        <v>24179</v>
      </c>
      <c r="F48" s="4">
        <v>795832</v>
      </c>
      <c r="G48" s="11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"*",CHOOSE({1,2}, Super_CBSA!$E$2:$E$1917, Super_CBSA!$A$2:$A$1917), 2,FALSE), ""))</f>
        <v>19820</v>
      </c>
    </row>
    <row r="49" spans="1:7" ht="17">
      <c r="A49" s="1" t="s">
        <v>2808</v>
      </c>
      <c r="B49" s="2" t="s">
        <v>2809</v>
      </c>
      <c r="C49" s="2">
        <v>164</v>
      </c>
      <c r="D49" s="3">
        <v>3680</v>
      </c>
      <c r="E49" s="3">
        <v>12746</v>
      </c>
      <c r="F49" s="4">
        <v>375006</v>
      </c>
      <c r="G49" s="11" t="str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"*",CHOOSE({1,2}, Super_CBSA!$E$2:$E$1917, Super_CBSA!$A$2:$A$1917), 2,FALSE), ""))</f>
        <v/>
      </c>
    </row>
    <row r="50" spans="1:7" ht="17">
      <c r="A50" s="1" t="s">
        <v>2810</v>
      </c>
      <c r="B50" s="2" t="s">
        <v>2811</v>
      </c>
      <c r="C50" s="2">
        <v>0</v>
      </c>
      <c r="D50" s="2">
        <v>0</v>
      </c>
      <c r="E50" s="2">
        <v>0</v>
      </c>
      <c r="F50" s="4">
        <v>0</v>
      </c>
      <c r="G50" s="11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"*",CHOOSE({1,2}, Super_CBSA!$E$2:$E$1917, Super_CBSA!$A$2:$A$1917), 2,FALSE), ""))</f>
        <v>35660</v>
      </c>
    </row>
    <row r="51" spans="1:7" ht="17">
      <c r="A51" s="1" t="s">
        <v>2812</v>
      </c>
      <c r="B51" s="2" t="s">
        <v>2813</v>
      </c>
      <c r="C51" s="2">
        <v>44</v>
      </c>
      <c r="D51" s="2">
        <v>154</v>
      </c>
      <c r="E51" s="2">
        <v>275</v>
      </c>
      <c r="F51" s="4">
        <v>105651</v>
      </c>
      <c r="G51" s="11" t="str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"*",CHOOSE({1,2}, Super_CBSA!$E$2:$E$1917, Super_CBSA!$A$2:$A$1917), 2,FALSE), ""))</f>
        <v/>
      </c>
    </row>
    <row r="52" spans="1:7" ht="17">
      <c r="A52" s="1" t="s">
        <v>2814</v>
      </c>
      <c r="B52" s="2" t="s">
        <v>2815</v>
      </c>
      <c r="C52" s="2">
        <v>290</v>
      </c>
      <c r="D52" s="3">
        <v>15093</v>
      </c>
      <c r="E52" s="3">
        <v>50716</v>
      </c>
      <c r="F52" s="4">
        <v>987886</v>
      </c>
      <c r="G52" s="11" t="str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"*",CHOOSE({1,2}, Super_CBSA!$E$2:$E$1917, Super_CBSA!$A$2:$A$1917), 2,FALSE), ""))</f>
        <v/>
      </c>
    </row>
    <row r="53" spans="1:7" ht="17">
      <c r="A53" s="1" t="s">
        <v>2816</v>
      </c>
      <c r="B53" s="2" t="s">
        <v>2817</v>
      </c>
      <c r="C53" s="2">
        <v>349</v>
      </c>
      <c r="D53" s="3">
        <v>14681</v>
      </c>
      <c r="E53" s="3">
        <v>64136</v>
      </c>
      <c r="F53" s="4">
        <v>1047864</v>
      </c>
      <c r="G53" s="11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"*",CHOOSE({1,2}, Super_CBSA!$E$2:$E$1917, Super_CBSA!$A$2:$A$1917), 2,FALSE), ""))</f>
        <v>13020</v>
      </c>
    </row>
    <row r="54" spans="1:7" ht="17">
      <c r="A54" s="1" t="s">
        <v>2818</v>
      </c>
      <c r="B54" s="2" t="s">
        <v>2819</v>
      </c>
      <c r="C54" s="2">
        <v>90</v>
      </c>
      <c r="D54" s="3">
        <v>3138</v>
      </c>
      <c r="E54" s="3">
        <v>8405</v>
      </c>
      <c r="F54" s="4">
        <v>254391</v>
      </c>
      <c r="G54" s="11" cm="1">
        <f t="array" aca="1" ref="G54" ca="1">IFERROR(VLOOKUP("*" &amp; B54  &amp; "*" &amp; (MID(CELL("filename",A53),FIND("]",CELL("filename",A53))+1,31)) &amp; "*",CHOOSE({1,2}, Super_CBSA!$B$2:$B$1917, Super_CBSA!$A$2:$A$1917), 2,FALSE), IFERROR(VLOOKUP(B54  &amp; "*",CHOOSE({1,2}, Super_CBSA!$E$2:$E$1917, Super_CBSA!$A$2:$A$1917), 2,FALSE), ""))</f>
        <v>34380</v>
      </c>
    </row>
    <row r="55" spans="1:7" ht="17">
      <c r="A55" s="1" t="s">
        <v>2820</v>
      </c>
      <c r="B55" s="2" t="s">
        <v>2805</v>
      </c>
      <c r="C55" s="2">
        <v>361</v>
      </c>
      <c r="D55" s="3">
        <v>17969</v>
      </c>
      <c r="E55" s="3">
        <v>84087</v>
      </c>
      <c r="F55" s="4">
        <v>1531802</v>
      </c>
      <c r="G55" s="11" cm="1">
        <f t="array" aca="1" ref="G55" ca="1">IFERROR(VLOOKUP("*" &amp; B55  &amp; "*" &amp; (MID(CELL("filename",A54),FIND("]",CELL("filename",A54))+1,31)) &amp; "*",CHOOSE({1,2}, Super_CBSA!$B$2:$B$1917, Super_CBSA!$A$2:$A$1917), 2,FALSE), IFERROR(VLOOKUP(B55  &amp; "*",CHOOSE({1,2}, Super_CBSA!$E$2:$E$1917, Super_CBSA!$A$2:$A$1917), 2,FALSE), ""))</f>
        <v>22420</v>
      </c>
    </row>
    <row r="56" spans="1:7" ht="17">
      <c r="A56" s="1" t="s">
        <v>2821</v>
      </c>
      <c r="B56" s="2" t="s">
        <v>2822</v>
      </c>
      <c r="C56" s="2">
        <v>255</v>
      </c>
      <c r="D56" s="3">
        <v>11233</v>
      </c>
      <c r="E56" s="3">
        <v>45889</v>
      </c>
      <c r="F56" s="4">
        <v>1201311</v>
      </c>
      <c r="G56" s="11" cm="1">
        <f t="array" aca="1" ref="G56" ca="1">IFERROR(VLOOKUP("*" &amp; B56  &amp; "*" &amp; (MID(CELL("filename",A55),FIND("]",CELL("filename",A55))+1,31)) &amp; "*",CHOOSE({1,2}, Super_CBSA!$B$2:$B$1917, Super_CBSA!$A$2:$A$1917), 2,FALSE), IFERROR(VLOOKUP(B56  &amp; "*",CHOOSE({1,2}, Super_CBSA!$E$2:$E$1917, Super_CBSA!$A$2:$A$1917), 2,FALSE), ""))</f>
        <v>29620</v>
      </c>
    </row>
    <row r="57" spans="1:7" ht="17">
      <c r="A57" s="1" t="s">
        <v>2823</v>
      </c>
      <c r="B57" s="2" t="s">
        <v>2824</v>
      </c>
      <c r="C57" s="2">
        <v>153</v>
      </c>
      <c r="D57" s="3">
        <v>5547</v>
      </c>
      <c r="E57" s="3">
        <v>22764</v>
      </c>
      <c r="F57" s="4">
        <v>469359</v>
      </c>
      <c r="G57" s="11" cm="1">
        <f t="array" aca="1" ref="G57" ca="1">IFERROR(VLOOKUP("*" &amp; B57  &amp; "*" &amp; (MID(CELL("filename",A56),FIND("]",CELL("filename",A56))+1,31)) &amp; "*",CHOOSE({1,2}, Super_CBSA!$B$2:$B$1917, Super_CBSA!$A$2:$A$1917), 2,FALSE), IFERROR(VLOOKUP(B57  &amp; "*",CHOOSE({1,2}, Super_CBSA!$E$2:$E$1917, Super_CBSA!$A$2:$A$1917), 2,FALSE), ""))</f>
        <v>19820</v>
      </c>
    </row>
    <row r="58" spans="1:7" ht="17">
      <c r="A58" s="1" t="s">
        <v>2825</v>
      </c>
      <c r="B58" s="2" t="s">
        <v>2826</v>
      </c>
      <c r="C58" s="2">
        <v>279</v>
      </c>
      <c r="D58" s="3">
        <v>14280</v>
      </c>
      <c r="E58" s="3">
        <v>66206</v>
      </c>
      <c r="F58" s="4">
        <v>1039839</v>
      </c>
      <c r="G58" s="11" t="str" cm="1">
        <f t="array" aca="1" ref="G58" ca="1">IFERROR(VLOOKUP("*" &amp; B58  &amp; "*" &amp; (MID(CELL("filename",A57),FIND("]",CELL("filename",A57))+1,31)) &amp; "*",CHOOSE({1,2}, Super_CBSA!$B$2:$B$1917, Super_CBSA!$A$2:$A$1917), 2,FALSE), IFERROR(VLOOKUP(B58  &amp; "*",CHOOSE({1,2}, Super_CBSA!$E$2:$E$1917, Super_CBSA!$A$2:$A$1917), 2,FALSE), ""))</f>
        <v/>
      </c>
    </row>
    <row r="59" spans="1:7" ht="17">
      <c r="A59" s="1" t="s">
        <v>2827</v>
      </c>
      <c r="B59" s="2" t="s">
        <v>2828</v>
      </c>
      <c r="C59" s="2">
        <v>185</v>
      </c>
      <c r="D59" s="3">
        <v>9131</v>
      </c>
      <c r="E59" s="3">
        <v>34001</v>
      </c>
      <c r="F59" s="4">
        <v>656172</v>
      </c>
      <c r="G59" s="11" t="str" cm="1">
        <f t="array" aca="1" ref="G59" ca="1">IFERROR(VLOOKUP("*" &amp; B59  &amp; "*" &amp; (MID(CELL("filename",A58),FIND("]",CELL("filename",A58))+1,31)) &amp; "*",CHOOSE({1,2}, Super_CBSA!$B$2:$B$1917, Super_CBSA!$A$2:$A$1917), 2,FALSE), IFERROR(VLOOKUP(B59  &amp; "*",CHOOSE({1,2}, Super_CBSA!$E$2:$E$1917, Super_CBSA!$A$2:$A$1917), 2,FALSE), ""))</f>
        <v/>
      </c>
    </row>
    <row r="60" spans="1:7" ht="17">
      <c r="A60" s="1" t="s">
        <v>2829</v>
      </c>
      <c r="B60" s="2" t="s">
        <v>1970</v>
      </c>
      <c r="C60" s="2">
        <v>162</v>
      </c>
      <c r="D60" s="3">
        <v>4406</v>
      </c>
      <c r="E60" s="3">
        <v>21004</v>
      </c>
      <c r="F60" s="4">
        <v>466544</v>
      </c>
      <c r="G60" s="11" t="str" cm="1">
        <f t="array" aca="1" ref="G60" ca="1">IFERROR(VLOOKUP("*" &amp; B60  &amp; "*" &amp; (MID(CELL("filename",A59),FIND("]",CELL("filename",A59))+1,31)) &amp; "*",CHOOSE({1,2}, Super_CBSA!$B$2:$B$1917, Super_CBSA!$A$2:$A$1917), 2,FALSE), IFERROR(VLOOKUP(B60  &amp; "*",CHOOSE({1,2}, Super_CBSA!$E$2:$E$1917, Super_CBSA!$A$2:$A$1917), 2,FALSE), ""))</f>
        <v/>
      </c>
    </row>
    <row r="61" spans="1:7" ht="17">
      <c r="A61" s="1" t="s">
        <v>2830</v>
      </c>
      <c r="B61" s="2" t="s">
        <v>2822</v>
      </c>
      <c r="C61" s="2">
        <v>0</v>
      </c>
      <c r="D61" s="2">
        <v>0</v>
      </c>
      <c r="E61" s="2">
        <v>0</v>
      </c>
      <c r="F61" s="4">
        <v>0</v>
      </c>
      <c r="G61" s="11" cm="1">
        <f t="array" aca="1" ref="G61" ca="1">IFERROR(VLOOKUP("*" &amp; B61  &amp; "*" &amp; (MID(CELL("filename",A60),FIND("]",CELL("filename",A60))+1,31)) &amp; "*",CHOOSE({1,2}, Super_CBSA!$B$2:$B$1917, Super_CBSA!$A$2:$A$1917), 2,FALSE), IFERROR(VLOOKUP(B61  &amp; "*",CHOOSE({1,2}, Super_CBSA!$E$2:$E$1917, Super_CBSA!$A$2:$A$1917), 2,FALSE), ""))</f>
        <v>29620</v>
      </c>
    </row>
    <row r="62" spans="1:7" ht="17">
      <c r="A62" s="1" t="s">
        <v>2831</v>
      </c>
      <c r="B62" s="2" t="s">
        <v>2809</v>
      </c>
      <c r="C62" s="2">
        <v>186</v>
      </c>
      <c r="D62" s="3">
        <v>11579</v>
      </c>
      <c r="E62" s="3">
        <v>40303</v>
      </c>
      <c r="F62" s="4">
        <v>656071</v>
      </c>
      <c r="G62" s="11" t="str" cm="1">
        <f t="array" aca="1" ref="G62" ca="1">IFERROR(VLOOKUP("*" &amp; B62  &amp; "*" &amp; (MID(CELL("filename",A61),FIND("]",CELL("filename",A61))+1,31)) &amp; "*",CHOOSE({1,2}, Super_CBSA!$B$2:$B$1917, Super_CBSA!$A$2:$A$1917), 2,FALSE), IFERROR(VLOOKUP(B62  &amp; "*",CHOOSE({1,2}, Super_CBSA!$E$2:$E$1917, Super_CBSA!$A$2:$A$1917), 2,FALSE), ""))</f>
        <v/>
      </c>
    </row>
    <row r="63" spans="1:7" ht="17">
      <c r="A63" s="1" t="s">
        <v>2832</v>
      </c>
      <c r="B63" s="2" t="s">
        <v>2833</v>
      </c>
      <c r="C63" s="2">
        <v>33</v>
      </c>
      <c r="D63" s="3">
        <v>1220</v>
      </c>
      <c r="E63" s="3">
        <v>3547</v>
      </c>
      <c r="F63" s="4">
        <v>82493</v>
      </c>
      <c r="G63" s="11" t="str" cm="1">
        <f t="array" aca="1" ref="G63" ca="1">IFERROR(VLOOKUP("*" &amp; B63  &amp; "*" &amp; (MID(CELL("filename",A62),FIND("]",CELL("filename",A62))+1,31)) &amp; "*",CHOOSE({1,2}, Super_CBSA!$B$2:$B$1917, Super_CBSA!$A$2:$A$1917), 2,FALSE), IFERROR(VLOOKUP(B63  &amp; " city",CHOOSE({1,2}, Super_CBSA!$E$2:$E$1917, Super_CBSA!$A$2:$A$1917), 2,FALSE), ""))</f>
        <v/>
      </c>
    </row>
    <row r="64" spans="1:7" ht="17">
      <c r="A64" s="1" t="s">
        <v>2834</v>
      </c>
      <c r="B64" s="2" t="s">
        <v>2835</v>
      </c>
      <c r="C64" s="2">
        <v>150</v>
      </c>
      <c r="D64" s="3">
        <v>3933</v>
      </c>
      <c r="E64" s="3">
        <v>17257</v>
      </c>
      <c r="F64" s="4">
        <v>647428</v>
      </c>
      <c r="G64" s="11" t="str" cm="1">
        <f t="array" aca="1" ref="G64" ca="1">IFERROR(VLOOKUP("*" &amp; B64  &amp; "*" &amp; (MID(CELL("filename",A63),FIND("]",CELL("filename",A63))+1,31)) &amp; "*",CHOOSE({1,2}, Super_CBSA!$B$2:$B$1917, Super_CBSA!$A$2:$A$1917), 2,FALSE), IFERROR(VLOOKUP(B64  &amp; "*",CHOOSE({1,2}, Super_CBSA!$E$2:$E$1917, Super_CBSA!$A$2:$A$1917), 2,FALSE), ""))</f>
        <v/>
      </c>
    </row>
    <row r="65" spans="1:7" ht="17">
      <c r="A65" s="1" t="s">
        <v>2836</v>
      </c>
      <c r="B65" s="2" t="s">
        <v>2837</v>
      </c>
      <c r="C65" s="2">
        <v>375</v>
      </c>
      <c r="D65" s="3">
        <v>62990</v>
      </c>
      <c r="E65" s="3">
        <v>66462</v>
      </c>
      <c r="F65" s="4">
        <v>1296100</v>
      </c>
      <c r="G65" s="11" cm="1">
        <f t="array" aca="1" ref="G65" ca="1">IFERROR(VLOOKUP("*" &amp; B65  &amp; "*" &amp; (MID(CELL("filename",A64),FIND("]",CELL("filename",A64))+1,31)) &amp; "*",CHOOSE({1,2}, Super_CBSA!$B$2:$B$1917, Super_CBSA!$A$2:$A$1917), 2,FALSE), IFERROR(VLOOKUP(B65  &amp; "*",CHOOSE({1,2}, Super_CBSA!$E$2:$E$1917, Super_CBSA!$A$2:$A$1917), 2,FALSE), ""))</f>
        <v>34740</v>
      </c>
    </row>
    <row r="66" spans="1:7" ht="17">
      <c r="A66" s="1" t="s">
        <v>2838</v>
      </c>
      <c r="B66" s="2" t="s">
        <v>2837</v>
      </c>
      <c r="C66" s="2">
        <v>160</v>
      </c>
      <c r="D66" s="3">
        <v>9307</v>
      </c>
      <c r="E66" s="3">
        <v>36018</v>
      </c>
      <c r="F66" s="4">
        <v>577513</v>
      </c>
      <c r="G66" s="11" cm="1">
        <f t="array" aca="1" ref="G66" ca="1">IFERROR(VLOOKUP("*" &amp; B66  &amp; "*" &amp; (MID(CELL("filename",A65),FIND("]",CELL("filename",A65))+1,31)) &amp; "*",CHOOSE({1,2}, Super_CBSA!$B$2:$B$1917, Super_CBSA!$A$2:$A$1917), 2,FALSE), IFERROR(VLOOKUP(B66  &amp; "*",CHOOSE({1,2}, Super_CBSA!$E$2:$E$1917, Super_CBSA!$A$2:$A$1917), 2,FALSE), ""))</f>
        <v>34740</v>
      </c>
    </row>
    <row r="67" spans="1:7" ht="17">
      <c r="A67" s="1" t="s">
        <v>2839</v>
      </c>
      <c r="B67" s="2" t="s">
        <v>2840</v>
      </c>
      <c r="C67" s="2">
        <v>303</v>
      </c>
      <c r="D67" s="3">
        <v>15855</v>
      </c>
      <c r="E67" s="3">
        <v>62446</v>
      </c>
      <c r="F67" s="4">
        <v>1177006</v>
      </c>
      <c r="G67" s="11" cm="1">
        <f t="array" aca="1" ref="G67" ca="1">IFERROR(VLOOKUP("*" &amp; B67  &amp; "*" &amp; (MID(CELL("filename",A66),FIND("]",CELL("filename",A66))+1,31)) &amp; "*",CHOOSE({1,2}, Super_CBSA!$B$2:$B$1917, Super_CBSA!$A$2:$A$1917), 2,FALSE), IFERROR(VLOOKUP(B67  &amp; "*",CHOOSE({1,2}, Super_CBSA!$E$2:$E$1917, Super_CBSA!$A$2:$A$1917), 2,FALSE), ""))</f>
        <v>24340</v>
      </c>
    </row>
    <row r="68" spans="1:7" ht="17">
      <c r="A68" s="1" t="s">
        <v>2841</v>
      </c>
      <c r="B68" s="2" t="s">
        <v>2842</v>
      </c>
      <c r="C68" s="2">
        <v>187</v>
      </c>
      <c r="D68" s="3">
        <v>10476</v>
      </c>
      <c r="E68" s="3">
        <v>35848</v>
      </c>
      <c r="F68" s="4">
        <v>1131387</v>
      </c>
      <c r="G68" s="11" cm="1">
        <f t="array" aca="1" ref="G68" ca="1">IFERROR(VLOOKUP("*" &amp; B68  &amp; "*" &amp; (MID(CELL("filename",A67),FIND("]",CELL("filename",A67))+1,31)) &amp; "*",CHOOSE({1,2}, Super_CBSA!$B$2:$B$1917, Super_CBSA!$A$2:$A$1917), 2,FALSE), IFERROR(VLOOKUP(B68  &amp; "*",CHOOSE({1,2}, Super_CBSA!$E$2:$E$1917, Super_CBSA!$A$2:$A$1917), 2,FALSE), ""))</f>
        <v>42540</v>
      </c>
    </row>
    <row r="69" spans="1:7" ht="17">
      <c r="A69" s="1" t="s">
        <v>2843</v>
      </c>
      <c r="B69" s="2" t="s">
        <v>2745</v>
      </c>
      <c r="C69" s="2">
        <v>13</v>
      </c>
      <c r="D69" s="2">
        <v>130</v>
      </c>
      <c r="E69" s="2">
        <v>256</v>
      </c>
      <c r="F69" s="4">
        <v>56252</v>
      </c>
      <c r="G69" s="11" cm="1">
        <f t="array" aca="1" ref="G69" ca="1">IFERROR(VLOOKUP("*" &amp; B69  &amp; "*" &amp; (MID(CELL("filename",A68),FIND("]",CELL("filename",A68))+1,31)) &amp; "*",CHOOSE({1,2}, Super_CBSA!$B$2:$B$1917, Super_CBSA!$A$2:$A$1917), 2,FALSE), IFERROR(VLOOKUP(B69  &amp; "*",CHOOSE({1,2}, Super_CBSA!$E$2:$E$1917, Super_CBSA!$A$2:$A$1917), 2,FALSE), ""))</f>
        <v>19820</v>
      </c>
    </row>
    <row r="70" spans="1:7" ht="17">
      <c r="A70" s="1" t="s">
        <v>2844</v>
      </c>
      <c r="B70" s="2" t="s">
        <v>2845</v>
      </c>
      <c r="C70" s="2">
        <v>139</v>
      </c>
      <c r="D70" s="3">
        <v>4362</v>
      </c>
      <c r="E70" s="3">
        <v>15928</v>
      </c>
      <c r="F70" s="4">
        <v>360048</v>
      </c>
      <c r="G70" s="11" cm="1">
        <f t="array" aca="1" ref="G70" ca="1">IFERROR(VLOOKUP("*" &amp; B70  &amp; "*" &amp; (MID(CELL("filename",A69),FIND("]",CELL("filename",A69))+1,31)) &amp; "*",CHOOSE({1,2}, Super_CBSA!$B$2:$B$1917, Super_CBSA!$A$2:$A$1917), 2,FALSE), IFERROR(VLOOKUP(B70  &amp; "*",CHOOSE({1,2}, Super_CBSA!$E$2:$E$1917, Super_CBSA!$A$2:$A$1917), 2,FALSE), ""))</f>
        <v>10980</v>
      </c>
    </row>
    <row r="71" spans="1:7" ht="17">
      <c r="A71" s="1" t="s">
        <v>2846</v>
      </c>
      <c r="B71" s="2" t="s">
        <v>2847</v>
      </c>
      <c r="C71" s="2">
        <v>49</v>
      </c>
      <c r="D71" s="2">
        <v>952</v>
      </c>
      <c r="E71" s="3">
        <v>2651</v>
      </c>
      <c r="F71" s="4">
        <v>149721</v>
      </c>
      <c r="G71" s="11" cm="1">
        <f t="array" aca="1" ref="G71" ca="1">IFERROR(VLOOKUP("*" &amp; B71  &amp; "*" &amp; (MID(CELL("filename",A70),FIND("]",CELL("filename",A70))+1,31)) &amp; "*",CHOOSE({1,2}, Super_CBSA!$B$2:$B$1917, Super_CBSA!$A$2:$A$1917), 2,FALSE), IFERROR(VLOOKUP(B71  &amp; "*",CHOOSE({1,2}, Super_CBSA!$E$2:$E$1917, Super_CBSA!$A$2:$A$1917), 2,FALSE), ""))</f>
        <v>44940</v>
      </c>
    </row>
    <row r="72" spans="1:7" ht="17">
      <c r="A72" s="1" t="s">
        <v>2848</v>
      </c>
      <c r="B72" s="2" t="s">
        <v>2849</v>
      </c>
      <c r="C72" s="2">
        <v>97</v>
      </c>
      <c r="D72" s="3">
        <v>3349</v>
      </c>
      <c r="E72" s="3">
        <v>10992</v>
      </c>
      <c r="F72" s="4">
        <v>329922</v>
      </c>
      <c r="G72" s="11" cm="1">
        <f t="array" aca="1" ref="G72" ca="1">IFERROR(VLOOKUP("*" &amp; B72  &amp; "*" &amp; (MID(CELL("filename",A71),FIND("]",CELL("filename",A71))+1,31)) &amp; "*",CHOOSE({1,2}, Super_CBSA!$B$2:$B$1917, Super_CBSA!$A$2:$A$1917), 2,FALSE), IFERROR(VLOOKUP(B72  &amp; "*",CHOOSE({1,2}, Super_CBSA!$E$2:$E$1917, Super_CBSA!$A$2:$A$1917), 2,FALSE), ""))</f>
        <v>10940</v>
      </c>
    </row>
    <row r="73" spans="1:7" ht="17">
      <c r="A73" s="1" t="s">
        <v>2850</v>
      </c>
      <c r="B73" s="2" t="s">
        <v>2851</v>
      </c>
      <c r="C73" s="2">
        <v>324</v>
      </c>
      <c r="D73" s="3">
        <v>15767</v>
      </c>
      <c r="E73" s="3">
        <v>60786</v>
      </c>
      <c r="F73" s="4">
        <v>1098758</v>
      </c>
      <c r="G73" s="11" cm="1">
        <f t="array" aca="1" ref="G73" ca="1">IFERROR(VLOOKUP("*" &amp; B73  &amp; "*" &amp; (MID(CELL("filename",A72),FIND("]",CELL("filename",A72))+1,31)) &amp; "*",CHOOSE({1,2}, Super_CBSA!$B$2:$B$1917, Super_CBSA!$A$2:$A$1917), 2,FALSE), IFERROR(VLOOKUP(B73  &amp; "*",CHOOSE({1,2}, Super_CBSA!$E$2:$E$1917, Super_CBSA!$A$2:$A$1917), 2,FALSE), ""))</f>
        <v>33220</v>
      </c>
    </row>
    <row r="74" spans="1:7" ht="17">
      <c r="A74" s="1" t="s">
        <v>2852</v>
      </c>
      <c r="B74" s="2" t="s">
        <v>2853</v>
      </c>
      <c r="C74" s="2">
        <v>88</v>
      </c>
      <c r="D74" s="3">
        <v>2204</v>
      </c>
      <c r="E74" s="3">
        <v>7630</v>
      </c>
      <c r="F74" s="4">
        <v>120735</v>
      </c>
      <c r="G74" s="11" t="str" cm="1">
        <f t="array" aca="1" ref="G74" ca="1">IFERROR(VLOOKUP("*" &amp; B74  &amp; "*" &amp; (MID(CELL("filename",A73),FIND("]",CELL("filename",A73))+1,31)) &amp; "*",CHOOSE({1,2}, Super_CBSA!$B$2:$B$1917, Super_CBSA!$A$2:$A$1917), 2,FALSE), IFERROR(VLOOKUP(B74  &amp; "*",CHOOSE({1,2}, Super_CBSA!$E$2:$E$1917, Super_CBSA!$A$2:$A$1917), 2,FALSE), ""))</f>
        <v/>
      </c>
    </row>
    <row r="75" spans="1:7" ht="17">
      <c r="A75" s="1" t="s">
        <v>2854</v>
      </c>
      <c r="B75" s="2" t="s">
        <v>2855</v>
      </c>
      <c r="C75" s="2">
        <v>49</v>
      </c>
      <c r="D75" s="3">
        <v>2790</v>
      </c>
      <c r="E75" s="3">
        <v>9393</v>
      </c>
      <c r="F75" s="4">
        <v>289542</v>
      </c>
      <c r="G75" s="11" cm="1">
        <f t="array" aca="1" ref="G75" ca="1">IFERROR(VLOOKUP("*" &amp; B75  &amp; "*" &amp; (MID(CELL("filename",A74),FIND("]",CELL("filename",A74))+1,31)) &amp; "*",CHOOSE({1,2}, Super_CBSA!$B$2:$B$1917, Super_CBSA!$A$2:$A$1917), 2,FALSE), IFERROR(VLOOKUP(B75  &amp; "*",CHOOSE({1,2}, Super_CBSA!$E$2:$E$1917, Super_CBSA!$A$2:$A$1917), 2,FALSE), ""))</f>
        <v>15620</v>
      </c>
    </row>
    <row r="76" spans="1:7" ht="17">
      <c r="A76" s="1" t="s">
        <v>2856</v>
      </c>
      <c r="B76" s="2" t="s">
        <v>2857</v>
      </c>
      <c r="C76" s="2">
        <v>88</v>
      </c>
      <c r="D76" s="3">
        <v>2284</v>
      </c>
      <c r="E76" s="3">
        <v>7138</v>
      </c>
      <c r="F76" s="4">
        <v>242022</v>
      </c>
      <c r="G76" s="11" t="str" cm="1">
        <f t="array" aca="1" ref="G76" ca="1">IFERROR(VLOOKUP("*" &amp; B76  &amp; "*" &amp; (MID(CELL("filename",A75),FIND("]",CELL("filename",A75))+1,31)) &amp; "*",CHOOSE({1,2}, Super_CBSA!$B$2:$B$1917, Super_CBSA!$A$2:$A$1917), 2,FALSE), IFERROR(VLOOKUP(B76  &amp; "*",CHOOSE({1,2}, Super_CBSA!$E$2:$E$1917, Super_CBSA!$A$2:$A$1917), 2,FALSE), ""))</f>
        <v/>
      </c>
    </row>
    <row r="77" spans="1:7" ht="17">
      <c r="A77" s="1" t="s">
        <v>2858</v>
      </c>
      <c r="B77" s="2" t="s">
        <v>2859</v>
      </c>
      <c r="C77" s="2">
        <v>442</v>
      </c>
      <c r="D77" s="3">
        <v>21759</v>
      </c>
      <c r="E77" s="3">
        <v>90865</v>
      </c>
      <c r="F77" s="4">
        <v>1816048</v>
      </c>
      <c r="G77" s="11" cm="1">
        <f t="array" aca="1" ref="G77" ca="1">IFERROR(VLOOKUP("*" &amp; B77  &amp; "*" &amp; (MID(CELL("filename",A76),FIND("]",CELL("filename",A76))+1,31)) &amp; "*",CHOOSE({1,2}, Super_CBSA!$B$2:$B$1917, Super_CBSA!$A$2:$A$1917), 2,FALSE), IFERROR(VLOOKUP(B77  &amp; "*",CHOOSE({1,2}, Super_CBSA!$E$2:$E$1917, Super_CBSA!$A$2:$A$1917), 2,FALSE), ""))</f>
        <v>45900</v>
      </c>
    </row>
    <row r="78" spans="1:7" ht="17">
      <c r="A78" s="1" t="s">
        <v>2860</v>
      </c>
      <c r="B78" s="2" t="s">
        <v>2861</v>
      </c>
      <c r="C78" s="2">
        <v>81</v>
      </c>
      <c r="D78" s="3">
        <v>1386</v>
      </c>
      <c r="E78" s="3">
        <v>3105</v>
      </c>
      <c r="F78" s="4">
        <v>135204</v>
      </c>
      <c r="G78" s="11" t="str" cm="1">
        <f t="array" aca="1" ref="G78" ca="1">IFERROR(VLOOKUP("*" &amp; B78  &amp; "*" &amp; (MID(CELL("filename",A77),FIND("]",CELL("filename",A77))+1,31)) &amp; "*",CHOOSE({1,2}, Super_CBSA!$B$2:$B$1917, Super_CBSA!$A$2:$A$1917), 2,FALSE), IFERROR(VLOOKUP(B78  &amp; "*",CHOOSE({1,2}, Super_CBSA!$E$2:$E$1917, Super_CBSA!$A$2:$A$1917), 2,FALSE), ""))</f>
        <v/>
      </c>
    </row>
    <row r="79" spans="1:7" ht="17">
      <c r="A79" s="1" t="s">
        <v>2862</v>
      </c>
      <c r="B79" s="2" t="s">
        <v>2863</v>
      </c>
      <c r="C79" s="2">
        <v>78</v>
      </c>
      <c r="D79" s="3">
        <v>4953</v>
      </c>
      <c r="E79" s="3">
        <v>15101</v>
      </c>
      <c r="F79" s="4">
        <v>547113</v>
      </c>
      <c r="G79" s="11" cm="1">
        <f t="array" aca="1" ref="G79" ca="1">IFERROR(VLOOKUP("*" &amp; B79  &amp; "*" &amp; (MID(CELL("filename",A78),FIND("]",CELL("filename",A78))+1,31)) &amp; "*",CHOOSE({1,2}, Super_CBSA!$B$2:$B$1917, Super_CBSA!$A$2:$A$1917), 2,FALSE), IFERROR(VLOOKUP(B79  &amp; "*",CHOOSE({1,2}, Super_CBSA!$E$2:$E$1917, Super_CBSA!$A$2:$A$1917), 2,FALSE), ""))</f>
        <v>10700</v>
      </c>
    </row>
    <row r="80" spans="1:7" ht="17">
      <c r="A80" s="1" t="s">
        <v>2864</v>
      </c>
      <c r="B80" s="2" t="s">
        <v>2783</v>
      </c>
      <c r="C80" s="2">
        <v>0</v>
      </c>
      <c r="D80" s="2">
        <v>0</v>
      </c>
      <c r="E80" s="2">
        <v>0</v>
      </c>
      <c r="F80" s="4">
        <v>0</v>
      </c>
      <c r="G80" s="11" cm="1">
        <f t="array" aca="1" ref="G80" ca="1">IFERROR(VLOOKUP("*" &amp; B80  &amp; "*" &amp; (MID(CELL("filename",A79),FIND("]",CELL("filename",A79))+1,31)) &amp; "*",CHOOSE({1,2}, Super_CBSA!$B$2:$B$1917, Super_CBSA!$A$2:$A$1917), 2,FALSE), IFERROR(VLOOKUP(B80  &amp; "*",CHOOSE({1,2}, Super_CBSA!$E$2:$E$1917, Super_CBSA!$A$2:$A$1917), 2,FALSE), ""))</f>
        <v>27020</v>
      </c>
    </row>
    <row r="81" spans="1:7" ht="17">
      <c r="A81" s="1" t="s">
        <v>2865</v>
      </c>
      <c r="B81" s="2" t="s">
        <v>2866</v>
      </c>
      <c r="C81" s="2">
        <v>80</v>
      </c>
      <c r="D81" s="3">
        <v>2073</v>
      </c>
      <c r="E81" s="3">
        <v>6647</v>
      </c>
      <c r="F81" s="4">
        <v>219187</v>
      </c>
      <c r="G81" s="11" t="str" cm="1">
        <f t="array" aca="1" ref="G81" ca="1">IFERROR(VLOOKUP("*" &amp; B81  &amp; "*" &amp; (MID(CELL("filename",A80),FIND("]",CELL("filename",A80))+1,31)) &amp; "*",CHOOSE({1,2}, Super_CBSA!$B$2:$B$1917, Super_CBSA!$A$2:$A$1917), 2,FALSE), IFERROR(VLOOKUP(B81  &amp; "*",CHOOSE({1,2}, Super_CBSA!$E$2:$E$1917, Super_CBSA!$A$2:$A$1917), 2,FALSE), ""))</f>
        <v/>
      </c>
    </row>
    <row r="82" spans="1:7" ht="17">
      <c r="A82" s="1" t="s">
        <v>2867</v>
      </c>
      <c r="B82" s="2" t="s">
        <v>1970</v>
      </c>
      <c r="C82" s="2">
        <v>94</v>
      </c>
      <c r="D82" s="2">
        <v>371</v>
      </c>
      <c r="E82" s="3">
        <v>1524</v>
      </c>
      <c r="F82" s="4">
        <v>174694</v>
      </c>
      <c r="G82" s="11" t="str" cm="1">
        <f t="array" aca="1" ref="G82" ca="1">IFERROR(VLOOKUP("*" &amp; B82  &amp; "*" &amp; (MID(CELL("filename",A81),FIND("]",CELL("filename",A81))+1,31)) &amp; "*",CHOOSE({1,2}, Super_CBSA!$B$2:$B$1917, Super_CBSA!$A$2:$A$1917), 2,FALSE), IFERROR(VLOOKUP(B82  &amp; "*",CHOOSE({1,2}, Super_CBSA!$E$2:$E$1917, Super_CBSA!$A$2:$A$1917), 2,FALSE), ""))</f>
        <v/>
      </c>
    </row>
    <row r="83" spans="1:7" ht="17">
      <c r="A83" s="1" t="s">
        <v>2868</v>
      </c>
      <c r="B83" s="2" t="s">
        <v>2869</v>
      </c>
      <c r="C83" s="2">
        <v>88</v>
      </c>
      <c r="D83" s="3">
        <v>3244</v>
      </c>
      <c r="E83" s="3">
        <v>11375</v>
      </c>
      <c r="F83" s="4">
        <v>389546</v>
      </c>
      <c r="G83" s="11" cm="1">
        <f t="array" aca="1" ref="G83" ca="1">IFERROR(VLOOKUP("*" &amp; B83  &amp; "*" &amp; (MID(CELL("filename",A82),FIND("]",CELL("filename",A82))+1,31)) &amp; "*",CHOOSE({1,2}, Super_CBSA!$B$2:$B$1917, Super_CBSA!$A$2:$A$1917), 2,FALSE), IFERROR(VLOOKUP(B83  &amp; "*",CHOOSE({1,2}, Super_CBSA!$E$2:$E$1917, Super_CBSA!$A$2:$A$1917), 2,FALSE), ""))</f>
        <v>10300</v>
      </c>
    </row>
    <row r="84" spans="1:7" ht="17">
      <c r="A84" s="1" t="s">
        <v>2870</v>
      </c>
      <c r="B84" s="2" t="s">
        <v>2871</v>
      </c>
      <c r="C84" s="2">
        <v>87</v>
      </c>
      <c r="D84" s="3">
        <v>2927</v>
      </c>
      <c r="E84" s="3">
        <v>11787</v>
      </c>
      <c r="F84" s="4">
        <v>195616</v>
      </c>
      <c r="G84" s="11" cm="1">
        <f t="array" aca="1" ref="G84" ca="1">IFERROR(VLOOKUP("*" &amp; B84  &amp; "*" &amp; (MID(CELL("filename",A83),FIND("]",CELL("filename",A83))+1,31)) &amp; "*",CHOOSE({1,2}, Super_CBSA!$B$2:$B$1917, Super_CBSA!$A$2:$A$1917), 2,FALSE), IFERROR(VLOOKUP(B84  &amp; "*",CHOOSE({1,2}, Super_CBSA!$E$2:$E$1917, Super_CBSA!$A$2:$A$1917), 2,FALSE), ""))</f>
        <v>17740</v>
      </c>
    </row>
    <row r="85" spans="1:7" ht="17">
      <c r="A85" s="1" t="s">
        <v>2872</v>
      </c>
      <c r="B85" s="2" t="s">
        <v>1624</v>
      </c>
      <c r="C85" s="2">
        <v>171</v>
      </c>
      <c r="D85" s="3">
        <v>5342</v>
      </c>
      <c r="E85" s="3">
        <v>20749</v>
      </c>
      <c r="F85" s="4">
        <v>382234</v>
      </c>
      <c r="G85" s="11" cm="1">
        <f t="array" aca="1" ref="G85" ca="1">IFERROR(VLOOKUP("*" &amp; B85  &amp; "*" &amp; (MID(CELL("filename",A84),FIND("]",CELL("filename",A84))+1,31)) &amp; "*",CHOOSE({1,2}, Super_CBSA!$B$2:$B$1917, Super_CBSA!$A$2:$A$1917), 2,FALSE), IFERROR(VLOOKUP(B85  &amp; "*",CHOOSE({1,2}, Super_CBSA!$E$2:$E$1917, Super_CBSA!$A$2:$A$1917), 2,FALSE), ""))</f>
        <v>33780</v>
      </c>
    </row>
    <row r="86" spans="1:7" ht="17">
      <c r="A86" s="1" t="s">
        <v>2873</v>
      </c>
      <c r="B86" s="2" t="s">
        <v>2874</v>
      </c>
      <c r="C86" s="2">
        <v>133</v>
      </c>
      <c r="D86" s="3">
        <v>3763</v>
      </c>
      <c r="E86" s="3">
        <v>9275</v>
      </c>
      <c r="F86" s="4">
        <v>516787</v>
      </c>
      <c r="G86" s="11" t="str" cm="1">
        <f t="array" aca="1" ref="G86" ca="1">IFERROR(VLOOKUP("*" &amp; B86  &amp; "*" &amp; (MID(CELL("filename",A85),FIND("]",CELL("filename",A85))+1,31)) &amp; "*",CHOOSE({1,2}, Super_CBSA!$B$2:$B$1917, Super_CBSA!$A$2:$A$1917), 2,FALSE), IFERROR(VLOOKUP(B86  &amp; "*",CHOOSE({1,2}, Super_CBSA!$E$2:$E$1917, Super_CBSA!$A$2:$A$1917), 2,FALSE), ""))</f>
        <v/>
      </c>
    </row>
    <row r="87" spans="1:7" ht="17">
      <c r="A87" s="1" t="s">
        <v>2875</v>
      </c>
      <c r="B87" s="2" t="s">
        <v>2876</v>
      </c>
      <c r="C87" s="2">
        <v>43</v>
      </c>
      <c r="D87" s="3">
        <v>2767</v>
      </c>
      <c r="E87" s="3">
        <v>8561</v>
      </c>
      <c r="F87" s="4">
        <v>494909</v>
      </c>
      <c r="G87" s="11" cm="1">
        <f t="array" aca="1" ref="G87" ca="1">IFERROR(VLOOKUP("*" &amp; B87  &amp; "*" &amp; (MID(CELL("filename",A86),FIND("]",CELL("filename",A86))+1,31)) &amp; "*",CHOOSE({1,2}, Super_CBSA!$B$2:$B$1917, Super_CBSA!$A$2:$A$1917), 2,FALSE), IFERROR(VLOOKUP(B87  &amp; "*",CHOOSE({1,2}, Super_CBSA!$E$2:$E$1917, Super_CBSA!$A$2:$A$1917), 2,FALSE), ""))</f>
        <v>48460</v>
      </c>
    </row>
    <row r="88" spans="1:7" ht="17">
      <c r="A88" s="1" t="s">
        <v>2877</v>
      </c>
      <c r="B88" s="2" t="s">
        <v>1970</v>
      </c>
      <c r="C88" s="2">
        <v>443</v>
      </c>
      <c r="D88" s="3">
        <v>19102</v>
      </c>
      <c r="E88" s="3">
        <v>82853</v>
      </c>
      <c r="F88" s="4">
        <v>1169720</v>
      </c>
      <c r="G88" s="11" t="str" cm="1">
        <f t="array" aca="1" ref="G88" ca="1">IFERROR(VLOOKUP("*" &amp; B88  &amp; "*" &amp; (MID(CELL("filename",A87),FIND("]",CELL("filename",A87))+1,31)) &amp; "*",CHOOSE({1,2}, Super_CBSA!$B$2:$B$1917, Super_CBSA!$A$2:$A$1917), 2,FALSE), IFERROR(VLOOKUP(B88  &amp; "*",CHOOSE({1,2}, Super_CBSA!$E$2:$E$1917, Super_CBSA!$A$2:$A$1917), 2,FALSE), ""))</f>
        <v/>
      </c>
    </row>
    <row r="89" spans="1:7" ht="17">
      <c r="A89" s="1" t="s">
        <v>2878</v>
      </c>
      <c r="B89" s="2" t="s">
        <v>2879</v>
      </c>
      <c r="C89" s="2">
        <v>304</v>
      </c>
      <c r="D89" s="3">
        <v>15804</v>
      </c>
      <c r="E89" s="3">
        <v>62678</v>
      </c>
      <c r="F89" s="4">
        <v>871881</v>
      </c>
      <c r="G89" s="11" t="str" cm="1">
        <f t="array" aca="1" ref="G89" ca="1">IFERROR(VLOOKUP("*" &amp; B89  &amp; "*" &amp; (MID(CELL("filename",A88),FIND("]",CELL("filename",A88))+1,31)) &amp; "*",CHOOSE({1,2}, Super_CBSA!$B$2:$B$1917, Super_CBSA!$A$2:$A$1917), 2,FALSE), IFERROR(VLOOKUP(B89  &amp; "*",CHOOSE({1,2}, Super_CBSA!$E$2:$E$1917, Super_CBSA!$A$2:$A$1917), 2,FALSE), ""))</f>
        <v/>
      </c>
    </row>
    <row r="90" spans="1:7" ht="17">
      <c r="A90" s="1" t="s">
        <v>2880</v>
      </c>
      <c r="B90" s="2" t="s">
        <v>2881</v>
      </c>
      <c r="C90" s="2">
        <v>48</v>
      </c>
      <c r="D90" s="2">
        <v>807</v>
      </c>
      <c r="E90" s="3">
        <v>2409</v>
      </c>
      <c r="F90" s="4">
        <v>99826</v>
      </c>
      <c r="G90" s="11" cm="1">
        <f t="array" aca="1" ref="G90" ca="1">IFERROR(VLOOKUP("*" &amp; B90  &amp; "*" &amp; (MID(CELL("filename",A89),FIND("]",CELL("filename",A89))+1,31)) &amp; "*",CHOOSE({1,2}, Super_CBSA!$B$2:$B$1917, Super_CBSA!$A$2:$A$1917), 2,FALSE), IFERROR(VLOOKUP(B90  &amp; "*",CHOOSE({1,2}, Super_CBSA!$E$2:$E$1917, Super_CBSA!$A$2:$A$1917), 2,FALSE), ""))</f>
        <v>16180</v>
      </c>
    </row>
    <row r="91" spans="1:7" ht="17">
      <c r="A91" s="1" t="s">
        <v>2882</v>
      </c>
      <c r="B91" s="2" t="s">
        <v>2822</v>
      </c>
      <c r="C91" s="2">
        <v>632</v>
      </c>
      <c r="D91" s="3">
        <v>32636</v>
      </c>
      <c r="E91" s="3">
        <v>143755</v>
      </c>
      <c r="F91" s="4">
        <v>2709607</v>
      </c>
      <c r="G91" s="11" cm="1">
        <f t="array" aca="1" ref="G91" ca="1">IFERROR(VLOOKUP("*" &amp; B91  &amp; "*" &amp; (MID(CELL("filename",A90),FIND("]",CELL("filename",A90))+1,31)) &amp; "*",CHOOSE({1,2}, Super_CBSA!$B$2:$B$1917, Super_CBSA!$A$2:$A$1917), 2,FALSE), IFERROR(VLOOKUP(B91  &amp; "*",CHOOSE({1,2}, Super_CBSA!$E$2:$E$1917, Super_CBSA!$A$2:$A$1917), 2,FALSE), ""))</f>
        <v>29620</v>
      </c>
    </row>
    <row r="92" spans="1:7" ht="17">
      <c r="A92" s="1" t="s">
        <v>2883</v>
      </c>
      <c r="B92" s="2" t="s">
        <v>2884</v>
      </c>
      <c r="C92" s="2">
        <v>49</v>
      </c>
      <c r="D92" s="3">
        <v>2395</v>
      </c>
      <c r="E92" s="3">
        <v>7242</v>
      </c>
      <c r="F92" s="4">
        <v>195237</v>
      </c>
      <c r="G92" s="11" cm="1">
        <f t="array" aca="1" ref="G92" ca="1">IFERROR(VLOOKUP("*" &amp; B92  &amp; "*" &amp; (MID(CELL("filename",A91),FIND("]",CELL("filename",A91))+1,31)) &amp; "*",CHOOSE({1,2}, Super_CBSA!$B$2:$B$1917, Super_CBSA!$A$2:$A$1917), 2,FALSE), IFERROR(VLOOKUP(B92  &amp; "*",CHOOSE({1,2}, Super_CBSA!$E$2:$E$1917, Super_CBSA!$A$2:$A$1917), 2,FALSE), ""))</f>
        <v>13660</v>
      </c>
    </row>
    <row r="93" spans="1:7" ht="17">
      <c r="A93" s="1" t="s">
        <v>2885</v>
      </c>
      <c r="B93" s="2" t="s">
        <v>2840</v>
      </c>
      <c r="C93" s="2">
        <v>291</v>
      </c>
      <c r="D93" s="3">
        <v>15394</v>
      </c>
      <c r="E93" s="3">
        <v>74910</v>
      </c>
      <c r="F93" s="4">
        <v>266464</v>
      </c>
      <c r="G93" s="11" cm="1">
        <f t="array" aca="1" ref="G93" ca="1">IFERROR(VLOOKUP("*" &amp; B93  &amp; "*" &amp; (MID(CELL("filename",A92),FIND("]",CELL("filename",A92))+1,31)) &amp; "*",CHOOSE({1,2}, Super_CBSA!$B$2:$B$1917, Super_CBSA!$A$2:$A$1917), 2,FALSE), IFERROR(VLOOKUP(B93  &amp; "*",CHOOSE({1,2}, Super_CBSA!$E$2:$E$1917, Super_CBSA!$A$2:$A$1917), 2,FALSE), ""))</f>
        <v>24340</v>
      </c>
    </row>
    <row r="94" spans="1:7" ht="17">
      <c r="A94" s="1" t="s">
        <v>2886</v>
      </c>
      <c r="B94" s="2" t="s">
        <v>2840</v>
      </c>
      <c r="C94" s="3">
        <v>1387</v>
      </c>
      <c r="D94" s="3">
        <v>69396</v>
      </c>
      <c r="E94" s="3">
        <v>317501</v>
      </c>
      <c r="F94" s="4">
        <v>4863766</v>
      </c>
      <c r="G94" s="11" cm="1">
        <f t="array" aca="1" ref="G94" ca="1">IFERROR(VLOOKUP("*" &amp; B94  &amp; "*" &amp; (MID(CELL("filename",A93),FIND("]",CELL("filename",A93))+1,31)) &amp; "*",CHOOSE({1,2}, Super_CBSA!$B$2:$B$1917, Super_CBSA!$A$2:$A$1917), 2,FALSE), IFERROR(VLOOKUP(B94  &amp; "*",CHOOSE({1,2}, Super_CBSA!$E$2:$E$1917, Super_CBSA!$A$2:$A$1917), 2,FALSE), ""))</f>
        <v>24340</v>
      </c>
    </row>
    <row r="95" spans="1:7" ht="17">
      <c r="A95" s="1" t="s">
        <v>2887</v>
      </c>
      <c r="B95" s="2" t="s">
        <v>2888</v>
      </c>
      <c r="C95" s="2">
        <v>45</v>
      </c>
      <c r="D95" s="3">
        <v>1843</v>
      </c>
      <c r="E95" s="3">
        <v>7089</v>
      </c>
      <c r="F95" s="4">
        <v>223617</v>
      </c>
      <c r="G95" s="11" cm="1">
        <f t="array" aca="1" ref="G95" ca="1">IFERROR(VLOOKUP("*" &amp; B95  &amp; "*" &amp; (MID(CELL("filename",A94),FIND("]",CELL("filename",A94))+1,31)) &amp; "*",CHOOSE({1,2}, Super_CBSA!$B$2:$B$1917, Super_CBSA!$A$2:$A$1917), 2,FALSE), IFERROR(VLOOKUP(B95  &amp; "*",CHOOSE({1,2}, Super_CBSA!$E$2:$E$1917, Super_CBSA!$A$2:$A$1917), 2,FALSE), ""))</f>
        <v>31220</v>
      </c>
    </row>
    <row r="96" spans="1:7" ht="17">
      <c r="A96" s="1" t="s">
        <v>2889</v>
      </c>
      <c r="B96" s="2" t="s">
        <v>200</v>
      </c>
      <c r="C96" s="2">
        <v>88</v>
      </c>
      <c r="D96" s="3">
        <v>3191</v>
      </c>
      <c r="E96" s="3">
        <v>8698</v>
      </c>
      <c r="F96" s="4">
        <v>279920</v>
      </c>
      <c r="G96" s="11" cm="1">
        <f t="array" aca="1" ref="G96" ca="1">IFERROR(VLOOKUP("*" &amp; B96  &amp; "*" &amp; (MID(CELL("filename",A95),FIND("]",CELL("filename",A95))+1,31)) &amp; "*",CHOOSE({1,2}, Super_CBSA!$B$2:$B$1917, Super_CBSA!$A$2:$A$1917), 2,FALSE), IFERROR(VLOOKUP(B96  &amp; "*",CHOOSE({1,2}, Super_CBSA!$E$2:$E$1917, Super_CBSA!$A$2:$A$1917), 2,FALSE), ""))</f>
        <v>24860</v>
      </c>
    </row>
    <row r="97" spans="1:7" ht="17">
      <c r="A97" s="1" t="s">
        <v>2890</v>
      </c>
      <c r="B97" s="2" t="s">
        <v>2789</v>
      </c>
      <c r="C97" s="2">
        <v>507</v>
      </c>
      <c r="D97" s="3">
        <v>30614</v>
      </c>
      <c r="E97" s="3">
        <v>130509</v>
      </c>
      <c r="F97" s="4">
        <v>2657864</v>
      </c>
      <c r="G97" s="11" t="str" cm="1">
        <f t="array" aca="1" ref="G97" ca="1">IFERROR(VLOOKUP("*" &amp; B97  &amp; "*" &amp; (MID(CELL("filename",A96),FIND("]",CELL("filename",A96))+1,31)) &amp; "*",CHOOSE({1,2}, Super_CBSA!$B$2:$B$1917, Super_CBSA!$A$2:$A$1917), 2,FALSE), IFERROR(VLOOKUP(B97  &amp; "*",CHOOSE({1,2}, Super_CBSA!$E$2:$E$1917, Super_CBSA!$A$2:$A$1917), 2,FALSE), ""))</f>
        <v/>
      </c>
    </row>
    <row r="98" spans="1:7" ht="17">
      <c r="A98" s="1" t="s">
        <v>2891</v>
      </c>
      <c r="B98" s="2" t="s">
        <v>2751</v>
      </c>
      <c r="C98" s="2">
        <v>34</v>
      </c>
      <c r="D98" s="2">
        <v>805</v>
      </c>
      <c r="E98" s="3">
        <v>6039</v>
      </c>
      <c r="F98" s="4">
        <v>30470</v>
      </c>
      <c r="G98" s="11" t="str" cm="1">
        <f t="array" aca="1" ref="G98" ca="1">IFERROR(VLOOKUP("*" &amp; B98  &amp; "*" &amp; (MID(CELL("filename",A97),FIND("]",CELL("filename",A97))+1,31)) &amp; "*",CHOOSE({1,2}, Super_CBSA!$B$2:$B$1917, Super_CBSA!$A$2:$A$1917), 2,FALSE), IFERROR(VLOOKUP(B98  &amp; "*",CHOOSE({1,2}, Super_CBSA!$E$2:$E$1917, Super_CBSA!$A$2:$A$1917), 2,FALSE), ""))</f>
        <v/>
      </c>
    </row>
    <row r="99" spans="1:7" ht="17">
      <c r="A99" s="1" t="s">
        <v>2892</v>
      </c>
      <c r="B99" s="2" t="s">
        <v>2893</v>
      </c>
      <c r="C99" s="2">
        <v>49</v>
      </c>
      <c r="D99" s="3">
        <v>1356</v>
      </c>
      <c r="E99" s="3">
        <v>3523</v>
      </c>
      <c r="F99" s="4">
        <v>92672</v>
      </c>
      <c r="G99" s="11" cm="1">
        <f t="array" aca="1" ref="G99" ca="1">IFERROR(VLOOKUP("*" &amp; B99  &amp; "*" &amp; (MID(CELL("filename",A98),FIND("]",CELL("filename",A98))+1,31)) &amp; "*",CHOOSE({1,2}, Super_CBSA!$B$2:$B$1917, Super_CBSA!$A$2:$A$1917), 2,FALSE), IFERROR(VLOOKUP(B99  &amp; "*",CHOOSE({1,2}, Super_CBSA!$E$2:$E$1917, Super_CBSA!$A$2:$A$1917), 2,FALSE), ""))</f>
        <v>44780</v>
      </c>
    </row>
    <row r="100" spans="1:7" ht="17">
      <c r="A100" s="1" t="s">
        <v>2894</v>
      </c>
      <c r="B100" s="2" t="s">
        <v>2751</v>
      </c>
      <c r="C100" s="2">
        <v>71</v>
      </c>
      <c r="D100" s="2">
        <v>467</v>
      </c>
      <c r="E100" s="3">
        <v>1412</v>
      </c>
      <c r="F100" s="4">
        <v>111293</v>
      </c>
      <c r="G100" s="11" t="str" cm="1">
        <f t="array" aca="1" ref="G100" ca="1">IFERROR(VLOOKUP("*" &amp; B100  &amp; "*" &amp; (MID(CELL("filename",A99),FIND("]",CELL("filename",A99))+1,31)) &amp; "*",CHOOSE({1,2}, Super_CBSA!$B$2:$B$1917, Super_CBSA!$A$2:$A$1917), 2,FALSE), IFERROR(VLOOKUP(B100  &amp; "*",CHOOSE({1,2}, Super_CBSA!$E$2:$E$1917, Super_CBSA!$A$2:$A$1917), 2,FALSE), ""))</f>
        <v/>
      </c>
    </row>
    <row r="101" spans="1:7" ht="17">
      <c r="A101" s="1" t="s">
        <v>2895</v>
      </c>
      <c r="B101" s="2" t="s">
        <v>2896</v>
      </c>
      <c r="C101" s="2">
        <v>60</v>
      </c>
      <c r="D101" s="2">
        <v>982</v>
      </c>
      <c r="E101" s="3">
        <v>2923</v>
      </c>
      <c r="F101" s="4">
        <v>162417</v>
      </c>
      <c r="G101" s="11" t="str" cm="1">
        <f t="array" aca="1" ref="G101" ca="1">IFERROR(VLOOKUP("*" &amp; B101  &amp; "*" &amp; (MID(CELL("filename",A100),FIND("]",CELL("filename",A100))+1,31)) &amp; "*",CHOOSE({1,2}, Super_CBSA!$B$2:$B$1917, Super_CBSA!$A$2:$A$1917), 2,FALSE), IFERROR(VLOOKUP(B101  &amp; "*",CHOOSE({1,2}, Super_CBSA!$E$2:$E$1917, Super_CBSA!$A$2:$A$1917), 2,FALSE), ""))</f>
        <v/>
      </c>
    </row>
    <row r="102" spans="1:7" ht="17">
      <c r="A102" s="1" t="s">
        <v>2897</v>
      </c>
      <c r="B102" s="2" t="s">
        <v>2898</v>
      </c>
      <c r="C102" s="3">
        <v>1006</v>
      </c>
      <c r="D102" s="3">
        <v>44920</v>
      </c>
      <c r="E102" s="3">
        <v>287361</v>
      </c>
      <c r="F102" s="4">
        <v>9575958</v>
      </c>
      <c r="G102" s="11" cm="1">
        <f t="array" aca="1" ref="G102" ca="1">IFERROR(VLOOKUP("*" &amp; B102  &amp; "*" &amp; (MID(CELL("filename",A101),FIND("]",CELL("filename",A101))+1,31)) &amp; "*",CHOOSE({1,2}, Super_CBSA!$B$2:$B$1917, Super_CBSA!$A$2:$A$1917), 2,FALSE), IFERROR(VLOOKUP(B102  &amp; "*",CHOOSE({1,2}, Super_CBSA!$E$2:$E$1917, Super_CBSA!$A$2:$A$1917), 2,FALSE), ""))</f>
        <v>11460</v>
      </c>
    </row>
    <row r="103" spans="1:7" ht="17">
      <c r="A103" s="1" t="s">
        <v>2899</v>
      </c>
      <c r="B103" s="2" t="s">
        <v>2900</v>
      </c>
      <c r="C103" s="2">
        <v>96</v>
      </c>
      <c r="D103" s="3">
        <v>1237</v>
      </c>
      <c r="E103" s="3">
        <v>3188</v>
      </c>
      <c r="F103" s="4">
        <v>153909</v>
      </c>
      <c r="G103" s="11" cm="1">
        <f t="array" aca="1" ref="G103" ca="1">IFERROR(VLOOKUP("*" &amp; B103  &amp; "*" &amp; (MID(CELL("filename",A102),FIND("]",CELL("filename",A102))+1,31)) &amp; "*",CHOOSE({1,2}, Super_CBSA!$B$2:$B$1917, Super_CBSA!$A$2:$A$1917), 2,FALSE), IFERROR(VLOOKUP(B103  &amp; "*",CHOOSE({1,2}, Super_CBSA!$E$2:$E$1917, Super_CBSA!$A$2:$A$1917), 2,FALSE), ""))</f>
        <v>22300</v>
      </c>
    </row>
    <row r="104" spans="1:7" ht="17">
      <c r="A104" s="1" t="s">
        <v>2901</v>
      </c>
      <c r="B104" s="2" t="s">
        <v>2902</v>
      </c>
      <c r="C104" s="2">
        <v>301</v>
      </c>
      <c r="D104" s="3">
        <v>8081</v>
      </c>
      <c r="E104" s="3">
        <v>38478</v>
      </c>
      <c r="F104" s="4">
        <v>1044523</v>
      </c>
      <c r="G104" s="11" cm="1">
        <f t="array" aca="1" ref="G104" ca="1">IFERROR(VLOOKUP("*" &amp; B104  &amp; "*" &amp; (MID(CELL("filename",A103),FIND("]",CELL("filename",A103))+1,31)) &amp; "*",CHOOSE({1,2}, Super_CBSA!$B$2:$B$1917, Super_CBSA!$A$2:$A$1917), 2,FALSE), IFERROR(VLOOKUP(B104  &amp; "*",CHOOSE({1,2}, Super_CBSA!$E$2:$E$1917, Super_CBSA!$A$2:$A$1917), 2,FALSE), ""))</f>
        <v>32100</v>
      </c>
    </row>
    <row r="105" spans="1:7" ht="17">
      <c r="A105" s="1" t="s">
        <v>2903</v>
      </c>
      <c r="B105" s="2" t="s">
        <v>2898</v>
      </c>
      <c r="C105" s="2">
        <v>0</v>
      </c>
      <c r="D105" s="2">
        <v>0</v>
      </c>
      <c r="E105" s="2">
        <v>0</v>
      </c>
      <c r="F105" s="4">
        <v>0</v>
      </c>
      <c r="G105" s="11" cm="1">
        <f t="array" aca="1" ref="G105" ca="1">IFERROR(VLOOKUP("*" &amp; B105  &amp; "*" &amp; (MID(CELL("filename",A104),FIND("]",CELL("filename",A104))+1,31)) &amp; "*",CHOOSE({1,2}, Super_CBSA!$B$2:$B$1917, Super_CBSA!$A$2:$A$1917), 2,FALSE), IFERROR(VLOOKUP(B105  &amp; "*",CHOOSE({1,2}, Super_CBSA!$E$2:$E$1917, Super_CBSA!$A$2:$A$1917), 2,FALSE), ""))</f>
        <v>11460</v>
      </c>
    </row>
    <row r="106" spans="1:7" ht="17">
      <c r="A106" s="1" t="s">
        <v>2904</v>
      </c>
      <c r="B106" s="2" t="s">
        <v>2905</v>
      </c>
      <c r="C106" s="2">
        <v>120</v>
      </c>
      <c r="D106" s="3">
        <v>2449</v>
      </c>
      <c r="E106" s="3">
        <v>9608</v>
      </c>
      <c r="F106" s="4">
        <v>246734</v>
      </c>
      <c r="G106" s="11" t="str" cm="1">
        <f t="array" aca="1" ref="G106" ca="1">IFERROR(VLOOKUP("*" &amp; B106  &amp; "*" &amp; (MID(CELL("filename",A105),FIND("]",CELL("filename",A105))+1,31)) &amp; "*",CHOOSE({1,2}, Super_CBSA!$B$2:$B$1917, Super_CBSA!$A$2:$A$1917), 2,FALSE), IFERROR(VLOOKUP(B106  &amp; "*",CHOOSE({1,2}, Super_CBSA!$E$2:$E$1917, Super_CBSA!$A$2:$A$1917), 2,FALSE), ""))</f>
        <v/>
      </c>
    </row>
    <row r="107" spans="1:7" ht="17">
      <c r="A107" s="2" t="s">
        <v>56</v>
      </c>
      <c r="B107" s="2"/>
      <c r="C107" s="3">
        <v>23722</v>
      </c>
      <c r="D107" s="3">
        <v>1127446</v>
      </c>
      <c r="E107" s="3">
        <v>4794188</v>
      </c>
      <c r="F107" s="4">
        <v>95622442</v>
      </c>
    </row>
  </sheetData>
  <hyperlinks>
    <hyperlink ref="A2" r:id="rId1" display="https://www.ahd.com/free_profile/230165/_Ascension_Saint_John_Hospital_/Detroit/Michigan/" xr:uid="{6D72C5E1-431E-8843-A397-385F49051661}"/>
    <hyperlink ref="A3" r:id="rId2" display="https://www.ahd.com/free_profile/230303/_Munson_Healthcare_Manistee_Hospital/Manistee/Michigan/" xr:uid="{71F203F6-64E5-7A4A-836F-3D8EAAC5C3E7}"/>
    <hyperlink ref="A4" r:id="rId3" display="https://www.ahd.com/free_profile/230003/_Spectrum_Health_Zeeland_Community_Hospital/Zeeland/Michigan/" xr:uid="{E804086B-074B-3F4E-B5ED-D9C81A5DF4D7}"/>
    <hyperlink ref="A5" r:id="rId4" display="https://www.ahd.com/free_profile/23009F/Aleda_E_Lutz_VA_Medical_Center/Saginaw/Michigan/" xr:uid="{880C536E-1D85-D245-9E85-2C51E3C2AB7E}"/>
    <hyperlink ref="A6" r:id="rId5" display="https://www.ahd.com/free_profile/230117/Ascension_Borgess_Hospital/Kalamazoo/Michigan/" xr:uid="{A1634D38-9641-104E-A1D5-EA99F415124C}"/>
    <hyperlink ref="A7" r:id="rId6" display="https://www.ahd.com/free_profile/230279/Ascension_Brighton_Center_for_Recovery/Brighton/Michigan/" xr:uid="{7128A194-986D-7D47-9606-9AE57E6BE469}"/>
    <hyperlink ref="A8" r:id="rId7" display="https://www.ahd.com/free_profile/230197/Ascension_Genesys_Hospital/Grand_Blanc/Michigan/" xr:uid="{AD722BF9-B83E-5B44-B3F9-B1C3ABEFECB8}"/>
    <hyperlink ref="A9" r:id="rId8" display="https://www.ahd.com/free_profile/230195/Ascension_Macomb_-_Oakland_Hospital_Warren_Campus/Warren/Michigan/" xr:uid="{E4D70374-616D-4F40-B9AE-E44E3864DF6A}"/>
    <hyperlink ref="A10" r:id="rId9" display="https://www.ahd.com/free_profile/230223/Ascension_Macomb-Oakland_Hospital%2C_Madison_Heights_Campus/Madison_Heights/Michigan/" xr:uid="{E226A41D-6CA9-3147-9959-54025CCD5755}"/>
    <hyperlink ref="A11" r:id="rId10" display="https://www.ahd.com/free_profile/I41469/Ascension_Providence_Hospital_Novi_Campus/Novi/Michigan/" xr:uid="{01393EE0-1C36-764C-A7D7-A4D8181B69B2}"/>
    <hyperlink ref="A12" r:id="rId11" display="https://www.ahd.com/free_profile/230019/Ascension_Providence_Hospital%2C_Southfield_Campus/Southfield/Michigan/" xr:uid="{3F60E5E6-8888-FB44-A118-1049888390F2}"/>
    <hyperlink ref="A13" r:id="rId12" display="https://www.ahd.com/free_profile/230254/Ascension_Providence_Rochester_Hospital/Rochester/Michigan/" xr:uid="{6A7303C0-5C24-4649-8545-63672C32AB4D}"/>
    <hyperlink ref="A14" r:id="rId13" display="https://www.ahd.com/free_profile/230241/Ascension_River_District_Hospital/East_China_Township/Michigan/" xr:uid="{670BBF05-50FC-EA41-8594-F56A1E62CD6D}"/>
    <hyperlink ref="A15" r:id="rId14" display="https://www.ahd.com/free_profile/230100/Ascension_St_Joseph_Hospital/Tawas_City/Michigan/" xr:uid="{EF297043-A12D-A847-A51F-BBF433C748E1}"/>
    <hyperlink ref="A16" r:id="rId15" display="https://www.ahd.com/free_profile/230077/Ascension_St_Mary%27s_Hospital/Saginaw/Michigan/" xr:uid="{A7AA7D4C-AE55-3F4F-903B-F3CE9D4608ED}"/>
    <hyperlink ref="A17" r:id="rId16" display="https://www.ahd.com/free_profile/23012F/Battle_Creek_VA_Medical_Center/Battle_Creek/Michigan/" xr:uid="{CDDD83ED-CC72-AB4F-AB5A-6FBC528D5442}"/>
    <hyperlink ref="A18" r:id="rId17" display="https://www.ahd.com/free_profile/230020/Beaumont_Hospital%2C__Dearborn/Dearborn/Michigan/" xr:uid="{34ED2194-DC8A-DA48-9AB5-67CE80C16874}"/>
    <hyperlink ref="A19" r:id="rId18" display="https://www.ahd.com/free_profile/230151/Beaumont_Hospital%2C__Farmington_Hills/Farmington_Hills/Michigan/" xr:uid="{69A096CE-9913-4444-80C9-F1ECE3624C0B}"/>
    <hyperlink ref="A20" r:id="rId19" display="https://www.ahd.com/free_profile/230089/Beaumont_Hospital%2C_Grosse_Pointe/Grosse_Pointe/Michigan/" xr:uid="{7199A057-8EE9-D340-9133-6383A7D3ABB4}"/>
    <hyperlink ref="A21" r:id="rId20" display="https://www.ahd.com/free_profile/230130/Beaumont_Hospital%2C_Royal_Oak/Royal_Oak/Michigan/" xr:uid="{69A31E9B-CA5E-EF4E-97D7-95ACFC9542AC}"/>
    <hyperlink ref="A22" r:id="rId21" display="https://www.ahd.com/free_profile/230270/Beaumont_Hospital%2C_Taylor/Taylor/Michigan/" xr:uid="{2FC39D49-8BB7-FA41-89B4-6566C4A77FFB}"/>
    <hyperlink ref="A23" r:id="rId22" display="https://www.ahd.com/free_profile/230176/Beaumont_Hospital%2C_Trenton/Trenton/Michigan/" xr:uid="{6104E260-F7DA-B744-B1A1-9230F17B251E}"/>
    <hyperlink ref="A24" r:id="rId23" display="https://www.ahd.com/free_profile/230269/Beaumont_Hospital%2C_Troy/Troy/Michigan/" xr:uid="{B8BB1592-B451-DA42-A940-24F1A3B53398}"/>
    <hyperlink ref="A25" r:id="rId24" display="https://www.ahd.com/free_profile/230142/Beaumont_Hospital%2C_Wayne/Wayne/Michigan/" xr:uid="{18BE76E7-68F1-6245-B27D-BA22E9AFFFAA}"/>
    <hyperlink ref="A26" r:id="rId25" display="https://www.ahd.com/free_profile/230075/Bronson_Battle_Creek/Battle_Creek/Michigan/" xr:uid="{4644E702-1996-7541-AB18-6D73BE1BAFA9}"/>
    <hyperlink ref="A27" r:id="rId26" display="https://www.ahd.com/free_profile/230017/Bronson_Methodist_Hospital/Kalamazoo/Michigan/" xr:uid="{78C75A1A-6AD9-6B4C-9466-F93CA236F35B}"/>
    <hyperlink ref="A28" r:id="rId27" display="https://www.ahd.com/free_profile/230085/Bronson_South_Haven_Hospital/South_Haven/Michigan/" xr:uid="{BC7A0E06-0349-9348-B568-F5080E210F97}"/>
    <hyperlink ref="A29" r:id="rId28" display="https://www.ahd.com/free_profile/I42110/Covenant_Medical_Center_Cooper/Saginaw_/Michigan/" xr:uid="{CB563EDB-03D4-EB4A-AA97-021C04C7F570}"/>
    <hyperlink ref="A30" r:id="rId29" display="https://www.ahd.com/free_profile/230070/Covenant_Medical_Center_Harrison/Saginaw/Michigan/" xr:uid="{EF161BC4-F46D-0347-860F-6740DF6A00B8}"/>
    <hyperlink ref="A31" r:id="rId30" display="https://www.ahd.com/free_profile/230055/Dickinson_County_Healthcare_System/Iron_Mountain/Michigan/" xr:uid="{4A728B97-62A2-4642-AA5A-1430A65F3969}"/>
    <hyperlink ref="A32" r:id="rId31" display="https://www.ahd.com/free_profile/230273/DMC_Detroit_Receiving_Hospital/Detroit/Michigan/" xr:uid="{C10A9103-E6C1-DA48-894A-C9E51AF7DEEC}"/>
    <hyperlink ref="A33" r:id="rId32" display="https://www.ahd.com/free_profile/230104/DMC_Harper_University_Hospital/Detroit/Michigan/" xr:uid="{74C5DB4C-72CA-274F-8454-499DF93887B8}"/>
    <hyperlink ref="A34" r:id="rId33" display="https://www.ahd.com/free_profile/230277/DMC_Huron_Valley-Sinai_Hospital/Commerce/Michigan/" xr:uid="{D0FE8E72-A4EC-6141-8050-16302AED621B}"/>
    <hyperlink ref="A35" r:id="rId34" display="https://www.ahd.com/free_profile/230024/DMC_Sinai-Grace_Hospital/Detroit/Michigan/" xr:uid="{C3DBA4E0-F48F-FD43-98AF-85E5CB5939BD}"/>
    <hyperlink ref="A36" r:id="rId35" display="https://www.ahd.com/free_profile/230144/Forest_Health_Medical_Center_Michigan/Ypsilanti/Michigan/" xr:uid="{5996BDCE-2FA1-0541-AED2-25D9B3163E0D}"/>
    <hyperlink ref="A37" r:id="rId36" display="https://www.ahd.com/free_profile/230244/Garden_City_Hospital/Garden_City/Michigan/" xr:uid="{D25930DC-AA1A-C34C-AB6D-B229C253F59A}"/>
    <hyperlink ref="A38" r:id="rId37" display="https://www.ahd.com/free_profile/230275/Healthsource_Saginaw/Saginaw/Michigan/" xr:uid="{513A1984-C749-5940-B332-76ABC4A38507}"/>
    <hyperlink ref="A39" r:id="rId38" display="https://www.ahd.com/free_profile/230092/Henry_Ford_Allegiance_Health_Hospital/Jackson/Michigan/" xr:uid="{6D1659C4-4078-3C46-9A56-1B28428022F7}"/>
    <hyperlink ref="A40" r:id="rId39" display="https://www.ahd.com/free_profile/230053/Henry_Ford_Hospital/Detroit/Michigan/" xr:uid="{54F84678-A1F2-ED4B-AB6A-0FA5C2EBD523}"/>
    <hyperlink ref="A41" r:id="rId40" display="https://www.ahd.com/free_profile/230047/Henry_Ford_Macomb_Hospital_-_Clinton_Township/Clinton_Township/Michigan/" xr:uid="{2B8E16A2-2BF1-7040-BB2C-C7C3F1347394}"/>
    <hyperlink ref="A42" r:id="rId41" display="https://www.ahd.com/free_profile/230302/Henry_Ford_West_Bloomfield_Hospital/West_Bloomfield/Michigan/" xr:uid="{3890D2BA-9AC7-0B48-AA5E-6F0AD339978F}"/>
    <hyperlink ref="A43" r:id="rId42" display="https://www.ahd.com/free_profile/230146/Henry_Ford_Wyandotte_Hospital/Wyandotte/Michigan/" xr:uid="{E4DEF36B-FEBD-4249-9086-944F87F40090}"/>
    <hyperlink ref="A44" r:id="rId43" display="https://www.ahd.com/free_profile/230037/Hillsdale_Hospital/Hillsdale/Michigan/" xr:uid="{89A38ED8-0D1B-3149-BC6C-9D92ABC57777}"/>
    <hyperlink ref="A45" r:id="rId44" display="https://www.ahd.com/free_profile/230072/Holland_Hospital/Holland/Michigan/" xr:uid="{D31586E5-61A4-C042-82F6-238D9DCFFE18}"/>
    <hyperlink ref="A46" r:id="rId45" display="https://www.ahd.com/free_profile/230132/Hurley_Medical_Center/Flint/Michigan/" xr:uid="{E5BD0975-A14C-7941-BE5A-8EECC8916FE9}"/>
    <hyperlink ref="A47" r:id="rId46" display="https://www.ahd.com/free_profile/23037F/John_D_Dingell_VA_Medical_Center/Detroit/Michigan/" xr:uid="{98F1A9B7-2902-294F-8BD7-C6F6323492E8}"/>
    <hyperlink ref="A48" r:id="rId47" display="https://www.ahd.com/free_profile/230297/Karmanos_Cancer_Institute/Detroit/Michigan/" xr:uid="{B8760718-B535-D541-AA57-466146558DB3}"/>
    <hyperlink ref="A49" r:id="rId48" display="https://www.ahd.com/free_profile/230031/Lake_Huron_Medical_Center/Port_Huron/Michigan/" xr:uid="{EA395E90-6C13-C14A-A52E-FBBFD4C8623D}"/>
    <hyperlink ref="A50" r:id="rId49" display="https://www.ahd.com/free_profile/I41125/Lakeland_Hospital_Niles/Niles/Michigan/" xr:uid="{C26A2CE0-3018-D144-8066-5D35F8A28A2F}"/>
    <hyperlink ref="A51" r:id="rId50" display="https://www.ahd.com/free_profile/230078/Lakeland_Hospital%2C_Watervliet/Watervliet/Michigan/" xr:uid="{5E08E371-759C-BE44-A9AE-80C5A810C771}"/>
    <hyperlink ref="A52" r:id="rId51" display="https://www.ahd.com/free_profile/230021/Lakeland_Medical_Center%2C_Saint_Joseph/Saint_Joseph/Michigan/" xr:uid="{67C7CB5B-73B2-8748-8B92-AB2848ADDB00}"/>
    <hyperlink ref="A53" r:id="rId52" display="https://www.ahd.com/free_profile/230041/McLaren_Bay_Region/Bay_City/Michigan/" xr:uid="{13B5955A-6496-D74B-8664-E1D9A1E2F307}"/>
    <hyperlink ref="A54" r:id="rId53" display="https://www.ahd.com/free_profile/230080/McLaren_Central_Michigan_/Mount_Pleasant/Michigan/" xr:uid="{FDFB5A38-F73A-524F-9288-317C5BBFA814}"/>
    <hyperlink ref="A55" r:id="rId54" display="https://www.ahd.com/free_profile/230141/McLaren_Flint/Flint/Michigan/" xr:uid="{B1A74554-287E-6447-A02D-11FA538EDA21}"/>
    <hyperlink ref="A56" r:id="rId55" display="https://www.ahd.com/free_profile/230167/McLaren_Greater_Lansing/Lansing/Michigan/" xr:uid="{05D4AC22-F488-EC4A-BE48-85BB5A1D8F0B}"/>
    <hyperlink ref="A57" r:id="rId56" display="https://www.ahd.com/free_profile/230193/McLaren_Lapeer_Region/Lapeer/Michigan/" xr:uid="{8107A0FC-B624-9240-83D3-07D8D38FE095}"/>
    <hyperlink ref="A58" r:id="rId57" display="https://www.ahd.com/free_profile/230227/McLaren_Macomb/Mount_Clemens/Michigan/" xr:uid="{476577B2-CB9B-2342-8C66-DE16164EC5CD}"/>
    <hyperlink ref="A59" r:id="rId58" display="https://www.ahd.com/free_profile/230105/McLaren_Northern_Michigan_/Petoskey/Michigan/" xr:uid="{E9291796-6552-4E42-B306-6D2D3FE6428E}"/>
    <hyperlink ref="A60" r:id="rId59" display="https://www.ahd.com/free_profile/230207/McLaren_Oakland/Pontiac/Michigan/" xr:uid="{5F165D43-813D-D74B-AA34-0038DF022137}"/>
    <hyperlink ref="A61" r:id="rId60" display="https://www.ahd.com/free_profile/I41463/McLaren_Orthopedic_Hospital/Lansing/Michigan/" xr:uid="{6D6881DA-6367-254A-8557-0476A09E3930}"/>
    <hyperlink ref="A62" r:id="rId61" display="https://www.ahd.com/free_profile/230216/McLaren_Port_Huron_Hospital/Port_Huron/Michigan/" xr:uid="{76C1ACEE-CBEF-A449-A386-39BB8603F2EA}"/>
    <hyperlink ref="A63" r:id="rId62" display="https://www.ahd.com/free_profile/230118/McLaren_Thumb_Region/Bad_Axe/Michigan/" xr:uid="{02DD72EE-83D7-3B4B-8492-5C83C63A8EA5}"/>
    <hyperlink ref="A64" r:id="rId63" display="https://www.ahd.com/free_profile/230121/Memorial_Healthcare/Owosso/Michigan/" xr:uid="{BFBCC4A5-ACF8-2B4A-B051-5D5C285DDAEF}"/>
    <hyperlink ref="A65" r:id="rId64" display="https://www.ahd.com/free_profile/230066/Mercy_Health_Hackley_Campus/Muskegon/Michigan/" xr:uid="{6B6A12F3-446F-4E4D-AEAB-BFB2509179C8}"/>
    <hyperlink ref="A66" r:id="rId65" display="https://www.ahd.com/free_profile/230004/Mercy_Health_Mercy_Campus/Muskegon/Michigan/" xr:uid="{9F12F7FA-6D8B-C842-917E-691BE14B010D}"/>
    <hyperlink ref="A67" r:id="rId66" display="https://www.ahd.com/free_profile/230059/Mercy_Health_Saint_Mary%27s/Grand_Rapids/Michigan/" xr:uid="{1F4C8827-603F-8240-AD41-EE5382C707BC}"/>
    <hyperlink ref="A68" r:id="rId67" display="https://www.ahd.com/free_profile/230236/Metro_Health_Hospital/Wyoming/Michigan/" xr:uid="{3351E428-8039-0141-BA81-3C952FB0606D}"/>
    <hyperlink ref="A69" r:id="rId68" display="https://www.ahd.com/free_profile/230264/Michigan_Surgical_Hospital/Warren/Michigan/" xr:uid="{300C1652-A54F-B84D-BBCC-F51EAB17552A}"/>
    <hyperlink ref="A70" r:id="rId69" display="https://www.ahd.com/free_profile/230036/MidMichigan_Medical_Center_-_Alpena/Alpena/Michigan/" xr:uid="{7BD1E44D-EEE1-3E4A-901C-E329B4780278}"/>
    <hyperlink ref="A71" r:id="rId70" display="https://www.ahd.com/free_profile/230180/MidMichigan_Medical_Center_-_Clare/Clare/Michigan/" xr:uid="{92EACE4F-8632-9A4D-8102-8195B3C72F11}"/>
    <hyperlink ref="A72" r:id="rId71" display="https://www.ahd.com/free_profile/230030/MidMichigan_Medical_Center_-_Gratiot/Alma/Michigan/" xr:uid="{BAF42D10-C4DC-2B41-9146-B907373E8B7F}"/>
    <hyperlink ref="A73" r:id="rId72" display="https://www.ahd.com/free_profile/230222/MidMichigan_Medical_Center_-_Midland/Midland/Michigan/" xr:uid="{52C82E79-F332-284B-82F5-97B8A60DCEDB}"/>
    <hyperlink ref="A74" r:id="rId73" display="https://www.ahd.com/free_profile/230095/MidMichigan_Medical_Center-West_Branch/West_Branch/Michigan/" xr:uid="{9B283877-C092-FE41-A1E6-04771DCBF623}"/>
    <hyperlink ref="A75" r:id="rId74" display="https://www.ahd.com/free_profile/230081/Munson_Healthcare_Cadillac_Hospital_/Cadillac/Michigan/" xr:uid="{65E8F5C3-1B19-5449-AF42-B2849490EF64}"/>
    <hyperlink ref="A76" r:id="rId75" display="https://www.ahd.com/free_profile/230058/Munson_Healthcare_Grayling_Hospital_/Grayling/Michigan/" xr:uid="{48BF11D4-D813-1146-BBFB-CEACBA1351BE}"/>
    <hyperlink ref="A77" r:id="rId76" display="https://www.ahd.com/free_profile/230097/Munson_Medical_Center/Traverse_City/Michigan/" xr:uid="{E1EFB55D-084B-D243-A374-BD8B7CCD4CF5}"/>
    <hyperlink ref="A78" r:id="rId77" display="https://www.ahd.com/free_profile/230174/North_Ottawa_Community_Hospital/Grand_Haven/Michigan/" xr:uid="{604462FA-4D03-B54C-9FA8-C4B68FB5C8AB}"/>
    <hyperlink ref="A79" r:id="rId78" display="https://www.ahd.com/free_profile/230217/Oaklawn_Hospital/Marshall/Michigan/" xr:uid="{EF71842D-211E-0D4D-B864-4F2FEB6BC9E7}"/>
    <hyperlink ref="A80" r:id="rId79" display="https://www.ahd.com/free_profile/232331/Oscar_G_Johnson_VA_Medical_Center/Iron_Mountain/Michigan/" xr:uid="{E99225D9-4117-4C4E-A4C6-C9EC9174647A}"/>
    <hyperlink ref="A81" r:id="rId80" display="https://www.ahd.com/free_profile/230133/Otsego_Memorial_Hospital/Gaylord/Michigan/" xr:uid="{33622F85-0D98-C54B-B8D7-F36A4376DEEA}"/>
    <hyperlink ref="A82" r:id="rId81" display="https://www.ahd.com/free_profile/230013/Pontiac_General_Hospital/Pontiac/Michigan/" xr:uid="{3D88302C-CA81-0D47-843F-019DD55995E7}"/>
    <hyperlink ref="A83" r:id="rId82" display="https://www.ahd.com/free_profile/230005/ProMedica_Bixby_Hospital/Adrian/Michigan/" xr:uid="{49C6D6B3-4B5C-F846-8BF7-09C13F6995B1}"/>
    <hyperlink ref="A84" r:id="rId83" display="https://www.ahd.com/free_profile/230022/ProMedica_Coldwater_Regional_Hospital_/Coldwater/Michigan/" xr:uid="{5F9A54B4-0BFA-E44C-8F66-0A4E18CB401A}"/>
    <hyperlink ref="A85" r:id="rId84" display="https://www.ahd.com/free_profile/230099/ProMedica_Monroe_Regional_Hospital/Monroe/Michigan/" xr:uid="{8FCEC15C-1A86-354B-863C-6E80BCA96F08}"/>
    <hyperlink ref="A86" r:id="rId85" display="https://www.ahd.com/free_profile/230259/Saint_Joseph_Mercy_Chelsea/Chelsea/Michigan/" xr:uid="{7A0094BC-6726-CE4F-960D-2F5DE459BADA}"/>
    <hyperlink ref="A87" r:id="rId86" display="https://www.ahd.com/free_profile/230069/Saint_Joseph_Mercy_Livingston_Hospital/Howell/Michigan/" xr:uid="{4E8B0A5C-34EC-EA43-B836-450FEBF2E0E4}"/>
    <hyperlink ref="A88" r:id="rId87" display="https://www.ahd.com/free_profile/230029/Saint_Joseph_Mercy_Oakland/Pontiac/Michigan/" xr:uid="{50E2776B-3018-B142-BF11-526C12833D43}"/>
    <hyperlink ref="A89" r:id="rId88" display="https://www.ahd.com/free_profile/230002/Saint_Mary_Mercy_Livonia_Hospital/Livonia/Michigan/" xr:uid="{BE179932-94DF-C64E-908C-43D563D2B6C9}"/>
    <hyperlink ref="A90" r:id="rId89" display="https://www.ahd.com/free_profile/230208/Sparrow_Carson_Hospital/Carson_City/Michigan/" xr:uid="{8A32BB54-A770-F64A-9420-9C89D4DB8782}"/>
    <hyperlink ref="A91" r:id="rId90" display="https://www.ahd.com/free_profile/230230/Sparrow_Hospital/Lansing/Michigan/" xr:uid="{02EA9C43-C214-514B-B1F8-283EC8B520A3}"/>
    <hyperlink ref="A92" r:id="rId91" display="https://www.ahd.com/free_profile/230093/Spectrum_Health_Big_Rapids_Hospital/Big_Rapids/Michigan/" xr:uid="{A670870F-9204-A64F-BAC4-89579E76FAD9}"/>
    <hyperlink ref="A93" r:id="rId92" display="https://www.ahd.com/free_profile/230032/Spectrum_Health_Blodgett_Hospital/Grand_Rapids/Michigan/" xr:uid="{159F94DA-2BCA-D343-9F57-A2CEE51AEC29}"/>
    <hyperlink ref="A94" r:id="rId93" display="https://www.ahd.com/free_profile/230038/Spectrum_Health_Butterworth_Hospital/Grand_Rapids/Michigan/" xr:uid="{06C5E77A-8313-4E4F-BD3B-30C508E9C982}"/>
    <hyperlink ref="A95" r:id="rId94" display="https://www.ahd.com/free_profile/230110/Spectrum_Health_Ludington_Hospital/Ludington/Michigan/" xr:uid="{EAE53A06-70F5-2E41-9867-C71E9D576EEB}"/>
    <hyperlink ref="A96" r:id="rId95" display="https://www.ahd.com/free_profile/230035/Spectrum_Health_United_Hospital/Greenville/Michigan/" xr:uid="{6FE1CA4C-D0AC-C242-B38F-36A358781AD8}"/>
    <hyperlink ref="A97" r:id="rId96" display="https://www.ahd.com/free_profile/230156/St_Joseph_Mercy_Ann_Arbor/Ypsilanti/Michigan/" xr:uid="{279612E3-63DA-B049-880D-F10BDB4B4FF6}"/>
    <hyperlink ref="A98" r:id="rId97" display="https://www.ahd.com/free_profile/230071/Straith_Hospital/Southfield/Michigan/" xr:uid="{05FB3E25-5622-3948-8E64-3FF04D07A1DD}"/>
    <hyperlink ref="A99" r:id="rId98" display="https://www.ahd.com/free_profile/230096/Sturgis_Hospital/Sturgis/Michigan/" xr:uid="{28ACA1EA-AB26-2447-931D-2F81085B1EBE}"/>
    <hyperlink ref="A100" r:id="rId99" display="https://www.ahd.com/free_profile/230301/Surgeons_Choice_Medical_Center/Southfield/Michigan/" xr:uid="{82117EA0-F1C3-1A46-AF0B-453A8E584E2E}"/>
    <hyperlink ref="A101" r:id="rId100" display="https://www.ahd.com/free_profile/230015/Three_Rivers_Health_Medical_Center/Three_Rivers/Michigan/" xr:uid="{1D3D2089-AD57-2F4E-9E16-E08B49CAC0F3}"/>
    <hyperlink ref="A102" r:id="rId101" display="https://www.ahd.com/free_profile/230046/University_of_Michigan_Hospitals_and_Health_Centers/Ann_Arbor/Michigan/" xr:uid="{AB414662-FD78-6B40-84B7-E99797B3E574}"/>
    <hyperlink ref="A103" r:id="rId102" display="https://www.ahd.com/free_profile/230108/UP_Health_System_Portage_/Hancock/Michigan/" xr:uid="{141079AC-EE10-864F-A973-76AFFAF10737}"/>
    <hyperlink ref="A104" r:id="rId103" display="https://www.ahd.com/free_profile/230054/UPHS__-__Marquette/Marquette/Michigan/" xr:uid="{6EB6F60C-D17E-624A-B898-F8AFCD48F678}"/>
    <hyperlink ref="A105" r:id="rId104" display="https://www.ahd.com/free_profile/23011F/VA_Ann_Arbor_Healthcare_System/Ann_Arbor/Michigan/" xr:uid="{15D5D42E-58D9-E64E-9533-61F939B50A8C}"/>
    <hyperlink ref="A106" r:id="rId105" display="https://www.ahd.com/free_profile/230239/War_Memorial_Hospital/Sault_Saint_Marie/Michigan/" xr:uid="{8CA0B4E1-F307-A844-B076-1A653A189F12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DF5A3-C8FF-6B41-B3D2-14DAEDDEE214}">
  <sheetPr codeName="Sheet25"/>
  <dimension ref="A1:G57"/>
  <sheetViews>
    <sheetView workbookViewId="0">
      <selection activeCell="G2" sqref="G2:G56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2906</v>
      </c>
      <c r="B2" s="2" t="s">
        <v>2842</v>
      </c>
      <c r="C2" s="2">
        <v>55</v>
      </c>
      <c r="D2" s="3">
        <v>3165</v>
      </c>
      <c r="E2" s="3">
        <v>10245</v>
      </c>
      <c r="F2" s="4">
        <v>257713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"*",CHOOSE({1,2}, Super_CBSA!$E$2:$E$1917, Super_CBSA!$A$2:$A$1917), 2,FALSE), ""))</f>
        <v>42540</v>
      </c>
    </row>
    <row r="3" spans="1:7" ht="17">
      <c r="A3" s="1" t="s">
        <v>2907</v>
      </c>
      <c r="B3" s="2" t="s">
        <v>2908</v>
      </c>
      <c r="C3" s="2">
        <v>686</v>
      </c>
      <c r="D3" s="3">
        <v>34199</v>
      </c>
      <c r="E3" s="3">
        <v>165549</v>
      </c>
      <c r="F3" s="4">
        <v>3280301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"*",CHOOSE({1,2}, Super_CBSA!$E$2:$E$1917, Super_CBSA!$A$2:$A$1917), 2,FALSE), ""))</f>
        <v>33460</v>
      </c>
    </row>
    <row r="4" spans="1:7" ht="17">
      <c r="A4" s="1" t="s">
        <v>2909</v>
      </c>
      <c r="B4" s="2" t="s">
        <v>2384</v>
      </c>
      <c r="C4" s="2">
        <v>99</v>
      </c>
      <c r="D4" s="3">
        <v>3523</v>
      </c>
      <c r="E4" s="3">
        <v>12055</v>
      </c>
      <c r="F4" s="4">
        <v>391993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"*",CHOOSE({1,2}, Super_CBSA!$E$2:$E$1917, Super_CBSA!$A$2:$A$1917), 2,FALSE), ""))</f>
        <v>10820</v>
      </c>
    </row>
    <row r="5" spans="1:7" ht="17">
      <c r="A5" s="1" t="s">
        <v>2910</v>
      </c>
      <c r="B5" s="2" t="s">
        <v>2911</v>
      </c>
      <c r="C5" s="2">
        <v>44</v>
      </c>
      <c r="D5" s="3">
        <v>2176</v>
      </c>
      <c r="E5" s="3">
        <v>6746</v>
      </c>
      <c r="F5" s="4">
        <v>187816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"*",CHOOSE({1,2}, Super_CBSA!$E$2:$E$1917, Super_CBSA!$A$2:$A$1917), 2,FALSE), ""))</f>
        <v>28260</v>
      </c>
    </row>
    <row r="6" spans="1:7" ht="17">
      <c r="A6" s="1" t="s">
        <v>2912</v>
      </c>
      <c r="B6" s="2" t="s">
        <v>2546</v>
      </c>
      <c r="C6" s="2">
        <v>70</v>
      </c>
      <c r="D6" s="3">
        <v>2761</v>
      </c>
      <c r="E6" s="3">
        <v>10194</v>
      </c>
      <c r="F6" s="4">
        <v>197219</v>
      </c>
      <c r="G6" s="11" t="str" cm="1">
        <f t="array" aca="1" ref="G6" ca="1">IFERROR(VLOOKUP("*" &amp; B6  &amp; "*" &amp; (MID(CELL("filename",A5),FIND("]",CELL("filename",A5))+1,31)) &amp; "*",CHOOSE({1,2}, Super_CBSA!$B$2:$B$1917, Super_CBSA!$A$2:$A$1917), 2,FALSE), IFERROR(VLOOKUP(B6  &amp; "*",CHOOSE({1,2}, Super_CBSA!$E$2:$E$1917, Super_CBSA!$A$2:$A$1917), 2,FALSE), ""))</f>
        <v/>
      </c>
    </row>
    <row r="7" spans="1:7" ht="17">
      <c r="A7" s="1" t="s">
        <v>2913</v>
      </c>
      <c r="B7" s="2" t="s">
        <v>2914</v>
      </c>
      <c r="C7" s="2">
        <v>159</v>
      </c>
      <c r="D7" s="3">
        <v>3230</v>
      </c>
      <c r="E7" s="3">
        <v>13655</v>
      </c>
      <c r="F7" s="4">
        <v>292364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"*",CHOOSE({1,2}, Super_CBSA!$E$2:$E$1917, Super_CBSA!$A$2:$A$1917), 2,FALSE), ""))</f>
        <v>48820</v>
      </c>
    </row>
    <row r="8" spans="1:7" ht="17">
      <c r="A8" s="1" t="s">
        <v>2915</v>
      </c>
      <c r="B8" s="2" t="s">
        <v>2916</v>
      </c>
      <c r="C8" s="2">
        <v>32</v>
      </c>
      <c r="D8" s="3">
        <v>1498</v>
      </c>
      <c r="E8" s="3">
        <v>4418</v>
      </c>
      <c r="F8" s="4">
        <v>120573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"*",CHOOSE({1,2}, Super_CBSA!$E$2:$E$1917, Super_CBSA!$A$2:$A$1917), 2,FALSE), ""))</f>
        <v>22060</v>
      </c>
    </row>
    <row r="9" spans="1:7" ht="17">
      <c r="A9" s="1" t="s">
        <v>2917</v>
      </c>
      <c r="B9" s="2" t="s">
        <v>2918</v>
      </c>
      <c r="C9" s="2">
        <v>127</v>
      </c>
      <c r="D9" s="3">
        <v>4856</v>
      </c>
      <c r="E9" s="3">
        <v>19544</v>
      </c>
      <c r="F9" s="4">
        <v>528788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"*",CHOOSE({1,2}, Super_CBSA!$E$2:$E$1917, Super_CBSA!$A$2:$A$1917), 2,FALSE), ""))</f>
        <v>14660</v>
      </c>
    </row>
    <row r="10" spans="1:7" ht="17">
      <c r="A10" s="1" t="s">
        <v>2919</v>
      </c>
      <c r="B10" s="2" t="s">
        <v>2920</v>
      </c>
      <c r="C10" s="2">
        <v>141</v>
      </c>
      <c r="D10" s="3">
        <v>1521</v>
      </c>
      <c r="E10" s="3">
        <v>5201</v>
      </c>
      <c r="F10" s="4">
        <v>213540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"*",CHOOSE({1,2}, Super_CBSA!$E$2:$E$1917, Super_CBSA!$A$2:$A$1917), 2,FALSE), ""))</f>
        <v>47260</v>
      </c>
    </row>
    <row r="11" spans="1:7" ht="17">
      <c r="A11" s="1" t="s">
        <v>2921</v>
      </c>
      <c r="B11" s="2" t="s">
        <v>1598</v>
      </c>
      <c r="C11" s="2">
        <v>139</v>
      </c>
      <c r="D11" s="3">
        <v>2799</v>
      </c>
      <c r="E11" s="3">
        <v>19955</v>
      </c>
      <c r="F11" s="4">
        <v>953592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"*",CHOOSE({1,2}, Super_CBSA!$E$2:$E$1917, Super_CBSA!$A$2:$A$1917), 2,FALSE), ""))</f>
        <v>20260</v>
      </c>
    </row>
    <row r="12" spans="1:7" ht="17">
      <c r="A12" s="1" t="s">
        <v>2922</v>
      </c>
      <c r="B12" s="2" t="s">
        <v>2923</v>
      </c>
      <c r="C12" s="2">
        <v>132</v>
      </c>
      <c r="D12" s="3">
        <v>2111</v>
      </c>
      <c r="E12" s="3">
        <v>6776</v>
      </c>
      <c r="F12" s="4">
        <v>284696</v>
      </c>
      <c r="G12" s="11" t="str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"*",CHOOSE({1,2}, Super_CBSA!$E$2:$E$1917, Super_CBSA!$A$2:$A$1917), 2,FALSE), ""))</f>
        <v/>
      </c>
    </row>
    <row r="13" spans="1:7" ht="17">
      <c r="A13" s="1" t="s">
        <v>2924</v>
      </c>
      <c r="B13" s="2" t="s">
        <v>1598</v>
      </c>
      <c r="C13" s="2">
        <v>307</v>
      </c>
      <c r="D13" s="3">
        <v>17661</v>
      </c>
      <c r="E13" s="3">
        <v>88465</v>
      </c>
      <c r="F13" s="4">
        <v>1167710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"*",CHOOSE({1,2}, Super_CBSA!$E$2:$E$1917, Super_CBSA!$A$2:$A$1917), 2,FALSE), ""))</f>
        <v>20260</v>
      </c>
    </row>
    <row r="14" spans="1:7" ht="17">
      <c r="A14" s="1" t="s">
        <v>2925</v>
      </c>
      <c r="B14" s="2" t="s">
        <v>2926</v>
      </c>
      <c r="C14" s="2">
        <v>73</v>
      </c>
      <c r="D14" s="3">
        <v>2693</v>
      </c>
      <c r="E14" s="3">
        <v>14417</v>
      </c>
      <c r="F14" s="4">
        <v>272857</v>
      </c>
      <c r="G14" s="11" t="str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"*",CHOOSE({1,2}, Super_CBSA!$E$2:$E$1917, Super_CBSA!$A$2:$A$1917), 2,FALSE), ""))</f>
        <v/>
      </c>
    </row>
    <row r="15" spans="1:7" ht="17">
      <c r="A15" s="1" t="s">
        <v>2927</v>
      </c>
      <c r="B15" s="2" t="s">
        <v>2840</v>
      </c>
      <c r="C15" s="2">
        <v>36</v>
      </c>
      <c r="D15" s="3">
        <v>1544</v>
      </c>
      <c r="E15" s="3">
        <v>5198</v>
      </c>
      <c r="F15" s="4">
        <v>220542</v>
      </c>
      <c r="G15" s="11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"*",CHOOSE({1,2}, Super_CBSA!$E$2:$E$1917, Super_CBSA!$A$2:$A$1917), 2,FALSE), ""))</f>
        <v>24330</v>
      </c>
    </row>
    <row r="16" spans="1:7" ht="17">
      <c r="A16" s="1" t="s">
        <v>2928</v>
      </c>
      <c r="B16" s="2" t="s">
        <v>2929</v>
      </c>
      <c r="C16" s="2">
        <v>234</v>
      </c>
      <c r="D16" s="3">
        <v>10391</v>
      </c>
      <c r="E16" s="3">
        <v>56646</v>
      </c>
      <c r="F16" s="4">
        <v>994140</v>
      </c>
      <c r="G16" s="11" t="str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"*",CHOOSE({1,2}, Super_CBSA!$E$2:$E$1917, Super_CBSA!$A$2:$A$1917), 2,FALSE), ""))</f>
        <v/>
      </c>
    </row>
    <row r="17" spans="1:7" ht="17">
      <c r="A17" s="1" t="s">
        <v>2930</v>
      </c>
      <c r="B17" s="2" t="s">
        <v>2908</v>
      </c>
      <c r="C17" s="2">
        <v>465</v>
      </c>
      <c r="D17" s="3">
        <v>17773</v>
      </c>
      <c r="E17" s="3">
        <v>84658</v>
      </c>
      <c r="F17" s="4">
        <v>2478036</v>
      </c>
      <c r="G17" s="11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"*",CHOOSE({1,2}, Super_CBSA!$E$2:$E$1917, Super_CBSA!$A$2:$A$1917), 2,FALSE), ""))</f>
        <v>33460</v>
      </c>
    </row>
    <row r="18" spans="1:7" ht="17">
      <c r="A18" s="1" t="s">
        <v>2931</v>
      </c>
      <c r="B18" s="2" t="s">
        <v>2188</v>
      </c>
      <c r="C18" s="2">
        <v>49</v>
      </c>
      <c r="D18" s="3">
        <v>1822</v>
      </c>
      <c r="E18" s="3">
        <v>7648</v>
      </c>
      <c r="F18" s="4">
        <v>186512</v>
      </c>
      <c r="G18" s="11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"*",CHOOSE({1,2}, Super_CBSA!$E$2:$E$1917, Super_CBSA!$A$2:$A$1917), 2,FALSE), ""))</f>
        <v>26780</v>
      </c>
    </row>
    <row r="19" spans="1:7" ht="17">
      <c r="A19" s="1" t="s">
        <v>2932</v>
      </c>
      <c r="B19" s="2" t="s">
        <v>2933</v>
      </c>
      <c r="C19" s="2">
        <v>94</v>
      </c>
      <c r="D19" s="3">
        <v>1732</v>
      </c>
      <c r="E19" s="3">
        <v>6154</v>
      </c>
      <c r="F19" s="4">
        <v>312078</v>
      </c>
      <c r="G19" s="11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"*",CHOOSE({1,2}, Super_CBSA!$E$2:$E$1917, Super_CBSA!$A$2:$A$1917), 2,FALSE), ""))</f>
        <v>22260</v>
      </c>
    </row>
    <row r="20" spans="1:7" ht="17">
      <c r="A20" s="1" t="s">
        <v>2934</v>
      </c>
      <c r="B20" s="2" t="s">
        <v>2935</v>
      </c>
      <c r="C20" s="2">
        <v>68</v>
      </c>
      <c r="D20" s="3">
        <v>4005</v>
      </c>
      <c r="E20" s="3">
        <v>11364</v>
      </c>
      <c r="F20" s="4">
        <v>277017</v>
      </c>
      <c r="G20" s="11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"*",CHOOSE({1,2}, Super_CBSA!$E$2:$E$1917, Super_CBSA!$A$2:$A$1917), 2,FALSE), ""))</f>
        <v>13740</v>
      </c>
    </row>
    <row r="21" spans="1:7" ht="17">
      <c r="A21" s="1" t="s">
        <v>2936</v>
      </c>
      <c r="B21" s="2" t="s">
        <v>2937</v>
      </c>
      <c r="C21" s="2">
        <v>33</v>
      </c>
      <c r="D21" s="3">
        <v>1616</v>
      </c>
      <c r="E21" s="3">
        <v>5294</v>
      </c>
      <c r="F21" s="4">
        <v>190209</v>
      </c>
      <c r="G21" s="11" t="str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"*",CHOOSE({1,2}, Super_CBSA!$E$2:$E$1917, Super_CBSA!$A$2:$A$1917), 2,FALSE), ""))</f>
        <v/>
      </c>
    </row>
    <row r="22" spans="1:7" ht="17">
      <c r="A22" s="1" t="s">
        <v>2938</v>
      </c>
      <c r="B22" s="2" t="s">
        <v>2939</v>
      </c>
      <c r="C22" s="2">
        <v>171</v>
      </c>
      <c r="D22" s="3">
        <v>11478</v>
      </c>
      <c r="E22" s="3">
        <v>47203</v>
      </c>
      <c r="F22" s="4">
        <v>716871</v>
      </c>
      <c r="G22" s="11" t="str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"*",CHOOSE({1,2}, Super_CBSA!$E$2:$E$1917, Super_CBSA!$A$2:$A$1917), 2,FALSE), ""))</f>
        <v/>
      </c>
    </row>
    <row r="23" spans="1:7" ht="17">
      <c r="A23" s="1" t="s">
        <v>2940</v>
      </c>
      <c r="B23" s="2" t="s">
        <v>2941</v>
      </c>
      <c r="C23" s="2">
        <v>334</v>
      </c>
      <c r="D23" s="3">
        <v>18351</v>
      </c>
      <c r="E23" s="3">
        <v>79445</v>
      </c>
      <c r="F23" s="4">
        <v>1305850</v>
      </c>
      <c r="G23" s="11" t="str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"*",CHOOSE({1,2}, Super_CBSA!$E$2:$E$1917, Super_CBSA!$A$2:$A$1917), 2,FALSE), ""))</f>
        <v/>
      </c>
    </row>
    <row r="24" spans="1:7" ht="17">
      <c r="A24" s="1" t="s">
        <v>2942</v>
      </c>
      <c r="B24" s="2" t="s">
        <v>2943</v>
      </c>
      <c r="C24" s="2">
        <v>184</v>
      </c>
      <c r="D24" s="3">
        <v>11252</v>
      </c>
      <c r="E24" s="3">
        <v>46043</v>
      </c>
      <c r="F24" s="4">
        <v>903267</v>
      </c>
      <c r="G24" s="11" t="str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"*",CHOOSE({1,2}, Super_CBSA!$E$2:$E$1917, Super_CBSA!$A$2:$A$1917), 2,FALSE), ""))</f>
        <v/>
      </c>
    </row>
    <row r="25" spans="1:7" ht="17">
      <c r="A25" s="1" t="s">
        <v>2944</v>
      </c>
      <c r="B25" s="2" t="s">
        <v>2908</v>
      </c>
      <c r="C25" s="2">
        <v>828</v>
      </c>
      <c r="D25" s="3">
        <v>29064</v>
      </c>
      <c r="E25" s="3">
        <v>181347</v>
      </c>
      <c r="F25" s="4">
        <v>4375658</v>
      </c>
      <c r="G25" s="11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"*",CHOOSE({1,2}, Super_CBSA!$E$2:$E$1917, Super_CBSA!$A$2:$A$1917), 2,FALSE), ""))</f>
        <v>33460</v>
      </c>
    </row>
    <row r="26" spans="1:7" ht="17">
      <c r="A26" s="1" t="s">
        <v>2945</v>
      </c>
      <c r="B26" s="2" t="s">
        <v>2908</v>
      </c>
      <c r="C26" s="2">
        <v>0</v>
      </c>
      <c r="D26" s="2">
        <v>0</v>
      </c>
      <c r="E26" s="2">
        <v>0</v>
      </c>
      <c r="F26" s="4">
        <v>0</v>
      </c>
      <c r="G26" s="11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"*",CHOOSE({1,2}, Super_CBSA!$E$2:$E$1917, Super_CBSA!$A$2:$A$1917), 2,FALSE), ""))</f>
        <v>33460</v>
      </c>
    </row>
    <row r="27" spans="1:7" ht="17">
      <c r="A27" s="1" t="s">
        <v>2946</v>
      </c>
      <c r="B27" s="2" t="s">
        <v>2947</v>
      </c>
      <c r="C27" s="2">
        <v>134</v>
      </c>
      <c r="D27" s="3">
        <v>9264</v>
      </c>
      <c r="E27" s="3">
        <v>36475</v>
      </c>
      <c r="F27" s="4">
        <v>463885</v>
      </c>
      <c r="G27" s="11" t="str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"*",CHOOSE({1,2}, Super_CBSA!$E$2:$E$1917, Super_CBSA!$A$2:$A$1917), 2,FALSE), ""))</f>
        <v/>
      </c>
    </row>
    <row r="28" spans="1:7" ht="17">
      <c r="A28" s="1" t="s">
        <v>2948</v>
      </c>
      <c r="B28" s="2" t="s">
        <v>2949</v>
      </c>
      <c r="C28" s="2">
        <v>159</v>
      </c>
      <c r="D28" s="3">
        <v>4361</v>
      </c>
      <c r="E28" s="3">
        <v>15896</v>
      </c>
      <c r="F28" s="4">
        <v>541746</v>
      </c>
      <c r="G28" s="11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"*",CHOOSE({1,2}, Super_CBSA!$E$2:$E$1917, Super_CBSA!$A$2:$A$1917), 2,FALSE), ""))</f>
        <v>10660</v>
      </c>
    </row>
    <row r="29" spans="1:7" ht="17">
      <c r="A29" s="1" t="s">
        <v>2950</v>
      </c>
      <c r="B29" s="2" t="s">
        <v>2951</v>
      </c>
      <c r="C29" s="2">
        <v>82</v>
      </c>
      <c r="D29" s="3">
        <v>2728</v>
      </c>
      <c r="E29" s="3">
        <v>9374</v>
      </c>
      <c r="F29" s="4">
        <v>18785</v>
      </c>
      <c r="G29" s="11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"*",CHOOSE({1,2}, Super_CBSA!$E$2:$E$1917, Super_CBSA!$A$2:$A$1917), 2,FALSE), ""))</f>
        <v>12380</v>
      </c>
    </row>
    <row r="30" spans="1:7" ht="17">
      <c r="A30" s="1" t="s">
        <v>2952</v>
      </c>
      <c r="B30" s="2" t="s">
        <v>2953</v>
      </c>
      <c r="C30" s="2">
        <v>55</v>
      </c>
      <c r="D30" s="3">
        <v>1198</v>
      </c>
      <c r="E30" s="3">
        <v>3997</v>
      </c>
      <c r="F30" s="4">
        <v>156889</v>
      </c>
      <c r="G30" s="11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"*",CHOOSE({1,2}, Super_CBSA!$E$2:$E$1917, Super_CBSA!$A$2:$A$1917), 2,FALSE), ""))</f>
        <v>21860</v>
      </c>
    </row>
    <row r="31" spans="1:7" ht="17">
      <c r="A31" s="1" t="s">
        <v>2954</v>
      </c>
      <c r="B31" s="2" t="s">
        <v>2955</v>
      </c>
      <c r="C31" s="2">
        <v>167</v>
      </c>
      <c r="D31" s="3">
        <v>10059</v>
      </c>
      <c r="E31" s="3">
        <v>41519</v>
      </c>
      <c r="F31" s="4">
        <v>863598</v>
      </c>
      <c r="G31" s="11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"*",CHOOSE({1,2}, Super_CBSA!$E$2:$E$1917, Super_CBSA!$A$2:$A$1917), 2,FALSE), ""))</f>
        <v>31860</v>
      </c>
    </row>
    <row r="32" spans="1:7" ht="17">
      <c r="A32" s="1" t="s">
        <v>2956</v>
      </c>
      <c r="B32" s="2" t="s">
        <v>2957</v>
      </c>
      <c r="C32" s="2">
        <v>50</v>
      </c>
      <c r="D32" s="3">
        <v>2211</v>
      </c>
      <c r="E32" s="3">
        <v>5265</v>
      </c>
      <c r="F32" s="4">
        <v>267166</v>
      </c>
      <c r="G32" s="11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"*",CHOOSE({1,2}, Super_CBSA!$E$2:$E$1917, Super_CBSA!$A$2:$A$1917), 2,FALSE), ""))</f>
        <v>39860</v>
      </c>
    </row>
    <row r="33" spans="1:7" ht="17">
      <c r="A33" s="1" t="s">
        <v>2958</v>
      </c>
      <c r="B33" s="2" t="s">
        <v>2753</v>
      </c>
      <c r="C33" s="2">
        <v>300</v>
      </c>
      <c r="D33" s="3">
        <v>18986</v>
      </c>
      <c r="E33" s="3">
        <v>74922</v>
      </c>
      <c r="F33" s="4">
        <v>1050568</v>
      </c>
      <c r="G33" s="11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"*",CHOOSE({1,2}, Super_CBSA!$E$2:$E$1917, Super_CBSA!$A$2:$A$1917), 2,FALSE), ""))</f>
        <v>40340</v>
      </c>
    </row>
    <row r="34" spans="1:7" ht="17">
      <c r="A34" s="1" t="s">
        <v>2959</v>
      </c>
      <c r="B34" s="2" t="s">
        <v>2753</v>
      </c>
      <c r="C34" s="3">
        <v>1220</v>
      </c>
      <c r="D34" s="3">
        <v>58001</v>
      </c>
      <c r="E34" s="3">
        <v>303371</v>
      </c>
      <c r="F34" s="4">
        <v>5148178</v>
      </c>
      <c r="G34" s="11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"*",CHOOSE({1,2}, Super_CBSA!$E$2:$E$1917, Super_CBSA!$A$2:$A$1917), 2,FALSE), ""))</f>
        <v>40340</v>
      </c>
    </row>
    <row r="35" spans="1:7" ht="17">
      <c r="A35" s="1" t="s">
        <v>1380</v>
      </c>
      <c r="B35" s="2" t="s">
        <v>2960</v>
      </c>
      <c r="C35" s="2">
        <v>481</v>
      </c>
      <c r="D35" s="3">
        <v>29771</v>
      </c>
      <c r="E35" s="3">
        <v>125703</v>
      </c>
      <c r="F35" s="4">
        <v>1995540</v>
      </c>
      <c r="G35" s="11" t="str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"*",CHOOSE({1,2}, Super_CBSA!$E$2:$E$1917, Super_CBSA!$A$2:$A$1917), 2,FALSE), ""))</f>
        <v/>
      </c>
    </row>
    <row r="36" spans="1:7" ht="17">
      <c r="A36" s="1" t="s">
        <v>2961</v>
      </c>
      <c r="B36" s="2" t="s">
        <v>2962</v>
      </c>
      <c r="C36" s="2">
        <v>164</v>
      </c>
      <c r="D36" s="3">
        <v>9230</v>
      </c>
      <c r="E36" s="3">
        <v>32001</v>
      </c>
      <c r="F36" s="4">
        <v>460332</v>
      </c>
      <c r="G36" s="11" t="str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"*",CHOOSE({1,2}, Super_CBSA!$E$2:$E$1917, Super_CBSA!$A$2:$A$1917), 2,FALSE), ""))</f>
        <v/>
      </c>
    </row>
    <row r="37" spans="1:7" ht="17">
      <c r="A37" s="1" t="s">
        <v>708</v>
      </c>
      <c r="B37" s="2" t="s">
        <v>2963</v>
      </c>
      <c r="C37" s="2">
        <v>361</v>
      </c>
      <c r="D37" s="3">
        <v>22641</v>
      </c>
      <c r="E37" s="3">
        <v>89027</v>
      </c>
      <c r="F37" s="4">
        <v>1146037</v>
      </c>
      <c r="G37" s="11" t="str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"*",CHOOSE({1,2}, Super_CBSA!$E$2:$E$1917, Super_CBSA!$A$2:$A$1917), 2,FALSE), ""))</f>
        <v/>
      </c>
    </row>
    <row r="38" spans="1:7" ht="17">
      <c r="A38" s="1" t="s">
        <v>2964</v>
      </c>
      <c r="B38" s="2" t="s">
        <v>2908</v>
      </c>
      <c r="C38" s="2">
        <v>0</v>
      </c>
      <c r="D38" s="2">
        <v>0</v>
      </c>
      <c r="E38" s="2">
        <v>0</v>
      </c>
      <c r="F38" s="4">
        <v>0</v>
      </c>
      <c r="G38" s="11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"*",CHOOSE({1,2}, Super_CBSA!$E$2:$E$1917, Super_CBSA!$A$2:$A$1917), 2,FALSE), ""))</f>
        <v>33460</v>
      </c>
    </row>
    <row r="39" spans="1:7" ht="17">
      <c r="A39" s="1" t="s">
        <v>2965</v>
      </c>
      <c r="B39" s="2" t="s">
        <v>2966</v>
      </c>
      <c r="C39" s="2">
        <v>385</v>
      </c>
      <c r="D39" s="3">
        <v>18994</v>
      </c>
      <c r="E39" s="3">
        <v>76323</v>
      </c>
      <c r="F39" s="4">
        <v>1915306</v>
      </c>
      <c r="G39" s="11" t="str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"*",CHOOSE({1,2}, Super_CBSA!$E$2:$E$1917, Super_CBSA!$A$2:$A$1917), 2,FALSE), ""))</f>
        <v/>
      </c>
    </row>
    <row r="40" spans="1:7" ht="17">
      <c r="A40" s="1" t="s">
        <v>2967</v>
      </c>
      <c r="B40" s="2" t="s">
        <v>2968</v>
      </c>
      <c r="C40" s="2">
        <v>77</v>
      </c>
      <c r="D40" s="3">
        <v>1929</v>
      </c>
      <c r="E40" s="3">
        <v>5657</v>
      </c>
      <c r="F40" s="4">
        <v>239914</v>
      </c>
      <c r="G40" s="11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"*",CHOOSE({1,2}, Super_CBSA!$E$2:$E$1917, Super_CBSA!$A$2:$A$1917), 2,FALSE), ""))</f>
        <v>22060</v>
      </c>
    </row>
    <row r="41" spans="1:7" ht="17">
      <c r="A41" s="1" t="s">
        <v>2969</v>
      </c>
      <c r="B41" s="2" t="s">
        <v>2753</v>
      </c>
      <c r="C41" s="2">
        <v>61</v>
      </c>
      <c r="D41" s="3">
        <v>1990</v>
      </c>
      <c r="E41" s="3">
        <v>6135</v>
      </c>
      <c r="F41" s="4">
        <v>376737</v>
      </c>
      <c r="G41" s="11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"*",CHOOSE({1,2}, Super_CBSA!$E$2:$E$1917, Super_CBSA!$A$2:$A$1917), 2,FALSE), ""))</f>
        <v>40340</v>
      </c>
    </row>
    <row r="42" spans="1:7" ht="17">
      <c r="A42" s="1" t="s">
        <v>2970</v>
      </c>
      <c r="B42" s="2" t="s">
        <v>2971</v>
      </c>
      <c r="C42" s="2">
        <v>39</v>
      </c>
      <c r="D42" s="3">
        <v>2119</v>
      </c>
      <c r="E42" s="3">
        <v>6320</v>
      </c>
      <c r="F42" s="4">
        <v>132839</v>
      </c>
      <c r="G42" s="11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"*",CHOOSE({1,2}, Super_CBSA!$E$2:$E$1917, Super_CBSA!$A$2:$A$1917), 2,FALSE), ""))</f>
        <v>36940</v>
      </c>
    </row>
    <row r="43" spans="1:7" ht="17">
      <c r="A43" s="1" t="s">
        <v>2972</v>
      </c>
      <c r="B43" s="2" t="s">
        <v>2908</v>
      </c>
      <c r="C43" s="2">
        <v>8</v>
      </c>
      <c r="D43" s="2">
        <v>1</v>
      </c>
      <c r="E43" s="2">
        <v>6</v>
      </c>
      <c r="F43" s="4">
        <v>79059</v>
      </c>
      <c r="G43" s="11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"*",CHOOSE({1,2}, Super_CBSA!$E$2:$E$1917, Super_CBSA!$A$2:$A$1917), 2,FALSE), ""))</f>
        <v>33460</v>
      </c>
    </row>
    <row r="44" spans="1:7" ht="17">
      <c r="A44" s="1" t="s">
        <v>2973</v>
      </c>
      <c r="B44" s="2" t="s">
        <v>2974</v>
      </c>
      <c r="C44" s="2">
        <v>23</v>
      </c>
      <c r="D44" s="2">
        <v>32</v>
      </c>
      <c r="E44" s="2">
        <v>279</v>
      </c>
      <c r="F44" s="4">
        <v>0</v>
      </c>
      <c r="G44" s="11" t="str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"*",CHOOSE({1,2}, Super_CBSA!$E$2:$E$1917, Super_CBSA!$A$2:$A$1917), 2,FALSE), ""))</f>
        <v/>
      </c>
    </row>
    <row r="45" spans="1:7" ht="17">
      <c r="A45" s="1" t="s">
        <v>2975</v>
      </c>
      <c r="B45" s="2" t="s">
        <v>2976</v>
      </c>
      <c r="C45" s="2">
        <v>43</v>
      </c>
      <c r="D45" s="3">
        <v>1275</v>
      </c>
      <c r="E45" s="3">
        <v>3464</v>
      </c>
      <c r="F45" s="4">
        <v>131148</v>
      </c>
      <c r="G45" s="11" t="str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"*",CHOOSE({1,2}, Super_CBSA!$E$2:$E$1917, Super_CBSA!$A$2:$A$1917), 2,FALSE), ""))</f>
        <v/>
      </c>
    </row>
    <row r="46" spans="1:7" ht="17">
      <c r="A46" s="1" t="s">
        <v>2977</v>
      </c>
      <c r="B46" s="2" t="s">
        <v>2929</v>
      </c>
      <c r="C46" s="2">
        <v>452</v>
      </c>
      <c r="D46" s="3">
        <v>26407</v>
      </c>
      <c r="E46" s="3">
        <v>135990</v>
      </c>
      <c r="F46" s="4">
        <v>2269291</v>
      </c>
      <c r="G46" s="11" t="str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"*",CHOOSE({1,2}, Super_CBSA!$E$2:$E$1917, Super_CBSA!$A$2:$A$1917), 2,FALSE), ""))</f>
        <v/>
      </c>
    </row>
    <row r="47" spans="1:7" ht="17">
      <c r="A47" s="1" t="s">
        <v>2978</v>
      </c>
      <c r="B47" s="2" t="s">
        <v>2979</v>
      </c>
      <c r="C47" s="2">
        <v>124</v>
      </c>
      <c r="D47" s="3">
        <v>6375</v>
      </c>
      <c r="E47" s="3">
        <v>22993</v>
      </c>
      <c r="F47" s="4">
        <v>582795</v>
      </c>
      <c r="G47" s="11" t="str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"*",CHOOSE({1,2}, Super_CBSA!$E$2:$E$1917, Super_CBSA!$A$2:$A$1917), 2,FALSE), ""))</f>
        <v/>
      </c>
    </row>
    <row r="48" spans="1:7" ht="17">
      <c r="A48" s="1" t="s">
        <v>2980</v>
      </c>
      <c r="B48" s="2" t="s">
        <v>1406</v>
      </c>
      <c r="C48" s="2">
        <v>477</v>
      </c>
      <c r="D48" s="3">
        <v>27721</v>
      </c>
      <c r="E48" s="3">
        <v>118689</v>
      </c>
      <c r="F48" s="4">
        <v>2297867</v>
      </c>
      <c r="G48" s="11" t="str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"*",CHOOSE({1,2}, Super_CBSA!$E$2:$E$1917, Super_CBSA!$A$2:$A$1917), 2,FALSE), ""))</f>
        <v/>
      </c>
    </row>
    <row r="49" spans="1:7" ht="17">
      <c r="A49" s="1" t="s">
        <v>2981</v>
      </c>
      <c r="B49" s="2" t="s">
        <v>1406</v>
      </c>
      <c r="C49" s="2">
        <v>0</v>
      </c>
      <c r="D49" s="2">
        <v>0</v>
      </c>
      <c r="E49" s="2">
        <v>0</v>
      </c>
      <c r="F49" s="4">
        <v>0</v>
      </c>
      <c r="G49" s="11" t="str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"*",CHOOSE({1,2}, Super_CBSA!$E$2:$E$1917, Super_CBSA!$A$2:$A$1917), 2,FALSE), ""))</f>
        <v/>
      </c>
    </row>
    <row r="50" spans="1:7" ht="17">
      <c r="A50" s="1" t="s">
        <v>2982</v>
      </c>
      <c r="B50" s="2" t="s">
        <v>2983</v>
      </c>
      <c r="C50" s="2">
        <v>89</v>
      </c>
      <c r="D50" s="3">
        <v>6158</v>
      </c>
      <c r="E50" s="3">
        <v>18397</v>
      </c>
      <c r="F50" s="4">
        <v>356959</v>
      </c>
      <c r="G50" s="11" t="str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"*",CHOOSE({1,2}, Super_CBSA!$E$2:$E$1917, Super_CBSA!$A$2:$A$1917), 2,FALSE), ""))</f>
        <v/>
      </c>
    </row>
    <row r="51" spans="1:7" ht="17">
      <c r="A51" s="1" t="s">
        <v>1749</v>
      </c>
      <c r="B51" s="2" t="s">
        <v>1598</v>
      </c>
      <c r="C51" s="2">
        <v>257</v>
      </c>
      <c r="D51" s="3">
        <v>11461</v>
      </c>
      <c r="E51" s="3">
        <v>57832</v>
      </c>
      <c r="F51" s="4">
        <v>1011421</v>
      </c>
      <c r="G51" s="11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"*",CHOOSE({1,2}, Super_CBSA!$E$2:$E$1917, Super_CBSA!$A$2:$A$1917), 2,FALSE), ""))</f>
        <v>20260</v>
      </c>
    </row>
    <row r="52" spans="1:7" ht="17">
      <c r="A52" s="1" t="s">
        <v>2984</v>
      </c>
      <c r="B52" s="2" t="s">
        <v>2985</v>
      </c>
      <c r="C52" s="2">
        <v>196</v>
      </c>
      <c r="D52" s="3">
        <v>4540</v>
      </c>
      <c r="E52" s="3">
        <v>21700</v>
      </c>
      <c r="F52" s="4">
        <v>684472</v>
      </c>
      <c r="G52" s="11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"*",CHOOSE({1,2}, Super_CBSA!$E$2:$E$1917, Super_CBSA!$A$2:$A$1917), 2,FALSE), ""))</f>
        <v>13420</v>
      </c>
    </row>
    <row r="53" spans="1:7" ht="17">
      <c r="A53" s="1" t="s">
        <v>2986</v>
      </c>
      <c r="B53" s="2" t="s">
        <v>2987</v>
      </c>
      <c r="C53" s="2">
        <v>48</v>
      </c>
      <c r="D53" s="3">
        <v>1077</v>
      </c>
      <c r="E53" s="3">
        <v>3465</v>
      </c>
      <c r="F53" s="4">
        <v>95932</v>
      </c>
      <c r="G53" s="11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"*",CHOOSE({1,2}, Super_CBSA!$E$2:$E$1917, Super_CBSA!$A$2:$A$1917), 2,FALSE), ""))</f>
        <v>49380</v>
      </c>
    </row>
    <row r="54" spans="1:7" ht="17">
      <c r="A54" s="1" t="s">
        <v>2988</v>
      </c>
      <c r="B54" s="2" t="s">
        <v>2929</v>
      </c>
      <c r="C54" s="2">
        <v>365</v>
      </c>
      <c r="D54" s="3">
        <v>23750</v>
      </c>
      <c r="E54" s="3">
        <v>99701</v>
      </c>
      <c r="F54" s="4">
        <v>1863329</v>
      </c>
      <c r="G54" s="11" t="str" cm="1">
        <f t="array" aca="1" ref="G54" ca="1">IFERROR(VLOOKUP("*" &amp; B54  &amp; "*" &amp; (MID(CELL("filename",A53),FIND("]",CELL("filename",A53))+1,31)) &amp; "*",CHOOSE({1,2}, Super_CBSA!$B$2:$B$1917, Super_CBSA!$A$2:$A$1917), 2,FALSE), IFERROR(VLOOKUP(B54  &amp; "*",CHOOSE({1,2}, Super_CBSA!$E$2:$E$1917, Super_CBSA!$A$2:$A$1917), 2,FALSE), ""))</f>
        <v/>
      </c>
    </row>
    <row r="55" spans="1:7" ht="17">
      <c r="A55" s="1" t="s">
        <v>2989</v>
      </c>
      <c r="B55" s="2" t="s">
        <v>2990</v>
      </c>
      <c r="C55" s="2">
        <v>41</v>
      </c>
      <c r="D55" s="3">
        <v>1737</v>
      </c>
      <c r="E55" s="3">
        <v>6451</v>
      </c>
      <c r="F55" s="4">
        <v>211705</v>
      </c>
      <c r="G55" s="11" cm="1">
        <f t="array" aca="1" ref="G55" ca="1">IFERROR(VLOOKUP("*" &amp; B55  &amp; "*" &amp; (MID(CELL("filename",A54),FIND("]",CELL("filename",A54))+1,31)) &amp; "*",CHOOSE({1,2}, Super_CBSA!$B$2:$B$1917, Super_CBSA!$A$2:$A$1917), 2,FALSE), IFERROR(VLOOKUP(B55  &amp; "*",CHOOSE({1,2}, Super_CBSA!$E$2:$E$1917, Super_CBSA!$A$2:$A$1917), 2,FALSE), ""))</f>
        <v>49100</v>
      </c>
    </row>
    <row r="56" spans="1:7" ht="17">
      <c r="A56" s="1" t="s">
        <v>2991</v>
      </c>
      <c r="B56" s="2" t="s">
        <v>2992</v>
      </c>
      <c r="C56" s="2">
        <v>86</v>
      </c>
      <c r="D56" s="3">
        <v>7634</v>
      </c>
      <c r="E56" s="3">
        <v>24516</v>
      </c>
      <c r="F56" s="4">
        <v>524391</v>
      </c>
      <c r="G56" s="11" cm="1">
        <f t="array" aca="1" ref="G56" ca="1">IFERROR(VLOOKUP("*" &amp; B56  &amp; "*" &amp; (MID(CELL("filename",A55),FIND("]",CELL("filename",A55))+1,31)) &amp; "*",CHOOSE({1,2}, Super_CBSA!$B$2:$B$1917, Super_CBSA!$A$2:$A$1917), 2,FALSE), IFERROR(VLOOKUP(B56  &amp; "*",CHOOSE({1,2}, Super_CBSA!$E$2:$E$1917, Super_CBSA!$A$2:$A$1917), 2,FALSE), ""))</f>
        <v>43580</v>
      </c>
    </row>
    <row r="57" spans="1:7" ht="17">
      <c r="A57" s="2" t="s">
        <v>56</v>
      </c>
      <c r="B57" s="2"/>
      <c r="C57" s="3">
        <v>10504</v>
      </c>
      <c r="D57" s="3">
        <v>502871</v>
      </c>
      <c r="E57" s="3">
        <v>2253688</v>
      </c>
      <c r="F57" s="4">
        <v>44995234</v>
      </c>
    </row>
  </sheetData>
  <hyperlinks>
    <hyperlink ref="A2" r:id="rId1" display="https://www.ahd.com/free_profile/240050/_M_Health_Fairview_Lakes_Medical_Center/Wyoming/Minnesota/" xr:uid="{1B1C1B2E-A985-AE44-ABE4-DB36D379856B}"/>
    <hyperlink ref="A3" r:id="rId2" display="https://www.ahd.com/free_profile/240057/Abbott_Northwestern_Hospital/Minneapolis/Minnesota/" xr:uid="{E7117815-0BE3-1B49-94D5-67E1852996BE}"/>
    <hyperlink ref="A4" r:id="rId3" display="https://www.ahd.com/free_profile/240030/Alomere_Health/Alexandria/Minnesota/" xr:uid="{72EF7C37-9D3A-004E-A246-EBED1A034AAC}"/>
    <hyperlink ref="A5" r:id="rId4" display="https://www.ahd.com/free_profile/240076/Buffalo_Hospital/Buffalo/Minnesota/" xr:uid="{FDA30A81-FBA7-1447-948D-897FBE540480}"/>
    <hyperlink ref="A6" r:id="rId5" display="https://www.ahd.com/free_profile/240020/Cambridge_Medical_Center/Cambridge/Minnesota/" xr:uid="{F09756E5-F578-0A4D-9E71-E508E6B1C1AA}"/>
    <hyperlink ref="A7" r:id="rId6" display="https://www.ahd.com/free_profile/240088/Carris_Health_-_Rice_Memorial_Hospital/Willmar/Minnesota/" xr:uid="{E889A2D5-D8DF-8549-B090-65375644430E}"/>
    <hyperlink ref="A8" r:id="rId7" display="https://www.ahd.com/free_profile/240071/District_One_Hospital/Faribault/Minnesota/" xr:uid="{A8D0C0B0-1722-6D4F-9AFD-0FAB36BEEDC6}"/>
    <hyperlink ref="A9" r:id="rId8" display="https://www.ahd.com/free_profile/240075/Essentia_Health_-_Saint_Joseph%27s_Medical_Center/Brainerd/Minnesota/" xr:uid="{D6FF6043-31B9-BB43-A2C4-FFAC4FE68419}"/>
    <hyperlink ref="A10" r:id="rId9" display="https://www.ahd.com/free_profile/240084/Essentia_Health_-_Virginia/Virginia/Minnesota/" xr:uid="{B18A61A4-09F0-8840-970D-897C5D92EE8C}"/>
    <hyperlink ref="A11" r:id="rId10" display="https://www.ahd.com/free_profile/240019/Essentia_Health_Duluth/Duluth/Minnesota/" xr:uid="{236AD2C2-8DB5-CD42-8F94-3CDCF7F8620E}"/>
    <hyperlink ref="A12" r:id="rId11" display="https://www.ahd.com/free_profile/240101/Essentia_Health_Saint_Mary%27s_-_Detroit_Lakes/Detroit_Lakes/Minnesota/" xr:uid="{24EE4B3A-64D2-2846-8889-79E0555A162F}"/>
    <hyperlink ref="A13" r:id="rId12" display="https://www.ahd.com/free_profile/240002/Essentia_Health_Saint_Mary%27s_Medical_Center/Duluth/Minnesota/" xr:uid="{5D4F73C3-A66E-B344-9A30-CF6812D37F00}"/>
    <hyperlink ref="A14" r:id="rId13" display="https://www.ahd.com/free_profile/240040/Fairview_Range/Hibbing/Minnesota/" xr:uid="{C6B2ACE2-46DE-E04D-B806-873C1E76D4EB}"/>
    <hyperlink ref="A15" r:id="rId14" display="https://www.ahd.com/free_profile/240064/Grand_Itasca_Clinic_%26_Hospital/Grand_Rapids/Minnesota/" xr:uid="{A5A31B61-1FB1-7041-A86E-188BBE145AAE}"/>
    <hyperlink ref="A16" r:id="rId15" display="https://www.ahd.com/free_profile/240063/HealthEast_Saint_Joseph%27s_Hospital/Saint_Paul/Minnesota/" xr:uid="{43519D3F-6BCA-3F44-B0F9-DAEB1D72339B}"/>
    <hyperlink ref="A17" r:id="rId16" display="https://www.ahd.com/free_profile/240004/Hennepin_Healthcare/Minneapolis/Minnesota/" xr:uid="{3C85F542-B40D-4A49-A165-0640ED9FFF4B}"/>
    <hyperlink ref="A18" r:id="rId17" display="https://www.ahd.com/free_profile/240187/Hutchinson_Health_Hospital/Hutchinson/Minnesota/" xr:uid="{70565E46-1A7A-2D4D-B80D-A01040966015}"/>
    <hyperlink ref="A19" r:id="rId18" display="https://www.ahd.com/free_profile/240052/Lake_Region_Hospital/Fergus_Falls/Minnesota/" xr:uid="{97861398-288F-654C-8F99-AA9EAE216F24}"/>
    <hyperlink ref="A20" r:id="rId19" display="https://www.ahd.com/free_profile/240066/Lakeview_Hospital/Stillwater/Minnesota/" xr:uid="{DC71D829-FBBD-6D47-A3A4-EF926908575C}"/>
    <hyperlink ref="A21" r:id="rId20" display="https://www.ahd.com/free_profile/240141/M_Health_Fairview_Northland_Medical_Center_/Princeton/Minnesota/" xr:uid="{13FE3926-0419-D34A-B100-82E9AB346163}"/>
    <hyperlink ref="A22" r:id="rId21" display="https://www.ahd.com/free_profile/240207/M_Health_Fairview_Ridges_Hospital/Burnsville/Minnesota/" xr:uid="{B96B7BE6-7077-9F42-848F-8F2D69465D4A}"/>
    <hyperlink ref="A23" r:id="rId22" display="https://www.ahd.com/free_profile/240078/M_Health_Fairview_Southdale_Hospital/Edina/Minnesota/" xr:uid="{5CEA0100-596E-6445-AFC7-AEB032110A8A}"/>
    <hyperlink ref="A24" r:id="rId23" display="https://www.ahd.com/free_profile/240210/M_Health_Fairview_St_John%27s_Hospital/Maplewood/Minnesota/" xr:uid="{7928CC72-8A93-8A4B-8BCA-A01B804FD60F}"/>
    <hyperlink ref="A25" r:id="rId24" display="https://www.ahd.com/free_profile/240080/M_Health_Fairview_University_of_Minnesota_Medical_Center/Minneapolis/Minnesota/" xr:uid="{A3E4780A-0FFE-D34A-AF34-CC51CFCDE50C}"/>
    <hyperlink ref="A26" r:id="rId25" display="https://www.ahd.com/free_profile/I41241/M_Health_Fairview_University_of_Minnesota_Medical_Center_-_West_Bank_Campus/Minneapolis/Minnesota/" xr:uid="{10942432-88FF-EF40-9816-A5F265B30B2E}"/>
    <hyperlink ref="A27" r:id="rId26" display="https://www.ahd.com/free_profile/240214/Maple_Grove_Hospital/Maple_Grove/Minnesota/" xr:uid="{B18F2AC1-F61C-854A-900D-E17B7A4CD28B}"/>
    <hyperlink ref="A28" r:id="rId27" display="https://www.ahd.com/free_profile/240043/Mayo_Clinic_Health_System_in_Albert_Lea/Albert_Lea/Minnesota/" xr:uid="{B50759DC-8DD1-B74C-8FAA-541280571BA5}"/>
    <hyperlink ref="A29" r:id="rId28" display="https://www.ahd.com/free_profile/240117/Mayo_Clinic_Health_System_in_Austin/Austin/Minnesota/" xr:uid="{576F8618-9D0B-8948-96E2-F676AB2ADA6C}"/>
    <hyperlink ref="A30" r:id="rId29" display="https://www.ahd.com/free_profile/240166/Mayo_Clinic_Health_System_in_Fairmont/Fairmont/Minnesota/" xr:uid="{D7435598-7023-B747-80BB-0A954F2E61CC}"/>
    <hyperlink ref="A31" r:id="rId30" display="https://www.ahd.com/free_profile/240093/Mayo_Clinic_Health_System_in_Mankato/Mankato/Minnesota/" xr:uid="{99A6826C-0718-B44B-B9B2-9B0B896508C0}"/>
    <hyperlink ref="A32" r:id="rId31" display="https://www.ahd.com/free_profile/240018/Mayo_Clinic_Health_System_in_Red_Wing/Red_Wing/Minnesota/" xr:uid="{4485CFC5-DA8E-A14C-885D-D05B18FC4B4D}"/>
    <hyperlink ref="A33" r:id="rId32" display="https://www.ahd.com/free_profile/240061/Mayo_Clinic_Hospital_-_Methodist_Campus/Rochester/Minnesota/" xr:uid="{1C85C4C3-145B-564C-84C5-DDF2AF43086C}"/>
    <hyperlink ref="A34" r:id="rId33" display="https://www.ahd.com/free_profile/240010/Mayo_Clinic_Hospital_-_Saint_Mary%27s_Campus/Rochester/Minnesota/" xr:uid="{13C70F93-CA83-324C-A3BA-58560CA77B27}"/>
    <hyperlink ref="A35" r:id="rId34" display="https://www.ahd.com/free_profile/240115/Mercy_Hospital/Coon_Rapids/Minnesota/" xr:uid="{8F3DE0E2-3BED-614C-BA6B-8344119458DC}"/>
    <hyperlink ref="A36" r:id="rId35" display="https://www.ahd.com/free_profile/240132/Mercy_Hospital_-_Unity_Campus/Fridley/Minnesota/" xr:uid="{124823CE-39B3-D64C-9964-F5AC0941746E}"/>
    <hyperlink ref="A37" r:id="rId36" display="https://www.ahd.com/free_profile/240053/Methodist_Hospital/Saint_Louis_Park/Minnesota/" xr:uid="{294F4607-3AE2-DD4C-97D4-0C97AFD2CEC0}"/>
    <hyperlink ref="A38" r:id="rId37" display="https://www.ahd.com/free_profile/24001F/Minneapolis_VA_Medical_Center/Minneapolis/Minnesota/" xr:uid="{85D64BE4-46A0-3D49-BA2F-C9B40AB3701E}"/>
    <hyperlink ref="A39" r:id="rId38" display="https://www.ahd.com/free_profile/240001/North_Memorial_Health_Hospital/Robbinsdale/Minnesota/" xr:uid="{1953AF92-2DFD-A846-99DA-F3A08B585CDF}"/>
    <hyperlink ref="A40" r:id="rId39" display="https://www.ahd.com/free_profile/240014/Northfield_Hospital/Northfield/Minnesota/" xr:uid="{AB9162B9-2DC6-C74A-83D9-89B379AC78A9}"/>
    <hyperlink ref="A41" r:id="rId40" display="https://www.ahd.com/free_profile/240006/Olmsted_Medical_Center/Rochester/Minnesota/" xr:uid="{2A4A1649-F70A-7446-BAF0-AFE5FB6B529A}"/>
    <hyperlink ref="A42" r:id="rId41" display="https://www.ahd.com/free_profile/240069/Owatonna_Hospital/Owatonna/Minnesota/" xr:uid="{48E86E81-CE3F-D745-A1F2-C0C7F6518D2D}"/>
    <hyperlink ref="A43" r:id="rId42" display="https://www.ahd.com/free_profile/240196/Phillips_Eye_Institute/Minneapolis/Minnesota/" xr:uid="{D63D3DE6-549E-0E41-A23D-089DA134EBC8}"/>
    <hyperlink ref="A44" r:id="rId43" display="https://www.ahd.com/free_profile/240206/Red_Lake_IHS_Hospital/Redlake/Minnesota/" xr:uid="{7B275491-BEEE-0941-A8E5-CA299A91C004}"/>
    <hyperlink ref="A45" r:id="rId44" display="https://www.ahd.com/free_profile/240059/Regina_Hospital/Hastings/Minnesota/" xr:uid="{FA79970D-BB24-A74D-B94F-0D4C590E6F8D}"/>
    <hyperlink ref="A46" r:id="rId45" display="https://www.ahd.com/free_profile/240106/Regions_Hospital/Saint_Paul/Minnesota/" xr:uid="{5F020D88-646A-7F4F-B771-1918198B6923}"/>
    <hyperlink ref="A47" r:id="rId46" display="https://www.ahd.com/free_profile/240056/Ridgeview_Medical_Center/Waconia/Minnesota/" xr:uid="{91ADF81F-5A6A-FF4B-8D98-FA6DE5E10DEE}"/>
    <hyperlink ref="A48" r:id="rId47" display="https://www.ahd.com/free_profile/240036/Saint_Cloud_Hospital/Saint_Cloud/Minnesota/" xr:uid="{EE0ACF0D-8C62-F948-B601-0300D4CAAC63}"/>
    <hyperlink ref="A49" r:id="rId48" display="https://www.ahd.com/free_profile/24002F/Saint_Cloud_VA_Medical_Center/Saint_Cloud/Minnesota/" xr:uid="{02EC711E-807A-2640-8BA1-21A8EB2E159D}"/>
    <hyperlink ref="A50" r:id="rId49" display="https://www.ahd.com/free_profile/240104/Saint_Francis_Regional_Medical_Center/Shakopee/Minnesota/" xr:uid="{2428EE02-58C3-3247-A5D0-E9A2D4C97B65}"/>
    <hyperlink ref="A51" r:id="rId50" display="https://www.ahd.com/free_profile/240047/Saint_Luke%27s_Hospital/Duluth/Minnesota/" xr:uid="{E9F1F5F3-9077-454F-BEF5-C3404954564A}"/>
    <hyperlink ref="A52" r:id="rId51" display="https://www.ahd.com/free_profile/240100/Sanford_Bemidji_Medical_Center/Bemidji/Minnesota/" xr:uid="{3D2EC4D6-6CC3-5248-8F5A-F5569EE88E28}"/>
    <hyperlink ref="A53" r:id="rId52" display="https://www.ahd.com/free_profile/240022/Sanford_Worthington_Medical_Center/Worthington/Minnesota/" xr:uid="{7B8A7194-96D4-4241-9A04-E0660D4D43CB}"/>
    <hyperlink ref="A54" r:id="rId53" display="https://www.ahd.com/free_profile/240038/United_Hospital/Saint_Paul/Minnesota/" xr:uid="{53225C26-67AC-B24F-8D8A-A6412A5E4B52}"/>
    <hyperlink ref="A55" r:id="rId54" display="https://www.ahd.com/free_profile/240044/Winona_Community_Memorial_Hospital/Winona/Minnesota/" xr:uid="{AC81CFE8-F7D7-9847-8548-4E98D383187A}"/>
    <hyperlink ref="A56" r:id="rId55" display="https://www.ahd.com/free_profile/240213/Woodwinds_Health_Campus/Woodbury/Minnesota/" xr:uid="{82E321C1-1E9F-374F-BD7F-8CB8055A270A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66759-7370-D346-8716-3614FC756EC3}">
  <sheetPr codeName="Sheet26"/>
  <dimension ref="A1:G85"/>
  <sheetViews>
    <sheetView topLeftCell="A50" workbookViewId="0">
      <selection activeCell="G63" sqref="G63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2993</v>
      </c>
      <c r="B2" s="2" t="s">
        <v>2340</v>
      </c>
      <c r="C2" s="2">
        <v>98</v>
      </c>
      <c r="D2" s="3">
        <v>6077</v>
      </c>
      <c r="E2" s="3">
        <v>27099</v>
      </c>
      <c r="F2" s="4">
        <v>285682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"*",CHOOSE({1,2}, Super_CBSA!$E$2:$E$1917, Super_CBSA!$A$2:$A$1917), 2,FALSE), ""))</f>
        <v>17860</v>
      </c>
    </row>
    <row r="3" spans="1:7" ht="17">
      <c r="A3" s="1" t="s">
        <v>2994</v>
      </c>
      <c r="B3" s="2" t="s">
        <v>2995</v>
      </c>
      <c r="C3" s="3">
        <v>1368</v>
      </c>
      <c r="D3" s="3">
        <v>49494</v>
      </c>
      <c r="E3" s="3">
        <v>286816</v>
      </c>
      <c r="F3" s="4">
        <v>5992622</v>
      </c>
      <c r="G3" s="11" t="str" cm="1">
        <f t="array" aca="1" ref="G3" ca="1">IFERROR(VLOOKUP("*" &amp; B3  &amp; "*" &amp; (MID(CELL("filename",A2),FIND("]",CELL("filename",A2))+1,31)) &amp; "*",CHOOSE({1,2}, Super_CBSA!$B$2:$B$1917, Super_CBSA!$A$2:$A$1917), 2,FALSE), IFERROR(VLOOKUP(B3  &amp; "*",CHOOSE({1,2}, Super_CBSA!$E$2:$E$1917, Super_CBSA!$A$2:$A$1917), 2,FALSE), ""))</f>
        <v/>
      </c>
    </row>
    <row r="4" spans="1:7" ht="17">
      <c r="A4" s="1" t="s">
        <v>2996</v>
      </c>
      <c r="B4" s="2" t="s">
        <v>2997</v>
      </c>
      <c r="C4" s="2">
        <v>113</v>
      </c>
      <c r="D4" s="3">
        <v>5350</v>
      </c>
      <c r="E4" s="3">
        <v>20715</v>
      </c>
      <c r="F4" s="4">
        <v>423656</v>
      </c>
      <c r="G4" s="11" t="str" cm="1">
        <f t="array" aca="1" ref="G4" ca="1">IFERROR(VLOOKUP("*" &amp; B4  &amp; "*" &amp; (MID(CELL("filename",A3),FIND("]",CELL("filename",A3))+1,31)) &amp; "*",CHOOSE({1,2}, Super_CBSA!$B$2:$B$1917, Super_CBSA!$A$2:$A$1917), 2,FALSE), IFERROR(VLOOKUP(B4  &amp; "*",CHOOSE({1,2}, Super_CBSA!$E$2:$E$1917, Super_CBSA!$A$2:$A$1917), 2,FALSE), ""))</f>
        <v/>
      </c>
    </row>
    <row r="5" spans="1:7" ht="17">
      <c r="A5" s="1" t="s">
        <v>2998</v>
      </c>
      <c r="B5" s="2" t="s">
        <v>2999</v>
      </c>
      <c r="C5" s="2">
        <v>77</v>
      </c>
      <c r="D5" s="3">
        <v>2845</v>
      </c>
      <c r="E5" s="3">
        <v>6223</v>
      </c>
      <c r="F5" s="4">
        <v>436818</v>
      </c>
      <c r="G5" s="11" t="str" cm="1">
        <f t="array" aca="1" ref="G5" ca="1">IFERROR(VLOOKUP("*" &amp; B5  &amp; "*" &amp; (MID(CELL("filename",A4),FIND("]",CELL("filename",A4))+1,31)) &amp; "*",CHOOSE({1,2}, Super_CBSA!$B$2:$B$1917, Super_CBSA!$A$2:$A$1917), 2,FALSE), IFERROR(VLOOKUP(B5  &amp; "*",CHOOSE({1,2}, Super_CBSA!$E$2:$E$1917, Super_CBSA!$A$2:$A$1917), 2,FALSE), ""))</f>
        <v/>
      </c>
    </row>
    <row r="6" spans="1:7" ht="17">
      <c r="A6" s="1" t="s">
        <v>3000</v>
      </c>
      <c r="B6" s="2" t="s">
        <v>3001</v>
      </c>
      <c r="C6" s="2">
        <v>44</v>
      </c>
      <c r="D6" s="2">
        <v>825</v>
      </c>
      <c r="E6" s="3">
        <v>2958</v>
      </c>
      <c r="F6" s="4">
        <v>106236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"*",CHOOSE({1,2}, Super_CBSA!$E$2:$E$1917, Super_CBSA!$A$2:$A$1917), 2,FALSE), ""))</f>
        <v>14540</v>
      </c>
    </row>
    <row r="7" spans="1:7" ht="17">
      <c r="A7" s="1" t="s">
        <v>3002</v>
      </c>
      <c r="B7" s="2" t="s">
        <v>3003</v>
      </c>
      <c r="C7" s="2">
        <v>71</v>
      </c>
      <c r="D7" s="3">
        <v>3557</v>
      </c>
      <c r="E7" s="3">
        <v>10589</v>
      </c>
      <c r="F7" s="4">
        <v>509525</v>
      </c>
      <c r="G7" s="11" t="str" cm="1">
        <f t="array" aca="1" ref="G7" ca="1">IFERROR(VLOOKUP("*" &amp; B7  &amp; "*" &amp; (MID(CELL("filename",A6),FIND("]",CELL("filename",A6))+1,31)) &amp; "*",CHOOSE({1,2}, Super_CBSA!$B$2:$B$1917, Super_CBSA!$A$2:$A$1917), 2,FALSE), IFERROR(VLOOKUP(B7  &amp; "*",CHOOSE({1,2}, Super_CBSA!$E$2:$E$1917, Super_CBSA!$A$2:$A$1917), 2,FALSE), ""))</f>
        <v/>
      </c>
    </row>
    <row r="8" spans="1:7" ht="17">
      <c r="A8" s="1" t="s">
        <v>3004</v>
      </c>
      <c r="B8" s="2" t="s">
        <v>2340</v>
      </c>
      <c r="C8" s="2">
        <v>350</v>
      </c>
      <c r="D8" s="3">
        <v>12845</v>
      </c>
      <c r="E8" s="3">
        <v>56553</v>
      </c>
      <c r="F8" s="4">
        <v>934585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"*",CHOOSE({1,2}, Super_CBSA!$E$2:$E$1917, Super_CBSA!$A$2:$A$1917), 2,FALSE), ""))</f>
        <v>17860</v>
      </c>
    </row>
    <row r="9" spans="1:7" ht="17">
      <c r="A9" s="1" t="s">
        <v>3005</v>
      </c>
      <c r="B9" s="2" t="s">
        <v>3006</v>
      </c>
      <c r="C9" s="2">
        <v>108</v>
      </c>
      <c r="D9" s="3">
        <v>3923</v>
      </c>
      <c r="E9" s="3">
        <v>15340</v>
      </c>
      <c r="F9" s="4">
        <v>346815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"*",CHOOSE({1,2}, Super_CBSA!$E$2:$E$1917, Super_CBSA!$A$2:$A$1917), 2,FALSE), ""))</f>
        <v>42740</v>
      </c>
    </row>
    <row r="10" spans="1:7" ht="17">
      <c r="A10" s="1" t="s">
        <v>3007</v>
      </c>
      <c r="B10" s="2" t="s">
        <v>2484</v>
      </c>
      <c r="C10" s="2">
        <v>59</v>
      </c>
      <c r="D10" s="3">
        <v>1352</v>
      </c>
      <c r="E10" s="3">
        <v>4977</v>
      </c>
      <c r="F10" s="4">
        <v>174463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"*",CHOOSE({1,2}, Super_CBSA!$E$2:$E$1917, Super_CBSA!$A$2:$A$1917), 2,FALSE), ""))</f>
        <v>15180</v>
      </c>
    </row>
    <row r="11" spans="1:7" ht="17">
      <c r="A11" s="1" t="s">
        <v>3008</v>
      </c>
      <c r="B11" s="2" t="s">
        <v>3009</v>
      </c>
      <c r="C11" s="2">
        <v>114</v>
      </c>
      <c r="D11" s="3">
        <v>5319</v>
      </c>
      <c r="E11" s="3">
        <v>18742</v>
      </c>
      <c r="F11" s="4">
        <v>597913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"*",CHOOSE({1,2}, Super_CBSA!$E$2:$E$1917, Super_CBSA!$A$2:$A$1917), 2,FALSE), ""))</f>
        <v>27620</v>
      </c>
    </row>
    <row r="12" spans="1:7" ht="17">
      <c r="A12" s="1" t="s">
        <v>3010</v>
      </c>
      <c r="B12" s="2" t="s">
        <v>3009</v>
      </c>
      <c r="C12" s="2">
        <v>0</v>
      </c>
      <c r="D12" s="2">
        <v>0</v>
      </c>
      <c r="E12" s="2">
        <v>0</v>
      </c>
      <c r="F12" s="4">
        <v>0</v>
      </c>
      <c r="G12" s="11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"*",CHOOSE({1,2}, Super_CBSA!$E$2:$E$1917, Super_CBSA!$A$2:$A$1917), 2,FALSE), ""))</f>
        <v>27620</v>
      </c>
    </row>
    <row r="13" spans="1:7" ht="17">
      <c r="A13" s="1" t="s">
        <v>3011</v>
      </c>
      <c r="B13" s="2" t="s">
        <v>3012</v>
      </c>
      <c r="C13" s="2">
        <v>281</v>
      </c>
      <c r="D13" s="3">
        <v>16651</v>
      </c>
      <c r="E13" s="3">
        <v>66617</v>
      </c>
      <c r="F13" s="4">
        <v>2289660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"*",CHOOSE({1,2}, Super_CBSA!$E$2:$E$1917, Super_CBSA!$A$2:$A$1917), 2,FALSE), ""))</f>
        <v>12900</v>
      </c>
    </row>
    <row r="14" spans="1:7" ht="17">
      <c r="A14" s="1" t="s">
        <v>3013</v>
      </c>
      <c r="B14" s="2" t="s">
        <v>2995</v>
      </c>
      <c r="C14" s="2">
        <v>223</v>
      </c>
      <c r="D14" s="3">
        <v>12659</v>
      </c>
      <c r="E14" s="3">
        <v>61368</v>
      </c>
      <c r="F14" s="4">
        <v>1093893</v>
      </c>
      <c r="G14" s="11" t="str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"*",CHOOSE({1,2}, Super_CBSA!$E$2:$E$1917, Super_CBSA!$A$2:$A$1917), 2,FALSE), ""))</f>
        <v/>
      </c>
    </row>
    <row r="15" spans="1:7" ht="17">
      <c r="A15" s="1" t="s">
        <v>3014</v>
      </c>
      <c r="B15" s="2" t="s">
        <v>3015</v>
      </c>
      <c r="C15" s="2">
        <v>72</v>
      </c>
      <c r="D15" s="3">
        <v>3141</v>
      </c>
      <c r="E15" s="3">
        <v>9487</v>
      </c>
      <c r="F15" s="4">
        <v>428108</v>
      </c>
      <c r="G15" s="11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"*",CHOOSE({1,2}, Super_CBSA!$E$2:$E$1917, Super_CBSA!$A$2:$A$1917), 2,FALSE), ""))</f>
        <v>17380</v>
      </c>
    </row>
    <row r="16" spans="1:7" ht="17">
      <c r="A16" s="1" t="s">
        <v>3016</v>
      </c>
      <c r="B16" s="2" t="s">
        <v>3017</v>
      </c>
      <c r="C16" s="2">
        <v>124</v>
      </c>
      <c r="D16" s="3">
        <v>6671</v>
      </c>
      <c r="E16" s="3">
        <v>28033</v>
      </c>
      <c r="F16" s="4">
        <v>798343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"*",CHOOSE({1,2}, Super_CBSA!$E$2:$E$1917, Super_CBSA!$A$2:$A$1917), 2,FALSE), ""))</f>
        <v>14700</v>
      </c>
    </row>
    <row r="17" spans="1:7" ht="17">
      <c r="A17" s="1" t="s">
        <v>3018</v>
      </c>
      <c r="B17" s="2" t="s">
        <v>1901</v>
      </c>
      <c r="C17" s="2">
        <v>0</v>
      </c>
      <c r="D17" s="2">
        <v>0</v>
      </c>
      <c r="E17" s="2">
        <v>0</v>
      </c>
      <c r="F17" s="4">
        <v>0</v>
      </c>
      <c r="G17" s="11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"*",CHOOSE({1,2}, Super_CBSA!$E$2:$E$1917, Super_CBSA!$A$2:$A$1917), 2,FALSE), ""))</f>
        <v>44180</v>
      </c>
    </row>
    <row r="18" spans="1:7" ht="17">
      <c r="A18" s="1" t="s">
        <v>3019</v>
      </c>
      <c r="B18" s="2" t="s">
        <v>1901</v>
      </c>
      <c r="C18" s="2">
        <v>672</v>
      </c>
      <c r="D18" s="3">
        <v>32971</v>
      </c>
      <c r="E18" s="3">
        <v>169863</v>
      </c>
      <c r="F18" s="4">
        <v>4055266</v>
      </c>
      <c r="G18" s="11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"*",CHOOSE({1,2}, Super_CBSA!$E$2:$E$1917, Super_CBSA!$A$2:$A$1917), 2,FALSE), ""))</f>
        <v>44180</v>
      </c>
    </row>
    <row r="19" spans="1:7" ht="17">
      <c r="A19" s="1" t="s">
        <v>3020</v>
      </c>
      <c r="B19" s="2" t="s">
        <v>2863</v>
      </c>
      <c r="C19" s="2">
        <v>52</v>
      </c>
      <c r="D19" s="3">
        <v>1384</v>
      </c>
      <c r="E19" s="3">
        <v>4336</v>
      </c>
      <c r="F19" s="4">
        <v>125720</v>
      </c>
      <c r="G19" s="11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"*",CHOOSE({1,2}, Super_CBSA!$E$2:$E$1917, Super_CBSA!$A$2:$A$1917), 2,FALSE), ""))</f>
        <v>32180</v>
      </c>
    </row>
    <row r="20" spans="1:7" ht="17">
      <c r="A20" s="1" t="s">
        <v>3021</v>
      </c>
      <c r="B20" s="2" t="s">
        <v>3022</v>
      </c>
      <c r="C20" s="2">
        <v>391</v>
      </c>
      <c r="D20" s="3">
        <v>16999</v>
      </c>
      <c r="E20" s="3">
        <v>85482</v>
      </c>
      <c r="F20" s="4">
        <v>2141926</v>
      </c>
      <c r="G20" s="11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"*",CHOOSE({1,2}, Super_CBSA!$E$2:$E$1917, Super_CBSA!$A$2:$A$1917), 2,FALSE), ""))</f>
        <v>27900</v>
      </c>
    </row>
    <row r="21" spans="1:7" ht="17">
      <c r="A21" s="1" t="s">
        <v>3023</v>
      </c>
      <c r="B21" s="2" t="s">
        <v>3024</v>
      </c>
      <c r="C21" s="2">
        <v>37</v>
      </c>
      <c r="D21" s="2">
        <v>143</v>
      </c>
      <c r="E21" s="2">
        <v>332</v>
      </c>
      <c r="F21" s="4">
        <v>28328</v>
      </c>
      <c r="G21" s="11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"*",CHOOSE({1,2}, Super_CBSA!$E$2:$E$1917, Super_CBSA!$A$2:$A$1917), 2,FALSE), ""))</f>
        <v>12060</v>
      </c>
    </row>
    <row r="22" spans="1:7" ht="17">
      <c r="A22" s="1" t="s">
        <v>3025</v>
      </c>
      <c r="B22" s="2" t="s">
        <v>3026</v>
      </c>
      <c r="C22" s="2">
        <v>0</v>
      </c>
      <c r="D22" s="2">
        <v>0</v>
      </c>
      <c r="E22" s="2">
        <v>0</v>
      </c>
      <c r="F22" s="4">
        <v>0</v>
      </c>
      <c r="G22" s="11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"*",CHOOSE({1,2}, Super_CBSA!$E$2:$E$1917, Super_CBSA!$A$2:$A$1917), 2,FALSE), ""))</f>
        <v>22780</v>
      </c>
    </row>
    <row r="23" spans="1:7" ht="17">
      <c r="A23" s="1" t="s">
        <v>3027</v>
      </c>
      <c r="B23" s="2" t="s">
        <v>1729</v>
      </c>
      <c r="C23" s="2">
        <v>42</v>
      </c>
      <c r="D23" s="3">
        <v>2051</v>
      </c>
      <c r="E23" s="3">
        <v>7237</v>
      </c>
      <c r="F23" s="4">
        <v>310508</v>
      </c>
      <c r="G23" s="11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"*",CHOOSE({1,2}, Super_CBSA!$E$2:$E$1917, Super_CBSA!$A$2:$A$1917), 2,FALSE), ""))</f>
        <v>17540</v>
      </c>
    </row>
    <row r="24" spans="1:7" ht="17">
      <c r="A24" s="1" t="s">
        <v>3028</v>
      </c>
      <c r="B24" s="2" t="s">
        <v>3029</v>
      </c>
      <c r="C24" s="2">
        <v>99</v>
      </c>
      <c r="D24" s="3">
        <v>4534</v>
      </c>
      <c r="E24" s="3">
        <v>16367</v>
      </c>
      <c r="F24" s="4">
        <v>474328</v>
      </c>
      <c r="G24" s="11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"*",CHOOSE({1,2}, Super_CBSA!$E$2:$E$1917, Super_CBSA!$A$2:$A$1917), 2,FALSE), ""))</f>
        <v>25300</v>
      </c>
    </row>
    <row r="25" spans="1:7" ht="17">
      <c r="A25" s="1" t="s">
        <v>3030</v>
      </c>
      <c r="B25" s="2" t="s">
        <v>2340</v>
      </c>
      <c r="C25" s="2">
        <v>0</v>
      </c>
      <c r="D25" s="2">
        <v>0</v>
      </c>
      <c r="E25" s="2">
        <v>0</v>
      </c>
      <c r="F25" s="4">
        <v>0</v>
      </c>
      <c r="G25" s="11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"*",CHOOSE({1,2}, Super_CBSA!$E$2:$E$1917, Super_CBSA!$A$2:$A$1917), 2,FALSE), ""))</f>
        <v>17860</v>
      </c>
    </row>
    <row r="26" spans="1:7" ht="17">
      <c r="A26" s="1" t="s">
        <v>3031</v>
      </c>
      <c r="B26" s="2" t="s">
        <v>2995</v>
      </c>
      <c r="C26" s="2">
        <v>0</v>
      </c>
      <c r="D26" s="2">
        <v>0</v>
      </c>
      <c r="E26" s="2">
        <v>0</v>
      </c>
      <c r="F26" s="4">
        <v>0</v>
      </c>
      <c r="G26" s="11" t="str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"*",CHOOSE({1,2}, Super_CBSA!$E$2:$E$1917, Super_CBSA!$A$2:$A$1917), 2,FALSE), ""))</f>
        <v/>
      </c>
    </row>
    <row r="27" spans="1:7" ht="17">
      <c r="A27" s="1" t="s">
        <v>3032</v>
      </c>
      <c r="B27" s="2" t="s">
        <v>3033</v>
      </c>
      <c r="C27" s="2">
        <v>0</v>
      </c>
      <c r="D27" s="2">
        <v>0</v>
      </c>
      <c r="E27" s="2">
        <v>0</v>
      </c>
      <c r="F27" s="4">
        <v>0</v>
      </c>
      <c r="G27" s="11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"*",CHOOSE({1,2}, Super_CBSA!$E$2:$E$1917, Super_CBSA!$A$2:$A$1917), 2,FALSE), ""))</f>
        <v>38740</v>
      </c>
    </row>
    <row r="28" spans="1:7" ht="17">
      <c r="A28" s="1" t="s">
        <v>3034</v>
      </c>
      <c r="B28" s="2" t="s">
        <v>2221</v>
      </c>
      <c r="C28" s="2">
        <v>0</v>
      </c>
      <c r="D28" s="2">
        <v>0</v>
      </c>
      <c r="E28" s="2">
        <v>0</v>
      </c>
      <c r="F28" s="4">
        <v>0</v>
      </c>
      <c r="G28" s="11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"*",CHOOSE({1,2}, Super_CBSA!$E$2:$E$1917, Super_CBSA!$A$2:$A$1917), 2,FALSE), ""))</f>
        <v>28140</v>
      </c>
    </row>
    <row r="29" spans="1:7" ht="17">
      <c r="A29" s="1" t="s">
        <v>3035</v>
      </c>
      <c r="B29" s="2" t="s">
        <v>3036</v>
      </c>
      <c r="C29" s="2">
        <v>116</v>
      </c>
      <c r="D29" s="3">
        <v>4705</v>
      </c>
      <c r="E29" s="3">
        <v>15879</v>
      </c>
      <c r="F29" s="4">
        <v>543313</v>
      </c>
      <c r="G29" s="11" t="str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"*",CHOOSE({1,2}, Super_CBSA!$E$2:$E$1917, Super_CBSA!$A$2:$A$1917), 2,FALSE), ""))</f>
        <v/>
      </c>
    </row>
    <row r="30" spans="1:7" ht="17">
      <c r="A30" s="1" t="s">
        <v>3037</v>
      </c>
      <c r="B30" s="2" t="s">
        <v>3038</v>
      </c>
      <c r="C30" s="2">
        <v>80</v>
      </c>
      <c r="D30" s="3">
        <v>4431</v>
      </c>
      <c r="E30" s="3">
        <v>16004</v>
      </c>
      <c r="F30" s="4">
        <v>668987</v>
      </c>
      <c r="G30" s="11" t="str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"*",CHOOSE({1,2}, Super_CBSA!$E$2:$E$1917, Super_CBSA!$A$2:$A$1917), 2,FALSE), ""))</f>
        <v/>
      </c>
    </row>
    <row r="31" spans="1:7" ht="17">
      <c r="A31" s="1" t="s">
        <v>3039</v>
      </c>
      <c r="B31" s="2" t="s">
        <v>3040</v>
      </c>
      <c r="C31" s="2">
        <v>199</v>
      </c>
      <c r="D31" s="3">
        <v>7747</v>
      </c>
      <c r="E31" s="3">
        <v>32282</v>
      </c>
      <c r="F31" s="4">
        <v>748119</v>
      </c>
      <c r="G31" s="11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"*",CHOOSE({1,2}, Super_CBSA!$E$2:$E$1917, Super_CBSA!$A$2:$A$1917), 2,FALSE), ""))</f>
        <v>25980</v>
      </c>
    </row>
    <row r="32" spans="1:7" ht="17">
      <c r="A32" s="1" t="s">
        <v>3041</v>
      </c>
      <c r="B32" s="2" t="s">
        <v>2995</v>
      </c>
      <c r="C32" s="2">
        <v>0</v>
      </c>
      <c r="D32" s="2">
        <v>0</v>
      </c>
      <c r="E32" s="2">
        <v>0</v>
      </c>
      <c r="F32" s="4">
        <v>0</v>
      </c>
      <c r="G32" s="11" t="str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"*",CHOOSE({1,2}, Super_CBSA!$E$2:$E$1917, Super_CBSA!$A$2:$A$1917), 2,FALSE), ""))</f>
        <v/>
      </c>
    </row>
    <row r="33" spans="1:7" ht="17">
      <c r="A33" s="1" t="s">
        <v>3042</v>
      </c>
      <c r="B33" s="2" t="s">
        <v>1901</v>
      </c>
      <c r="C33" s="2">
        <v>0</v>
      </c>
      <c r="D33" s="2">
        <v>0</v>
      </c>
      <c r="E33" s="2">
        <v>0</v>
      </c>
      <c r="F33" s="4">
        <v>0</v>
      </c>
      <c r="G33" s="11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"*",CHOOSE({1,2}, Super_CBSA!$E$2:$E$1917, Super_CBSA!$A$2:$A$1917), 2,FALSE), ""))</f>
        <v>44180</v>
      </c>
    </row>
    <row r="34" spans="1:7" ht="17">
      <c r="A34" s="1" t="s">
        <v>3043</v>
      </c>
      <c r="B34" s="2" t="s">
        <v>2995</v>
      </c>
      <c r="C34" s="2">
        <v>0</v>
      </c>
      <c r="D34" s="2">
        <v>0</v>
      </c>
      <c r="E34" s="2">
        <v>0</v>
      </c>
      <c r="F34" s="4">
        <v>0</v>
      </c>
      <c r="G34" s="11" t="str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"*",CHOOSE({1,2}, Super_CBSA!$E$2:$E$1917, Super_CBSA!$A$2:$A$1917), 2,FALSE), ""))</f>
        <v/>
      </c>
    </row>
    <row r="35" spans="1:7" ht="17">
      <c r="A35" s="1" t="s">
        <v>3044</v>
      </c>
      <c r="B35" s="2" t="s">
        <v>3045</v>
      </c>
      <c r="C35" s="2">
        <v>321</v>
      </c>
      <c r="D35" s="3">
        <v>9618</v>
      </c>
      <c r="E35" s="3">
        <v>42108</v>
      </c>
      <c r="F35" s="4">
        <v>792628</v>
      </c>
      <c r="G35" s="11" t="str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"*",CHOOSE({1,2}, Super_CBSA!$E$2:$E$1917, Super_CBSA!$A$2:$A$1917), 2,FALSE), ""))</f>
        <v/>
      </c>
    </row>
    <row r="36" spans="1:7" ht="17">
      <c r="A36" s="1" t="s">
        <v>3046</v>
      </c>
      <c r="B36" s="2" t="s">
        <v>3022</v>
      </c>
      <c r="C36" s="2">
        <v>240</v>
      </c>
      <c r="D36" s="3">
        <v>12793</v>
      </c>
      <c r="E36" s="3">
        <v>58466</v>
      </c>
      <c r="F36" s="4">
        <v>990109</v>
      </c>
      <c r="G36" s="11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"*",CHOOSE({1,2}, Super_CBSA!$E$2:$E$1917, Super_CBSA!$A$2:$A$1917), 2,FALSE), ""))</f>
        <v>27900</v>
      </c>
    </row>
    <row r="37" spans="1:7" ht="17">
      <c r="A37" s="1" t="s">
        <v>3047</v>
      </c>
      <c r="B37" s="2" t="s">
        <v>2162</v>
      </c>
      <c r="C37" s="2">
        <v>43</v>
      </c>
      <c r="D37" s="3">
        <v>2497</v>
      </c>
      <c r="E37" s="3">
        <v>6103</v>
      </c>
      <c r="F37" s="4">
        <v>289203</v>
      </c>
      <c r="G37" s="11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"*",CHOOSE({1,2}, Super_CBSA!$E$2:$E$1917, Super_CBSA!$A$2:$A$1917), 2,FALSE), ""))</f>
        <v>30060</v>
      </c>
    </row>
    <row r="38" spans="1:7" ht="17">
      <c r="A38" s="1" t="s">
        <v>3048</v>
      </c>
      <c r="B38" s="2" t="s">
        <v>2995</v>
      </c>
      <c r="C38" s="2">
        <v>859</v>
      </c>
      <c r="D38" s="3">
        <v>41026</v>
      </c>
      <c r="E38" s="3">
        <v>228212</v>
      </c>
      <c r="F38" s="4">
        <v>3960135</v>
      </c>
      <c r="G38" s="11" t="str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"*",CHOOSE({1,2}, Super_CBSA!$E$2:$E$1917, Super_CBSA!$A$2:$A$1917), 2,FALSE), ""))</f>
        <v/>
      </c>
    </row>
    <row r="39" spans="1:7" ht="17">
      <c r="A39" s="1" t="s">
        <v>3049</v>
      </c>
      <c r="B39" s="2" t="s">
        <v>2995</v>
      </c>
      <c r="C39" s="2">
        <v>767</v>
      </c>
      <c r="D39" s="3">
        <v>26057</v>
      </c>
      <c r="E39" s="3">
        <v>123678</v>
      </c>
      <c r="F39" s="4">
        <v>1680804</v>
      </c>
      <c r="G39" s="11" t="str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"*",CHOOSE({1,2}, Super_CBSA!$E$2:$E$1917, Super_CBSA!$A$2:$A$1917), 2,FALSE), ""))</f>
        <v/>
      </c>
    </row>
    <row r="40" spans="1:7" ht="17">
      <c r="A40" s="1" t="s">
        <v>3050</v>
      </c>
      <c r="B40" s="2" t="s">
        <v>1901</v>
      </c>
      <c r="C40" s="2">
        <v>665</v>
      </c>
      <c r="D40" s="3">
        <v>36279</v>
      </c>
      <c r="E40" s="3">
        <v>176726</v>
      </c>
      <c r="F40" s="4">
        <v>3894850</v>
      </c>
      <c r="G40" s="11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"*",CHOOSE({1,2}, Super_CBSA!$E$2:$E$1917, Super_CBSA!$A$2:$A$1917), 2,FALSE), ""))</f>
        <v>44180</v>
      </c>
    </row>
    <row r="41" spans="1:7" ht="17">
      <c r="A41" s="1" t="s">
        <v>3051</v>
      </c>
      <c r="B41" s="2" t="s">
        <v>1134</v>
      </c>
      <c r="C41" s="2">
        <v>148</v>
      </c>
      <c r="D41" s="3">
        <v>6706</v>
      </c>
      <c r="E41" s="3">
        <v>22181</v>
      </c>
      <c r="F41" s="4">
        <v>895010</v>
      </c>
      <c r="G41" s="11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"*",CHOOSE({1,2}, Super_CBSA!$E$2:$E$1917, Super_CBSA!$A$2:$A$1917), 2,FALSE), ""))</f>
        <v>12740</v>
      </c>
    </row>
    <row r="42" spans="1:7" ht="17">
      <c r="A42" s="1" t="s">
        <v>3052</v>
      </c>
      <c r="B42" s="2" t="s">
        <v>2995</v>
      </c>
      <c r="C42" s="2">
        <v>426</v>
      </c>
      <c r="D42" s="3">
        <v>21022</v>
      </c>
      <c r="E42" s="3">
        <v>96662</v>
      </c>
      <c r="F42" s="4">
        <v>1768843</v>
      </c>
      <c r="G42" s="11" t="str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"*",CHOOSE({1,2}, Super_CBSA!$E$2:$E$1917, Super_CBSA!$A$2:$A$1917), 2,FALSE), ""))</f>
        <v/>
      </c>
    </row>
    <row r="43" spans="1:7" ht="17">
      <c r="A43" s="1" t="s">
        <v>3053</v>
      </c>
      <c r="B43" s="2" t="s">
        <v>3054</v>
      </c>
      <c r="C43" s="2">
        <v>121</v>
      </c>
      <c r="D43" s="3">
        <v>3198</v>
      </c>
      <c r="E43" s="3">
        <v>12143</v>
      </c>
      <c r="F43" s="4">
        <v>350966</v>
      </c>
      <c r="G43" s="11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"*",CHOOSE({1,2}, Super_CBSA!$E$2:$E$1917, Super_CBSA!$A$2:$A$1917), 2,FALSE), ""))</f>
        <v>43460</v>
      </c>
    </row>
    <row r="44" spans="1:7" ht="17">
      <c r="A44" s="1" t="s">
        <v>3055</v>
      </c>
      <c r="B44" s="2" t="s">
        <v>3056</v>
      </c>
      <c r="C44" s="2">
        <v>51</v>
      </c>
      <c r="D44" s="2">
        <v>919</v>
      </c>
      <c r="E44" s="3">
        <v>2694</v>
      </c>
      <c r="F44" s="4">
        <v>229499</v>
      </c>
      <c r="G44" s="11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"*",CHOOSE({1,2}, Super_CBSA!$E$2:$E$1917, Super_CBSA!$A$2:$A$1917), 2,FALSE), ""))</f>
        <v>33620</v>
      </c>
    </row>
    <row r="45" spans="1:7" ht="17">
      <c r="A45" s="1" t="s">
        <v>3057</v>
      </c>
      <c r="B45" s="2" t="s">
        <v>2815</v>
      </c>
      <c r="C45" s="2">
        <v>352</v>
      </c>
      <c r="D45" s="3">
        <v>21465</v>
      </c>
      <c r="E45" s="3">
        <v>72356</v>
      </c>
      <c r="F45" s="4">
        <v>1299870</v>
      </c>
      <c r="G45" s="11" t="str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"*",CHOOSE({1,2}, Super_CBSA!$E$2:$E$1917, Super_CBSA!$A$2:$A$1917), 2,FALSE), ""))</f>
        <v/>
      </c>
    </row>
    <row r="46" spans="1:7" ht="17">
      <c r="A46" s="1" t="s">
        <v>3058</v>
      </c>
      <c r="B46" s="2" t="s">
        <v>1849</v>
      </c>
      <c r="C46" s="2">
        <v>52</v>
      </c>
      <c r="D46" s="3">
        <v>1115</v>
      </c>
      <c r="E46" s="3">
        <v>2735</v>
      </c>
      <c r="F46" s="4">
        <v>109014</v>
      </c>
      <c r="G46" s="11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"*",CHOOSE({1,2}, Super_CBSA!$E$2:$E$1917, Super_CBSA!$A$2:$A$1917), 2,FALSE), ""))</f>
        <v>32340</v>
      </c>
    </row>
    <row r="47" spans="1:7" ht="17">
      <c r="A47" s="1" t="s">
        <v>3059</v>
      </c>
      <c r="B47" s="2" t="s">
        <v>3060</v>
      </c>
      <c r="C47" s="2">
        <v>71</v>
      </c>
      <c r="D47" s="2">
        <v>976</v>
      </c>
      <c r="E47" s="3">
        <v>3100</v>
      </c>
      <c r="F47" s="4">
        <v>99757</v>
      </c>
      <c r="G47" s="11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"*",CHOOSE({1,2}, Super_CBSA!$E$2:$E$1917, Super_CBSA!$A$2:$A$1917), 2,FALSE), ""))</f>
        <v>26260</v>
      </c>
    </row>
    <row r="48" spans="1:7" ht="17">
      <c r="A48" s="1" t="s">
        <v>3061</v>
      </c>
      <c r="B48" s="2" t="s">
        <v>3062</v>
      </c>
      <c r="C48" s="2">
        <v>411</v>
      </c>
      <c r="D48" s="3">
        <v>13097</v>
      </c>
      <c r="E48" s="3">
        <v>84421</v>
      </c>
      <c r="F48" s="4">
        <v>1842372</v>
      </c>
      <c r="G48" s="11" t="str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"*",CHOOSE({1,2}, Super_CBSA!$E$2:$E$1917, Super_CBSA!$A$2:$A$1917), 2,FALSE), ""))</f>
        <v/>
      </c>
    </row>
    <row r="49" spans="1:7" ht="17">
      <c r="A49" s="1" t="s">
        <v>3063</v>
      </c>
      <c r="B49" s="2" t="s">
        <v>3064</v>
      </c>
      <c r="C49" s="2">
        <v>51</v>
      </c>
      <c r="D49" s="3">
        <v>2309</v>
      </c>
      <c r="E49" s="3">
        <v>8206</v>
      </c>
      <c r="F49" s="4">
        <v>327020</v>
      </c>
      <c r="G49" s="11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"*",CHOOSE({1,2}, Super_CBSA!$E$2:$E$1917, Super_CBSA!$A$2:$A$1917), 2,FALSE), ""))</f>
        <v>28860</v>
      </c>
    </row>
    <row r="50" spans="1:7" ht="17">
      <c r="A50" s="1" t="s">
        <v>3065</v>
      </c>
      <c r="B50" s="2" t="s">
        <v>3066</v>
      </c>
      <c r="C50" s="2">
        <v>103</v>
      </c>
      <c r="D50" s="3">
        <v>5687</v>
      </c>
      <c r="E50" s="3">
        <v>19661</v>
      </c>
      <c r="F50" s="4">
        <v>449184</v>
      </c>
      <c r="G50" s="11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"*",CHOOSE({1,2}, Super_CBSA!$E$2:$E$1917, Super_CBSA!$A$2:$A$1917), 2,FALSE), ""))</f>
        <v>48460</v>
      </c>
    </row>
    <row r="51" spans="1:7" ht="17">
      <c r="A51" s="1" t="s">
        <v>3067</v>
      </c>
      <c r="B51" s="2" t="s">
        <v>1124</v>
      </c>
      <c r="C51" s="2">
        <v>108</v>
      </c>
      <c r="D51" s="3">
        <v>3209</v>
      </c>
      <c r="E51" s="3">
        <v>10124</v>
      </c>
      <c r="F51" s="4">
        <v>327603</v>
      </c>
      <c r="G51" s="11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"*",CHOOSE({1,2}, Super_CBSA!$E$2:$E$1917, Super_CBSA!$A$2:$A$1917), 2,FALSE), ""))</f>
        <v>22100</v>
      </c>
    </row>
    <row r="52" spans="1:7" ht="17">
      <c r="A52" s="1" t="s">
        <v>3068</v>
      </c>
      <c r="B52" s="2" t="s">
        <v>3069</v>
      </c>
      <c r="C52" s="2">
        <v>167</v>
      </c>
      <c r="D52" s="3">
        <v>1428</v>
      </c>
      <c r="E52" s="3">
        <v>5565</v>
      </c>
      <c r="F52" s="4">
        <v>84053</v>
      </c>
      <c r="G52" s="11" t="str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"*",CHOOSE({1,2}, Super_CBSA!$E$2:$E$1917, Super_CBSA!$A$2:$A$1917), 2,FALSE), ""))</f>
        <v/>
      </c>
    </row>
    <row r="53" spans="1:7" ht="17">
      <c r="A53" s="1" t="s">
        <v>3070</v>
      </c>
      <c r="B53" s="2" t="s">
        <v>3071</v>
      </c>
      <c r="C53" s="2">
        <v>242</v>
      </c>
      <c r="D53" s="3">
        <v>4963</v>
      </c>
      <c r="E53" s="3">
        <v>19524</v>
      </c>
      <c r="F53" s="4">
        <v>901953</v>
      </c>
      <c r="G53" s="11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"*",CHOOSE({1,2}, Super_CBSA!$E$2:$E$1917, Super_CBSA!$A$2:$A$1917), 2,FALSE), ""))</f>
        <v>40620</v>
      </c>
    </row>
    <row r="54" spans="1:7" ht="17">
      <c r="A54" s="1" t="s">
        <v>3072</v>
      </c>
      <c r="B54" s="2" t="s">
        <v>3033</v>
      </c>
      <c r="C54" s="2">
        <v>232</v>
      </c>
      <c r="D54" s="3">
        <v>11000</v>
      </c>
      <c r="E54" s="3">
        <v>47531</v>
      </c>
      <c r="F54" s="4">
        <v>1502951</v>
      </c>
      <c r="G54" s="11" cm="1">
        <f t="array" aca="1" ref="G54" ca="1">IFERROR(VLOOKUP("*" &amp; B54  &amp; "*" &amp; (MID(CELL("filename",A53),FIND("]",CELL("filename",A53))+1,31)) &amp; "*",CHOOSE({1,2}, Super_CBSA!$B$2:$B$1917, Super_CBSA!$A$2:$A$1917), 2,FALSE), IFERROR(VLOOKUP(B54  &amp; "*",CHOOSE({1,2}, Super_CBSA!$E$2:$E$1917, Super_CBSA!$A$2:$A$1917), 2,FALSE), ""))</f>
        <v>38740</v>
      </c>
    </row>
    <row r="55" spans="1:7" ht="17">
      <c r="A55" s="1" t="s">
        <v>3073</v>
      </c>
      <c r="B55" s="2" t="s">
        <v>1899</v>
      </c>
      <c r="C55" s="2">
        <v>68</v>
      </c>
      <c r="D55" s="3">
        <v>3300</v>
      </c>
      <c r="E55" s="3">
        <v>12732</v>
      </c>
      <c r="F55" s="4">
        <v>218750</v>
      </c>
      <c r="G55" s="11" t="str" cm="1">
        <f t="array" aca="1" ref="G55" ca="1">IFERROR(VLOOKUP("*" &amp; B55  &amp; "*" &amp; (MID(CELL("filename",A54),FIND("]",CELL("filename",A54))+1,31)) &amp; "*",CHOOSE({1,2}, Super_CBSA!$B$2:$B$1917, Super_CBSA!$A$2:$A$1917), 2,FALSE), IFERROR(VLOOKUP(B55  &amp; "*",CHOOSE({1,2}, Super_CBSA!$E$2:$E$1917, Super_CBSA!$A$2:$A$1917), 2,FALSE), ""))</f>
        <v/>
      </c>
    </row>
    <row r="56" spans="1:7" ht="17">
      <c r="A56" s="1" t="s">
        <v>3074</v>
      </c>
      <c r="B56" s="2" t="s">
        <v>2221</v>
      </c>
      <c r="C56" s="2">
        <v>442</v>
      </c>
      <c r="D56" s="3">
        <v>16398</v>
      </c>
      <c r="E56" s="3">
        <v>90052</v>
      </c>
      <c r="F56" s="4">
        <v>3169050</v>
      </c>
      <c r="G56" s="11" cm="1">
        <f t="array" aca="1" ref="G56" ca="1">IFERROR(VLOOKUP("*" &amp; B56  &amp; "*" &amp; (MID(CELL("filename",A55),FIND("]",CELL("filename",A55))+1,31)) &amp; "*",CHOOSE({1,2}, Super_CBSA!$B$2:$B$1917, Super_CBSA!$A$2:$A$1917), 2,FALSE), IFERROR(VLOOKUP(B56  &amp; "*",CHOOSE({1,2}, Super_CBSA!$E$2:$E$1917, Super_CBSA!$A$2:$A$1917), 2,FALSE), ""))</f>
        <v>28140</v>
      </c>
    </row>
    <row r="57" spans="1:7" ht="17">
      <c r="A57" s="1" t="s">
        <v>3075</v>
      </c>
      <c r="B57" s="2" t="s">
        <v>2995</v>
      </c>
      <c r="C57" s="2">
        <v>178</v>
      </c>
      <c r="D57" s="3">
        <v>2534</v>
      </c>
      <c r="E57" s="3">
        <v>19589</v>
      </c>
      <c r="F57" s="4">
        <v>150325</v>
      </c>
      <c r="G57" s="11" t="str" cm="1">
        <f t="array" aca="1" ref="G57" ca="1">IFERROR(VLOOKUP("*" &amp; B57  &amp; "*" &amp; (MID(CELL("filename",A56),FIND("]",CELL("filename",A56))+1,31)) &amp; "*",CHOOSE({1,2}, Super_CBSA!$B$2:$B$1917, Super_CBSA!$A$2:$A$1917), 2,FALSE), IFERROR(VLOOKUP(B57  &amp; "*",CHOOSE({1,2}, Super_CBSA!$E$2:$E$1917, Super_CBSA!$A$2:$A$1917), 2,FALSE), ""))</f>
        <v/>
      </c>
    </row>
    <row r="58" spans="1:7" ht="17">
      <c r="A58" s="1" t="s">
        <v>817</v>
      </c>
      <c r="B58" s="2" t="s">
        <v>3076</v>
      </c>
      <c r="C58" s="2">
        <v>307</v>
      </c>
      <c r="D58" s="3">
        <v>10055</v>
      </c>
      <c r="E58" s="3">
        <v>49798</v>
      </c>
      <c r="F58" s="4">
        <v>2206268</v>
      </c>
      <c r="G58" s="11" cm="1">
        <f t="array" aca="1" ref="G58" ca="1">IFERROR(VLOOKUP("*" &amp; B58  &amp; "*" &amp; (MID(CELL("filename",A57),FIND("]",CELL("filename",A57))+1,31)) &amp; "*",CHOOSE({1,2}, Super_CBSA!$B$2:$B$1917, Super_CBSA!$A$2:$A$1917), 2,FALSE), IFERROR(VLOOKUP(B58  &amp; "*",CHOOSE({1,2}, Super_CBSA!$E$2:$E$1917, Super_CBSA!$A$2:$A$1917), 2,FALSE), ""))</f>
        <v>16020</v>
      </c>
    </row>
    <row r="59" spans="1:7" ht="17">
      <c r="A59" s="1" t="s">
        <v>3077</v>
      </c>
      <c r="B59" s="2" t="s">
        <v>2221</v>
      </c>
      <c r="C59" s="2">
        <v>141</v>
      </c>
      <c r="D59" s="3">
        <v>6316</v>
      </c>
      <c r="E59" s="3">
        <v>25250</v>
      </c>
      <c r="F59" s="4">
        <v>714629</v>
      </c>
      <c r="G59" s="11" cm="1">
        <f t="array" aca="1" ref="G59" ca="1">IFERROR(VLOOKUP("*" &amp; B59  &amp; "*" &amp; (MID(CELL("filename",A58),FIND("]",CELL("filename",A58))+1,31)) &amp; "*",CHOOSE({1,2}, Super_CBSA!$B$2:$B$1917, Super_CBSA!$A$2:$A$1917), 2,FALSE), IFERROR(VLOOKUP(B59  &amp; "*",CHOOSE({1,2}, Super_CBSA!$E$2:$E$1917, Super_CBSA!$A$2:$A$1917), 2,FALSE), ""))</f>
        <v>28140</v>
      </c>
    </row>
    <row r="60" spans="1:7" ht="17">
      <c r="A60" s="1" t="s">
        <v>3078</v>
      </c>
      <c r="B60" s="2" t="s">
        <v>2995</v>
      </c>
      <c r="C60" s="2">
        <v>88</v>
      </c>
      <c r="D60" s="3">
        <v>3255</v>
      </c>
      <c r="E60" s="3">
        <v>9494</v>
      </c>
      <c r="F60" s="4">
        <v>399097</v>
      </c>
      <c r="G60" s="11" t="str" cm="1">
        <f t="array" aca="1" ref="G60" ca="1">IFERROR(VLOOKUP("*" &amp; B60  &amp; "*" &amp; (MID(CELL("filename",A59),FIND("]",CELL("filename",A59))+1,31)) &amp; "*",CHOOSE({1,2}, Super_CBSA!$B$2:$B$1917, Super_CBSA!$A$2:$A$1917), 2,FALSE), IFERROR(VLOOKUP(B60  &amp; "*",CHOOSE({1,2}, Super_CBSA!$E$2:$E$1917, Super_CBSA!$A$2:$A$1917), 2,FALSE), ""))</f>
        <v/>
      </c>
    </row>
    <row r="61" spans="1:7" ht="17">
      <c r="A61" s="1" t="s">
        <v>3079</v>
      </c>
      <c r="B61" s="2" t="s">
        <v>3038</v>
      </c>
      <c r="C61" s="2">
        <v>184</v>
      </c>
      <c r="D61" s="3">
        <v>13566</v>
      </c>
      <c r="E61" s="3">
        <v>55824</v>
      </c>
      <c r="F61" s="4">
        <v>1391863</v>
      </c>
      <c r="G61" s="11" t="str" cm="1">
        <f t="array" aca="1" ref="G61" ca="1">IFERROR(VLOOKUP("*" &amp; B61  &amp; "*" &amp; (MID(CELL("filename",A60),FIND("]",CELL("filename",A60))+1,31)) &amp; "*",CHOOSE({1,2}, Super_CBSA!$B$2:$B$1917, Super_CBSA!$A$2:$A$1917), 2,FALSE), IFERROR(VLOOKUP(B61  &amp; "*",CHOOSE({1,2}, Super_CBSA!$E$2:$E$1917, Super_CBSA!$A$2:$A$1917), 2,FALSE), ""))</f>
        <v/>
      </c>
    </row>
    <row r="62" spans="1:7" ht="17">
      <c r="A62" s="1" t="s">
        <v>1749</v>
      </c>
      <c r="B62" s="2" t="s">
        <v>3080</v>
      </c>
      <c r="C62" s="2">
        <v>464</v>
      </c>
      <c r="D62" s="3">
        <v>14702</v>
      </c>
      <c r="E62" s="3">
        <v>68296</v>
      </c>
      <c r="F62" s="4">
        <v>1657627</v>
      </c>
      <c r="G62" s="11" cm="1">
        <f t="array" aca="1" ref="G62" ca="1">IFERROR(VLOOKUP("*" &amp; B62  &amp; "*" &amp; (MID(CELL("filename",A61),FIND("]",CELL("filename",A61))+1,31)) &amp; "*",CHOOSE({1,2}, Super_CBSA!$B$2:$B$1917, Super_CBSA!$A$2:$A$1917), 2,FALSE), IFERROR(VLOOKUP(B62  &amp; "*",CHOOSE({1,2}, Super_CBSA!$E$2:$E$1917, Super_CBSA!$A$2:$A$1917), 2,FALSE), ""))</f>
        <v>40060</v>
      </c>
    </row>
    <row r="63" spans="1:7" ht="17">
      <c r="A63" s="1" t="s">
        <v>3081</v>
      </c>
      <c r="B63" s="2" t="s">
        <v>2221</v>
      </c>
      <c r="C63" s="2">
        <v>460</v>
      </c>
      <c r="D63" s="3">
        <v>21183</v>
      </c>
      <c r="E63" s="3">
        <v>125303</v>
      </c>
      <c r="F63" s="4">
        <v>3189020</v>
      </c>
      <c r="G63" s="11" cm="1">
        <f t="array" aca="1" ref="G63" ca="1">IFERROR(VLOOKUP("*" &amp; B63  &amp; "*" &amp; (MID(CELL("filename",A62),FIND("]",CELL("filename",A62))+1,31)) &amp; "*",CHOOSE({1,2}, Super_CBSA!$B$2:$B$1917, Super_CBSA!$A$2:$A$1917), 2,FALSE), IFERROR(VLOOKUP(B63  &amp; " city",CHOOSE({1,2}, Super_CBSA!$E$2:$E$1917, Super_CBSA!$A$2:$A$1917), 2,FALSE), ""))</f>
        <v>28140</v>
      </c>
    </row>
    <row r="64" spans="1:7" ht="17">
      <c r="A64" s="1" t="s">
        <v>3082</v>
      </c>
      <c r="B64" s="2" t="s">
        <v>2221</v>
      </c>
      <c r="C64" s="2">
        <v>0</v>
      </c>
      <c r="D64" s="2">
        <v>0</v>
      </c>
      <c r="E64" s="2">
        <v>0</v>
      </c>
      <c r="F64" s="4">
        <v>0</v>
      </c>
      <c r="G64" s="11" cm="1">
        <f t="array" aca="1" ref="G64" ca="1">IFERROR(VLOOKUP("*" &amp; B64  &amp; "*" &amp; (MID(CELL("filename",A63),FIND("]",CELL("filename",A63))+1,31)) &amp; "*",CHOOSE({1,2}, Super_CBSA!$B$2:$B$1917, Super_CBSA!$A$2:$A$1917), 2,FALSE), IFERROR(VLOOKUP(B64  &amp; "*",CHOOSE({1,2}, Super_CBSA!$E$2:$E$1917, Super_CBSA!$A$2:$A$1917), 2,FALSE), ""))</f>
        <v>28140</v>
      </c>
    </row>
    <row r="65" spans="1:7" ht="17">
      <c r="A65" s="1" t="s">
        <v>3083</v>
      </c>
      <c r="B65" s="2" t="s">
        <v>3084</v>
      </c>
      <c r="C65" s="2">
        <v>130</v>
      </c>
      <c r="D65" s="3">
        <v>7198</v>
      </c>
      <c r="E65" s="3">
        <v>28863</v>
      </c>
      <c r="F65" s="4">
        <v>656435</v>
      </c>
      <c r="G65" s="11" t="str" cm="1">
        <f t="array" aca="1" ref="G65" ca="1">IFERROR(VLOOKUP("*" &amp; B65  &amp; "*" &amp; (MID(CELL("filename",A64),FIND("]",CELL("filename",A64))+1,31)) &amp; "*",CHOOSE({1,2}, Super_CBSA!$B$2:$B$1917, Super_CBSA!$A$2:$A$1917), 2,FALSE), IFERROR(VLOOKUP(B65  &amp; "*",CHOOSE({1,2}, Super_CBSA!$E$2:$E$1917, Super_CBSA!$A$2:$A$1917), 2,FALSE), ""))</f>
        <v/>
      </c>
    </row>
    <row r="66" spans="1:7" ht="17">
      <c r="A66" s="1" t="s">
        <v>835</v>
      </c>
      <c r="B66" s="2" t="s">
        <v>3085</v>
      </c>
      <c r="C66" s="2">
        <v>83</v>
      </c>
      <c r="D66" s="3">
        <v>4690</v>
      </c>
      <c r="E66" s="3">
        <v>17366</v>
      </c>
      <c r="F66" s="4">
        <v>497519</v>
      </c>
      <c r="G66" s="11" t="str" cm="1">
        <f t="array" aca="1" ref="G66" ca="1">IFERROR(VLOOKUP("*" &amp; B66  &amp; "*" &amp; (MID(CELL("filename",A65),FIND("]",CELL("filename",A65))+1,31)) &amp; "*",CHOOSE({1,2}, Super_CBSA!$B$2:$B$1917, Super_CBSA!$A$2:$A$1917), 2,FALSE), IFERROR(VLOOKUP(B66  &amp; "*",CHOOSE({1,2}, Super_CBSA!$E$2:$E$1917, Super_CBSA!$A$2:$A$1917), 2,FALSE), ""))</f>
        <v/>
      </c>
    </row>
    <row r="67" spans="1:7" ht="17">
      <c r="A67" s="1" t="s">
        <v>3086</v>
      </c>
      <c r="B67" s="2" t="s">
        <v>3087</v>
      </c>
      <c r="C67" s="2">
        <v>48</v>
      </c>
      <c r="D67" s="3">
        <v>1508</v>
      </c>
      <c r="E67" s="3">
        <v>4841</v>
      </c>
      <c r="F67" s="4">
        <v>84093</v>
      </c>
      <c r="G67" s="11" t="str" cm="1">
        <f t="array" aca="1" ref="G67" ca="1">IFERROR(VLOOKUP("*" &amp; B67  &amp; "*" &amp; (MID(CELL("filename",A66),FIND("]",CELL("filename",A66))+1,31)) &amp; "*",CHOOSE({1,2}, Super_CBSA!$B$2:$B$1917, Super_CBSA!$A$2:$A$1917), 2,FALSE), IFERROR(VLOOKUP(B67  &amp; "*",CHOOSE({1,2}, Super_CBSA!$E$2:$E$1917, Super_CBSA!$A$2:$A$1917), 2,FALSE), ""))</f>
        <v/>
      </c>
    </row>
    <row r="68" spans="1:7" ht="17">
      <c r="A68" s="1" t="s">
        <v>3088</v>
      </c>
      <c r="B68" s="2" t="s">
        <v>3076</v>
      </c>
      <c r="C68" s="2">
        <v>194</v>
      </c>
      <c r="D68" s="3">
        <v>7639</v>
      </c>
      <c r="E68" s="3">
        <v>40153</v>
      </c>
      <c r="F68" s="4">
        <v>1113506</v>
      </c>
      <c r="G68" s="11" cm="1">
        <f t="array" aca="1" ref="G68" ca="1">IFERROR(VLOOKUP("*" &amp; B68  &amp; "*" &amp; (MID(CELL("filename",A67),FIND("]",CELL("filename",A67))+1,31)) &amp; "*",CHOOSE({1,2}, Super_CBSA!$B$2:$B$1917, Super_CBSA!$A$2:$A$1917), 2,FALSE), IFERROR(VLOOKUP(B68  &amp; "*",CHOOSE({1,2}, Super_CBSA!$E$2:$E$1917, Super_CBSA!$A$2:$A$1917), 2,FALSE), ""))</f>
        <v>16020</v>
      </c>
    </row>
    <row r="69" spans="1:7" ht="17">
      <c r="A69" s="1" t="s">
        <v>3089</v>
      </c>
      <c r="B69" s="2" t="s">
        <v>3090</v>
      </c>
      <c r="C69" s="2">
        <v>180</v>
      </c>
      <c r="D69" s="3">
        <v>12032</v>
      </c>
      <c r="E69" s="3">
        <v>43406</v>
      </c>
      <c r="F69" s="4">
        <v>717911</v>
      </c>
      <c r="G69" s="11" t="str" cm="1">
        <f t="array" aca="1" ref="G69" ca="1">IFERROR(VLOOKUP("*" &amp; B69  &amp; "*" &amp; (MID(CELL("filename",A68),FIND("]",CELL("filename",A68))+1,31)) &amp; "*",CHOOSE({1,2}, Super_CBSA!$B$2:$B$1917, Super_CBSA!$A$2:$A$1917), 2,FALSE), IFERROR(VLOOKUP(B69  &amp; "*",CHOOSE({1,2}, Super_CBSA!$E$2:$E$1917, Super_CBSA!$A$2:$A$1917), 2,FALSE), ""))</f>
        <v/>
      </c>
    </row>
    <row r="70" spans="1:7" ht="17">
      <c r="A70" s="1" t="s">
        <v>3091</v>
      </c>
      <c r="B70" s="2" t="s">
        <v>3092</v>
      </c>
      <c r="C70" s="2">
        <v>256</v>
      </c>
      <c r="D70" s="3">
        <v>13836</v>
      </c>
      <c r="E70" s="3">
        <v>60222</v>
      </c>
      <c r="F70" s="4">
        <v>804686</v>
      </c>
      <c r="G70" s="11" t="str" cm="1">
        <f t="array" aca="1" ref="G70" ca="1">IFERROR(VLOOKUP("*" &amp; B70  &amp; "*" &amp; (MID(CELL("filename",A69),FIND("]",CELL("filename",A69))+1,31)) &amp; "*",CHOOSE({1,2}, Super_CBSA!$B$2:$B$1917, Super_CBSA!$A$2:$A$1917), 2,FALSE), IFERROR(VLOOKUP(B70  &amp; "*",CHOOSE({1,2}, Super_CBSA!$E$2:$E$1917, Super_CBSA!$A$2:$A$1917), 2,FALSE), ""))</f>
        <v/>
      </c>
    </row>
    <row r="71" spans="1:7" ht="17">
      <c r="A71" s="1" t="s">
        <v>3093</v>
      </c>
      <c r="B71" s="2" t="s">
        <v>3094</v>
      </c>
      <c r="C71" s="2">
        <v>516</v>
      </c>
      <c r="D71" s="3">
        <v>25205</v>
      </c>
      <c r="E71" s="3">
        <v>105281</v>
      </c>
      <c r="F71" s="4">
        <v>1582353</v>
      </c>
      <c r="G71" s="11" t="str" cm="1">
        <f t="array" aca="1" ref="G71" ca="1">IFERROR(VLOOKUP("*" &amp; B71  &amp; "*" &amp; (MID(CELL("filename",A70),FIND("]",CELL("filename",A70))+1,31)) &amp; "*",CHOOSE({1,2}, Super_CBSA!$B$2:$B$1917, Super_CBSA!$A$2:$A$1917), 2,FALSE), IFERROR(VLOOKUP(B71  &amp; "*",CHOOSE({1,2}, Super_CBSA!$E$2:$E$1917, Super_CBSA!$A$2:$A$1917), 2,FALSE), ""))</f>
        <v/>
      </c>
    </row>
    <row r="72" spans="1:7" ht="17">
      <c r="A72" s="1" t="s">
        <v>3095</v>
      </c>
      <c r="B72" s="2" t="s">
        <v>3094</v>
      </c>
      <c r="C72" s="2">
        <v>0</v>
      </c>
      <c r="D72" s="2">
        <v>0</v>
      </c>
      <c r="E72" s="2">
        <v>0</v>
      </c>
      <c r="F72" s="4">
        <v>0</v>
      </c>
      <c r="G72" s="11" t="str" cm="1">
        <f t="array" aca="1" ref="G72" ca="1">IFERROR(VLOOKUP("*" &amp; B72  &amp; "*" &amp; (MID(CELL("filename",A71),FIND("]",CELL("filename",A71))+1,31)) &amp; "*",CHOOSE({1,2}, Super_CBSA!$B$2:$B$1917, Super_CBSA!$A$2:$A$1917), 2,FALSE), IFERROR(VLOOKUP(B72  &amp; "*",CHOOSE({1,2}, Super_CBSA!$E$2:$E$1917, Super_CBSA!$A$2:$A$1917), 2,FALSE), ""))</f>
        <v/>
      </c>
    </row>
    <row r="73" spans="1:7" ht="17">
      <c r="A73" s="1" t="s">
        <v>3096</v>
      </c>
      <c r="B73" s="2" t="s">
        <v>3097</v>
      </c>
      <c r="C73" s="2">
        <v>0</v>
      </c>
      <c r="D73" s="2">
        <v>0</v>
      </c>
      <c r="E73" s="2">
        <v>0</v>
      </c>
      <c r="F73" s="4">
        <v>0</v>
      </c>
      <c r="G73" s="11" t="str" cm="1">
        <f t="array" aca="1" ref="G73" ca="1">IFERROR(VLOOKUP("*" &amp; B73  &amp; "*" &amp; (MID(CELL("filename",A72),FIND("]",CELL("filename",A72))+1,31)) &amp; "*",CHOOSE({1,2}, Super_CBSA!$B$2:$B$1917, Super_CBSA!$A$2:$A$1917), 2,FALSE), IFERROR(VLOOKUP(B73  &amp; "*",CHOOSE({1,2}, Super_CBSA!$E$2:$E$1917, Super_CBSA!$A$2:$A$1917), 2,FALSE), ""))</f>
        <v/>
      </c>
    </row>
    <row r="74" spans="1:7" ht="17">
      <c r="A74" s="1" t="s">
        <v>3098</v>
      </c>
      <c r="B74" s="2" t="s">
        <v>3099</v>
      </c>
      <c r="C74" s="2">
        <v>86</v>
      </c>
      <c r="D74" s="2">
        <v>588</v>
      </c>
      <c r="E74" s="3">
        <v>1071</v>
      </c>
      <c r="F74" s="4">
        <v>25961</v>
      </c>
      <c r="G74" s="11" t="str" cm="1">
        <f t="array" aca="1" ref="G74" ca="1">IFERROR(VLOOKUP("*" &amp; B74  &amp; "*" &amp; (MID(CELL("filename",A73),FIND("]",CELL("filename",A73))+1,31)) &amp; "*",CHOOSE({1,2}, Super_CBSA!$B$2:$B$1917, Super_CBSA!$A$2:$A$1917), 2,FALSE), IFERROR(VLOOKUP(B74  &amp; "*",CHOOSE({1,2}, Super_CBSA!$E$2:$E$1917, Super_CBSA!$A$2:$A$1917), 2,FALSE), ""))</f>
        <v/>
      </c>
    </row>
    <row r="75" spans="1:7" ht="17">
      <c r="A75" s="1" t="s">
        <v>3100</v>
      </c>
      <c r="B75" s="2" t="s">
        <v>3097</v>
      </c>
      <c r="C75" s="2">
        <v>199</v>
      </c>
      <c r="D75" s="3">
        <v>10902</v>
      </c>
      <c r="E75" s="3">
        <v>37284</v>
      </c>
      <c r="F75" s="4">
        <v>688537</v>
      </c>
      <c r="G75" s="11" t="str" cm="1">
        <f t="array" aca="1" ref="G75" ca="1">IFERROR(VLOOKUP("*" &amp; B75  &amp; "*" &amp; (MID(CELL("filename",A74),FIND("]",CELL("filename",A74))+1,31)) &amp; "*",CHOOSE({1,2}, Super_CBSA!$B$2:$B$1917, Super_CBSA!$A$2:$A$1917), 2,FALSE), IFERROR(VLOOKUP(B75  &amp; "*",CHOOSE({1,2}, Super_CBSA!$E$2:$E$1917, Super_CBSA!$A$2:$A$1917), 2,FALSE), ""))</f>
        <v/>
      </c>
    </row>
    <row r="76" spans="1:7" ht="17">
      <c r="A76" s="1" t="s">
        <v>3101</v>
      </c>
      <c r="B76" s="2" t="s">
        <v>2995</v>
      </c>
      <c r="C76" s="2">
        <v>327</v>
      </c>
      <c r="D76" s="3">
        <v>21743</v>
      </c>
      <c r="E76" s="3">
        <v>89302</v>
      </c>
      <c r="F76" s="4">
        <v>2306321</v>
      </c>
      <c r="G76" s="11" t="str" cm="1">
        <f t="array" aca="1" ref="G76" ca="1">IFERROR(VLOOKUP("*" &amp; B76  &amp; "*" &amp; (MID(CELL("filename",A75),FIND("]",CELL("filename",A75))+1,31)) &amp; "*",CHOOSE({1,2}, Super_CBSA!$B$2:$B$1917, Super_CBSA!$A$2:$A$1917), 2,FALSE), IFERROR(VLOOKUP(B76  &amp; "*",CHOOSE({1,2}, Super_CBSA!$E$2:$E$1917, Super_CBSA!$A$2:$A$1917), 2,FALSE), ""))</f>
        <v/>
      </c>
    </row>
    <row r="77" spans="1:7" ht="17">
      <c r="A77" s="1" t="s">
        <v>3102</v>
      </c>
      <c r="B77" s="2" t="s">
        <v>3103</v>
      </c>
      <c r="C77" s="2">
        <v>60</v>
      </c>
      <c r="D77" s="3">
        <v>1598</v>
      </c>
      <c r="E77" s="3">
        <v>4571</v>
      </c>
      <c r="F77" s="4">
        <v>162814</v>
      </c>
      <c r="G77" s="11" cm="1">
        <f t="array" aca="1" ref="G77" ca="1">IFERROR(VLOOKUP("*" &amp; B77  &amp; "*" &amp; (MID(CELL("filename",A76),FIND("]",CELL("filename",A76))+1,31)) &amp; "*",CHOOSE({1,2}, Super_CBSA!$B$2:$B$1917, Super_CBSA!$A$2:$A$1917), 2,FALSE), IFERROR(VLOOKUP(B77  &amp; "*",CHOOSE({1,2}, Super_CBSA!$E$2:$E$1917, Super_CBSA!$A$2:$A$1917), 2,FALSE), ""))</f>
        <v>33020</v>
      </c>
    </row>
    <row r="78" spans="1:7" ht="17">
      <c r="A78" s="1" t="s">
        <v>3104</v>
      </c>
      <c r="B78" s="2" t="s">
        <v>3009</v>
      </c>
      <c r="C78" s="2">
        <v>167</v>
      </c>
      <c r="D78" s="3">
        <v>6861</v>
      </c>
      <c r="E78" s="3">
        <v>26602</v>
      </c>
      <c r="F78" s="4">
        <v>431517</v>
      </c>
      <c r="G78" s="11" cm="1">
        <f t="array" aca="1" ref="G78" ca="1">IFERROR(VLOOKUP("*" &amp; B78  &amp; "*" &amp; (MID(CELL("filename",A77),FIND("]",CELL("filename",A77))+1,31)) &amp; "*",CHOOSE({1,2}, Super_CBSA!$B$2:$B$1917, Super_CBSA!$A$2:$A$1917), 2,FALSE), IFERROR(VLOOKUP(B78  &amp; "*",CHOOSE({1,2}, Super_CBSA!$E$2:$E$1917, Super_CBSA!$A$2:$A$1917), 2,FALSE), ""))</f>
        <v>27620</v>
      </c>
    </row>
    <row r="79" spans="1:7" ht="17">
      <c r="A79" s="1" t="s">
        <v>3105</v>
      </c>
      <c r="B79" s="2" t="s">
        <v>2995</v>
      </c>
      <c r="C79" s="2">
        <v>676</v>
      </c>
      <c r="D79" s="3">
        <v>28259</v>
      </c>
      <c r="E79" s="3">
        <v>106887</v>
      </c>
      <c r="F79" s="4">
        <v>2087284</v>
      </c>
      <c r="G79" s="11" t="str" cm="1">
        <f t="array" aca="1" ref="G79" ca="1">IFERROR(VLOOKUP("*" &amp; B79  &amp; "*" &amp; (MID(CELL("filename",A78),FIND("]",CELL("filename",A78))+1,31)) &amp; "*",CHOOSE({1,2}, Super_CBSA!$B$2:$B$1917, Super_CBSA!$A$2:$A$1917), 2,FALSE), IFERROR(VLOOKUP(B79  &amp; "*",CHOOSE({1,2}, Super_CBSA!$E$2:$E$1917, Super_CBSA!$A$2:$A$1917), 2,FALSE), ""))</f>
        <v/>
      </c>
    </row>
    <row r="80" spans="1:7" ht="17">
      <c r="A80" s="1" t="s">
        <v>3106</v>
      </c>
      <c r="B80" s="2" t="s">
        <v>3107</v>
      </c>
      <c r="C80" s="2">
        <v>47</v>
      </c>
      <c r="D80" s="3">
        <v>1191</v>
      </c>
      <c r="E80" s="3">
        <v>3701</v>
      </c>
      <c r="F80" s="4">
        <v>79865</v>
      </c>
      <c r="G80" s="11" cm="1">
        <f t="array" aca="1" ref="G80" ca="1">IFERROR(VLOOKUP("*" &amp; B80  &amp; "*" &amp; (MID(CELL("filename",A79),FIND("]",CELL("filename",A79))+1,31)) &amp; "*",CHOOSE({1,2}, Super_CBSA!$B$2:$B$1917, Super_CBSA!$A$2:$A$1917), 2,FALSE), IFERROR(VLOOKUP(B80  &amp; "*",CHOOSE({1,2}, Super_CBSA!$E$2:$E$1917, Super_CBSA!$A$2:$A$1917), 2,FALSE), ""))</f>
        <v>20020</v>
      </c>
    </row>
    <row r="81" spans="1:7" ht="17">
      <c r="A81" s="1" t="s">
        <v>3108</v>
      </c>
      <c r="B81" s="2" t="s">
        <v>2221</v>
      </c>
      <c r="C81" s="2">
        <v>238</v>
      </c>
      <c r="D81" s="3">
        <v>12317</v>
      </c>
      <c r="E81" s="3">
        <v>73618</v>
      </c>
      <c r="F81" s="4">
        <v>797319</v>
      </c>
      <c r="G81" s="11" cm="1">
        <f t="array" aca="1" ref="G81" ca="1">IFERROR(VLOOKUP("*" &amp; B81  &amp; "*" &amp; (MID(CELL("filename",A80),FIND("]",CELL("filename",A80))+1,31)) &amp; "*",CHOOSE({1,2}, Super_CBSA!$B$2:$B$1917, Super_CBSA!$A$2:$A$1917), 2,FALSE), IFERROR(VLOOKUP(B81  &amp; "*",CHOOSE({1,2}, Super_CBSA!$E$2:$E$1917, Super_CBSA!$A$2:$A$1917), 2,FALSE), ""))</f>
        <v>28140</v>
      </c>
    </row>
    <row r="82" spans="1:7" ht="17">
      <c r="A82" s="1" t="s">
        <v>3109</v>
      </c>
      <c r="B82" s="2" t="s">
        <v>2221</v>
      </c>
      <c r="C82" s="2">
        <v>298</v>
      </c>
      <c r="D82" s="3">
        <v>4416</v>
      </c>
      <c r="E82" s="3">
        <v>22452</v>
      </c>
      <c r="F82" s="4">
        <v>284036</v>
      </c>
      <c r="G82" s="11" cm="1">
        <f t="array" aca="1" ref="G82" ca="1">IFERROR(VLOOKUP("*" &amp; B82  &amp; "*" &amp; (MID(CELL("filename",A81),FIND("]",CELL("filename",A81))+1,31)) &amp; "*",CHOOSE({1,2}, Super_CBSA!$B$2:$B$1917, Super_CBSA!$A$2:$A$1917), 2,FALSE), IFERROR(VLOOKUP(B82  &amp; "*",CHOOSE({1,2}, Super_CBSA!$E$2:$E$1917, Super_CBSA!$A$2:$A$1917), 2,FALSE), ""))</f>
        <v>28140</v>
      </c>
    </row>
    <row r="83" spans="1:7" ht="17">
      <c r="A83" s="1" t="s">
        <v>3110</v>
      </c>
      <c r="B83" s="2" t="s">
        <v>2340</v>
      </c>
      <c r="C83" s="2">
        <v>591</v>
      </c>
      <c r="D83" s="3">
        <v>25942</v>
      </c>
      <c r="E83" s="3">
        <v>137555</v>
      </c>
      <c r="F83" s="4">
        <v>3250369</v>
      </c>
      <c r="G83" s="11" cm="1">
        <f t="array" aca="1" ref="G83" ca="1">IFERROR(VLOOKUP("*" &amp; B83  &amp; "*" &amp; (MID(CELL("filename",A82),FIND("]",CELL("filename",A82))+1,31)) &amp; "*",CHOOSE({1,2}, Super_CBSA!$B$2:$B$1917, Super_CBSA!$A$2:$A$1917), 2,FALSE), IFERROR(VLOOKUP(B83  &amp; "*",CHOOSE({1,2}, Super_CBSA!$E$2:$E$1917, Super_CBSA!$A$2:$A$1917), 2,FALSE), ""))</f>
        <v>17860</v>
      </c>
    </row>
    <row r="84" spans="1:7" ht="17">
      <c r="A84" s="1" t="s">
        <v>3111</v>
      </c>
      <c r="B84" s="2" t="s">
        <v>3112</v>
      </c>
      <c r="C84" s="2">
        <v>58</v>
      </c>
      <c r="D84" s="3">
        <v>2468</v>
      </c>
      <c r="E84" s="3">
        <v>8485</v>
      </c>
      <c r="F84" s="4">
        <v>247605</v>
      </c>
      <c r="G84" s="11" cm="1">
        <f t="array" aca="1" ref="G84" ca="1">IFERROR(VLOOKUP("*" &amp; B84  &amp; "*" &amp; (MID(CELL("filename",A83),FIND("]",CELL("filename",A83))+1,31)) &amp; "*",CHOOSE({1,2}, Super_CBSA!$B$2:$B$1917, Super_CBSA!$A$2:$A$1917), 2,FALSE), IFERROR(VLOOKUP(B84  &amp; "*",CHOOSE({1,2}, Super_CBSA!$E$2:$E$1917, Super_CBSA!$A$2:$A$1917), 2,FALSE), ""))</f>
        <v>47660</v>
      </c>
    </row>
    <row r="85" spans="1:7" ht="17">
      <c r="A85" s="2" t="s">
        <v>56</v>
      </c>
      <c r="B85" s="2"/>
      <c r="C85" s="3">
        <v>16706</v>
      </c>
      <c r="D85" s="3">
        <v>710740</v>
      </c>
      <c r="E85" s="3">
        <v>3273493</v>
      </c>
      <c r="F85" s="4">
        <v>74225399</v>
      </c>
    </row>
  </sheetData>
  <hyperlinks>
    <hyperlink ref="A2" r:id="rId1" display="https://www.ahd.com/free_profile/260178/_University_of_Missouri_Women%27s_and_Children%27s_Hospital/Columbia/Missouri/" xr:uid="{AEA45721-56E2-9548-AD3F-9922013A4C3A}"/>
    <hyperlink ref="A3" r:id="rId2" display="https://www.ahd.com/free_profile/260032/Barnes-Jewish_Hospital/Saint_Louis/Missouri/" xr:uid="{F5E22463-A23A-164B-9E3D-DA198B04732C}"/>
    <hyperlink ref="A4" r:id="rId3" display="https://www.ahd.com/free_profile/260191/Barnes-Jewish_Saint_Peters_Hospital/Saint_Peters/Missouri/" xr:uid="{851E32E2-8F67-FF41-863D-2226812B7FE9}"/>
    <hyperlink ref="A5" r:id="rId4" display="https://www.ahd.com/free_profile/260162/Barnes-Jewish_West_County_Hospital/Creve_Coeur/Missouri/" xr:uid="{A25A44DA-23D2-604D-8232-E604B19647EA}"/>
    <hyperlink ref="A6" r:id="rId5" display="https://www.ahd.com/free_profile/260034/Bates_County_Memorial_Hospital/Butler/Missouri/" xr:uid="{5FD9B1AE-3E3E-5348-B684-259FD7746A6F}"/>
    <hyperlink ref="A7" r:id="rId6" display="https://www.ahd.com/free_profile/260214/Belton_Regional_Medical_Center/Belton/Missouri/" xr:uid="{D0E20816-E752-4D45-B089-0B1EEAB4BAC7}"/>
    <hyperlink ref="A8" r:id="rId7" display="https://www.ahd.com/free_profile/260068/Boone_Hospital_Center/Columbia/Missouri/" xr:uid="{65814EC3-4291-AF44-873D-36150CC45086}"/>
    <hyperlink ref="A9" r:id="rId8" display="https://www.ahd.com/free_profile/260009/Bothwell_Regional_Health_Center/Sedalia/Missouri/" xr:uid="{0E3C7DCE-12DB-B04C-A463-9FCCD3B479FB}"/>
    <hyperlink ref="A10" r:id="rId9" display="https://www.ahd.com/free_profile/260057/Cameron_Regional_Medical_Center/Cameron/Missouri/" xr:uid="{93FE6BAF-1837-104A-B8DD-C4AA4A19787C}"/>
    <hyperlink ref="A11" r:id="rId10" display="https://www.ahd.com/free_profile/260047/Capital_Region_Medical_Center/Jefferson_City/Missouri/" xr:uid="{C8F83DE4-CB6A-0E40-8E1D-0A0A2BF7917C}"/>
    <hyperlink ref="A12" r:id="rId11" display="https://www.ahd.com/free_profile/I42040/Capital_Region_Southwest_Campus_/Jefferson_City/Missouri/" xr:uid="{7E479B18-0D21-6043-B8AB-2CBAAD381E98}"/>
    <hyperlink ref="A13" r:id="rId12" display="https://www.ahd.com/free_profile/260095/Centerpoint_Medical_Center/Independence/Missouri/" xr:uid="{E3A4911B-D079-5E46-BA30-974BEC51E5F2}"/>
    <hyperlink ref="A14" r:id="rId13" display="https://www.ahd.com/free_profile/260180/Christian_Hospital/Saint_Louis/Missouri/" xr:uid="{ABB9286A-275B-8A45-B462-A1A1E53F0901}"/>
    <hyperlink ref="A15" r:id="rId14" display="https://www.ahd.com/free_profile/260195/Citizens_Memorial_Hospital/Bolivar/Missouri/" xr:uid="{81F4E671-E392-0B48-A697-37EAA2718679}"/>
    <hyperlink ref="A16" r:id="rId15" display="https://www.ahd.com/free_profile/260094/Cox_Medical_Center_Branson/Branson/Missouri/" xr:uid="{4351F763-2F5A-5E45-8BFA-63584A7B84F8}"/>
    <hyperlink ref="A17" r:id="rId16" display="https://www.ahd.com/free_profile/I41043/Cox_Medical_Center_South_/Springfield/Missouri/" xr:uid="{59F96362-F9B8-404C-8E7A-976FDE72CFF1}"/>
    <hyperlink ref="A18" r:id="rId17" display="https://www.ahd.com/free_profile/260040/Cox_North_Hospital/Springfield/Missouri/" xr:uid="{ACB31ADF-9926-724C-A5D8-CA8409DE5F5F}"/>
    <hyperlink ref="A19" r:id="rId18" display="https://www.ahd.com/free_profile/260142/Fitzgibbon_Hospital/Marshall/Missouri/" xr:uid="{D6848A0C-B70D-934D-B3C6-B21899226C40}"/>
    <hyperlink ref="A20" r:id="rId19" display="https://www.ahd.com/free_profile/260137/Freeman_West/Joplin/Missouri/" xr:uid="{F7A7DE8E-457D-0E41-A1B9-C8B00B3FF645}"/>
    <hyperlink ref="A21" r:id="rId20" display="https://www.ahd.com/free_profile/260209/Fulton_Medical_Center/Fulton/Missouri/" xr:uid="{044926AE-1034-CB47-BF32-9445CA6945FD}"/>
    <hyperlink ref="A22" r:id="rId21" display="https://www.ahd.com/free_profile/I41003/General_Leonard_Wood_Army_Community_Hospital/Fort_Leonard_Wood/Missouri/" xr:uid="{6B3F411C-6E57-C347-B0A8-21EC080DB4A4}"/>
    <hyperlink ref="A23" r:id="rId22" display="https://www.ahd.com/free_profile/260175/Golden_Valley_Memorial_Hospital/Clinton/Missouri/" xr:uid="{59C0A9F5-3313-234C-822E-AC3E61BA28C4}"/>
    <hyperlink ref="A24" r:id="rId23" display="https://www.ahd.com/free_profile/260025/Hannibal_Regional_Hospital/Hannibal/Missouri/" xr:uid="{F23B5CC9-B57B-DA4F-9FF8-A233501D35BA}"/>
    <hyperlink ref="A25" r:id="rId24" display="https://www.ahd.com/free_profile/26023F/Harry_S_Truman_Memorial_Veterans%27_Hospital/Columbia/Missouri/" xr:uid="{939219C2-CE64-F94D-84FF-D7816686A187}"/>
    <hyperlink ref="A26" r:id="rId25" display="https://www.ahd.com/free_profile/26010F/John_Cochran_Division/Saint_Louis/Missouri/" xr:uid="{D24DC06B-CC0F-5747-AC87-4EA94DA9B3C3}"/>
    <hyperlink ref="A27" r:id="rId26" display="https://www.ahd.com/free_profile/260825/John_J_Pershing_VA_Medical_Center/Poplar_Bluff/Missouri/" xr:uid="{94CDA4CC-5A2A-BA45-A9D9-4BC8B121B516}"/>
    <hyperlink ref="A28" r:id="rId27" display="https://www.ahd.com/free_profile/260936/Kansas_City_VA_Medical_Center/Kansas_City/Missouri/" xr:uid="{CC702950-45F7-2E47-BCE9-2840F4E6D722}"/>
    <hyperlink ref="A29" r:id="rId28" display="https://www.ahd.com/free_profile/260186/Lake_Regional_Hospital/Osage_Beach/Missouri/" xr:uid="{0CE78C31-862D-974C-AEE0-964A97F5B18E}"/>
    <hyperlink ref="A30" r:id="rId29" display="https://www.ahd.com/free_profile/260190/Lee%27s_Summit_Medical_Center/Lee%27s_Summit/Missouri/" xr:uid="{E9B1839F-2286-D845-B8FA-7F5206DAC925}"/>
    <hyperlink ref="A31" r:id="rId30" display="https://www.ahd.com/free_profile/260177/Liberty_Hospital/Liberty/Missouri/" xr:uid="{CB875BAE-B759-834C-8413-D0ACAAC642EF}"/>
    <hyperlink ref="A32" r:id="rId31" display="https://www.ahd.com/free_profile/I42096/Mercy_Children%27s_Hospital_Saint_Louis/Saint_Louis/Missouri/" xr:uid="{0EB1F467-5587-8541-BA7F-D0A01E3D4E1C}"/>
    <hyperlink ref="A33" r:id="rId32" display="https://www.ahd.com/free_profile/I42095/Mercy_Children%27s_Hospital_Springfield/Springfield/Missouri/" xr:uid="{6038481A-90DC-D841-BF40-83619910B40C}"/>
    <hyperlink ref="A34" r:id="rId33" display="https://www.ahd.com/free_profile/I42097/Mercy_Heart_and_Vascular_Hospital_Saint_Louis/Saint_Louis/Missouri/" xr:uid="{1E7C26C0-D361-FE44-8ABF-CD0688874CDE}"/>
    <hyperlink ref="A35" r:id="rId34" display="https://www.ahd.com/free_profile/260023/Mercy_Hospital_Jefferson/Festus/Missouri/" xr:uid="{A763DF7E-9565-1444-9D2B-5C420FF006F2}"/>
    <hyperlink ref="A36" r:id="rId35" display="https://www.ahd.com/free_profile/260001/Mercy_Hospital_Joplin/Joplin/Missouri/" xr:uid="{823791D5-9E75-5143-B183-87533E0A646F}"/>
    <hyperlink ref="A37" r:id="rId36" display="https://www.ahd.com/free_profile/260059/Mercy_Hospital_Lebanon/Lebanon/Missouri/" xr:uid="{5593568C-1E82-134B-BC9D-5989C6F33BDD}"/>
    <hyperlink ref="A38" r:id="rId37" display="https://www.ahd.com/free_profile/260020/Mercy_Hospital_Saint_Louis/Saint_Louis/Missouri/" xr:uid="{E4B832C5-11D5-6942-823A-B73055B98812}"/>
    <hyperlink ref="A39" r:id="rId38" display="https://www.ahd.com/free_profile/260077/Mercy_Hospital_South/Saint_Louis/Missouri/" xr:uid="{02BECB0D-72EB-5543-AAFF-CB320C04730E}"/>
    <hyperlink ref="A40" r:id="rId39" display="https://www.ahd.com/free_profile/260065/Mercy_Hospital_Springfield_/Springfield/Missouri/" xr:uid="{188EE44B-2128-3D48-BC1D-AA1131969758}"/>
    <hyperlink ref="A41" r:id="rId40" display="https://www.ahd.com/free_profile/260052/Mercy_Hospital_Washington_/Washington/Missouri/" xr:uid="{84E8F1CF-C3DE-0F45-9BC9-BA0C82626868}"/>
    <hyperlink ref="A42" r:id="rId41" display="https://www.ahd.com/free_profile/260108/Missouri_Baptist_Medical_Center/Saint_Louis/Missouri/" xr:uid="{F83F7576-3957-7F40-A748-0110B4314B71}"/>
    <hyperlink ref="A43" r:id="rId42" display="https://www.ahd.com/free_profile/260113/Missouri_Delta_Medical_Center/Sikeston/Missouri/" xr:uid="{C2D13E0B-A67F-CB4D-BDB7-75F418A3EBDF}"/>
    <hyperlink ref="A44" r:id="rId43" display="https://www.ahd.com/free_profile/260074/Moberly_Regional_Medical_Center/Moberly/Missouri/" xr:uid="{13886D44-8179-584A-BA1F-982AE051972C}"/>
    <hyperlink ref="A45" r:id="rId44" display="https://www.ahd.com/free_profile/260006/Mosaic_Life_Care_at_St_Joseph_Medical_Center/Saint_Joseph/Missouri/" xr:uid="{9D64BF64-5721-DE4B-85E8-A34DA4F57576}"/>
    <hyperlink ref="A46" r:id="rId45" display="https://www.ahd.com/free_profile/260050/Mosaic_Medical_Center_-_Maryville/Maryville/Missouri/" xr:uid="{A39B6BAE-123B-1E43-A65E-0E1E3A5DF7AD}"/>
    <hyperlink ref="A47" r:id="rId46" display="https://www.ahd.com/free_profile/260061/Nevada_Regional_Medical_Center/Nevada/Missouri/" xr:uid="{F9D2FAA2-E84E-874A-8665-DAE612B5F8FE}"/>
    <hyperlink ref="A48" r:id="rId47" display="https://www.ahd.com/free_profile/260096/North_Kansas_City_Hospital/North_Kansas_City/Missouri/" xr:uid="{607BE48C-7BD1-614C-B973-07549378FA0F}"/>
    <hyperlink ref="A49" r:id="rId48" display="https://www.ahd.com/free_profile/260022/Northeast_Regional_Medical_Center/Kirksville/Missouri/" xr:uid="{B03012C0-3FE2-B640-B31B-8756E3F7266E}"/>
    <hyperlink ref="A50" r:id="rId49" display="https://www.ahd.com/free_profile/260078/Ozarks_Medical_Center/West_Plains/Missouri/" xr:uid="{60731785-656E-5C42-A1DC-3A5887EAC8BE}"/>
    <hyperlink ref="A51" r:id="rId50" display="https://www.ahd.com/free_profile/260163/Parkland_Health_Center_-_Farmington/Farmington/Missouri/" xr:uid="{C6B408E3-513E-FE40-860F-4BC88415B127}"/>
    <hyperlink ref="A52" r:id="rId51" display="https://www.ahd.com/free_profile/260070/Pemiscot_Memorial_Main_Hospital_/Hayti/Missouri/" xr:uid="{9255F248-2AB6-DF45-917C-53C276DAAAC9}"/>
    <hyperlink ref="A53" r:id="rId52" display="https://www.ahd.com/free_profile/260017/Phelps_Health_Hospital/Rolla/Missouri/" xr:uid="{000587C8-B327-F242-B6C5-A8F6FC73FE9F}"/>
    <hyperlink ref="A54" r:id="rId53" display="https://www.ahd.com/free_profile/260119/Poplar_Bluff_Regional_Medical_Center_-_Oak_Grove/Poplar_Bluff/Missouri/" xr:uid="{457A6F45-5333-BB4C-8B4D-53B98C73FCB5}"/>
    <hyperlink ref="A55" r:id="rId54" display="https://www.ahd.com/free_profile/260219/Progress_West_Hospital/O%27Fallon/Missouri/" xr:uid="{D6DA6FFE-E747-C449-97ED-67AABBC08828}"/>
    <hyperlink ref="A56" r:id="rId55" display="https://www.ahd.com/free_profile/260027/Research_Medical_Center/Kansas_City/Missouri/" xr:uid="{835D3116-0E7A-2C4B-A241-4D9EB362C75A}"/>
    <hyperlink ref="A57" r:id="rId56" display="https://www.ahd.com/free_profile/260210/Saint_Alexius_Hospital_-_Broadway_Campus/Saint_Louis/Missouri/" xr:uid="{B85AAA01-F4A6-1242-9217-33C428EBD840}"/>
    <hyperlink ref="A58" r:id="rId57" display="https://www.ahd.com/free_profile/260183/Saint_Francis_Medical_Center/Cape_Girardeau/Missouri/" xr:uid="{251E3B23-1365-8043-B126-ADC5C797947A}"/>
    <hyperlink ref="A59" r:id="rId58" display="https://www.ahd.com/free_profile/260085/Saint_Joseph_Medical_Center/Kansas_City/Missouri/" xr:uid="{18D6F30F-4A5D-9944-AFDC-4002686C6CF8}"/>
    <hyperlink ref="A60" r:id="rId59" display="https://www.ahd.com/free_profile/260176/Saint_Luke%27s_Des_Peres_Hospital/Saint_Louis/Missouri/" xr:uid="{7A53FF8D-1D41-CF4C-B717-7D1DA23AAAC8}"/>
    <hyperlink ref="A61" r:id="rId60" display="https://www.ahd.com/free_profile/260216/Saint_Luke%27s_East_Hospital_/Lee%27s_Summit/Missouri/" xr:uid="{980E89E5-B17E-2E46-9891-520D5237DC47}"/>
    <hyperlink ref="A62" r:id="rId61" display="https://www.ahd.com/free_profile/260179/Saint_Luke%27s_Hospital/Chesterfield/Missouri/" xr:uid="{0411CF4E-998A-CE4D-99F1-F6C77A68997C}"/>
    <hyperlink ref="A63" r:id="rId62" display="https://www.ahd.com/free_profile/260138/Saint_Luke%27s_Hospital_of_Kansas_City/Kansas_City/Missouri/" xr:uid="{D3CEB0CE-092D-BC42-A537-36D9C366A7E5}"/>
    <hyperlink ref="A64" r:id="rId63" display="https://www.ahd.com/free_profile/I41298/Saint_Luke%27s_North_Hospital_-_Barry_Road_/Kansas_City/Missouri/" xr:uid="{76B3253D-0E40-464D-8097-907ECB0956EB}"/>
    <hyperlink ref="A65" r:id="rId64" display="https://www.ahd.com/free_profile/260062/Saint_Luke%27s_North_Hospital_-_Smithville/Smithville/Missouri/" xr:uid="{C958A1B8-858E-C74B-8785-684C5F2AEBE7}"/>
    <hyperlink ref="A66" r:id="rId65" display="https://www.ahd.com/free_profile/260193/Saint_Mary%27s_Medical_Center/Blue_Springs/Missouri/" xr:uid="{980AA6C4-F3E1-B94D-BAFB-066ACE057EA4}"/>
    <hyperlink ref="A67" r:id="rId66" display="https://www.ahd.com/free_profile/260160/Southeast_Health_Center_of_Stoddard_County/Dexter/Missouri/" xr:uid="{F7EFA7E6-89DE-5844-B353-824124B00805}"/>
    <hyperlink ref="A68" r:id="rId67" display="https://www.ahd.com/free_profile/260110/Southeast_Hospital/Cape_Girardeau/Missouri/" xr:uid="{722C6AFC-B657-EE48-9911-9BB8689D0BE7}"/>
    <hyperlink ref="A69" r:id="rId68" display="https://www.ahd.com/free_profile/260081/SSM__Health_Saint_Clare_Hospital_-_Fenton/Fenton/Missouri/" xr:uid="{C664AD1F-D56F-5345-A344-D59C2FE1D112}"/>
    <hyperlink ref="A70" r:id="rId69" display="https://www.ahd.com/free_profile/260005/SSM__Health_Saint_Joseph_Hospital-Saint_Charles/Saint_Charles/Missouri/" xr:uid="{5F212052-F4FE-A34D-9CC7-24B3D4C6DE4C}"/>
    <hyperlink ref="A71" r:id="rId70" display="https://www.ahd.com/free_profile/260104/SSM_Health_DePaul_Hospital_-_St_Louis/Bridgeton/Missouri/" xr:uid="{D441958A-16E2-414B-9997-24BD05085ED4}"/>
    <hyperlink ref="A72" r:id="rId71" display="https://www.ahd.com/free_profile/I42350/SSM_Health_Rehabilitation_Hospital_-_Bridgeton/Bridgeton/Missouri/" xr:uid="{15153A05-ECE6-6742-9781-DA524D9E180D}"/>
    <hyperlink ref="A73" r:id="rId72" display="https://www.ahd.com/free_profile/I42349/SSM_Health_Rehabilitation_Hospital-_Lake_Saint_Louis/Lake_Saint_Louis/Missouri/" xr:uid="{A5F1A31E-D74F-4E44-A60B-0264D035D233}"/>
    <hyperlink ref="A74" r:id="rId73" display="https://www.ahd.com/free_profile/260198/SSM_Health_Saint_Joseph_Health_Center_-_Wentzville/Wentzville/Missouri/" xr:uid="{C59576E8-2BBC-1E4E-A8E6-CFB62CDC10FB}"/>
    <hyperlink ref="A75" r:id="rId74" display="https://www.ahd.com/free_profile/260200/SSM_Health_Saint_Joseph_Hospital_-_Lake_Saint_Louis/Lake_Saint_Louis/Missouri/" xr:uid="{129E77A2-3394-7A42-8ADF-E0CC394774E0}"/>
    <hyperlink ref="A76" r:id="rId75" display="https://www.ahd.com/free_profile/260105/SSM_Health_Saint_Louis_University_Hospital/Saint_Louis/Missouri/" xr:uid="{E7607DE7-4DCC-6243-924E-D228D6ED8044}"/>
    <hyperlink ref="A77" r:id="rId76" display="https://www.ahd.com/free_profile/260064/SSM_Health_Saint_Mary%27s_Hospital_-_Audrain_/Mexico/Missouri/" xr:uid="{4843BBB2-EC55-E24E-AC7A-E11174000C50}"/>
    <hyperlink ref="A78" r:id="rId77" display="https://www.ahd.com/free_profile/260011/SSM_Health_Saint_Mary%27s_Hospital_-_Jefferson_City/Jefferson_City/Missouri/" xr:uid="{5D31FE8B-8BA1-DD48-9C3C-954B2ADC00DA}"/>
    <hyperlink ref="A79" r:id="rId78" display="https://www.ahd.com/free_profile/260091/SSM_Health_Saint_Mary%27s_Hospital_-_Saint_Louis/Saint_Louis/Missouri/" xr:uid="{6A8F3531-1D42-884D-88E3-2929C45E8A13}"/>
    <hyperlink ref="A80" r:id="rId79" display="https://www.ahd.com/free_profile/260024/Texas_County_Memorial_Hospital/Houston/Missouri/" xr:uid="{50F19FC7-2BCA-6447-9D35-4C4D875F405F}"/>
    <hyperlink ref="A81" r:id="rId80" display="https://www.ahd.com/free_profile/260048/TMC_Health_Sciences_District/Kansas_City/Missouri/" xr:uid="{5114697D-2097-2940-BFCA-06B81685DA60}"/>
    <hyperlink ref="A82" r:id="rId81" display="https://www.ahd.com/free_profile/260102/Truman_Medical_Center_Lakewood/Kansas_City/Missouri/" xr:uid="{56B3CDDB-01E4-8E4B-B81E-C8B82EE7D3C0}"/>
    <hyperlink ref="A83" r:id="rId82" display="https://www.ahd.com/free_profile/260141/University_of_Missouri_Hospital/Columbia/Missouri/" xr:uid="{F11A1492-2795-984A-90E7-323148EFF2F5}"/>
    <hyperlink ref="A84" r:id="rId83" display="https://www.ahd.com/free_profile/260097/Western_Missouri_Medical_Center/Warrensburg/Missouri/" xr:uid="{3BFA23EF-0074-4E4B-A3FB-73EFD50D71B5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88ED-9ABA-364F-829D-B4490109E8D5}">
  <sheetPr codeName="Sheet27"/>
  <dimension ref="A1:G71"/>
  <sheetViews>
    <sheetView topLeftCell="A50" workbookViewId="0">
      <selection activeCell="G63" sqref="G63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3113</v>
      </c>
      <c r="B2" s="2" t="s">
        <v>3114</v>
      </c>
      <c r="C2" s="2">
        <v>0</v>
      </c>
      <c r="D2" s="2">
        <v>0</v>
      </c>
      <c r="E2" s="2">
        <v>0</v>
      </c>
      <c r="F2" s="4">
        <v>0</v>
      </c>
      <c r="G2" s="11" t="str" cm="1">
        <f t="array" aca="1" ref="G2" ca="1">IFERROR(VLOOKUP("*" &amp; B2  &amp; "*" &amp; (MID(CELL("filename",A1),FIND("]",CELL("filename",A1))+1,31)) &amp; "*",CHOOSE({1,2}, Super_CBSA!$B$2:$B$1917, Super_CBSA!$A$2:$A$1917), 2,FALSE), IFERROR(VLOOKUP(B2  &amp; "*",CHOOSE({1,2}, Super_CBSA!$E$2:$E$1917, Super_CBSA!$A$2:$A$1917), 2,FALSE), ""))</f>
        <v/>
      </c>
    </row>
    <row r="3" spans="1:7" ht="17">
      <c r="A3" s="1" t="s">
        <v>3115</v>
      </c>
      <c r="B3" s="2" t="s">
        <v>1794</v>
      </c>
      <c r="C3" s="2">
        <v>154</v>
      </c>
      <c r="D3" s="3">
        <v>1177</v>
      </c>
      <c r="E3" s="3">
        <v>6765</v>
      </c>
      <c r="F3" s="4">
        <v>80769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"*",CHOOSE({1,2}, Super_CBSA!$E$2:$E$1917, Super_CBSA!$A$2:$A$1917), 2,FALSE), ""))</f>
        <v>32940</v>
      </c>
    </row>
    <row r="4" spans="1:7" ht="17">
      <c r="A4" s="1" t="s">
        <v>3116</v>
      </c>
      <c r="B4" s="2" t="s">
        <v>3117</v>
      </c>
      <c r="C4" s="2">
        <v>40</v>
      </c>
      <c r="D4" s="2">
        <v>331</v>
      </c>
      <c r="E4" s="3">
        <v>1528</v>
      </c>
      <c r="F4" s="4">
        <v>29076</v>
      </c>
      <c r="G4" s="11" t="str" cm="1">
        <f t="array" aca="1" ref="G4" ca="1">IFERROR(VLOOKUP("*" &amp; B4  &amp; "*" &amp; (MID(CELL("filename",A3),FIND("]",CELL("filename",A3))+1,31)) &amp; "*",CHOOSE({1,2}, Super_CBSA!$B$2:$B$1917, Super_CBSA!$A$2:$A$1917), 2,FALSE), IFERROR(VLOOKUP(B4  &amp; "*",CHOOSE({1,2}, Super_CBSA!$E$2:$E$1917, Super_CBSA!$A$2:$A$1917), 2,FALSE), ""))</f>
        <v/>
      </c>
    </row>
    <row r="5" spans="1:7" ht="17">
      <c r="A5" s="1" t="s">
        <v>3118</v>
      </c>
      <c r="B5" s="2" t="s">
        <v>1794</v>
      </c>
      <c r="C5" s="2">
        <v>260</v>
      </c>
      <c r="D5" s="3">
        <v>9906</v>
      </c>
      <c r="E5" s="3">
        <v>41371</v>
      </c>
      <c r="F5" s="4">
        <v>720438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"*",CHOOSE({1,2}, Super_CBSA!$E$2:$E$1917, Super_CBSA!$A$2:$A$1917), 2,FALSE), ""))</f>
        <v>32940</v>
      </c>
    </row>
    <row r="6" spans="1:7" ht="17">
      <c r="A6" s="1" t="s">
        <v>3119</v>
      </c>
      <c r="B6" s="2" t="s">
        <v>1794</v>
      </c>
      <c r="C6" s="2">
        <v>69</v>
      </c>
      <c r="D6" s="2">
        <v>1</v>
      </c>
      <c r="E6" s="2">
        <v>1</v>
      </c>
      <c r="F6" s="4">
        <v>56254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"*",CHOOSE({1,2}, Super_CBSA!$E$2:$E$1917, Super_CBSA!$A$2:$A$1917), 2,FALSE), ""))</f>
        <v>32940</v>
      </c>
    </row>
    <row r="7" spans="1:7" ht="17">
      <c r="A7" s="1" t="s">
        <v>3120</v>
      </c>
      <c r="B7" s="2" t="s">
        <v>3121</v>
      </c>
      <c r="C7" s="2">
        <v>54</v>
      </c>
      <c r="D7" s="2">
        <v>667</v>
      </c>
      <c r="E7" s="3">
        <v>2624</v>
      </c>
      <c r="F7" s="4">
        <v>81306</v>
      </c>
      <c r="G7" s="11" t="str" cm="1">
        <f t="array" aca="1" ref="G7" ca="1">IFERROR(VLOOKUP("*" &amp; B7  &amp; "*" &amp; (MID(CELL("filename",A6),FIND("]",CELL("filename",A6))+1,31)) &amp; "*",CHOOSE({1,2}, Super_CBSA!$B$2:$B$1917, Super_CBSA!$A$2:$A$1917), 2,FALSE), IFERROR(VLOOKUP(B7  &amp; "*",CHOOSE({1,2}, Super_CBSA!$E$2:$E$1917, Super_CBSA!$A$2:$A$1917), 2,FALSE), ""))</f>
        <v/>
      </c>
    </row>
    <row r="8" spans="1:7" ht="17">
      <c r="A8" s="1" t="s">
        <v>3122</v>
      </c>
      <c r="B8" s="2" t="s">
        <v>3123</v>
      </c>
      <c r="C8" s="2">
        <v>329</v>
      </c>
      <c r="D8" s="3">
        <v>15685</v>
      </c>
      <c r="E8" s="3">
        <v>78417</v>
      </c>
      <c r="F8" s="4">
        <v>1515531</v>
      </c>
      <c r="G8" s="11" t="str" cm="1">
        <f t="array" aca="1" ref="G8" ca="1">IFERROR(VLOOKUP("*" &amp; B8  &amp; "*" &amp; (MID(CELL("filename",A7),FIND("]",CELL("filename",A7))+1,31)) &amp; "*",CHOOSE({1,2}, Super_CBSA!$B$2:$B$1917, Super_CBSA!$A$2:$A$1917), 2,FALSE), IFERROR(VLOOKUP(B8  &amp; "*",CHOOSE({1,2}, Super_CBSA!$E$2:$E$1917, Super_CBSA!$A$2:$A$1917), 2,FALSE), ""))</f>
        <v/>
      </c>
    </row>
    <row r="9" spans="1:7" ht="17">
      <c r="A9" s="1" t="s">
        <v>3124</v>
      </c>
      <c r="B9" s="2" t="s">
        <v>1612</v>
      </c>
      <c r="C9" s="2">
        <v>211</v>
      </c>
      <c r="D9" s="3">
        <v>6754</v>
      </c>
      <c r="E9" s="3">
        <v>26268</v>
      </c>
      <c r="F9" s="4">
        <v>858499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"*",CHOOSE({1,2}, Super_CBSA!$E$2:$E$1917, Super_CBSA!$A$2:$A$1917), 2,FALSE), ""))</f>
        <v>18060</v>
      </c>
    </row>
    <row r="10" spans="1:7" ht="17">
      <c r="A10" s="1" t="s">
        <v>3125</v>
      </c>
      <c r="B10" s="2" t="s">
        <v>3126</v>
      </c>
      <c r="C10" s="2">
        <v>184</v>
      </c>
      <c r="D10" s="3">
        <v>9374</v>
      </c>
      <c r="E10" s="3">
        <v>36683</v>
      </c>
      <c r="F10" s="4">
        <v>923205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"*",CHOOSE({1,2}, Super_CBSA!$E$2:$E$1917, Super_CBSA!$A$2:$A$1917), 2,FALSE), ""))</f>
        <v>37060</v>
      </c>
    </row>
    <row r="11" spans="1:7" ht="17">
      <c r="A11" s="1" t="s">
        <v>3127</v>
      </c>
      <c r="B11" s="2" t="s">
        <v>2032</v>
      </c>
      <c r="C11" s="2">
        <v>92</v>
      </c>
      <c r="D11" s="3">
        <v>2594</v>
      </c>
      <c r="E11" s="3">
        <v>9494</v>
      </c>
      <c r="F11" s="4">
        <v>265902</v>
      </c>
      <c r="G11" s="11" t="str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"*",CHOOSE({1,2}, Super_CBSA!$E$2:$E$1917, Super_CBSA!$A$2:$A$1917), 2,FALSE), ""))</f>
        <v/>
      </c>
    </row>
    <row r="12" spans="1:7" ht="17">
      <c r="A12" s="1" t="s">
        <v>3128</v>
      </c>
      <c r="B12" s="2" t="s">
        <v>289</v>
      </c>
      <c r="C12" s="2">
        <v>31</v>
      </c>
      <c r="D12" s="2">
        <v>346</v>
      </c>
      <c r="E12" s="3">
        <v>1297</v>
      </c>
      <c r="F12" s="4">
        <v>8745</v>
      </c>
      <c r="G12" s="11" t="str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"*",CHOOSE({1,2}, Super_CBSA!$E$2:$E$1917, Super_CBSA!$A$2:$A$1917), 2,FALSE), ""))</f>
        <v/>
      </c>
    </row>
    <row r="13" spans="1:7" ht="17">
      <c r="A13" s="1" t="s">
        <v>3129</v>
      </c>
      <c r="B13" s="2" t="s">
        <v>3130</v>
      </c>
      <c r="C13" s="2">
        <v>164</v>
      </c>
      <c r="D13" s="3">
        <v>2834</v>
      </c>
      <c r="E13" s="3">
        <v>9531</v>
      </c>
      <c r="F13" s="4">
        <v>407613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"*",CHOOSE({1,2}, Super_CBSA!$E$2:$E$1917, Super_CBSA!$A$2:$A$1917), 2,FALSE), ""))</f>
        <v>17380</v>
      </c>
    </row>
    <row r="14" spans="1:7" ht="17">
      <c r="A14" s="1" t="s">
        <v>3131</v>
      </c>
      <c r="B14" s="2" t="s">
        <v>3132</v>
      </c>
      <c r="C14" s="2">
        <v>20</v>
      </c>
      <c r="D14" s="2">
        <v>195</v>
      </c>
      <c r="E14" s="2">
        <v>672</v>
      </c>
      <c r="F14" s="4">
        <v>0</v>
      </c>
      <c r="G14" s="11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"*",CHOOSE({1,2}, Super_CBSA!$E$2:$E$1917, Super_CBSA!$A$2:$A$1917), 2,FALSE), ""))</f>
        <v>37980</v>
      </c>
    </row>
    <row r="15" spans="1:7" ht="17">
      <c r="A15" s="1" t="s">
        <v>3133</v>
      </c>
      <c r="B15" s="2" t="s">
        <v>158</v>
      </c>
      <c r="C15" s="2">
        <v>0</v>
      </c>
      <c r="D15" s="2">
        <v>0</v>
      </c>
      <c r="E15" s="2">
        <v>0</v>
      </c>
      <c r="F15" s="4">
        <v>0</v>
      </c>
      <c r="G15" s="11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"*",CHOOSE({1,2}, Super_CBSA!$E$2:$E$1917, Super_CBSA!$A$2:$A$1917), 2,FALSE), ""))</f>
        <v>27140</v>
      </c>
    </row>
    <row r="16" spans="1:7" ht="17">
      <c r="A16" s="1" t="s">
        <v>3134</v>
      </c>
      <c r="B16" s="2" t="s">
        <v>200</v>
      </c>
      <c r="C16" s="2">
        <v>215</v>
      </c>
      <c r="D16" s="3">
        <v>5641</v>
      </c>
      <c r="E16" s="3">
        <v>28292</v>
      </c>
      <c r="F16" s="4">
        <v>336640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"*",CHOOSE({1,2}, Super_CBSA!$E$2:$E$1917, Super_CBSA!$A$2:$A$1917), 2,FALSE), ""))</f>
        <v>24740</v>
      </c>
    </row>
    <row r="17" spans="1:7" ht="17">
      <c r="A17" s="1" t="s">
        <v>3135</v>
      </c>
      <c r="B17" s="2" t="s">
        <v>3136</v>
      </c>
      <c r="C17" s="2">
        <v>473</v>
      </c>
      <c r="D17" s="3">
        <v>26309</v>
      </c>
      <c r="E17" s="3">
        <v>119301</v>
      </c>
      <c r="F17" s="4">
        <v>1584169</v>
      </c>
      <c r="G17" s="11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"*",CHOOSE({1,2}, Super_CBSA!$E$2:$E$1917, Super_CBSA!$A$2:$A$1917), 2,FALSE), ""))</f>
        <v>25620</v>
      </c>
    </row>
    <row r="18" spans="1:7" ht="17">
      <c r="A18" s="1" t="s">
        <v>3137</v>
      </c>
      <c r="B18" s="2" t="s">
        <v>158</v>
      </c>
      <c r="C18" s="2">
        <v>0</v>
      </c>
      <c r="D18" s="2">
        <v>0</v>
      </c>
      <c r="E18" s="2">
        <v>0</v>
      </c>
      <c r="F18" s="4">
        <v>0</v>
      </c>
      <c r="G18" s="11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"*",CHOOSE({1,2}, Super_CBSA!$E$2:$E$1917, Super_CBSA!$A$2:$A$1917), 2,FALSE), ""))</f>
        <v>27140</v>
      </c>
    </row>
    <row r="19" spans="1:7" ht="17">
      <c r="A19" s="1" t="s">
        <v>3138</v>
      </c>
      <c r="B19" s="2" t="s">
        <v>3139</v>
      </c>
      <c r="C19" s="2">
        <v>121</v>
      </c>
      <c r="D19" s="3">
        <v>3177</v>
      </c>
      <c r="E19" s="3">
        <v>11977</v>
      </c>
      <c r="F19" s="4">
        <v>643669</v>
      </c>
      <c r="G19" s="11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"*",CHOOSE({1,2}, Super_CBSA!$E$2:$E$1917, Super_CBSA!$A$2:$A$1917), 2,FALSE), ""))</f>
        <v>25060</v>
      </c>
    </row>
    <row r="20" spans="1:7" ht="17">
      <c r="A20" s="1" t="s">
        <v>3140</v>
      </c>
      <c r="B20" s="2" t="s">
        <v>3141</v>
      </c>
      <c r="C20" s="2">
        <v>42</v>
      </c>
      <c r="D20" s="3">
        <v>1012</v>
      </c>
      <c r="E20" s="3">
        <v>3455</v>
      </c>
      <c r="F20" s="4">
        <v>65130</v>
      </c>
      <c r="G20" s="11" t="str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"*",CHOOSE({1,2}, Super_CBSA!$E$2:$E$1917, Super_CBSA!$A$2:$A$1917), 2,FALSE), ""))</f>
        <v/>
      </c>
    </row>
    <row r="21" spans="1:7" ht="17">
      <c r="A21" s="1" t="s">
        <v>3142</v>
      </c>
      <c r="B21" s="2" t="s">
        <v>3143</v>
      </c>
      <c r="C21" s="2">
        <v>193</v>
      </c>
      <c r="D21" s="3">
        <v>5383</v>
      </c>
      <c r="E21" s="3">
        <v>20113</v>
      </c>
      <c r="F21" s="4">
        <v>356373</v>
      </c>
      <c r="G21" s="11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"*",CHOOSE({1,2}, Super_CBSA!$E$2:$E$1917, Super_CBSA!$A$2:$A$1917), 2,FALSE), ""))</f>
        <v>24900</v>
      </c>
    </row>
    <row r="22" spans="1:7" ht="17">
      <c r="A22" s="1" t="s">
        <v>3144</v>
      </c>
      <c r="B22" s="2" t="s">
        <v>3145</v>
      </c>
      <c r="C22" s="2">
        <v>0</v>
      </c>
      <c r="D22" s="2">
        <v>0</v>
      </c>
      <c r="E22" s="2">
        <v>0</v>
      </c>
      <c r="F22" s="4">
        <v>0</v>
      </c>
      <c r="G22" s="11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"*",CHOOSE({1,2}, Super_CBSA!$E$2:$E$1917, Super_CBSA!$A$2:$A$1917), 2,FALSE), ""))</f>
        <v>25060</v>
      </c>
    </row>
    <row r="23" spans="1:7" ht="17">
      <c r="A23" s="1" t="s">
        <v>3146</v>
      </c>
      <c r="B23" s="2" t="s">
        <v>3147</v>
      </c>
      <c r="C23" s="2">
        <v>49</v>
      </c>
      <c r="D23" s="3">
        <v>1586</v>
      </c>
      <c r="E23" s="3">
        <v>6779</v>
      </c>
      <c r="F23" s="4">
        <v>139558</v>
      </c>
      <c r="G23" s="11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"*",CHOOSE({1,2}, Super_CBSA!$E$2:$E$1917, Super_CBSA!$A$2:$A$1917), 2,FALSE), ""))</f>
        <v>38100</v>
      </c>
    </row>
    <row r="24" spans="1:7" ht="17">
      <c r="A24" s="1" t="s">
        <v>3148</v>
      </c>
      <c r="B24" s="2" t="s">
        <v>3149</v>
      </c>
      <c r="C24" s="2">
        <v>20</v>
      </c>
      <c r="D24" s="2">
        <v>18</v>
      </c>
      <c r="E24" s="2">
        <v>64</v>
      </c>
      <c r="F24" s="4">
        <v>15680</v>
      </c>
      <c r="G24" s="11" t="str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"*",CHOOSE({1,2}, Super_CBSA!$E$2:$E$1917, Super_CBSA!$A$2:$A$1917), 2,FALSE), ""))</f>
        <v/>
      </c>
    </row>
    <row r="25" spans="1:7" ht="17">
      <c r="A25" s="1" t="s">
        <v>3150</v>
      </c>
      <c r="B25" s="2" t="s">
        <v>135</v>
      </c>
      <c r="C25" s="2">
        <v>30</v>
      </c>
      <c r="D25" s="2">
        <v>96</v>
      </c>
      <c r="E25" s="2">
        <v>314</v>
      </c>
      <c r="F25" s="4">
        <v>20920</v>
      </c>
      <c r="G25" s="11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"*",CHOOSE({1,2}, Super_CBSA!$E$2:$E$1917, Super_CBSA!$A$2:$A$1917), 2,FALSE), ""))</f>
        <v>12060</v>
      </c>
    </row>
    <row r="26" spans="1:7" ht="17">
      <c r="A26" s="1" t="s">
        <v>2297</v>
      </c>
      <c r="B26" s="2" t="s">
        <v>3151</v>
      </c>
      <c r="C26" s="2">
        <v>90</v>
      </c>
      <c r="D26" s="3">
        <v>2506</v>
      </c>
      <c r="E26" s="3">
        <v>7280</v>
      </c>
      <c r="F26" s="4">
        <v>272410</v>
      </c>
      <c r="G26" s="11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"*",CHOOSE({1,2}, Super_CBSA!$E$2:$E$1917, Super_CBSA!$A$2:$A$1917), 2,FALSE), ""))</f>
        <v>15020</v>
      </c>
    </row>
    <row r="27" spans="1:7" ht="17">
      <c r="A27" s="1" t="s">
        <v>3152</v>
      </c>
      <c r="B27" s="2" t="s">
        <v>3153</v>
      </c>
      <c r="C27" s="2">
        <v>44</v>
      </c>
      <c r="D27" s="2">
        <v>590</v>
      </c>
      <c r="E27" s="3">
        <v>2335</v>
      </c>
      <c r="F27" s="4">
        <v>35866</v>
      </c>
      <c r="G27" s="11" t="str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"*",CHOOSE({1,2}, Super_CBSA!$E$2:$E$1917, Super_CBSA!$A$2:$A$1917), 2,FALSE), ""))</f>
        <v/>
      </c>
    </row>
    <row r="28" spans="1:7" ht="17">
      <c r="A28" s="1" t="s">
        <v>3154</v>
      </c>
      <c r="B28" s="2" t="s">
        <v>3155</v>
      </c>
      <c r="C28" s="2">
        <v>182</v>
      </c>
      <c r="D28" s="3">
        <v>7140</v>
      </c>
      <c r="E28" s="3">
        <v>28647</v>
      </c>
      <c r="F28" s="4">
        <v>814309</v>
      </c>
      <c r="G28" s="11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"*",CHOOSE({1,2}, Super_CBSA!$E$2:$E$1917, Super_CBSA!$A$2:$A$1917), 2,FALSE), ""))</f>
        <v>18420</v>
      </c>
    </row>
    <row r="29" spans="1:7" ht="17">
      <c r="A29" s="1" t="s">
        <v>2102</v>
      </c>
      <c r="B29" s="2" t="s">
        <v>2340</v>
      </c>
      <c r="C29" s="2">
        <v>49</v>
      </c>
      <c r="D29" s="2">
        <v>660</v>
      </c>
      <c r="E29" s="3">
        <v>2892</v>
      </c>
      <c r="F29" s="4">
        <v>50240</v>
      </c>
      <c r="G29" s="11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"*",CHOOSE({1,2}, Super_CBSA!$E$2:$E$1917, Super_CBSA!$A$2:$A$1917), 2,FALSE), ""))</f>
        <v>12260</v>
      </c>
    </row>
    <row r="30" spans="1:7" ht="17">
      <c r="A30" s="1" t="s">
        <v>3156</v>
      </c>
      <c r="B30" s="2" t="s">
        <v>3139</v>
      </c>
      <c r="C30" s="2">
        <v>432</v>
      </c>
      <c r="D30" s="3">
        <v>16777</v>
      </c>
      <c r="E30" s="3">
        <v>69985</v>
      </c>
      <c r="F30" s="4">
        <v>4240260</v>
      </c>
      <c r="G30" s="11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"*",CHOOSE({1,2}, Super_CBSA!$E$2:$E$1917, Super_CBSA!$A$2:$A$1917), 2,FALSE), ""))</f>
        <v>25060</v>
      </c>
    </row>
    <row r="31" spans="1:7" ht="17">
      <c r="A31" s="1" t="s">
        <v>3157</v>
      </c>
      <c r="B31" s="2" t="s">
        <v>3145</v>
      </c>
      <c r="C31" s="2">
        <v>147</v>
      </c>
      <c r="D31" s="3">
        <v>5401</v>
      </c>
      <c r="E31" s="3">
        <v>20699</v>
      </c>
      <c r="F31" s="4">
        <v>1002979</v>
      </c>
      <c r="G31" s="11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"*",CHOOSE({1,2}, Super_CBSA!$E$2:$E$1917, Super_CBSA!$A$2:$A$1917), 2,FALSE), ""))</f>
        <v>25060</v>
      </c>
    </row>
    <row r="32" spans="1:7" ht="17">
      <c r="A32" s="1" t="s">
        <v>3158</v>
      </c>
      <c r="B32" s="2" t="s">
        <v>158</v>
      </c>
      <c r="C32" s="2">
        <v>319</v>
      </c>
      <c r="D32" s="3">
        <v>6775</v>
      </c>
      <c r="E32" s="3">
        <v>33193</v>
      </c>
      <c r="F32" s="4">
        <v>1672232</v>
      </c>
      <c r="G32" s="11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"*",CHOOSE({1,2}, Super_CBSA!$E$2:$E$1917, Super_CBSA!$A$2:$A$1917), 2,FALSE), ""))</f>
        <v>27140</v>
      </c>
    </row>
    <row r="33" spans="1:7" ht="17">
      <c r="A33" s="1" t="s">
        <v>3159</v>
      </c>
      <c r="B33" s="2" t="s">
        <v>1596</v>
      </c>
      <c r="C33" s="2">
        <v>67</v>
      </c>
      <c r="D33" s="3">
        <v>1588</v>
      </c>
      <c r="E33" s="3">
        <v>5459</v>
      </c>
      <c r="F33" s="4">
        <v>234579</v>
      </c>
      <c r="G33" s="11" t="str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"*",CHOOSE({1,2}, Super_CBSA!$E$2:$E$1917, Super_CBSA!$A$2:$A$1917), 2,FALSE), ""))</f>
        <v/>
      </c>
    </row>
    <row r="34" spans="1:7" ht="17">
      <c r="A34" s="1" t="s">
        <v>3160</v>
      </c>
      <c r="B34" s="2" t="s">
        <v>3161</v>
      </c>
      <c r="C34" s="2">
        <v>179</v>
      </c>
      <c r="D34" s="3">
        <v>3852</v>
      </c>
      <c r="E34" s="3">
        <v>17504</v>
      </c>
      <c r="F34" s="4">
        <v>567433</v>
      </c>
      <c r="G34" s="11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"*",CHOOSE({1,2}, Super_CBSA!$E$2:$E$1917, Super_CBSA!$A$2:$A$1917), 2,FALSE), ""))</f>
        <v>35020</v>
      </c>
    </row>
    <row r="35" spans="1:7" ht="17">
      <c r="A35" s="1" t="s">
        <v>3162</v>
      </c>
      <c r="B35" s="2" t="s">
        <v>1251</v>
      </c>
      <c r="C35" s="2">
        <v>134</v>
      </c>
      <c r="D35" s="3">
        <v>1412</v>
      </c>
      <c r="E35" s="3">
        <v>5738</v>
      </c>
      <c r="F35" s="4">
        <v>314559</v>
      </c>
      <c r="G35" s="11" t="str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"*",CHOOSE({1,2}, Super_CBSA!$E$2:$E$1917, Super_CBSA!$A$2:$A$1917), 2,FALSE), ""))</f>
        <v/>
      </c>
    </row>
    <row r="36" spans="1:7" ht="17">
      <c r="A36" s="1" t="s">
        <v>3163</v>
      </c>
      <c r="B36" s="2" t="s">
        <v>3164</v>
      </c>
      <c r="C36" s="2">
        <v>158</v>
      </c>
      <c r="D36" s="3">
        <v>4713</v>
      </c>
      <c r="E36" s="3">
        <v>20803</v>
      </c>
      <c r="F36" s="4">
        <v>1114399</v>
      </c>
      <c r="G36" s="11" t="str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"*",CHOOSE({1,2}, Super_CBSA!$E$2:$E$1917, Super_CBSA!$A$2:$A$1917), 2,FALSE), ""))</f>
        <v/>
      </c>
    </row>
    <row r="37" spans="1:7" ht="17">
      <c r="A37" s="1" t="s">
        <v>3165</v>
      </c>
      <c r="B37" s="2" t="s">
        <v>3166</v>
      </c>
      <c r="C37" s="2">
        <v>321</v>
      </c>
      <c r="D37" s="3">
        <v>6919</v>
      </c>
      <c r="E37" s="3">
        <v>36941</v>
      </c>
      <c r="F37" s="4">
        <v>971617</v>
      </c>
      <c r="G37" s="11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"*",CHOOSE({1,2}, Super_CBSA!$E$2:$E$1917, Super_CBSA!$A$2:$A$1917), 2,FALSE), ""))</f>
        <v>46980</v>
      </c>
    </row>
    <row r="38" spans="1:7" ht="17">
      <c r="A38" s="1" t="s">
        <v>3167</v>
      </c>
      <c r="B38" s="2" t="s">
        <v>3136</v>
      </c>
      <c r="C38" s="2">
        <v>167</v>
      </c>
      <c r="D38" s="3">
        <v>6019</v>
      </c>
      <c r="E38" s="3">
        <v>25549</v>
      </c>
      <c r="F38" s="4">
        <v>953890</v>
      </c>
      <c r="G38" s="11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"*",CHOOSE({1,2}, Super_CBSA!$E$2:$E$1917, Super_CBSA!$A$2:$A$1917), 2,FALSE), ""))</f>
        <v>25620</v>
      </c>
    </row>
    <row r="39" spans="1:7" ht="17">
      <c r="A39" s="1" t="s">
        <v>3168</v>
      </c>
      <c r="B39" s="2" t="s">
        <v>158</v>
      </c>
      <c r="C39" s="2">
        <v>33</v>
      </c>
      <c r="D39" s="3">
        <v>1260</v>
      </c>
      <c r="E39" s="3">
        <v>5533</v>
      </c>
      <c r="F39" s="4">
        <v>211887</v>
      </c>
      <c r="G39" s="11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"*",CHOOSE({1,2}, Super_CBSA!$E$2:$E$1917, Super_CBSA!$A$2:$A$1917), 2,FALSE), ""))</f>
        <v>27140</v>
      </c>
    </row>
    <row r="40" spans="1:7" ht="17">
      <c r="A40" s="1" t="s">
        <v>3169</v>
      </c>
      <c r="B40" s="2" t="s">
        <v>3170</v>
      </c>
      <c r="C40" s="2">
        <v>53</v>
      </c>
      <c r="D40" s="3">
        <v>10904</v>
      </c>
      <c r="E40" s="3">
        <v>10669</v>
      </c>
      <c r="F40" s="4">
        <v>313254</v>
      </c>
      <c r="G40" s="11" t="str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"*",CHOOSE({1,2}, Super_CBSA!$E$2:$E$1917, Super_CBSA!$A$2:$A$1917), 2,FALSE), ""))</f>
        <v/>
      </c>
    </row>
    <row r="41" spans="1:7" ht="17">
      <c r="A41" s="1" t="s">
        <v>3171</v>
      </c>
      <c r="B41" s="2" t="s">
        <v>158</v>
      </c>
      <c r="C41" s="2">
        <v>124</v>
      </c>
      <c r="D41" s="2">
        <v>0</v>
      </c>
      <c r="E41" s="2">
        <v>0</v>
      </c>
      <c r="F41" s="4">
        <v>99621</v>
      </c>
      <c r="G41" s="11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"*",CHOOSE({1,2}, Super_CBSA!$E$2:$E$1917, Super_CBSA!$A$2:$A$1917), 2,FALSE), ""))</f>
        <v>27140</v>
      </c>
    </row>
    <row r="42" spans="1:7" ht="17">
      <c r="A42" s="1" t="s">
        <v>3172</v>
      </c>
      <c r="B42" s="2" t="s">
        <v>158</v>
      </c>
      <c r="C42" s="2">
        <v>440</v>
      </c>
      <c r="D42" s="3">
        <v>22220</v>
      </c>
      <c r="E42" s="3">
        <v>104140</v>
      </c>
      <c r="F42" s="4">
        <v>1900524</v>
      </c>
      <c r="G42" s="11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"*",CHOOSE({1,2}, Super_CBSA!$E$2:$E$1917, Super_CBSA!$A$2:$A$1917), 2,FALSE), ""))</f>
        <v>27140</v>
      </c>
    </row>
    <row r="43" spans="1:7" ht="17">
      <c r="A43" s="1" t="s">
        <v>3173</v>
      </c>
      <c r="B43" s="2" t="s">
        <v>3132</v>
      </c>
      <c r="C43" s="2">
        <v>208</v>
      </c>
      <c r="D43" s="3">
        <v>1209</v>
      </c>
      <c r="E43" s="3">
        <v>3884</v>
      </c>
      <c r="F43" s="4">
        <v>98108</v>
      </c>
      <c r="G43" s="11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"*",CHOOSE({1,2}, Super_CBSA!$E$2:$E$1917, Super_CBSA!$A$2:$A$1917), 2,FALSE), ""))</f>
        <v>37980</v>
      </c>
    </row>
    <row r="44" spans="1:7" ht="17">
      <c r="A44" s="1" t="s">
        <v>3174</v>
      </c>
      <c r="B44" s="2" t="s">
        <v>3175</v>
      </c>
      <c r="C44" s="2">
        <v>38</v>
      </c>
      <c r="D44" s="2">
        <v>960</v>
      </c>
      <c r="E44" s="3">
        <v>3197</v>
      </c>
      <c r="F44" s="4">
        <v>79071</v>
      </c>
      <c r="G44" s="11" t="str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"*",CHOOSE({1,2}, Super_CBSA!$E$2:$E$1917, Super_CBSA!$A$2:$A$1917), 2,FALSE), ""))</f>
        <v/>
      </c>
    </row>
    <row r="45" spans="1:7" ht="17">
      <c r="A45" s="1" t="s">
        <v>3176</v>
      </c>
      <c r="B45" s="2" t="s">
        <v>3177</v>
      </c>
      <c r="C45" s="2">
        <v>66</v>
      </c>
      <c r="D45" s="2">
        <v>680</v>
      </c>
      <c r="E45" s="3">
        <v>1935</v>
      </c>
      <c r="F45" s="4">
        <v>55017</v>
      </c>
      <c r="G45" s="11" t="str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"*",CHOOSE({1,2}, Super_CBSA!$E$2:$E$1917, Super_CBSA!$A$2:$A$1917), 2,FALSE), ""))</f>
        <v/>
      </c>
    </row>
    <row r="46" spans="1:7" ht="17">
      <c r="A46" s="1" t="s">
        <v>3178</v>
      </c>
      <c r="B46" s="2" t="s">
        <v>3179</v>
      </c>
      <c r="C46" s="2">
        <v>630</v>
      </c>
      <c r="D46" s="3">
        <v>23178</v>
      </c>
      <c r="E46" s="3">
        <v>119299</v>
      </c>
      <c r="F46" s="4">
        <v>2922230</v>
      </c>
      <c r="G46" s="11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"*",CHOOSE({1,2}, Super_CBSA!$E$2:$E$1917, Super_CBSA!$A$2:$A$1917), 2,FALSE), ""))</f>
        <v>46180</v>
      </c>
    </row>
    <row r="47" spans="1:7" ht="17">
      <c r="A47" s="1" t="s">
        <v>3180</v>
      </c>
      <c r="B47" s="2" t="s">
        <v>3181</v>
      </c>
      <c r="C47" s="2">
        <v>49</v>
      </c>
      <c r="D47" s="3">
        <v>1603</v>
      </c>
      <c r="E47" s="3">
        <v>5752</v>
      </c>
      <c r="F47" s="4">
        <v>186353</v>
      </c>
      <c r="G47" s="11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"*",CHOOSE({1,2}, Super_CBSA!$E$2:$E$1917, Super_CBSA!$A$2:$A$1917), 2,FALSE), ""))</f>
        <v>48500</v>
      </c>
    </row>
    <row r="48" spans="1:7" ht="17">
      <c r="A48" s="1" t="s">
        <v>3182</v>
      </c>
      <c r="B48" s="2" t="s">
        <v>3183</v>
      </c>
      <c r="C48" s="2">
        <v>94</v>
      </c>
      <c r="D48" s="3">
        <v>2421</v>
      </c>
      <c r="E48" s="3">
        <v>9788</v>
      </c>
      <c r="F48" s="4">
        <v>225478</v>
      </c>
      <c r="G48" s="11" t="str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"*",CHOOSE({1,2}, Super_CBSA!$E$2:$E$1917, Super_CBSA!$A$2:$A$1917), 2,FALSE), ""))</f>
        <v/>
      </c>
    </row>
    <row r="49" spans="1:7" ht="17">
      <c r="A49" s="1" t="s">
        <v>3184</v>
      </c>
      <c r="B49" s="2" t="s">
        <v>3179</v>
      </c>
      <c r="C49" s="2">
        <v>0</v>
      </c>
      <c r="D49" s="2">
        <v>0</v>
      </c>
      <c r="E49" s="2">
        <v>0</v>
      </c>
      <c r="F49" s="4">
        <v>0</v>
      </c>
      <c r="G49" s="11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"*",CHOOSE({1,2}, Super_CBSA!$E$2:$E$1917, Super_CBSA!$A$2:$A$1917), 2,FALSE), ""))</f>
        <v>46180</v>
      </c>
    </row>
    <row r="50" spans="1:7" ht="17">
      <c r="A50" s="1" t="s">
        <v>3185</v>
      </c>
      <c r="B50" s="2" t="s">
        <v>3186</v>
      </c>
      <c r="C50" s="2">
        <v>181</v>
      </c>
      <c r="D50" s="3">
        <v>2078</v>
      </c>
      <c r="E50" s="3">
        <v>11449</v>
      </c>
      <c r="F50" s="4">
        <v>321321</v>
      </c>
      <c r="G50" s="11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"*",CHOOSE({1,2}, Super_CBSA!$E$2:$E$1917, Super_CBSA!$A$2:$A$1917), 2,FALSE), ""))</f>
        <v>17260</v>
      </c>
    </row>
    <row r="51" spans="1:7" ht="17">
      <c r="A51" s="1" t="s">
        <v>3187</v>
      </c>
      <c r="B51" s="2" t="s">
        <v>3188</v>
      </c>
      <c r="C51" s="2">
        <v>0</v>
      </c>
      <c r="D51" s="2">
        <v>0</v>
      </c>
      <c r="E51" s="2">
        <v>0</v>
      </c>
      <c r="F51" s="4">
        <v>0</v>
      </c>
      <c r="G51" s="11" t="str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"*",CHOOSE({1,2}, Super_CBSA!$E$2:$E$1917, Super_CBSA!$A$2:$A$1917), 2,FALSE), ""))</f>
        <v/>
      </c>
    </row>
    <row r="52" spans="1:7" ht="17">
      <c r="A52" s="1" t="s">
        <v>3189</v>
      </c>
      <c r="B52" s="2" t="s">
        <v>3190</v>
      </c>
      <c r="C52" s="2">
        <v>88</v>
      </c>
      <c r="D52" s="3">
        <v>1474</v>
      </c>
      <c r="E52" s="3">
        <v>8226</v>
      </c>
      <c r="F52" s="4">
        <v>204614</v>
      </c>
      <c r="G52" s="11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"*",CHOOSE({1,2}, Super_CBSA!$E$2:$E$1917, Super_CBSA!$A$2:$A$1917), 2,FALSE), ""))</f>
        <v>44260</v>
      </c>
    </row>
    <row r="53" spans="1:7" ht="17">
      <c r="A53" s="1" t="s">
        <v>3191</v>
      </c>
      <c r="B53" s="2" t="s">
        <v>3192</v>
      </c>
      <c r="C53" s="2">
        <v>51</v>
      </c>
      <c r="D53" s="3">
        <v>1005</v>
      </c>
      <c r="E53" s="3">
        <v>3486</v>
      </c>
      <c r="F53" s="4">
        <v>97989</v>
      </c>
      <c r="G53" s="11" t="str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"*",CHOOSE({1,2}, Super_CBSA!$E$2:$E$1917, Super_CBSA!$A$2:$A$1917), 2,FALSE), ""))</f>
        <v/>
      </c>
    </row>
    <row r="54" spans="1:7" ht="17">
      <c r="A54" s="1" t="s">
        <v>3193</v>
      </c>
      <c r="B54" s="2" t="s">
        <v>321</v>
      </c>
      <c r="C54" s="2">
        <v>67</v>
      </c>
      <c r="D54" s="3">
        <v>2066</v>
      </c>
      <c r="E54" s="3">
        <v>9465</v>
      </c>
      <c r="F54" s="4">
        <v>137200</v>
      </c>
      <c r="G54" s="11" t="str" cm="1">
        <f t="array" aca="1" ref="G54" ca="1">IFERROR(VLOOKUP("*" &amp; B54  &amp; "*" &amp; (MID(CELL("filename",A53),FIND("]",CELL("filename",A53))+1,31)) &amp; "*",CHOOSE({1,2}, Super_CBSA!$B$2:$B$1917, Super_CBSA!$A$2:$A$1917), 2,FALSE), IFERROR(VLOOKUP(B54  &amp; "*",CHOOSE({1,2}, Super_CBSA!$E$2:$E$1917, Super_CBSA!$A$2:$A$1917), 2,FALSE), ""))</f>
        <v/>
      </c>
    </row>
    <row r="55" spans="1:7" ht="17">
      <c r="A55" s="1" t="s">
        <v>3194</v>
      </c>
      <c r="B55" s="2" t="s">
        <v>3195</v>
      </c>
      <c r="C55" s="2">
        <v>398</v>
      </c>
      <c r="D55" s="3">
        <v>15924</v>
      </c>
      <c r="E55" s="3">
        <v>70751</v>
      </c>
      <c r="F55" s="4">
        <v>2301724</v>
      </c>
      <c r="G55" s="11" t="str" cm="1">
        <f t="array" aca="1" ref="G55" ca="1">IFERROR(VLOOKUP("*" &amp; B55  &amp; "*" &amp; (MID(CELL("filename",A54),FIND("]",CELL("filename",A54))+1,31)) &amp; "*",CHOOSE({1,2}, Super_CBSA!$B$2:$B$1917, Super_CBSA!$A$2:$A$1917), 2,FALSE), IFERROR(VLOOKUP(B55  &amp; "*",CHOOSE({1,2}, Super_CBSA!$E$2:$E$1917, Super_CBSA!$A$2:$A$1917), 2,FALSE), ""))</f>
        <v/>
      </c>
    </row>
    <row r="56" spans="1:7" ht="17">
      <c r="A56" s="1" t="s">
        <v>3196</v>
      </c>
      <c r="B56" s="2" t="s">
        <v>3197</v>
      </c>
      <c r="C56" s="2">
        <v>29</v>
      </c>
      <c r="D56" s="2">
        <v>2</v>
      </c>
      <c r="E56" s="2">
        <v>5</v>
      </c>
      <c r="F56" s="4">
        <v>3691</v>
      </c>
      <c r="G56" s="11" cm="1">
        <f t="array" aca="1" ref="G56" ca="1">IFERROR(VLOOKUP("*" &amp; B56  &amp; "*" &amp; (MID(CELL("filename",A55),FIND("]",CELL("filename",A55))+1,31)) &amp; "*",CHOOSE({1,2}, Super_CBSA!$B$2:$B$1917, Super_CBSA!$A$2:$A$1917), 2,FALSE), IFERROR(VLOOKUP(B56  &amp; "*",CHOOSE({1,2}, Super_CBSA!$E$2:$E$1917, Super_CBSA!$A$2:$A$1917), 2,FALSE), ""))</f>
        <v>13220</v>
      </c>
    </row>
    <row r="57" spans="1:7" ht="17">
      <c r="A57" s="1" t="s">
        <v>3198</v>
      </c>
      <c r="B57" s="2" t="s">
        <v>1794</v>
      </c>
      <c r="C57" s="2">
        <v>182</v>
      </c>
      <c r="D57" s="3">
        <v>5941</v>
      </c>
      <c r="E57" s="3">
        <v>23103</v>
      </c>
      <c r="F57" s="4">
        <v>405917</v>
      </c>
      <c r="G57" s="11" cm="1">
        <f t="array" aca="1" ref="G57" ca="1">IFERROR(VLOOKUP("*" &amp; B57  &amp; "*" &amp; (MID(CELL("filename",A56),FIND("]",CELL("filename",A56))+1,31)) &amp; "*",CHOOSE({1,2}, Super_CBSA!$B$2:$B$1917, Super_CBSA!$A$2:$A$1917), 2,FALSE), IFERROR(VLOOKUP(B57  &amp; "*",CHOOSE({1,2}, Super_CBSA!$E$2:$E$1917, Super_CBSA!$A$2:$A$1917), 2,FALSE), ""))</f>
        <v>32940</v>
      </c>
    </row>
    <row r="58" spans="1:7" ht="17">
      <c r="A58" s="1" t="s">
        <v>3199</v>
      </c>
      <c r="B58" s="2" t="s">
        <v>158</v>
      </c>
      <c r="C58" s="2">
        <v>571</v>
      </c>
      <c r="D58" s="3">
        <v>24967</v>
      </c>
      <c r="E58" s="3">
        <v>124047</v>
      </c>
      <c r="F58" s="4">
        <v>1413996</v>
      </c>
      <c r="G58" s="11" cm="1">
        <f t="array" aca="1" ref="G58" ca="1">IFERROR(VLOOKUP("*" &amp; B58  &amp; "*" &amp; (MID(CELL("filename",A57),FIND("]",CELL("filename",A57))+1,31)) &amp; "*",CHOOSE({1,2}, Super_CBSA!$B$2:$B$1917, Super_CBSA!$A$2:$A$1917), 2,FALSE), IFERROR(VLOOKUP(B58  &amp; "*",CHOOSE({1,2}, Super_CBSA!$E$2:$E$1917, Super_CBSA!$A$2:$A$1917), 2,FALSE), ""))</f>
        <v>27140</v>
      </c>
    </row>
    <row r="59" spans="1:7" ht="17">
      <c r="A59" s="1" t="s">
        <v>3200</v>
      </c>
      <c r="B59" s="2" t="s">
        <v>2678</v>
      </c>
      <c r="C59" s="2">
        <v>268</v>
      </c>
      <c r="D59" s="3">
        <v>7093</v>
      </c>
      <c r="E59" s="3">
        <v>36254</v>
      </c>
      <c r="F59" s="4">
        <v>394438</v>
      </c>
      <c r="G59" s="11" cm="1">
        <f t="array" aca="1" ref="G59" ca="1">IFERROR(VLOOKUP("*" &amp; B59  &amp; "*" &amp; (MID(CELL("filename",A58),FIND("]",CELL("filename",A58))+1,31)) &amp; "*",CHOOSE({1,2}, Super_CBSA!$B$2:$B$1917, Super_CBSA!$A$2:$A$1917), 2,FALSE), IFERROR(VLOOKUP(B59  &amp; "*",CHOOSE({1,2}, Super_CBSA!$E$2:$E$1917, Super_CBSA!$A$2:$A$1917), 2,FALSE), ""))</f>
        <v>29860</v>
      </c>
    </row>
    <row r="60" spans="1:7" ht="17">
      <c r="A60" s="1" t="s">
        <v>3201</v>
      </c>
      <c r="B60" s="2" t="s">
        <v>3202</v>
      </c>
      <c r="C60" s="2">
        <v>47</v>
      </c>
      <c r="D60" s="2">
        <v>823</v>
      </c>
      <c r="E60" s="3">
        <v>2486</v>
      </c>
      <c r="F60" s="4">
        <v>45033</v>
      </c>
      <c r="G60" s="11" cm="1">
        <f t="array" aca="1" ref="G60" ca="1">IFERROR(VLOOKUP("*" &amp; B60  &amp; "*" &amp; (MID(CELL("filename",A59),FIND("]",CELL("filename",A59))+1,31)) &amp; "*",CHOOSE({1,2}, Super_CBSA!$B$2:$B$1917, Super_CBSA!$A$2:$A$1917), 2,FALSE), IFERROR(VLOOKUP(B60  &amp; "*",CHOOSE({1,2}, Super_CBSA!$E$2:$E$1917, Super_CBSA!$A$2:$A$1917), 2,FALSE), ""))</f>
        <v>26940</v>
      </c>
    </row>
    <row r="61" spans="1:7" ht="17">
      <c r="A61" s="1" t="s">
        <v>3203</v>
      </c>
      <c r="B61" s="2" t="s">
        <v>3204</v>
      </c>
      <c r="C61" s="2">
        <v>160</v>
      </c>
      <c r="D61" s="3">
        <v>4150</v>
      </c>
      <c r="E61" s="3">
        <v>14967</v>
      </c>
      <c r="F61" s="4">
        <v>347034</v>
      </c>
      <c r="G61" s="11" cm="1">
        <f t="array" aca="1" ref="G61" ca="1">IFERROR(VLOOKUP("*" &amp; B61  &amp; "*" &amp; (MID(CELL("filename",A60),FIND("]",CELL("filename",A60))+1,31)) &amp; "*",CHOOSE({1,2}, Super_CBSA!$B$2:$B$1917, Super_CBSA!$A$2:$A$1917), 2,FALSE), IFERROR(VLOOKUP(B61  &amp; "*",CHOOSE({1,2}, Super_CBSA!$E$2:$E$1917, Super_CBSA!$A$2:$A$1917), 2,FALSE), ""))</f>
        <v>32620</v>
      </c>
    </row>
    <row r="62" spans="1:7" ht="17">
      <c r="A62" s="1" t="s">
        <v>3205</v>
      </c>
      <c r="B62" s="2" t="s">
        <v>3107</v>
      </c>
      <c r="C62" s="2">
        <v>120</v>
      </c>
      <c r="D62" s="2">
        <v>108</v>
      </c>
      <c r="E62" s="2">
        <v>370</v>
      </c>
      <c r="F62" s="4">
        <v>26942</v>
      </c>
      <c r="G62" s="11" cm="1">
        <f t="array" aca="1" ref="G62" ca="1">IFERROR(VLOOKUP("*" &amp; B62  &amp; "*" &amp; (MID(CELL("filename",A61),FIND("]",CELL("filename",A61))+1,31)) &amp; "*",CHOOSE({1,2}, Super_CBSA!$B$2:$B$1917, Super_CBSA!$A$2:$A$1917), 2,FALSE), IFERROR(VLOOKUP(B62  &amp; "*",CHOOSE({1,2}, Super_CBSA!$E$2:$E$1917, Super_CBSA!$A$2:$A$1917), 2,FALSE), ""))</f>
        <v>20020</v>
      </c>
    </row>
    <row r="63" spans="1:7" ht="17">
      <c r="A63" s="1" t="s">
        <v>3206</v>
      </c>
      <c r="B63" s="2" t="s">
        <v>3207</v>
      </c>
      <c r="C63" s="2">
        <v>49</v>
      </c>
      <c r="D63" s="3">
        <v>1786</v>
      </c>
      <c r="E63" s="3">
        <v>7278</v>
      </c>
      <c r="F63" s="4">
        <v>169296</v>
      </c>
      <c r="G63" s="11" cm="1">
        <f t="array" aca="1" ref="G63" ca="1">IFERROR(VLOOKUP("*" &amp; B63  &amp; "*" &amp; (MID(CELL("filename",A62),FIND("]",CELL("filename",A62))+1,31)) &amp; "*",CHOOSE({1,2}, Super_CBSA!$B$2:$B$1917, Super_CBSA!$A$2:$A$1917), 2,FALSE), IFERROR(VLOOKUP(B63  &amp; " city",CHOOSE({1,2}, Super_CBSA!$E$2:$E$1917, Super_CBSA!$A$2:$A$1917), 2,FALSE), ""))</f>
        <v>24980</v>
      </c>
    </row>
    <row r="64" spans="1:7" ht="17">
      <c r="A64" s="1" t="s">
        <v>3208</v>
      </c>
      <c r="B64" s="2" t="s">
        <v>158</v>
      </c>
      <c r="C64" s="2">
        <v>698</v>
      </c>
      <c r="D64" s="3">
        <v>30747</v>
      </c>
      <c r="E64" s="3">
        <v>213626</v>
      </c>
      <c r="F64" s="4">
        <v>3575645</v>
      </c>
      <c r="G64" s="11" cm="1">
        <f t="array" aca="1" ref="G64" ca="1">IFERROR(VLOOKUP("*" &amp; B64  &amp; "*" &amp; (MID(CELL("filename",A63),FIND("]",CELL("filename",A63))+1,31)) &amp; "*",CHOOSE({1,2}, Super_CBSA!$B$2:$B$1917, Super_CBSA!$A$2:$A$1917), 2,FALSE), IFERROR(VLOOKUP(B64  &amp; "*",CHOOSE({1,2}, Super_CBSA!$E$2:$E$1917, Super_CBSA!$A$2:$A$1917), 2,FALSE), ""))</f>
        <v>27140</v>
      </c>
    </row>
    <row r="65" spans="1:7" ht="17">
      <c r="A65" s="1" t="s">
        <v>3209</v>
      </c>
      <c r="B65" s="2" t="s">
        <v>1507</v>
      </c>
      <c r="C65" s="2">
        <v>49</v>
      </c>
      <c r="D65" s="3">
        <v>1279</v>
      </c>
      <c r="E65" s="3">
        <v>5431</v>
      </c>
      <c r="F65" s="4">
        <v>61269</v>
      </c>
      <c r="G65" s="11" cm="1">
        <f t="array" aca="1" ref="G65" ca="1">IFERROR(VLOOKUP("*" &amp; B65  &amp; "*" &amp; (MID(CELL("filename",A64),FIND("]",CELL("filename",A64))+1,31)) &amp; "*",CHOOSE({1,2}, Super_CBSA!$B$2:$B$1917, Super_CBSA!$A$2:$A$1917), 2,FALSE), IFERROR(VLOOKUP(B65  &amp; "*",CHOOSE({1,2}, Super_CBSA!$E$2:$E$1917, Super_CBSA!$A$2:$A$1917), 2,FALSE), ""))</f>
        <v>44420</v>
      </c>
    </row>
    <row r="66" spans="1:7" ht="17">
      <c r="A66" s="1" t="s">
        <v>3210</v>
      </c>
      <c r="B66" s="2" t="s">
        <v>200</v>
      </c>
      <c r="C66" s="2">
        <v>113</v>
      </c>
      <c r="D66" s="3">
        <v>2861</v>
      </c>
      <c r="E66" s="3">
        <v>10753</v>
      </c>
      <c r="F66" s="4">
        <v>115156</v>
      </c>
      <c r="G66" s="11" cm="1">
        <f t="array" aca="1" ref="G66" ca="1">IFERROR(VLOOKUP("*" &amp; B66  &amp; "*" &amp; (MID(CELL("filename",A65),FIND("]",CELL("filename",A65))+1,31)) &amp; "*",CHOOSE({1,2}, Super_CBSA!$B$2:$B$1917, Super_CBSA!$A$2:$A$1917), 2,FALSE), IFERROR(VLOOKUP(B66  &amp; "*",CHOOSE({1,2}, Super_CBSA!$E$2:$E$1917, Super_CBSA!$A$2:$A$1917), 2,FALSE), ""))</f>
        <v>24740</v>
      </c>
    </row>
    <row r="67" spans="1:7" ht="17">
      <c r="A67" s="1" t="s">
        <v>3211</v>
      </c>
      <c r="B67" s="2" t="s">
        <v>3212</v>
      </c>
      <c r="C67" s="2">
        <v>32</v>
      </c>
      <c r="D67" s="2">
        <v>136</v>
      </c>
      <c r="E67" s="3">
        <v>1196</v>
      </c>
      <c r="F67" s="4">
        <v>0</v>
      </c>
      <c r="G67" s="11" cm="1">
        <f t="array" aca="1" ref="G67" ca="1">IFERROR(VLOOKUP("*" &amp; B67  &amp; "*" &amp; (MID(CELL("filename",A66),FIND("]",CELL("filename",A66))+1,31)) &amp; "*",CHOOSE({1,2}, Super_CBSA!$B$2:$B$1917, Super_CBSA!$A$2:$A$1917), 2,FALSE), IFERROR(VLOOKUP(B67  &amp; "*",CHOOSE({1,2}, Super_CBSA!$E$2:$E$1917, Super_CBSA!$A$2:$A$1917), 2,FALSE), ""))</f>
        <v>19140</v>
      </c>
    </row>
    <row r="68" spans="1:7" ht="17">
      <c r="A68" s="1" t="s">
        <v>3213</v>
      </c>
      <c r="B68" s="2" t="s">
        <v>158</v>
      </c>
      <c r="C68" s="2">
        <v>0</v>
      </c>
      <c r="D68" s="2">
        <v>0</v>
      </c>
      <c r="E68" s="2">
        <v>0</v>
      </c>
      <c r="F68" s="4">
        <v>0</v>
      </c>
      <c r="G68" s="11" cm="1">
        <f t="array" aca="1" ref="G68" ca="1">IFERROR(VLOOKUP("*" &amp; B68  &amp; "*" &amp; (MID(CELL("filename",A67),FIND("]",CELL("filename",A67))+1,31)) &amp; "*",CHOOSE({1,2}, Super_CBSA!$B$2:$B$1917, Super_CBSA!$A$2:$A$1917), 2,FALSE), IFERROR(VLOOKUP(B68  &amp; "*",CHOOSE({1,2}, Super_CBSA!$E$2:$E$1917, Super_CBSA!$A$2:$A$1917), 2,FALSE), ""))</f>
        <v>27140</v>
      </c>
    </row>
    <row r="69" spans="1:7" ht="17">
      <c r="A69" s="1" t="s">
        <v>3214</v>
      </c>
      <c r="B69" s="2" t="s">
        <v>991</v>
      </c>
      <c r="C69" s="2">
        <v>144</v>
      </c>
      <c r="D69" s="2">
        <v>319</v>
      </c>
      <c r="E69" s="3">
        <v>1219</v>
      </c>
      <c r="F69" s="4">
        <v>41828</v>
      </c>
      <c r="G69" s="11" t="str" cm="1">
        <f t="array" aca="1" ref="G69" ca="1">IFERROR(VLOOKUP("*" &amp; B69  &amp; "*" &amp; (MID(CELL("filename",A68),FIND("]",CELL("filename",A68))+1,31)) &amp; "*",CHOOSE({1,2}, Super_CBSA!$B$2:$B$1917, Super_CBSA!$A$2:$A$1917), 2,FALSE), IFERROR(VLOOKUP(B69  &amp; "*",CHOOSE({1,2}, Super_CBSA!$E$2:$E$1917, Super_CBSA!$A$2:$A$1917), 2,FALSE), ""))</f>
        <v/>
      </c>
    </row>
    <row r="70" spans="1:7" ht="17">
      <c r="A70" s="1" t="s">
        <v>3215</v>
      </c>
      <c r="B70" s="2" t="s">
        <v>3216</v>
      </c>
      <c r="C70" s="2">
        <v>26</v>
      </c>
      <c r="D70" s="2">
        <v>662</v>
      </c>
      <c r="E70" s="3">
        <v>2581</v>
      </c>
      <c r="F70" s="4">
        <v>39506</v>
      </c>
      <c r="G70" s="11" t="str" cm="1">
        <f t="array" aca="1" ref="G70" ca="1">IFERROR(VLOOKUP("*" &amp; B70  &amp; "*" &amp; (MID(CELL("filename",A69),FIND("]",CELL("filename",A69))+1,31)) &amp; "*",CHOOSE({1,2}, Super_CBSA!$B$2:$B$1917, Super_CBSA!$A$2:$A$1917), 2,FALSE), IFERROR(VLOOKUP(B70  &amp; "*",CHOOSE({1,2}, Super_CBSA!$E$2:$E$1917, Super_CBSA!$A$2:$A$1917), 2,FALSE), ""))</f>
        <v/>
      </c>
    </row>
    <row r="71" spans="1:7" ht="17">
      <c r="A71" s="2" t="s">
        <v>56</v>
      </c>
      <c r="B71" s="2"/>
      <c r="C71" s="3">
        <v>10048</v>
      </c>
      <c r="D71" s="3">
        <v>325294</v>
      </c>
      <c r="E71" s="3">
        <v>1492861</v>
      </c>
      <c r="F71" s="4">
        <v>36148392</v>
      </c>
    </row>
  </sheetData>
  <hyperlinks>
    <hyperlink ref="A2" r:id="rId1" display="https://www.ahd.com/free_profile/25039F/81st_Medical_Group_-_Keesler_Medical_Center/Keesler_Air_Force_Base/Mississippi/" xr:uid="{660D98D3-F154-6440-A71A-68279037C6A5}"/>
    <hyperlink ref="A3" r:id="rId2" display="https://www.ahd.com/free_profile/250151/Alliance_Health_Center/Meridian/Mississippi/" xr:uid="{906ECF87-A056-BA43-AE03-31C06C4FD337}"/>
    <hyperlink ref="A4" r:id="rId3" display="https://www.ahd.com/free_profile/250012/Alliance_Hospital/Holly_Springs/Mississippi/" xr:uid="{18F101D3-60F8-2C48-806E-63251F1C15A8}"/>
    <hyperlink ref="A5" r:id="rId4" display="https://www.ahd.com/free_profile/250104/Anderson_Regional_Medical_Center_North/Meridian/Mississippi/" xr:uid="{1A2E8678-BA2A-F649-8D8D-64EEEC0BDC0A}"/>
    <hyperlink ref="A6" r:id="rId5" display="https://www.ahd.com/free_profile/250081/Anderson_Regional_Medical_Center_South/Meridian/Mississippi/" xr:uid="{2F297B7E-04CF-704D-BCE2-719708FB570F}"/>
    <hyperlink ref="A7" r:id="rId6" display="https://www.ahd.com/free_profile/250044/Baptist_Memorial_Hospital_-_Booneville/Booneville/Mississippi/" xr:uid="{3BF1DEDE-0F96-4647-A3A0-6B3F7A221FE7}"/>
    <hyperlink ref="A8" r:id="rId7" display="https://www.ahd.com/free_profile/250141/Baptist_Memorial_Hospital_-_DeSoto/Southaven/Mississippi/" xr:uid="{9D06EC84-1907-BC44-A858-ED62C01F0E1A}"/>
    <hyperlink ref="A9" r:id="rId8" display="https://www.ahd.com/free_profile/250100/Baptist_Memorial_Hospital_-_Golden_Triangle/Columbus/Mississippi/" xr:uid="{AD241CB7-A647-EB41-A3A0-2BB7ED0D267A}"/>
    <hyperlink ref="A10" r:id="rId9" display="https://www.ahd.com/free_profile/250034/Baptist_Memorial_Hospital_-_North_Mississippi/Oxford/Mississippi/" xr:uid="{5BA260B2-21A8-484B-ABD6-7D9FDACFD722}"/>
    <hyperlink ref="A11" r:id="rId10" display="https://www.ahd.com/free_profile/250006/Baptist_Memorial_Hospital_-_Union_County/New_Albany/Mississippi/" xr:uid="{43F8FBD4-445D-644E-BC10-724329FF4433}"/>
    <hyperlink ref="A12" r:id="rId11" display="https://www.ahd.com/free_profile/250049/Beacham_Memorial_Hospital/Magnolia/Mississippi/" xr:uid="{558B2D23-FBF8-D442-81C9-0B845C1427ED}"/>
    <hyperlink ref="A13" r:id="rId12" display="https://www.ahd.com/free_profile/250093/Bolivar_Medical_Center/Cleveland/Mississippi/" xr:uid="{61BADF12-A98A-DE40-86E8-FF514DDF57BC}"/>
    <hyperlink ref="A14" r:id="rId13" display="https://www.ahd.com/free_profile/250127/Choctaw_Hospital/Philadelphia/Mississippi/" xr:uid="{E8942A60-B16B-C44F-BEF4-E6F17BE2DF0B}"/>
    <hyperlink ref="A15" r:id="rId14" display="https://www.ahd.com/free_profile/I42128/Conerly_Critical_Care_Hospital/Jackson/Mississippi/" xr:uid="{B57BE16C-4462-E04E-8ED5-9D84AEE84DCE}"/>
    <hyperlink ref="A16" r:id="rId15" display="https://www.ahd.com/free_profile/250082/Delta_Regional_Medical_Center/Greenville/Mississippi/" xr:uid="{06DF3BEB-C3AB-F04A-84DF-12600E922187}"/>
    <hyperlink ref="A17" r:id="rId16" display="https://www.ahd.com/free_profile/250078/Forrest_General_Hospital/Hattiesburg/Mississippi/" xr:uid="{D136F128-DA3D-6F44-A0AA-E47F8B3D288F}"/>
    <hyperlink ref="A18" r:id="rId17" display="https://www.ahd.com/free_profile/25043F/GV_Sonny_Montgomery_VA_Medical_Center/Jackson/Mississippi/" xr:uid="{494C7E6B-49DE-1644-9B7A-C34190BF4379}"/>
    <hyperlink ref="A19" r:id="rId18" display="https://www.ahd.com/free_profile/250123/Garden_Park_Medical_Center/Gulfport/Mississippi/" xr:uid="{9F67F723-4521-0E49-A208-806208C24DC5}"/>
    <hyperlink ref="A20" r:id="rId19" display="https://www.ahd.com/free_profile/250036/George_Regional_Hospital/Lucedale/Mississippi/" xr:uid="{FD7272A9-A852-B243-94C8-9ABE7E611C59}"/>
    <hyperlink ref="A21" r:id="rId20" display="https://www.ahd.com/free_profile/250099/Greenwood_Leflore_Hospital/Greenwood/Mississippi/" xr:uid="{5A2C8223-3A27-7E4C-9B61-0192F4CDABC7}"/>
    <hyperlink ref="A22" r:id="rId21" display="https://www.ahd.com/free_profile/25040F/Gulf_Coast_Veterans_Health_Care_System/Biloxi/Mississippi/" xr:uid="{38EA24A7-6975-D04C-9056-6AD1EDFB63C5}"/>
    <hyperlink ref="A23" r:id="rId22" display="https://www.ahd.com/free_profile/250117/Highland_Community_Hospital/Picayune/Mississippi/" xr:uid="{542B98D9-6A9E-1F42-AB62-5585B1D7A314}"/>
    <hyperlink ref="A24" r:id="rId23" display="https://www.ahd.com/free_profile/250018/Jasper_General_Hospital/Bay_Springs/Mississippi/" xr:uid="{EC8D4BE2-4207-9546-9122-A3E0AD97492D}"/>
    <hyperlink ref="A25" r:id="rId24" display="https://www.ahd.com/free_profile/250060/Jefferson_Comprehensive_Health_Center/Fayette/Mississippi/" xr:uid="{C63EADA8-6EE4-7840-8143-B4197AD047D9}"/>
    <hyperlink ref="A26" r:id="rId25" display="https://www.ahd.com/free_profile/250057/King%27s_Daughters_Medical_Center/Brookhaven/Mississippi/" xr:uid="{DE544084-60E7-A842-BF22-BF08A1613F07}"/>
    <hyperlink ref="A27" r:id="rId26" display="https://www.ahd.com/free_profile/250124/Magee_General_Hospital/Magee/Mississippi/" xr:uid="{0DC74594-556D-014A-82B7-D8D53AD87686}"/>
    <hyperlink ref="A28" r:id="rId27" display="https://www.ahd.com/free_profile/250009/Magnolia_Regional_Health_Center/Corinth/Mississippi/" xr:uid="{46313F94-2043-0247-B4AF-6E2717C65376}"/>
    <hyperlink ref="A29" r:id="rId28" display="https://www.ahd.com/free_profile/250085/Marion_General_Hospital/Columbia/Mississippi/" xr:uid="{928D9E1B-B5AA-4D4B-BDC9-7D292493EC0B}"/>
    <hyperlink ref="A30" r:id="rId29" display="https://www.ahd.com/free_profile/250019/Memorial_Hospital_at_Gulfport/Gulfport/Mississippi/" xr:uid="{34A86E61-5DA0-BD40-A503-DBF7C7418384}"/>
    <hyperlink ref="A31" r:id="rId30" display="https://www.ahd.com/free_profile/250007/Merit_Health_Biloxi_/Biloxi/Mississippi/" xr:uid="{457CC5D3-8637-CC44-9140-23C6A01694AF}"/>
    <hyperlink ref="A32" r:id="rId31" display="https://www.ahd.com/free_profile/250072/Merit_Health_Central/Jackson/Mississippi/" xr:uid="{B11C0A72-2089-D244-A1A7-6CBD7588EC44}"/>
    <hyperlink ref="A33" r:id="rId32" display="https://www.ahd.com/free_profile/250038/Merit_Health_Madison/Canton/Mississippi/" xr:uid="{1B7079B5-45A7-294D-8082-D095B62BBEE2}"/>
    <hyperlink ref="A34" r:id="rId33" display="https://www.ahd.com/free_profile/250084/Merit_Health_Natchez_/Natchez/Mississippi/" xr:uid="{92763AF3-EA15-714F-A0D7-FFE8C1598F00}"/>
    <hyperlink ref="A35" r:id="rId34" display="https://www.ahd.com/free_profile/250096/Merit_Health_Rankin/Brandon/Mississippi/" xr:uid="{05B24411-9A73-5A49-895C-19E3AB47389C}"/>
    <hyperlink ref="A36" r:id="rId35" display="https://www.ahd.com/free_profile/250138/Merit_Health_River_Oaks/Flowood/Mississippi/" xr:uid="{DC588FCA-88F9-0248-ABC0-9D2E4BEF9A2C}"/>
    <hyperlink ref="A37" r:id="rId36" display="https://www.ahd.com/free_profile/250031/Merit_Health_River_Region/Vicksburg/Mississippi/" xr:uid="{7837BE23-7A7B-5B40-AE4D-8C8D574F4B79}"/>
    <hyperlink ref="A38" r:id="rId37" display="https://www.ahd.com/free_profile/250094/Merit_Health_Wesley/Hattiesburg/Mississippi/" xr:uid="{0D735522-8FDF-E646-BB2D-20863FC7FE2A}"/>
    <hyperlink ref="A39" r:id="rId38" display="https://www.ahd.com/free_profile/250136/Merit_Health_Woman%27s_Hospital/Jackson/Mississippi/" xr:uid="{BAC9C01B-615D-D642-AA29-FFF6C7122083}"/>
    <hyperlink ref="A40" r:id="rId39" display="https://www.ahd.com/free_profile/250167/Methodist_Olive_Branch_Hospital/Olive_Branch/Mississippi/" xr:uid="{5DF9C268-D282-A446-9AE3-C17FAD2A31FC}"/>
    <hyperlink ref="A41" r:id="rId40" display="https://www.ahd.com/free_profile/250152/Methodist_Rehabilitation_Center/Jackson/Mississippi/" xr:uid="{7B47DD4C-F1FD-5040-984C-CD8F95C11152}"/>
    <hyperlink ref="A42" r:id="rId41" display="https://www.ahd.com/free_profile/250102/Mississippi_Baptist_Medical_Center/Jackson/Mississippi/" xr:uid="{F76D7573-60FD-054B-AA4E-578B7125C6A7}"/>
    <hyperlink ref="A43" r:id="rId42" display="https://www.ahd.com/free_profile/250043/Neshoba_County_General_Hospital/Philadelphia/Mississippi/" xr:uid="{CB1AA2C2-9C5C-BD49-AA92-A6DDEEDEA443}"/>
    <hyperlink ref="A44" r:id="rId43" display="https://www.ahd.com/free_profile/250020/North_Mississippi_Medical_Center_-_Eupora/Eupora/Mississippi/" xr:uid="{24396E7A-29D2-5A40-A7A5-A7F642246A80}"/>
    <hyperlink ref="A45" r:id="rId44" display="https://www.ahd.com/free_profile/250002/North_Mississippi_Medical_Center_-_Iuka/Iuka/Mississippi/" xr:uid="{2492DF1D-8767-E64F-9657-CC767A8F6008}"/>
    <hyperlink ref="A46" r:id="rId45" display="https://www.ahd.com/free_profile/250004/North_Mississippi_Medical_Center_-_Tupelo/Tupelo/Mississippi/" xr:uid="{69A422C8-588D-8141-A202-46CB8C7E097E}"/>
    <hyperlink ref="A47" r:id="rId46" display="https://www.ahd.com/free_profile/250067/North_Mississippi_Medical_Center_-_West_Point/West_Point/Mississippi/" xr:uid="{33EA088D-0D85-1A49-B066-11E657C7A269}"/>
    <hyperlink ref="A48" r:id="rId47" display="https://www.ahd.com/free_profile/250025/North_Mississippi_Medical_Center_Gilmore_-_Amory/Amory/Mississippi/" xr:uid="{91BBD730-64C8-7A44-AB4C-B849C2AB007D}"/>
    <hyperlink ref="A49" r:id="rId48" display="https://www.ahd.com/free_profile/I42278/North_Mississippi_Medical_Center_Women%27s_Hospital/Tupelo/Mississippi/" xr:uid="{F4F0C7EF-013C-9F41-97FA-6615F482EA9B}"/>
    <hyperlink ref="A50" r:id="rId49" display="https://www.ahd.com/free_profile/250042/Northwest_Mississippi_Medical_Center/Clarksdale/Mississippi/" xr:uid="{C4C720ED-6F4F-0F48-A720-869CAC153CDF}"/>
    <hyperlink ref="A51" r:id="rId50" display="https://www.ahd.com/free_profile/I07872/Ocean_Springs_Hospital/Ocean_Springs/Mississippi/" xr:uid="{5943F69E-2663-F741-9EB3-A4C56C1C7507}"/>
    <hyperlink ref="A52" r:id="rId51" display="https://www.ahd.com/free_profile/250050/OCH_Regional_Medical_Center/Starkville/Mississippi/" xr:uid="{B2CD949E-7D58-D440-92EA-F130EFFE6D07}"/>
    <hyperlink ref="A53" r:id="rId52" display="https://www.ahd.com/free_profile/250162/Ochsner_Medical_Center_-_Hancock/Bay_Saint_Louis/Mississippi/" xr:uid="{21DAF5B1-C5E5-AC4A-8595-5224A7D3C1BA}"/>
    <hyperlink ref="A54" r:id="rId53" display="https://www.ahd.com/free_profile/250128/Panola_Medical_Center/Batesville/Mississippi/" xr:uid="{0C2405B4-DC5D-3040-9D8F-9476AE9EDC95}"/>
    <hyperlink ref="A55" r:id="rId54" display="https://www.ahd.com/free_profile/250040/Pascagoula_Hospital/Pascagoula/Mississippi/" xr:uid="{CA8D6931-87D4-0B48-A560-C14BE9CEBBDC}"/>
    <hyperlink ref="A56" r:id="rId55" display="https://www.ahd.com/free_profile/250163/Patients_Choice_Medical_Center_of_Smith_County/Raleigh/Mississippi/" xr:uid="{068BA03D-AC65-BD46-9146-837BC4FCA6E1}"/>
    <hyperlink ref="A57" r:id="rId56" display="https://www.ahd.com/free_profile/250069/Rush_Foundation_Hospital/Meridian/Mississippi/" xr:uid="{CABF96DF-4FF3-B04C-ACE8-8884784A2AA2}"/>
    <hyperlink ref="A58" r:id="rId57" display="https://www.ahd.com/free_profile/250048/Saint_Dominic_Hospital/Jackson/Mississippi/" xr:uid="{5166B926-972D-C943-90E5-269715CE888B}"/>
    <hyperlink ref="A59" r:id="rId58" display="https://www.ahd.com/free_profile/250058/South_Central_Regional_Medical_Center/Laurel/Mississippi/" xr:uid="{7AC86455-197B-8A4B-9684-0285803D6E25}"/>
    <hyperlink ref="A60" r:id="rId59" display="https://www.ahd.com/free_profile/250095/South_Sunflower_County_Hospital/Indianola/Mississippi/" xr:uid="{602D4D6E-864A-7545-9F1A-E4167CAD1C29}"/>
    <hyperlink ref="A61" r:id="rId60" display="https://www.ahd.com/free_profile/250097/Southwest_Mississippi_Regional_Medical_Center/McComb/Mississippi/" xr:uid="{037289E0-F8BA-4246-8825-CEF202F47114}"/>
    <hyperlink ref="A62" r:id="rId61" display="https://www.ahd.com/free_profile/250017/Trace_Regional_Hospital/Houston/Mississippi/" xr:uid="{C5DFCBEF-010C-2649-BB73-B74ADC6B82DA}"/>
    <hyperlink ref="A63" r:id="rId62" display="https://www.ahd.com/free_profile/250168/UMMC_Grenada/Grenada/Mississippi/" xr:uid="{D6DBF4ED-C2F5-0849-A658-9C5278C0FD33}"/>
    <hyperlink ref="A64" r:id="rId63" display="https://www.ahd.com/free_profile/250001/University_of_Mississippi_Medical_Center/Jackson/Mississippi/" xr:uid="{0DDAB12B-76F4-3F46-9F67-2D34DBCCDB85}"/>
    <hyperlink ref="A65" r:id="rId64" display="https://www.ahd.com/free_profile/250077/Wayne_General_Hospital/Waynesboro/Mississippi/" xr:uid="{885F7AA3-4394-5E41-8CB1-BE4F57AF3302}"/>
    <hyperlink ref="A66" r:id="rId65" display="https://www.ahd.com/free_profile/250120/West_Campus_of_Delta_Regional_Medical_Center/Greenville/Mississippi/" xr:uid="{36E78AC6-B211-1843-94BE-82B97EF3E2AF}"/>
    <hyperlink ref="A67" r:id="rId66" display="https://www.ahd.com/free_profile/250134/Whitfield_Medical_Surgical_Hospital/Whitfield/Mississippi/" xr:uid="{A673A74C-59E1-D54B-ACF9-ABCDF2E76D9F}"/>
    <hyperlink ref="A68" r:id="rId67" display="https://www.ahd.com/free_profile/I42126/Winfred_L_Wiser_Hospital_for_Women_and_Infants/Jackson_/Mississippi/" xr:uid="{8BE5C01A-E92B-7740-A444-2BF845F99032}"/>
    <hyperlink ref="A69" r:id="rId68" display="https://www.ahd.com/free_profile/250027/Winston_Medical_Center/Louisville/Mississippi/" xr:uid="{17312FFD-F22B-E74C-A02F-354EAE256429}"/>
    <hyperlink ref="A70" r:id="rId69" display="https://www.ahd.com/free_profile/250061/Yalobusha_General_Hospital/Water_Valley/Mississippi/" xr:uid="{E993CB2D-BF97-5F4E-814A-9F8D5E123D49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0AAC2-69FB-BE41-8A6E-6D4D41A9B4A7}">
  <sheetPr codeName="Sheet28"/>
  <dimension ref="A1:G19"/>
  <sheetViews>
    <sheetView workbookViewId="0">
      <selection activeCell="G2" sqref="G2:G18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3217</v>
      </c>
      <c r="B2" s="2" t="s">
        <v>3218</v>
      </c>
      <c r="C2" s="2">
        <v>478</v>
      </c>
      <c r="D2" s="3">
        <v>9884</v>
      </c>
      <c r="E2" s="3">
        <v>43067</v>
      </c>
      <c r="F2" s="4">
        <v>1034338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"*",CHOOSE({1,2}, Super_CBSA!$E$2:$E$1917, Super_CBSA!$A$2:$A$1917), 2,FALSE), ""))</f>
        <v>24500</v>
      </c>
    </row>
    <row r="3" spans="1:7" ht="17">
      <c r="A3" s="1" t="s">
        <v>3219</v>
      </c>
      <c r="B3" s="2" t="s">
        <v>3218</v>
      </c>
      <c r="C3" s="2">
        <v>0</v>
      </c>
      <c r="D3" s="2">
        <v>0</v>
      </c>
      <c r="E3" s="2">
        <v>0</v>
      </c>
      <c r="F3" s="4">
        <v>0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"*",CHOOSE({1,2}, Super_CBSA!$E$2:$E$1917, Super_CBSA!$A$2:$A$1917), 2,FALSE), ""))</f>
        <v>24500</v>
      </c>
    </row>
    <row r="4" spans="1:7" ht="17">
      <c r="A4" s="1" t="s">
        <v>3220</v>
      </c>
      <c r="B4" s="2" t="s">
        <v>3221</v>
      </c>
      <c r="C4" s="2">
        <v>301</v>
      </c>
      <c r="D4" s="3">
        <v>15822</v>
      </c>
      <c r="E4" s="3">
        <v>78049</v>
      </c>
      <c r="F4" s="4">
        <v>1429346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"*",CHOOSE({1,2}, Super_CBSA!$E$2:$E$1917, Super_CBSA!$A$2:$A$1917), 2,FALSE), ""))</f>
        <v>13740</v>
      </c>
    </row>
    <row r="5" spans="1:7" ht="17">
      <c r="A5" s="1" t="s">
        <v>3222</v>
      </c>
      <c r="B5" s="2" t="s">
        <v>3223</v>
      </c>
      <c r="C5" s="2">
        <v>26</v>
      </c>
      <c r="D5" s="2">
        <v>491</v>
      </c>
      <c r="E5" s="3">
        <v>1958</v>
      </c>
      <c r="F5" s="4">
        <v>0</v>
      </c>
      <c r="G5" s="11" t="str" cm="1">
        <f t="array" aca="1" ref="G5" ca="1">IFERROR(VLOOKUP("*" &amp; B5  &amp; "*" &amp; (MID(CELL("filename",A4),FIND("]",CELL("filename",A4))+1,31)) &amp; "*",CHOOSE({1,2}, Super_CBSA!$B$2:$B$1917, Super_CBSA!$A$2:$A$1917), 2,FALSE), IFERROR(VLOOKUP(B5  &amp; "*",CHOOSE({1,2}, Super_CBSA!$E$2:$E$1917, Super_CBSA!$A$2:$A$1917), 2,FALSE), ""))</f>
        <v/>
      </c>
    </row>
    <row r="6" spans="1:7" ht="17">
      <c r="A6" s="1" t="s">
        <v>3224</v>
      </c>
      <c r="B6" s="2" t="s">
        <v>3225</v>
      </c>
      <c r="C6" s="2">
        <v>4</v>
      </c>
      <c r="D6" s="2">
        <v>48</v>
      </c>
      <c r="E6" s="2">
        <v>83</v>
      </c>
      <c r="F6" s="4">
        <v>11673</v>
      </c>
      <c r="G6" s="11" t="str" cm="1">
        <f t="array" aca="1" ref="G6" ca="1">IFERROR(VLOOKUP("*" &amp; B6  &amp; "*" &amp; (MID(CELL("filename",A5),FIND("]",CELL("filename",A5))+1,31)) &amp; "*",CHOOSE({1,2}, Super_CBSA!$B$2:$B$1917, Super_CBSA!$A$2:$A$1917), 2,FALSE), IFERROR(VLOOKUP(B6  &amp; "*",CHOOSE({1,2}, Super_CBSA!$E$2:$E$1917, Super_CBSA!$A$2:$A$1917), 2,FALSE), ""))</f>
        <v/>
      </c>
    </row>
    <row r="7" spans="1:7" ht="17">
      <c r="A7" s="1" t="s">
        <v>3226</v>
      </c>
      <c r="B7" s="2" t="s">
        <v>3227</v>
      </c>
      <c r="C7" s="2">
        <v>83</v>
      </c>
      <c r="D7" s="3">
        <v>7039</v>
      </c>
      <c r="E7" s="3">
        <v>22168</v>
      </c>
      <c r="F7" s="4">
        <v>524931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"*",CHOOSE({1,2}, Super_CBSA!$E$2:$E$1917, Super_CBSA!$A$2:$A$1917), 2,FALSE), ""))</f>
        <v>14580</v>
      </c>
    </row>
    <row r="8" spans="1:7" ht="17">
      <c r="A8" s="1" t="s">
        <v>3228</v>
      </c>
      <c r="B8" s="2" t="s">
        <v>3229</v>
      </c>
      <c r="C8" s="2">
        <v>151</v>
      </c>
      <c r="D8" s="3">
        <v>4490</v>
      </c>
      <c r="E8" s="3">
        <v>20936</v>
      </c>
      <c r="F8" s="4">
        <v>365069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"*",CHOOSE({1,2}, Super_CBSA!$E$2:$E$1917, Super_CBSA!$A$2:$A$1917), 2,FALSE), ""))</f>
        <v>33540</v>
      </c>
    </row>
    <row r="9" spans="1:7" ht="17">
      <c r="A9" s="1" t="s">
        <v>3230</v>
      </c>
      <c r="B9" s="2" t="s">
        <v>3218</v>
      </c>
      <c r="C9" s="2">
        <v>20</v>
      </c>
      <c r="D9" s="3">
        <v>1274</v>
      </c>
      <c r="E9" s="3">
        <v>3817</v>
      </c>
      <c r="F9" s="4">
        <v>172348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"*",CHOOSE({1,2}, Super_CBSA!$E$2:$E$1917, Super_CBSA!$A$2:$A$1917), 2,FALSE), ""))</f>
        <v>24500</v>
      </c>
    </row>
    <row r="10" spans="1:7" ht="17">
      <c r="A10" s="1" t="s">
        <v>3231</v>
      </c>
      <c r="B10" s="2" t="s">
        <v>3232</v>
      </c>
      <c r="C10" s="2">
        <v>288</v>
      </c>
      <c r="D10" s="3">
        <v>8928</v>
      </c>
      <c r="E10" s="3">
        <v>41170</v>
      </c>
      <c r="F10" s="4">
        <v>832422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"*",CHOOSE({1,2}, Super_CBSA!$E$2:$E$1917, Super_CBSA!$A$2:$A$1917), 2,FALSE), ""))</f>
        <v>28060</v>
      </c>
    </row>
    <row r="11" spans="1:7" ht="17">
      <c r="A11" s="1" t="s">
        <v>3233</v>
      </c>
      <c r="B11" s="2" t="s">
        <v>3232</v>
      </c>
      <c r="C11" s="2">
        <v>0</v>
      </c>
      <c r="D11" s="2">
        <v>0</v>
      </c>
      <c r="E11" s="2">
        <v>0</v>
      </c>
      <c r="F11" s="4">
        <v>0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"*",CHOOSE({1,2}, Super_CBSA!$E$2:$E$1917, Super_CBSA!$A$2:$A$1917), 2,FALSE), ""))</f>
        <v>28060</v>
      </c>
    </row>
    <row r="12" spans="1:7" ht="17">
      <c r="A12" s="1" t="s">
        <v>3234</v>
      </c>
      <c r="B12" s="2" t="s">
        <v>3235</v>
      </c>
      <c r="C12" s="2">
        <v>184</v>
      </c>
      <c r="D12" s="3">
        <v>1129</v>
      </c>
      <c r="E12" s="3">
        <v>3612</v>
      </c>
      <c r="F12" s="4">
        <v>137784</v>
      </c>
      <c r="G12" s="11" t="str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"*",CHOOSE({1,2}, Super_CBSA!$E$2:$E$1917, Super_CBSA!$A$2:$A$1917), 2,FALSE), ""))</f>
        <v/>
      </c>
    </row>
    <row r="13" spans="1:7" ht="17">
      <c r="A13" s="1" t="s">
        <v>3236</v>
      </c>
      <c r="B13" s="2" t="s">
        <v>3229</v>
      </c>
      <c r="C13" s="2">
        <v>188</v>
      </c>
      <c r="D13" s="3">
        <v>9651</v>
      </c>
      <c r="E13" s="3">
        <v>40779</v>
      </c>
      <c r="F13" s="4">
        <v>761428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"*",CHOOSE({1,2}, Super_CBSA!$E$2:$E$1917, Super_CBSA!$A$2:$A$1917), 2,FALSE), ""))</f>
        <v>33540</v>
      </c>
    </row>
    <row r="14" spans="1:7" ht="17">
      <c r="A14" s="1" t="s">
        <v>3237</v>
      </c>
      <c r="B14" s="2" t="s">
        <v>3221</v>
      </c>
      <c r="C14" s="2">
        <v>256</v>
      </c>
      <c r="D14" s="3">
        <v>15762</v>
      </c>
      <c r="E14" s="3">
        <v>50841</v>
      </c>
      <c r="F14" s="4">
        <v>1241031</v>
      </c>
      <c r="G14" s="11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"*",CHOOSE({1,2}, Super_CBSA!$E$2:$E$1917, Super_CBSA!$A$2:$A$1917), 2,FALSE), ""))</f>
        <v>13740</v>
      </c>
    </row>
    <row r="15" spans="1:7" ht="17">
      <c r="A15" s="1" t="s">
        <v>3238</v>
      </c>
      <c r="B15" s="2" t="s">
        <v>3239</v>
      </c>
      <c r="C15" s="2">
        <v>71</v>
      </c>
      <c r="D15" s="3">
        <v>3623</v>
      </c>
      <c r="E15" s="3">
        <v>14831</v>
      </c>
      <c r="F15" s="4">
        <v>347078</v>
      </c>
      <c r="G15" s="11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"*",CHOOSE({1,2}, Super_CBSA!$E$2:$E$1917, Super_CBSA!$A$2:$A$1917), 2,FALSE), ""))</f>
        <v>15580</v>
      </c>
    </row>
    <row r="16" spans="1:7" ht="17">
      <c r="A16" s="1" t="s">
        <v>3240</v>
      </c>
      <c r="B16" s="2" t="s">
        <v>280</v>
      </c>
      <c r="C16" s="2">
        <v>125</v>
      </c>
      <c r="D16" s="3">
        <v>7371</v>
      </c>
      <c r="E16" s="3">
        <v>21779</v>
      </c>
      <c r="F16" s="4">
        <v>456053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"*",CHOOSE({1,2}, Super_CBSA!$E$2:$E$1917, Super_CBSA!$A$2:$A$1917), 2,FALSE), ""))</f>
        <v>25740</v>
      </c>
    </row>
    <row r="17" spans="1:7" ht="17">
      <c r="A17" s="1" t="s">
        <v>3241</v>
      </c>
      <c r="B17" s="2" t="s">
        <v>3232</v>
      </c>
      <c r="C17" s="2">
        <v>27</v>
      </c>
      <c r="D17" s="2">
        <v>463</v>
      </c>
      <c r="E17" s="3">
        <v>1258</v>
      </c>
      <c r="F17" s="4">
        <v>179997</v>
      </c>
      <c r="G17" s="11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"*",CHOOSE({1,2}, Super_CBSA!$E$2:$E$1917, Super_CBSA!$A$2:$A$1917), 2,FALSE), ""))</f>
        <v>28060</v>
      </c>
    </row>
    <row r="18" spans="1:7" ht="17">
      <c r="A18" s="1" t="s">
        <v>3242</v>
      </c>
      <c r="B18" s="2" t="s">
        <v>3243</v>
      </c>
      <c r="C18" s="2">
        <v>0</v>
      </c>
      <c r="D18" s="2">
        <v>0</v>
      </c>
      <c r="E18" s="2">
        <v>0</v>
      </c>
      <c r="F18" s="4">
        <v>0</v>
      </c>
      <c r="G18" s="11" t="str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"*",CHOOSE({1,2}, Super_CBSA!$E$2:$E$1917, Super_CBSA!$A$2:$A$1917), 2,FALSE), ""))</f>
        <v/>
      </c>
    </row>
    <row r="19" spans="1:7" ht="17">
      <c r="A19" s="2" t="s">
        <v>56</v>
      </c>
      <c r="B19" s="2"/>
      <c r="C19" s="3">
        <v>2202</v>
      </c>
      <c r="D19" s="3">
        <v>85975</v>
      </c>
      <c r="E19" s="3">
        <v>344348</v>
      </c>
      <c r="F19" s="4">
        <v>7493498</v>
      </c>
    </row>
  </sheetData>
  <hyperlinks>
    <hyperlink ref="A2" r:id="rId1" display="https://www.ahd.com/free_profile/270012/Benefis_East_Campus/Great_Falls/Montana/" xr:uid="{9616232E-E60E-C14C-A685-CD6496BD2B4B}"/>
    <hyperlink ref="A3" r:id="rId2" display="https://www.ahd.com/free_profile/I41494/Benefis_Healthcare_-_West_Campus/Great_Falls/Montana/" xr:uid="{70C40C91-E7A1-9848-9619-CEDF3DAC6C0C}"/>
    <hyperlink ref="A4" r:id="rId3" display="https://www.ahd.com/free_profile/270004/Billings_Clinic_Hospital/Billings/Montana/" xr:uid="{FE441D60-0B96-D842-8125-F9A95B630A0E}"/>
    <hyperlink ref="A5" r:id="rId4" display="https://www.ahd.com/free_profile/270074/Blackfeet_Community_Hospital/Browning/Montana/" xr:uid="{1B4EE68F-D0E3-8A4D-9282-A146EBC1184D}"/>
    <hyperlink ref="A6" r:id="rId5" display="https://www.ahd.com/free_profile/270089/Bozeman_Health_Big_Sky_Medical_Center/Big_Sky/Montana/" xr:uid="{C38F45DE-96CB-3E4F-BBE1-AD6221E3E09F}"/>
    <hyperlink ref="A7" r:id="rId6" display="https://www.ahd.com/free_profile/270057/Bozeman_Health_Deaconess_Hospital/Bozeman/Montana/" xr:uid="{9935DFA4-1BD1-0F4E-B6F6-A44A211CD98B}"/>
    <hyperlink ref="A8" r:id="rId7" display="https://www.ahd.com/free_profile/270023/Community_Medical_Center/Missoula/Montana/" xr:uid="{62375A7B-F203-0444-AC42-A8A42E014AEB}"/>
    <hyperlink ref="A9" r:id="rId8" display="https://www.ahd.com/free_profile/270086/Great_Falls_Clinic_Hospital/Great_Falls/Montana/" xr:uid="{5105BDCF-1CAB-964A-BBC6-FE8CBD6CE9CC}"/>
    <hyperlink ref="A10" r:id="rId9" display="https://www.ahd.com/free_profile/270051/Kalispell_Regional_Medical_Center/Kalispell/Montana/" xr:uid="{23770CCC-B133-DA4B-B5A6-FD4C9667E027}"/>
    <hyperlink ref="A11" r:id="rId10" display="https://www.ahd.com/free_profile/I42344/Montana_Children%27s_Medical_Center/Kalispell/Montana/" xr:uid="{0960CC9A-F29D-2A46-8614-5229985D0433}"/>
    <hyperlink ref="A12" r:id="rId11" display="https://www.ahd.com/free_profile/270032/Northern_Montana_Hospital/Havre/Montana/" xr:uid="{C7791040-2722-C44E-A096-B5231EE1639A}"/>
    <hyperlink ref="A13" r:id="rId12" display="https://www.ahd.com/free_profile/270014/Providence_Saint_Patrick_Hospital_/Missoula/Montana/" xr:uid="{1CED3FCC-D60D-3042-B8AB-EDEEAA336DB4}"/>
    <hyperlink ref="A14" r:id="rId13" display="https://www.ahd.com/free_profile/270049/Saint_Vincent_Healthcare/Billings/Montana/" xr:uid="{3D7A4CF7-C3E5-6C41-A99B-3C53A5BD2326}"/>
    <hyperlink ref="A15" r:id="rId14" display="https://www.ahd.com/free_profile/270017/St_James_Healthcare/Butte/Montana/" xr:uid="{00B8C166-9F54-6048-9BA6-EA9224F29F33}"/>
    <hyperlink ref="A16" r:id="rId15" display="https://www.ahd.com/free_profile/270003/St_Peter%27s_Health_Regional_Medical_Center/Helena/Montana/" xr:uid="{3D2CC6AF-17B8-A34A-9014-C80D0D46BBD1}"/>
    <hyperlink ref="A17" r:id="rId16" display="https://www.ahd.com/free_profile/270087/The_HealthCenter/Kalispell/Montana/" xr:uid="{E33469B0-154F-6C44-8731-42D3909713A0}"/>
    <hyperlink ref="A18" r:id="rId17" display="https://www.ahd.com/free_profile/270196/VA_Medical_Center_and_Ambulatory_Care_Clinic/Fort_Harrison/Montana/" xr:uid="{E8E6011F-BEFD-9F4A-9BF9-9464DD7E5DE4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7AD5F-6C23-C64B-B4D5-F57E39A9CDCC}">
  <sheetPr codeName="Sheet29"/>
  <dimension ref="A1:G110"/>
  <sheetViews>
    <sheetView workbookViewId="0">
      <selection activeCell="G2" sqref="G2:G109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3244</v>
      </c>
      <c r="B2" s="2" t="s">
        <v>3245</v>
      </c>
      <c r="C2" s="2">
        <v>98</v>
      </c>
      <c r="D2" s="3">
        <v>3375</v>
      </c>
      <c r="E2" s="3">
        <v>14009</v>
      </c>
      <c r="F2" s="4">
        <v>572223</v>
      </c>
      <c r="G2" s="11" t="str" cm="1">
        <f t="array" aca="1" ref="G2" ca="1">IFERROR(VLOOKUP("*" &amp; B2  &amp; "*" &amp; (MID(CELL("filename",A1),FIND("]",CELL("filename",A1))+1,31)) &amp; "*",CHOOSE({1,2}, Super_CBSA!$B$2:$B$1917, Super_CBSA!$A$2:$A$1917), 2,FALSE), IFERROR(VLOOKUP(B2  &amp; " city",CHOOSE({1,2}, Super_CBSA!$E$2:$E$1917, Super_CBSA!$A$2:$A$1917), 2,FALSE), ""))</f>
        <v/>
      </c>
    </row>
    <row r="3" spans="1:7" ht="17">
      <c r="A3" s="1" t="s">
        <v>3246</v>
      </c>
      <c r="B3" s="2" t="s">
        <v>2574</v>
      </c>
      <c r="C3" s="2">
        <v>212</v>
      </c>
      <c r="D3" s="3">
        <v>10818</v>
      </c>
      <c r="E3" s="3">
        <v>38961</v>
      </c>
      <c r="F3" s="4">
        <v>840268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 city",CHOOSE({1,2}, Super_CBSA!$E$2:$E$1917, Super_CBSA!$A$2:$A$1917), 2,FALSE), ""))</f>
        <v>15500</v>
      </c>
    </row>
    <row r="4" spans="1:7" ht="17">
      <c r="A4" s="1" t="s">
        <v>3247</v>
      </c>
      <c r="B4" s="2" t="s">
        <v>3248</v>
      </c>
      <c r="C4" s="2">
        <v>15</v>
      </c>
      <c r="D4" s="2">
        <v>341</v>
      </c>
      <c r="E4" s="2">
        <v>750</v>
      </c>
      <c r="F4" s="4">
        <v>89101</v>
      </c>
      <c r="G4" s="11" t="str" cm="1">
        <f t="array" aca="1" ref="G4" ca="1">IFERROR(VLOOKUP("*" &amp; B4  &amp; "*" &amp; (MID(CELL("filename",A3),FIND("]",CELL("filename",A3))+1,31)) &amp; "*",CHOOSE({1,2}, Super_CBSA!$B$2:$B$1917, Super_CBSA!$A$2:$A$1917), 2,FALSE), IFERROR(VLOOKUP(B4  &amp; " city",CHOOSE({1,2}, Super_CBSA!$E$2:$E$1917, Super_CBSA!$A$2:$A$1917), 2,FALSE), ""))</f>
        <v/>
      </c>
    </row>
    <row r="5" spans="1:7" ht="17">
      <c r="A5" s="1" t="s">
        <v>3249</v>
      </c>
      <c r="B5" s="2" t="s">
        <v>539</v>
      </c>
      <c r="C5" s="2">
        <v>457</v>
      </c>
      <c r="D5" s="3">
        <v>25750</v>
      </c>
      <c r="E5" s="3">
        <v>110544</v>
      </c>
      <c r="F5" s="4">
        <v>2381292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 city",CHOOSE({1,2}, Super_CBSA!$E$2:$E$1917, Super_CBSA!$A$2:$A$1917), 2,FALSE), ""))</f>
        <v>16740</v>
      </c>
    </row>
    <row r="6" spans="1:7" ht="17">
      <c r="A6" s="1" t="s">
        <v>3250</v>
      </c>
      <c r="B6" s="2" t="s">
        <v>3251</v>
      </c>
      <c r="C6" s="2">
        <v>241</v>
      </c>
      <c r="D6" s="3">
        <v>8653</v>
      </c>
      <c r="E6" s="3">
        <v>35584</v>
      </c>
      <c r="F6" s="4">
        <v>933967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 city",CHOOSE({1,2}, Super_CBSA!$E$2:$E$1917, Super_CBSA!$A$2:$A$1917), 2,FALSE), ""))</f>
        <v>43140</v>
      </c>
    </row>
    <row r="7" spans="1:7" ht="17">
      <c r="A7" s="1" t="s">
        <v>3252</v>
      </c>
      <c r="B7" s="2" t="s">
        <v>3253</v>
      </c>
      <c r="C7" s="2">
        <v>62</v>
      </c>
      <c r="D7" s="3">
        <v>1717</v>
      </c>
      <c r="E7" s="3">
        <v>7226</v>
      </c>
      <c r="F7" s="4">
        <v>220434</v>
      </c>
      <c r="G7" s="11" t="str" cm="1">
        <f t="array" aca="1" ref="G7" ca="1">IFERROR(VLOOKUP("*" &amp; B7  &amp; "*" &amp; (MID(CELL("filename",A6),FIND("]",CELL("filename",A6))+1,31)) &amp; "*",CHOOSE({1,2}, Super_CBSA!$B$2:$B$1917, Super_CBSA!$A$2:$A$1917), 2,FALSE), IFERROR(VLOOKUP(B7  &amp; " city",CHOOSE({1,2}, Super_CBSA!$E$2:$E$1917, Super_CBSA!$A$2:$A$1917), 2,FALSE), ""))</f>
        <v/>
      </c>
    </row>
    <row r="8" spans="1:7" ht="17">
      <c r="A8" s="1" t="s">
        <v>3254</v>
      </c>
      <c r="B8" s="2" t="s">
        <v>3255</v>
      </c>
      <c r="C8" s="2">
        <v>101</v>
      </c>
      <c r="D8" s="3">
        <v>4571</v>
      </c>
      <c r="E8" s="3">
        <v>19725</v>
      </c>
      <c r="F8" s="4">
        <v>571654</v>
      </c>
      <c r="G8" s="11" t="str" cm="1">
        <f t="array" aca="1" ref="G8" ca="1">IFERROR(VLOOKUP("*" &amp; B8  &amp; "*" &amp; (MID(CELL("filename",A7),FIND("]",CELL("filename",A7))+1,31)) &amp; "*",CHOOSE({1,2}, Super_CBSA!$B$2:$B$1917, Super_CBSA!$A$2:$A$1917), 2,FALSE), IFERROR(VLOOKUP(B8  &amp; " city",CHOOSE({1,2}, Super_CBSA!$E$2:$E$1917, Super_CBSA!$A$2:$A$1917), 2,FALSE), ""))</f>
        <v/>
      </c>
    </row>
    <row r="9" spans="1:7" ht="17">
      <c r="A9" s="1" t="s">
        <v>3256</v>
      </c>
      <c r="B9" s="2" t="s">
        <v>3257</v>
      </c>
      <c r="C9" s="2">
        <v>0</v>
      </c>
      <c r="D9" s="2">
        <v>0</v>
      </c>
      <c r="E9" s="2">
        <v>0</v>
      </c>
      <c r="F9" s="4">
        <v>0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 city",CHOOSE({1,2}, Super_CBSA!$E$2:$E$1917, Super_CBSA!$A$2:$A$1917), 2,FALSE), ""))</f>
        <v>16740</v>
      </c>
    </row>
    <row r="10" spans="1:7" ht="17">
      <c r="A10" s="1" t="s">
        <v>3258</v>
      </c>
      <c r="B10" s="2" t="s">
        <v>3257</v>
      </c>
      <c r="C10" s="2">
        <v>250</v>
      </c>
      <c r="D10" s="3">
        <v>16914</v>
      </c>
      <c r="E10" s="3">
        <v>71440</v>
      </c>
      <c r="F10" s="4">
        <v>1700785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 city",CHOOSE({1,2}, Super_CBSA!$E$2:$E$1917, Super_CBSA!$A$2:$A$1917), 2,FALSE), ""))</f>
        <v>16740</v>
      </c>
    </row>
    <row r="11" spans="1:7" ht="17">
      <c r="A11" s="1" t="s">
        <v>3259</v>
      </c>
      <c r="B11" s="2" t="s">
        <v>3260</v>
      </c>
      <c r="C11" s="2">
        <v>109</v>
      </c>
      <c r="D11" s="3">
        <v>3313</v>
      </c>
      <c r="E11" s="3">
        <v>12279</v>
      </c>
      <c r="F11" s="4">
        <v>404346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 city",CHOOSE({1,2}, Super_CBSA!$E$2:$E$1917, Super_CBSA!$A$2:$A$1917), 2,FALSE), ""))</f>
        <v>10620</v>
      </c>
    </row>
    <row r="12" spans="1:7" ht="17">
      <c r="A12" s="1" t="s">
        <v>3261</v>
      </c>
      <c r="B12" s="2" t="s">
        <v>1624</v>
      </c>
      <c r="C12" s="2">
        <v>252</v>
      </c>
      <c r="D12" s="3">
        <v>8954</v>
      </c>
      <c r="E12" s="3">
        <v>35302</v>
      </c>
      <c r="F12" s="4">
        <v>990848</v>
      </c>
      <c r="G12" s="11" t="str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 city",CHOOSE({1,2}, Super_CBSA!$E$2:$E$1917, Super_CBSA!$A$2:$A$1917), 2,FALSE), ""))</f>
        <v/>
      </c>
    </row>
    <row r="13" spans="1:7" ht="17">
      <c r="A13" s="1" t="s">
        <v>3262</v>
      </c>
      <c r="B13" s="2" t="s">
        <v>3257</v>
      </c>
      <c r="C13" s="2">
        <v>100</v>
      </c>
      <c r="D13" s="3">
        <v>6968</v>
      </c>
      <c r="E13" s="3">
        <v>29611</v>
      </c>
      <c r="F13" s="4">
        <v>946276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 city",CHOOSE({1,2}, Super_CBSA!$E$2:$E$1917, Super_CBSA!$A$2:$A$1917), 2,FALSE), ""))</f>
        <v>16740</v>
      </c>
    </row>
    <row r="14" spans="1:7" ht="17">
      <c r="A14" s="1" t="s">
        <v>3263</v>
      </c>
      <c r="B14" s="2" t="s">
        <v>3264</v>
      </c>
      <c r="C14" s="2">
        <v>126</v>
      </c>
      <c r="D14" s="3">
        <v>5514</v>
      </c>
      <c r="E14" s="3">
        <v>18729</v>
      </c>
      <c r="F14" s="4">
        <v>410244</v>
      </c>
      <c r="G14" s="11" t="str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 city",CHOOSE({1,2}, Super_CBSA!$E$2:$E$1917, Super_CBSA!$A$2:$A$1917), 2,FALSE), ""))</f>
        <v/>
      </c>
    </row>
    <row r="15" spans="1:7" ht="17">
      <c r="A15" s="1" t="s">
        <v>3265</v>
      </c>
      <c r="B15" s="2" t="s">
        <v>3266</v>
      </c>
      <c r="C15" s="2">
        <v>0</v>
      </c>
      <c r="D15" s="2">
        <v>0</v>
      </c>
      <c r="E15" s="2">
        <v>0</v>
      </c>
      <c r="F15" s="4">
        <v>0</v>
      </c>
      <c r="G15" s="11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 city",CHOOSE({1,2}, Super_CBSA!$E$2:$E$1917, Super_CBSA!$A$2:$A$1917), 2,FALSE), ""))</f>
        <v>49180</v>
      </c>
    </row>
    <row r="16" spans="1:7" ht="17">
      <c r="A16" s="1" t="s">
        <v>2382</v>
      </c>
      <c r="B16" s="2" t="s">
        <v>3267</v>
      </c>
      <c r="C16" s="2">
        <v>110</v>
      </c>
      <c r="D16" s="3">
        <v>4338</v>
      </c>
      <c r="E16" s="3">
        <v>20350</v>
      </c>
      <c r="F16" s="4">
        <v>381562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 city",CHOOSE({1,2}, Super_CBSA!$E$2:$E$1917, Super_CBSA!$A$2:$A$1917), 2,FALSE), ""))</f>
        <v>25860</v>
      </c>
    </row>
    <row r="17" spans="1:7" ht="17">
      <c r="A17" s="1" t="s">
        <v>3268</v>
      </c>
      <c r="B17" s="2" t="s">
        <v>3269</v>
      </c>
      <c r="C17" s="2">
        <v>41</v>
      </c>
      <c r="D17" s="3">
        <v>1491</v>
      </c>
      <c r="E17" s="3">
        <v>4094</v>
      </c>
      <c r="F17" s="4">
        <v>175006</v>
      </c>
      <c r="G17" s="11" t="str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 city",CHOOSE({1,2}, Super_CBSA!$E$2:$E$1917, Super_CBSA!$A$2:$A$1917), 2,FALSE), ""))</f>
        <v/>
      </c>
    </row>
    <row r="18" spans="1:7" ht="17">
      <c r="A18" s="1" t="s">
        <v>3270</v>
      </c>
      <c r="B18" s="2" t="s">
        <v>236</v>
      </c>
      <c r="C18" s="2">
        <v>647</v>
      </c>
      <c r="D18" s="3">
        <v>35994</v>
      </c>
      <c r="E18" s="3">
        <v>184305</v>
      </c>
      <c r="F18" s="4">
        <v>2719280</v>
      </c>
      <c r="G18" s="11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 city",CHOOSE({1,2}, Super_CBSA!$E$2:$E$1917, Super_CBSA!$A$2:$A$1917), 2,FALSE), ""))</f>
        <v>22180</v>
      </c>
    </row>
    <row r="19" spans="1:7" ht="17">
      <c r="A19" s="1" t="s">
        <v>3271</v>
      </c>
      <c r="B19" s="2" t="s">
        <v>3272</v>
      </c>
      <c r="C19" s="2">
        <v>307</v>
      </c>
      <c r="D19" s="3">
        <v>13714</v>
      </c>
      <c r="E19" s="3">
        <v>67149</v>
      </c>
      <c r="F19" s="4">
        <v>1290311</v>
      </c>
      <c r="G19" s="11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 city",CHOOSE({1,2}, Super_CBSA!$E$2:$E$1917, Super_CBSA!$A$2:$A$1917), 2,FALSE), ""))</f>
        <v>35100</v>
      </c>
    </row>
    <row r="20" spans="1:7" ht="17">
      <c r="A20" s="1" t="s">
        <v>3273</v>
      </c>
      <c r="B20" s="2" t="s">
        <v>3274</v>
      </c>
      <c r="C20" s="2">
        <v>156</v>
      </c>
      <c r="D20" s="3">
        <v>6994</v>
      </c>
      <c r="E20" s="3">
        <v>28897</v>
      </c>
      <c r="F20" s="4">
        <v>891733</v>
      </c>
      <c r="G20" s="11" t="str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 city",CHOOSE({1,2}, Super_CBSA!$E$2:$E$1917, Super_CBSA!$A$2:$A$1917), 2,FALSE), ""))</f>
        <v/>
      </c>
    </row>
    <row r="21" spans="1:7" ht="17">
      <c r="A21" s="1" t="s">
        <v>3275</v>
      </c>
      <c r="B21" s="2" t="s">
        <v>3257</v>
      </c>
      <c r="C21" s="3">
        <v>1257</v>
      </c>
      <c r="D21" s="3">
        <v>62650</v>
      </c>
      <c r="E21" s="3">
        <v>327442</v>
      </c>
      <c r="F21" s="4">
        <v>8254196</v>
      </c>
      <c r="G21" s="11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 city",CHOOSE({1,2}, Super_CBSA!$E$2:$E$1917, Super_CBSA!$A$2:$A$1917), 2,FALSE), ""))</f>
        <v>16740</v>
      </c>
    </row>
    <row r="22" spans="1:7" ht="17">
      <c r="A22" s="1" t="s">
        <v>3276</v>
      </c>
      <c r="B22" s="2" t="s">
        <v>3277</v>
      </c>
      <c r="C22" s="2">
        <v>383</v>
      </c>
      <c r="D22" s="3">
        <v>23028</v>
      </c>
      <c r="E22" s="3">
        <v>107417</v>
      </c>
      <c r="F22" s="4">
        <v>1906321</v>
      </c>
      <c r="G22" s="11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 city",CHOOSE({1,2}, Super_CBSA!$E$2:$E$1917, Super_CBSA!$A$2:$A$1917), 2,FALSE), ""))</f>
        <v>16740</v>
      </c>
    </row>
    <row r="23" spans="1:7" ht="17">
      <c r="A23" s="1" t="s">
        <v>3278</v>
      </c>
      <c r="B23" s="2" t="s">
        <v>3279</v>
      </c>
      <c r="C23" s="2">
        <v>99</v>
      </c>
      <c r="D23" s="3">
        <v>5959</v>
      </c>
      <c r="E23" s="3">
        <v>25591</v>
      </c>
      <c r="F23" s="4">
        <v>462345</v>
      </c>
      <c r="G23" s="11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 city",CHOOSE({1,2}, Super_CBSA!$E$2:$E$1917, Super_CBSA!$A$2:$A$1917), 2,FALSE), ""))</f>
        <v>33980</v>
      </c>
    </row>
    <row r="24" spans="1:7" ht="17">
      <c r="A24" s="1" t="s">
        <v>3280</v>
      </c>
      <c r="B24" s="2" t="s">
        <v>3281</v>
      </c>
      <c r="C24" s="2">
        <v>258</v>
      </c>
      <c r="D24" s="3">
        <v>11849</v>
      </c>
      <c r="E24" s="3">
        <v>38176</v>
      </c>
      <c r="F24" s="4">
        <v>1061978</v>
      </c>
      <c r="G24" s="11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 city",CHOOSE({1,2}, Super_CBSA!$E$2:$E$1917, Super_CBSA!$A$2:$A$1917), 2,FALSE), ""))</f>
        <v>25860</v>
      </c>
    </row>
    <row r="25" spans="1:7" ht="17">
      <c r="A25" s="1" t="s">
        <v>3282</v>
      </c>
      <c r="B25" s="2" t="s">
        <v>1264</v>
      </c>
      <c r="C25" s="2">
        <v>127</v>
      </c>
      <c r="D25" s="3">
        <v>4879</v>
      </c>
      <c r="E25" s="3">
        <v>15736</v>
      </c>
      <c r="F25" s="4">
        <v>424105</v>
      </c>
      <c r="G25" s="11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 city",CHOOSE({1,2}, Super_CBSA!$E$2:$E$1917, Super_CBSA!$A$2:$A$1917), 2,FALSE), ""))</f>
        <v>41820</v>
      </c>
    </row>
    <row r="26" spans="1:7" ht="17">
      <c r="A26" s="1" t="s">
        <v>3283</v>
      </c>
      <c r="B26" s="2" t="s">
        <v>3284</v>
      </c>
      <c r="C26" s="2">
        <v>0</v>
      </c>
      <c r="D26" s="2">
        <v>0</v>
      </c>
      <c r="E26" s="2">
        <v>0</v>
      </c>
      <c r="F26" s="4">
        <v>0</v>
      </c>
      <c r="G26" s="11" t="str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 city",CHOOSE({1,2}, Super_CBSA!$E$2:$E$1917, Super_CBSA!$A$2:$A$1917), 2,FALSE), ""))</f>
        <v/>
      </c>
    </row>
    <row r="27" spans="1:7" ht="17">
      <c r="A27" s="1" t="s">
        <v>3285</v>
      </c>
      <c r="B27" s="2" t="s">
        <v>3197</v>
      </c>
      <c r="C27" s="2">
        <v>0</v>
      </c>
      <c r="D27" s="2">
        <v>0</v>
      </c>
      <c r="E27" s="2">
        <v>0</v>
      </c>
      <c r="F27" s="4">
        <v>0</v>
      </c>
      <c r="G27" s="11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 city",CHOOSE({1,2}, Super_CBSA!$E$2:$E$1917, Super_CBSA!$A$2:$A$1917), 2,FALSE), ""))</f>
        <v>39580</v>
      </c>
    </row>
    <row r="28" spans="1:7" ht="17">
      <c r="A28" s="1" t="s">
        <v>3286</v>
      </c>
      <c r="B28" s="2" t="s">
        <v>3287</v>
      </c>
      <c r="C28" s="2">
        <v>0</v>
      </c>
      <c r="D28" s="2">
        <v>0</v>
      </c>
      <c r="E28" s="2">
        <v>0</v>
      </c>
      <c r="F28" s="4">
        <v>0</v>
      </c>
      <c r="G28" s="11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 city",CHOOSE({1,2}, Super_CBSA!$E$2:$E$1917, Super_CBSA!$A$2:$A$1917), 2,FALSE), ""))</f>
        <v>11700</v>
      </c>
    </row>
    <row r="29" spans="1:7" ht="17">
      <c r="A29" s="1" t="s">
        <v>3288</v>
      </c>
      <c r="B29" s="2" t="s">
        <v>3289</v>
      </c>
      <c r="C29" s="2">
        <v>20</v>
      </c>
      <c r="D29" s="2">
        <v>821</v>
      </c>
      <c r="E29" s="3">
        <v>1787</v>
      </c>
      <c r="F29" s="4">
        <v>0</v>
      </c>
      <c r="G29" s="11" t="str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 city",CHOOSE({1,2}, Super_CBSA!$E$2:$E$1917, Super_CBSA!$A$2:$A$1917), 2,FALSE), ""))</f>
        <v/>
      </c>
    </row>
    <row r="30" spans="1:7" ht="17">
      <c r="A30" s="1" t="s">
        <v>3290</v>
      </c>
      <c r="B30" s="2" t="s">
        <v>3291</v>
      </c>
      <c r="C30" s="2">
        <v>154</v>
      </c>
      <c r="D30" s="3">
        <v>4492</v>
      </c>
      <c r="E30" s="3">
        <v>18758</v>
      </c>
      <c r="F30" s="4">
        <v>289892</v>
      </c>
      <c r="G30" s="11" t="str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 city",CHOOSE({1,2}, Super_CBSA!$E$2:$E$1917, Super_CBSA!$A$2:$A$1917), 2,FALSE), ""))</f>
        <v/>
      </c>
    </row>
    <row r="31" spans="1:7" ht="17">
      <c r="A31" s="1" t="s">
        <v>3292</v>
      </c>
      <c r="B31" s="2" t="s">
        <v>3293</v>
      </c>
      <c r="C31" s="2">
        <v>152</v>
      </c>
      <c r="D31" s="3">
        <v>3661</v>
      </c>
      <c r="E31" s="3">
        <v>15686</v>
      </c>
      <c r="F31" s="4">
        <v>86584</v>
      </c>
      <c r="G31" s="11" t="str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 city",CHOOSE({1,2}, Super_CBSA!$E$2:$E$1917, Super_CBSA!$A$2:$A$1917), 2,FALSE), ""))</f>
        <v/>
      </c>
    </row>
    <row r="32" spans="1:7" ht="17">
      <c r="A32" s="1" t="s">
        <v>3294</v>
      </c>
      <c r="B32" s="2" t="s">
        <v>146</v>
      </c>
      <c r="C32" s="2">
        <v>0</v>
      </c>
      <c r="D32" s="2">
        <v>0</v>
      </c>
      <c r="E32" s="2">
        <v>0</v>
      </c>
      <c r="F32" s="4">
        <v>0</v>
      </c>
      <c r="G32" s="11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 city",CHOOSE({1,2}, Super_CBSA!$E$2:$E$1917, Super_CBSA!$A$2:$A$1917), 2,FALSE), ""))</f>
        <v>24660</v>
      </c>
    </row>
    <row r="33" spans="1:7" ht="17">
      <c r="A33" s="1" t="s">
        <v>3295</v>
      </c>
      <c r="B33" s="2" t="s">
        <v>146</v>
      </c>
      <c r="C33" s="2">
        <v>0</v>
      </c>
      <c r="D33" s="2">
        <v>0</v>
      </c>
      <c r="E33" s="2">
        <v>0</v>
      </c>
      <c r="F33" s="4">
        <v>0</v>
      </c>
      <c r="G33" s="11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 city",CHOOSE({1,2}, Super_CBSA!$E$2:$E$1917, Super_CBSA!$A$2:$A$1917), 2,FALSE), ""))</f>
        <v>24660</v>
      </c>
    </row>
    <row r="34" spans="1:7" ht="17">
      <c r="A34" s="1" t="s">
        <v>3296</v>
      </c>
      <c r="B34" s="2" t="s">
        <v>3297</v>
      </c>
      <c r="C34" s="2">
        <v>18</v>
      </c>
      <c r="D34" s="3">
        <v>1694</v>
      </c>
      <c r="E34" s="3">
        <v>3754</v>
      </c>
      <c r="F34" s="4">
        <v>293039</v>
      </c>
      <c r="G34" s="11" t="str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 city",CHOOSE({1,2}, Super_CBSA!$E$2:$E$1917, Super_CBSA!$A$2:$A$1917), 2,FALSE), ""))</f>
        <v/>
      </c>
    </row>
    <row r="35" spans="1:7" ht="17">
      <c r="A35" s="1" t="s">
        <v>3298</v>
      </c>
      <c r="B35" s="2" t="s">
        <v>3299</v>
      </c>
      <c r="C35" s="2">
        <v>144</v>
      </c>
      <c r="D35" s="3">
        <v>3244</v>
      </c>
      <c r="E35" s="3">
        <v>13432</v>
      </c>
      <c r="F35" s="4">
        <v>352914</v>
      </c>
      <c r="G35" s="11" t="str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 city",CHOOSE({1,2}, Super_CBSA!$E$2:$E$1917, Super_CBSA!$A$2:$A$1917), 2,FALSE), ""))</f>
        <v/>
      </c>
    </row>
    <row r="36" spans="1:7" ht="17">
      <c r="A36" s="1" t="s">
        <v>3300</v>
      </c>
      <c r="B36" s="2" t="s">
        <v>3197</v>
      </c>
      <c r="C36" s="2">
        <v>175</v>
      </c>
      <c r="D36" s="3">
        <v>9605</v>
      </c>
      <c r="E36" s="3">
        <v>48703</v>
      </c>
      <c r="F36" s="4">
        <v>1936438</v>
      </c>
      <c r="G36" s="11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 city",CHOOSE({1,2}, Super_CBSA!$E$2:$E$1917, Super_CBSA!$A$2:$A$1917), 2,FALSE), ""))</f>
        <v>39580</v>
      </c>
    </row>
    <row r="37" spans="1:7" ht="17">
      <c r="A37" s="1" t="s">
        <v>3301</v>
      </c>
      <c r="B37" s="2" t="s">
        <v>3302</v>
      </c>
      <c r="C37" s="2">
        <v>354</v>
      </c>
      <c r="D37" s="3">
        <v>15952</v>
      </c>
      <c r="E37" s="3">
        <v>73688</v>
      </c>
      <c r="F37" s="4">
        <v>1370950</v>
      </c>
      <c r="G37" s="11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 city",CHOOSE({1,2}, Super_CBSA!$E$2:$E$1917, Super_CBSA!$A$2:$A$1917), 2,FALSE), ""))</f>
        <v>20500</v>
      </c>
    </row>
    <row r="38" spans="1:7" ht="17">
      <c r="A38" s="1" t="s">
        <v>3303</v>
      </c>
      <c r="B38" s="2" t="s">
        <v>3302</v>
      </c>
      <c r="C38" s="2">
        <v>977</v>
      </c>
      <c r="D38" s="3">
        <v>43055</v>
      </c>
      <c r="E38" s="3">
        <v>309836</v>
      </c>
      <c r="F38" s="4">
        <v>8226868</v>
      </c>
      <c r="G38" s="11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 city",CHOOSE({1,2}, Super_CBSA!$E$2:$E$1917, Super_CBSA!$A$2:$A$1917), 2,FALSE), ""))</f>
        <v>20500</v>
      </c>
    </row>
    <row r="39" spans="1:7" ht="17">
      <c r="A39" s="1" t="s">
        <v>3304</v>
      </c>
      <c r="B39" s="2" t="s">
        <v>3302</v>
      </c>
      <c r="C39" s="2">
        <v>0</v>
      </c>
      <c r="D39" s="2">
        <v>0</v>
      </c>
      <c r="E39" s="2">
        <v>0</v>
      </c>
      <c r="F39" s="4">
        <v>0</v>
      </c>
      <c r="G39" s="11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 city",CHOOSE({1,2}, Super_CBSA!$E$2:$E$1917, Super_CBSA!$A$2:$A$1917), 2,FALSE), ""))</f>
        <v>20500</v>
      </c>
    </row>
    <row r="40" spans="1:7" ht="17">
      <c r="A40" s="1" t="s">
        <v>3305</v>
      </c>
      <c r="B40" s="2" t="s">
        <v>236</v>
      </c>
      <c r="C40" s="2">
        <v>0</v>
      </c>
      <c r="D40" s="2">
        <v>0</v>
      </c>
      <c r="E40" s="2">
        <v>0</v>
      </c>
      <c r="F40" s="4">
        <v>0</v>
      </c>
      <c r="G40" s="11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 city",CHOOSE({1,2}, Super_CBSA!$E$2:$E$1917, Super_CBSA!$A$2:$A$1917), 2,FALSE), ""))</f>
        <v>22180</v>
      </c>
    </row>
    <row r="41" spans="1:7" ht="17">
      <c r="A41" s="1" t="s">
        <v>3306</v>
      </c>
      <c r="B41" s="2" t="s">
        <v>3307</v>
      </c>
      <c r="C41" s="2">
        <v>449</v>
      </c>
      <c r="D41" s="3">
        <v>24349</v>
      </c>
      <c r="E41" s="3">
        <v>104277</v>
      </c>
      <c r="F41" s="4">
        <v>2447745</v>
      </c>
      <c r="G41" s="11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 city",CHOOSE({1,2}, Super_CBSA!$E$2:$E$1917, Super_CBSA!$A$2:$A$1917), 2,FALSE), ""))</f>
        <v>38240</v>
      </c>
    </row>
    <row r="42" spans="1:7" ht="17">
      <c r="A42" s="1" t="s">
        <v>3308</v>
      </c>
      <c r="B42" s="2" t="s">
        <v>3269</v>
      </c>
      <c r="C42" s="2">
        <v>0</v>
      </c>
      <c r="D42" s="2">
        <v>0</v>
      </c>
      <c r="E42" s="2">
        <v>0</v>
      </c>
      <c r="F42" s="4">
        <v>0</v>
      </c>
      <c r="G42" s="11" t="str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 city",CHOOSE({1,2}, Super_CBSA!$E$2:$E$1917, Super_CBSA!$A$2:$A$1917), 2,FALSE), ""))</f>
        <v/>
      </c>
    </row>
    <row r="43" spans="1:7" ht="17">
      <c r="A43" s="1" t="s">
        <v>3309</v>
      </c>
      <c r="B43" s="2" t="s">
        <v>3310</v>
      </c>
      <c r="C43" s="2">
        <v>141</v>
      </c>
      <c r="D43" s="3">
        <v>3427</v>
      </c>
      <c r="E43" s="3">
        <v>12150</v>
      </c>
      <c r="F43" s="4">
        <v>116192</v>
      </c>
      <c r="G43" s="11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 city",CHOOSE({1,2}, Super_CBSA!$E$2:$E$1917, Super_CBSA!$A$2:$A$1917), 2,FALSE), ""))</f>
        <v>40460</v>
      </c>
    </row>
    <row r="44" spans="1:7" ht="17">
      <c r="A44" s="1" t="s">
        <v>3311</v>
      </c>
      <c r="B44" s="2" t="s">
        <v>3281</v>
      </c>
      <c r="C44" s="2">
        <v>355</v>
      </c>
      <c r="D44" s="3">
        <v>7258</v>
      </c>
      <c r="E44" s="3">
        <v>31546</v>
      </c>
      <c r="F44" s="4">
        <v>1323592</v>
      </c>
      <c r="G44" s="11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 city",CHOOSE({1,2}, Super_CBSA!$E$2:$E$1917, Super_CBSA!$A$2:$A$1917), 2,FALSE), ""))</f>
        <v>25860</v>
      </c>
    </row>
    <row r="45" spans="1:7" ht="17">
      <c r="A45" s="1" t="s">
        <v>3312</v>
      </c>
      <c r="B45" s="2" t="s">
        <v>3126</v>
      </c>
      <c r="C45" s="2">
        <v>122</v>
      </c>
      <c r="D45" s="3">
        <v>1857</v>
      </c>
      <c r="E45" s="3">
        <v>6313</v>
      </c>
      <c r="F45" s="4">
        <v>174993</v>
      </c>
      <c r="G45" s="11" t="str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 city",CHOOSE({1,2}, Super_CBSA!$E$2:$E$1917, Super_CBSA!$A$2:$A$1917), 2,FALSE), ""))</f>
        <v/>
      </c>
    </row>
    <row r="46" spans="1:7" ht="17">
      <c r="A46" s="1" t="s">
        <v>3313</v>
      </c>
      <c r="B46" s="2" t="s">
        <v>3314</v>
      </c>
      <c r="C46" s="2">
        <v>82</v>
      </c>
      <c r="D46" s="3">
        <v>3310</v>
      </c>
      <c r="E46" s="3">
        <v>13165</v>
      </c>
      <c r="F46" s="4">
        <v>395402</v>
      </c>
      <c r="G46" s="11" t="str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 city",CHOOSE({1,2}, Super_CBSA!$E$2:$E$1917, Super_CBSA!$A$2:$A$1917), 2,FALSE), ""))</f>
        <v/>
      </c>
    </row>
    <row r="47" spans="1:7" ht="17">
      <c r="A47" s="1" t="s">
        <v>3315</v>
      </c>
      <c r="B47" s="2" t="s">
        <v>3316</v>
      </c>
      <c r="C47" s="2">
        <v>138</v>
      </c>
      <c r="D47" s="3">
        <v>4556</v>
      </c>
      <c r="E47" s="3">
        <v>17420</v>
      </c>
      <c r="F47" s="4">
        <v>553865</v>
      </c>
      <c r="G47" s="11" t="str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 city",CHOOSE({1,2}, Super_CBSA!$E$2:$E$1917, Super_CBSA!$A$2:$A$1917), 2,FALSE), ""))</f>
        <v/>
      </c>
    </row>
    <row r="48" spans="1:7" ht="17">
      <c r="A48" s="1" t="s">
        <v>3317</v>
      </c>
      <c r="B48" s="2" t="s">
        <v>3318</v>
      </c>
      <c r="C48" s="2">
        <v>81</v>
      </c>
      <c r="D48" s="3">
        <v>3729</v>
      </c>
      <c r="E48" s="3">
        <v>13155</v>
      </c>
      <c r="F48" s="4">
        <v>344848</v>
      </c>
      <c r="G48" s="11" t="str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 city",CHOOSE({1,2}, Super_CBSA!$E$2:$E$1917, Super_CBSA!$A$2:$A$1917), 2,FALSE), ""))</f>
        <v/>
      </c>
    </row>
    <row r="49" spans="1:7" ht="17">
      <c r="A49" s="1" t="s">
        <v>3319</v>
      </c>
      <c r="B49" s="2" t="s">
        <v>3299</v>
      </c>
      <c r="C49" s="2">
        <v>203</v>
      </c>
      <c r="D49" s="3">
        <v>7574</v>
      </c>
      <c r="E49" s="3">
        <v>35213</v>
      </c>
      <c r="F49" s="4">
        <v>627906</v>
      </c>
      <c r="G49" s="11" t="str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 city",CHOOSE({1,2}, Super_CBSA!$E$2:$E$1917, Super_CBSA!$A$2:$A$1917), 2,FALSE), ""))</f>
        <v/>
      </c>
    </row>
    <row r="50" spans="1:7" ht="17">
      <c r="A50" s="1" t="s">
        <v>3320</v>
      </c>
      <c r="B50" s="2" t="s">
        <v>3321</v>
      </c>
      <c r="C50" s="2">
        <v>0</v>
      </c>
      <c r="D50" s="2">
        <v>0</v>
      </c>
      <c r="E50" s="2">
        <v>0</v>
      </c>
      <c r="F50" s="4">
        <v>0</v>
      </c>
      <c r="G50" s="11" t="str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 city",CHOOSE({1,2}, Super_CBSA!$E$2:$E$1917, Super_CBSA!$A$2:$A$1917), 2,FALSE), ""))</f>
        <v/>
      </c>
    </row>
    <row r="51" spans="1:7" ht="17">
      <c r="A51" s="1" t="s">
        <v>3322</v>
      </c>
      <c r="B51" s="2" t="s">
        <v>3323</v>
      </c>
      <c r="C51" s="2">
        <v>199</v>
      </c>
      <c r="D51" s="3">
        <v>11459</v>
      </c>
      <c r="E51" s="3">
        <v>37585</v>
      </c>
      <c r="F51" s="4">
        <v>1001509</v>
      </c>
      <c r="G51" s="11" t="str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 city",CHOOSE({1,2}, Super_CBSA!$E$2:$E$1917, Super_CBSA!$A$2:$A$1917), 2,FALSE), ""))</f>
        <v/>
      </c>
    </row>
    <row r="52" spans="1:7" ht="17">
      <c r="A52" s="1" t="s">
        <v>3324</v>
      </c>
      <c r="B52" s="2" t="s">
        <v>2066</v>
      </c>
      <c r="C52" s="2">
        <v>123</v>
      </c>
      <c r="D52" s="3">
        <v>5391</v>
      </c>
      <c r="E52" s="3">
        <v>15750</v>
      </c>
      <c r="F52" s="4">
        <v>716052</v>
      </c>
      <c r="G52" s="11" t="str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 city",CHOOSE({1,2}, Super_CBSA!$E$2:$E$1917, Super_CBSA!$A$2:$A$1917), 2,FALSE), ""))</f>
        <v/>
      </c>
    </row>
    <row r="53" spans="1:7" ht="17">
      <c r="A53" s="1" t="s">
        <v>3325</v>
      </c>
      <c r="B53" s="2" t="s">
        <v>3326</v>
      </c>
      <c r="C53" s="3">
        <v>1103</v>
      </c>
      <c r="D53" s="3">
        <v>5520</v>
      </c>
      <c r="E53" s="3">
        <v>25447</v>
      </c>
      <c r="F53" s="4">
        <v>285727</v>
      </c>
      <c r="G53" s="11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 city",CHOOSE({1,2}, Super_CBSA!$E$2:$E$1917, Super_CBSA!$A$2:$A$1917), 2,FALSE), ""))</f>
        <v>28820</v>
      </c>
    </row>
    <row r="54" spans="1:7" ht="17">
      <c r="A54" s="1" t="s">
        <v>3327</v>
      </c>
      <c r="B54" s="2" t="s">
        <v>2307</v>
      </c>
      <c r="C54" s="2">
        <v>102</v>
      </c>
      <c r="D54" s="3">
        <v>4446</v>
      </c>
      <c r="E54" s="3">
        <v>18019</v>
      </c>
      <c r="F54" s="4">
        <v>465834</v>
      </c>
      <c r="G54" s="11" cm="1">
        <f t="array" aca="1" ref="G54" ca="1">IFERROR(VLOOKUP("*" &amp; B54  &amp; "*" &amp; (MID(CELL("filename",A53),FIND("]",CELL("filename",A53))+1,31)) &amp; "*",CHOOSE({1,2}, Super_CBSA!$B$2:$B$1917, Super_CBSA!$A$2:$A$1917), 2,FALSE), IFERROR(VLOOKUP(B54  &amp; " city",CHOOSE({1,2}, Super_CBSA!$E$2:$E$1917, Super_CBSA!$A$2:$A$1917), 2,FALSE), ""))</f>
        <v>25780</v>
      </c>
    </row>
    <row r="55" spans="1:7" ht="17">
      <c r="A55" s="1" t="s">
        <v>3328</v>
      </c>
      <c r="B55" s="2" t="s">
        <v>3329</v>
      </c>
      <c r="C55" s="2">
        <v>43</v>
      </c>
      <c r="D55" s="3">
        <v>1140</v>
      </c>
      <c r="E55" s="3">
        <v>4326</v>
      </c>
      <c r="F55" s="4">
        <v>171959</v>
      </c>
      <c r="G55" s="11" t="str" cm="1">
        <f t="array" aca="1" ref="G55" ca="1">IFERROR(VLOOKUP("*" &amp; B55  &amp; "*" &amp; (MID(CELL("filename",A54),FIND("]",CELL("filename",A54))+1,31)) &amp; "*",CHOOSE({1,2}, Super_CBSA!$B$2:$B$1917, Super_CBSA!$A$2:$A$1917), 2,FALSE), IFERROR(VLOOKUP(B55  &amp; " city",CHOOSE({1,2}, Super_CBSA!$E$2:$E$1917, Super_CBSA!$A$2:$A$1917), 2,FALSE), ""))</f>
        <v/>
      </c>
    </row>
    <row r="56" spans="1:7" ht="17">
      <c r="A56" s="1" t="s">
        <v>3330</v>
      </c>
      <c r="B56" s="2" t="s">
        <v>200</v>
      </c>
      <c r="C56" s="2">
        <v>0</v>
      </c>
      <c r="D56" s="2">
        <v>0</v>
      </c>
      <c r="E56" s="2">
        <v>0</v>
      </c>
      <c r="F56" s="4">
        <v>0</v>
      </c>
      <c r="G56" s="11" cm="1">
        <f t="array" aca="1" ref="G56" ca="1">IFERROR(VLOOKUP("*" &amp; B56  &amp; "*" &amp; (MID(CELL("filename",A55),FIND("]",CELL("filename",A55))+1,31)) &amp; "*",CHOOSE({1,2}, Super_CBSA!$B$2:$B$1917, Super_CBSA!$A$2:$A$1917), 2,FALSE), IFERROR(VLOOKUP(B56  &amp; " city",CHOOSE({1,2}, Super_CBSA!$E$2:$E$1917, Super_CBSA!$A$2:$A$1917), 2,FALSE), ""))</f>
        <v>24780</v>
      </c>
    </row>
    <row r="57" spans="1:7" ht="17">
      <c r="A57" s="1" t="s">
        <v>3331</v>
      </c>
      <c r="B57" s="2" t="s">
        <v>3287</v>
      </c>
      <c r="C57" s="2">
        <v>761</v>
      </c>
      <c r="D57" s="3">
        <v>31525</v>
      </c>
      <c r="E57" s="3">
        <v>214853</v>
      </c>
      <c r="F57" s="4">
        <v>4097778</v>
      </c>
      <c r="G57" s="11" cm="1">
        <f t="array" aca="1" ref="G57" ca="1">IFERROR(VLOOKUP("*" &amp; B57  &amp; "*" &amp; (MID(CELL("filename",A56),FIND("]",CELL("filename",A56))+1,31)) &amp; "*",CHOOSE({1,2}, Super_CBSA!$B$2:$B$1917, Super_CBSA!$A$2:$A$1917), 2,FALSE), IFERROR(VLOOKUP(B57  &amp; " city",CHOOSE({1,2}, Super_CBSA!$E$2:$E$1917, Super_CBSA!$A$2:$A$1917), 2,FALSE), ""))</f>
        <v>11700</v>
      </c>
    </row>
    <row r="58" spans="1:7" ht="17">
      <c r="A58" s="1" t="s">
        <v>3332</v>
      </c>
      <c r="B58" s="2" t="s">
        <v>1888</v>
      </c>
      <c r="C58" s="2">
        <v>49</v>
      </c>
      <c r="D58" s="3">
        <v>2014</v>
      </c>
      <c r="E58" s="3">
        <v>8231</v>
      </c>
      <c r="F58" s="4">
        <v>235691</v>
      </c>
      <c r="G58" s="11" cm="1">
        <f t="array" aca="1" ref="G58" ca="1">IFERROR(VLOOKUP("*" &amp; B58  &amp; "*" &amp; (MID(CELL("filename",A57),FIND("]",CELL("filename",A57))+1,31)) &amp; "*",CHOOSE({1,2}, Super_CBSA!$B$2:$B$1917, Super_CBSA!$A$2:$A$1917), 2,FALSE), IFERROR(VLOOKUP(B58  &amp; " city",CHOOSE({1,2}, Super_CBSA!$E$2:$E$1917, Super_CBSA!$A$2:$A$1917), 2,FALSE), ""))</f>
        <v>32000</v>
      </c>
    </row>
    <row r="59" spans="1:7" ht="17">
      <c r="A59" s="1" t="s">
        <v>3333</v>
      </c>
      <c r="B59" s="2" t="s">
        <v>3287</v>
      </c>
      <c r="C59" s="2">
        <v>0</v>
      </c>
      <c r="D59" s="2">
        <v>0</v>
      </c>
      <c r="E59" s="2">
        <v>0</v>
      </c>
      <c r="F59" s="4">
        <v>0</v>
      </c>
      <c r="G59" s="11" cm="1">
        <f t="array" aca="1" ref="G59" ca="1">IFERROR(VLOOKUP("*" &amp; B59  &amp; "*" &amp; (MID(CELL("filename",A58),FIND("]",CELL("filename",A58))+1,31)) &amp; "*",CHOOSE({1,2}, Super_CBSA!$B$2:$B$1917, Super_CBSA!$A$2:$A$1917), 2,FALSE), IFERROR(VLOOKUP(B59  &amp; " city",CHOOSE({1,2}, Super_CBSA!$E$2:$E$1917, Super_CBSA!$A$2:$A$1917), 2,FALSE), ""))</f>
        <v>11700</v>
      </c>
    </row>
    <row r="60" spans="1:7" ht="17">
      <c r="A60" s="1" t="s">
        <v>3334</v>
      </c>
      <c r="B60" s="2" t="s">
        <v>3335</v>
      </c>
      <c r="C60" s="2">
        <v>345</v>
      </c>
      <c r="D60" s="3">
        <v>11870</v>
      </c>
      <c r="E60" s="3">
        <v>53792</v>
      </c>
      <c r="F60" s="4">
        <v>909379</v>
      </c>
      <c r="G60" s="11" cm="1">
        <f t="array" aca="1" ref="G60" ca="1">IFERROR(VLOOKUP("*" &amp; B60  &amp; "*" &amp; (MID(CELL("filename",A59),FIND("]",CELL("filename",A59))+1,31)) &amp; "*",CHOOSE({1,2}, Super_CBSA!$B$2:$B$1917, Super_CBSA!$A$2:$A$1917), 2,FALSE), IFERROR(VLOOKUP(B60  &amp; " city",CHOOSE({1,2}, Super_CBSA!$E$2:$E$1917, Super_CBSA!$A$2:$A$1917), 2,FALSE), ""))</f>
        <v>40580</v>
      </c>
    </row>
    <row r="61" spans="1:7" ht="17">
      <c r="A61" s="1" t="s">
        <v>3336</v>
      </c>
      <c r="B61" s="2" t="s">
        <v>3337</v>
      </c>
      <c r="C61" s="2">
        <v>0</v>
      </c>
      <c r="D61" s="2">
        <v>0</v>
      </c>
      <c r="E61" s="2">
        <v>0</v>
      </c>
      <c r="F61" s="4">
        <v>0</v>
      </c>
      <c r="G61" s="11" t="str" cm="1">
        <f t="array" aca="1" ref="G61" ca="1">IFERROR(VLOOKUP("*" &amp; B61  &amp; "*" &amp; (MID(CELL("filename",A60),FIND("]",CELL("filename",A60))+1,31)) &amp; "*",CHOOSE({1,2}, Super_CBSA!$B$2:$B$1917, Super_CBSA!$A$2:$A$1917), 2,FALSE), IFERROR(VLOOKUP(B61  &amp; " city",CHOOSE({1,2}, Super_CBSA!$E$2:$E$1917, Super_CBSA!$A$2:$A$1917), 2,FALSE), ""))</f>
        <v/>
      </c>
    </row>
    <row r="62" spans="1:7" ht="17">
      <c r="A62" s="1" t="s">
        <v>3338</v>
      </c>
      <c r="B62" s="2" t="s">
        <v>1151</v>
      </c>
      <c r="C62" s="2">
        <v>798</v>
      </c>
      <c r="D62" s="3">
        <v>35953</v>
      </c>
      <c r="E62" s="3">
        <v>192812</v>
      </c>
      <c r="F62" s="4">
        <v>3971472</v>
      </c>
      <c r="G62" s="11" cm="1">
        <f t="array" aca="1" ref="G62" ca="1">IFERROR(VLOOKUP("*" &amp; B62  &amp; "*" &amp; (MID(CELL("filename",A61),FIND("]",CELL("filename",A61))+1,31)) &amp; "*",CHOOSE({1,2}, Super_CBSA!$B$2:$B$1917, Super_CBSA!$A$2:$A$1917), 2,FALSE), IFERROR(VLOOKUP(B62  &amp; " city",CHOOSE({1,2}, Super_CBSA!$E$2:$E$1917, Super_CBSA!$A$2:$A$1917), 2,FALSE), ""))</f>
        <v>48900</v>
      </c>
    </row>
    <row r="63" spans="1:7" ht="17">
      <c r="A63" s="1" t="s">
        <v>3339</v>
      </c>
      <c r="B63" s="2" t="s">
        <v>1151</v>
      </c>
      <c r="C63" s="2">
        <v>94</v>
      </c>
      <c r="D63" s="3">
        <v>3813</v>
      </c>
      <c r="E63" s="3">
        <v>15775</v>
      </c>
      <c r="F63" s="4">
        <v>70996</v>
      </c>
      <c r="G63" s="11" cm="1">
        <f t="array" aca="1" ref="G63" ca="1">IFERROR(VLOOKUP("*" &amp; B63  &amp; "*" &amp; (MID(CELL("filename",A62),FIND("]",CELL("filename",A62))+1,31)) &amp; "*",CHOOSE({1,2}, Super_CBSA!$B$2:$B$1917, Super_CBSA!$A$2:$A$1917), 2,FALSE), IFERROR(VLOOKUP(B63  &amp; " city",CHOOSE({1,2}, Super_CBSA!$E$2:$E$1917, Super_CBSA!$A$2:$A$1917), 2,FALSE), ""))</f>
        <v>48900</v>
      </c>
    </row>
    <row r="64" spans="1:7" ht="17">
      <c r="A64" s="1" t="s">
        <v>3340</v>
      </c>
      <c r="B64" s="2" t="s">
        <v>3302</v>
      </c>
      <c r="C64" s="2">
        <v>18</v>
      </c>
      <c r="D64" s="3">
        <v>1621</v>
      </c>
      <c r="E64" s="3">
        <v>3112</v>
      </c>
      <c r="F64" s="4">
        <v>119210</v>
      </c>
      <c r="G64" s="11" cm="1">
        <f t="array" aca="1" ref="G64" ca="1">IFERROR(VLOOKUP("*" &amp; B64  &amp; "*" &amp; (MID(CELL("filename",A63),FIND("]",CELL("filename",A63))+1,31)) &amp; "*",CHOOSE({1,2}, Super_CBSA!$B$2:$B$1917, Super_CBSA!$A$2:$A$1917), 2,FALSE), IFERROR(VLOOKUP(B64  &amp; " city",CHOOSE({1,2}, Super_CBSA!$E$2:$E$1917, Super_CBSA!$A$2:$A$1917), 2,FALSE), ""))</f>
        <v>20500</v>
      </c>
    </row>
    <row r="65" spans="1:7" ht="17">
      <c r="A65" s="1" t="s">
        <v>3341</v>
      </c>
      <c r="B65" s="2" t="s">
        <v>3342</v>
      </c>
      <c r="C65" s="2">
        <v>133</v>
      </c>
      <c r="D65" s="3">
        <v>3476</v>
      </c>
      <c r="E65" s="3">
        <v>14320</v>
      </c>
      <c r="F65" s="4">
        <v>242003</v>
      </c>
      <c r="G65" s="11" cm="1">
        <f t="array" aca="1" ref="G65" ca="1">IFERROR(VLOOKUP("*" &amp; B65  &amp; "*" &amp; (MID(CELL("filename",A64),FIND("]",CELL("filename",A64))+1,31)) &amp; "*",CHOOSE({1,2}, Super_CBSA!$B$2:$B$1917, Super_CBSA!$A$2:$A$1917), 2,FALSE), IFERROR(VLOOKUP(B65  &amp; " city",CHOOSE({1,2}, Super_CBSA!$E$2:$E$1917, Super_CBSA!$A$2:$A$1917), 2,FALSE), ""))</f>
        <v>34340</v>
      </c>
    </row>
    <row r="66" spans="1:7" ht="17">
      <c r="A66" s="1" t="s">
        <v>3343</v>
      </c>
      <c r="B66" s="2" t="s">
        <v>3344</v>
      </c>
      <c r="C66" s="2">
        <v>61</v>
      </c>
      <c r="D66" s="3">
        <v>4202</v>
      </c>
      <c r="E66" s="3">
        <v>15379</v>
      </c>
      <c r="F66" s="4">
        <v>386872</v>
      </c>
      <c r="G66" s="11" t="str" cm="1">
        <f t="array" aca="1" ref="G66" ca="1">IFERROR(VLOOKUP("*" &amp; B66  &amp; "*" &amp; (MID(CELL("filename",A65),FIND("]",CELL("filename",A65))+1,31)) &amp; "*",CHOOSE({1,2}, Super_CBSA!$B$2:$B$1917, Super_CBSA!$A$2:$A$1917), 2,FALSE), IFERROR(VLOOKUP(B66  &amp; " city",CHOOSE({1,2}, Super_CBSA!$E$2:$E$1917, Super_CBSA!$A$2:$A$1917), 2,FALSE), ""))</f>
        <v/>
      </c>
    </row>
    <row r="67" spans="1:7" ht="17">
      <c r="A67" s="1" t="s">
        <v>3345</v>
      </c>
      <c r="B67" s="2" t="s">
        <v>3257</v>
      </c>
      <c r="C67" s="2">
        <v>80</v>
      </c>
      <c r="D67" s="3">
        <v>3449</v>
      </c>
      <c r="E67" s="3">
        <v>8860</v>
      </c>
      <c r="F67" s="4">
        <v>299094</v>
      </c>
      <c r="G67" s="11" cm="1">
        <f t="array" aca="1" ref="G67" ca="1">IFERROR(VLOOKUP("*" &amp; B67  &amp; "*" &amp; (MID(CELL("filename",A66),FIND("]",CELL("filename",A66))+1,31)) &amp; "*",CHOOSE({1,2}, Super_CBSA!$B$2:$B$1917, Super_CBSA!$A$2:$A$1917), 2,FALSE), IFERROR(VLOOKUP(B67  &amp; " city",CHOOSE({1,2}, Super_CBSA!$E$2:$E$1917, Super_CBSA!$A$2:$A$1917), 2,FALSE), ""))</f>
        <v>16740</v>
      </c>
    </row>
    <row r="68" spans="1:7" ht="17">
      <c r="A68" s="1" t="s">
        <v>3346</v>
      </c>
      <c r="B68" s="2" t="s">
        <v>3266</v>
      </c>
      <c r="C68" s="2">
        <v>901</v>
      </c>
      <c r="D68" s="3">
        <v>42420</v>
      </c>
      <c r="E68" s="3">
        <v>240460</v>
      </c>
      <c r="F68" s="4">
        <v>3670104</v>
      </c>
      <c r="G68" s="11" cm="1">
        <f t="array" aca="1" ref="G68" ca="1">IFERROR(VLOOKUP("*" &amp; B68  &amp; "*" &amp; (MID(CELL("filename",A67),FIND("]",CELL("filename",A67))+1,31)) &amp; "*",CHOOSE({1,2}, Super_CBSA!$B$2:$B$1917, Super_CBSA!$A$2:$A$1917), 2,FALSE), IFERROR(VLOOKUP(B68  &amp; " city",CHOOSE({1,2}, Super_CBSA!$E$2:$E$1917, Super_CBSA!$A$2:$A$1917), 2,FALSE), ""))</f>
        <v>49180</v>
      </c>
    </row>
    <row r="69" spans="1:7" ht="17">
      <c r="A69" s="1" t="s">
        <v>3347</v>
      </c>
      <c r="B69" s="2" t="s">
        <v>3348</v>
      </c>
      <c r="C69" s="2">
        <v>93</v>
      </c>
      <c r="D69" s="3">
        <v>9010</v>
      </c>
      <c r="E69" s="3">
        <v>27699</v>
      </c>
      <c r="F69" s="4">
        <v>640072</v>
      </c>
      <c r="G69" s="11" t="str" cm="1">
        <f t="array" aca="1" ref="G69" ca="1">IFERROR(VLOOKUP("*" &amp; B69  &amp; "*" &amp; (MID(CELL("filename",A68),FIND("]",CELL("filename",A68))+1,31)) &amp; "*",CHOOSE({1,2}, Super_CBSA!$B$2:$B$1917, Super_CBSA!$A$2:$A$1917), 2,FALSE), IFERROR(VLOOKUP(B69  &amp; " city",CHOOSE({1,2}, Super_CBSA!$E$2:$E$1917, Super_CBSA!$A$2:$A$1917), 2,FALSE), ""))</f>
        <v/>
      </c>
    </row>
    <row r="70" spans="1:7" ht="17">
      <c r="A70" s="1" t="s">
        <v>3349</v>
      </c>
      <c r="B70" s="2" t="s">
        <v>3350</v>
      </c>
      <c r="C70" s="2">
        <v>0</v>
      </c>
      <c r="D70" s="2">
        <v>0</v>
      </c>
      <c r="E70" s="2">
        <v>0</v>
      </c>
      <c r="F70" s="4">
        <v>0</v>
      </c>
      <c r="G70" s="11" t="str" cm="1">
        <f t="array" aca="1" ref="G70" ca="1">IFERROR(VLOOKUP("*" &amp; B70  &amp; "*" &amp; (MID(CELL("filename",A69),FIND("]",CELL("filename",A69))+1,31)) &amp; "*",CHOOSE({1,2}, Super_CBSA!$B$2:$B$1917, Super_CBSA!$A$2:$A$1917), 2,FALSE), IFERROR(VLOOKUP(B70  &amp; " city",CHOOSE({1,2}, Super_CBSA!$E$2:$E$1917, Super_CBSA!$A$2:$A$1917), 2,FALSE), ""))</f>
        <v/>
      </c>
    </row>
    <row r="71" spans="1:7" ht="17">
      <c r="A71" s="1" t="s">
        <v>3351</v>
      </c>
      <c r="B71" s="2" t="s">
        <v>3352</v>
      </c>
      <c r="C71" s="2">
        <v>123</v>
      </c>
      <c r="D71" s="3">
        <v>10279</v>
      </c>
      <c r="E71" s="3">
        <v>41791</v>
      </c>
      <c r="F71" s="4">
        <v>793002</v>
      </c>
      <c r="G71" s="11" t="str" cm="1">
        <f t="array" aca="1" ref="G71" ca="1">IFERROR(VLOOKUP("*" &amp; B71  &amp; "*" &amp; (MID(CELL("filename",A70),FIND("]",CELL("filename",A70))+1,31)) &amp; "*",CHOOSE({1,2}, Super_CBSA!$B$2:$B$1917, Super_CBSA!$A$2:$A$1917), 2,FALSE), IFERROR(VLOOKUP(B71  &amp; " city",CHOOSE({1,2}, Super_CBSA!$E$2:$E$1917, Super_CBSA!$A$2:$A$1917), 2,FALSE), ""))</f>
        <v/>
      </c>
    </row>
    <row r="72" spans="1:7" ht="17">
      <c r="A72" s="1" t="s">
        <v>3353</v>
      </c>
      <c r="B72" s="2" t="s">
        <v>3266</v>
      </c>
      <c r="C72" s="2">
        <v>22</v>
      </c>
      <c r="D72" s="2">
        <v>895</v>
      </c>
      <c r="E72" s="3">
        <v>2718</v>
      </c>
      <c r="F72" s="4">
        <v>176154</v>
      </c>
      <c r="G72" s="11" cm="1">
        <f t="array" aca="1" ref="G72" ca="1">IFERROR(VLOOKUP("*" &amp; B72  &amp; "*" &amp; (MID(CELL("filename",A71),FIND("]",CELL("filename",A71))+1,31)) &amp; "*",CHOOSE({1,2}, Super_CBSA!$B$2:$B$1917, Super_CBSA!$A$2:$A$1917), 2,FALSE), IFERROR(VLOOKUP(B72  &amp; " city",CHOOSE({1,2}, Super_CBSA!$E$2:$E$1917, Super_CBSA!$A$2:$A$1917), 2,FALSE), ""))</f>
        <v>49180</v>
      </c>
    </row>
    <row r="73" spans="1:7" ht="17">
      <c r="A73" s="1" t="s">
        <v>3354</v>
      </c>
      <c r="B73" s="2" t="s">
        <v>3355</v>
      </c>
      <c r="C73" s="2">
        <v>28</v>
      </c>
      <c r="D73" s="3">
        <v>1416</v>
      </c>
      <c r="E73" s="3">
        <v>4740</v>
      </c>
      <c r="F73" s="4">
        <v>131317</v>
      </c>
      <c r="G73" s="11" t="str" cm="1">
        <f t="array" aca="1" ref="G73" ca="1">IFERROR(VLOOKUP("*" &amp; B73  &amp; "*" &amp; (MID(CELL("filename",A72),FIND("]",CELL("filename",A72))+1,31)) &amp; "*",CHOOSE({1,2}, Super_CBSA!$B$2:$B$1917, Super_CBSA!$A$2:$A$1917), 2,FALSE), IFERROR(VLOOKUP(B73  &amp; " city",CHOOSE({1,2}, Super_CBSA!$E$2:$E$1917, Super_CBSA!$A$2:$A$1917), 2,FALSE), ""))</f>
        <v/>
      </c>
    </row>
    <row r="74" spans="1:7" ht="17">
      <c r="A74" s="1" t="s">
        <v>3356</v>
      </c>
      <c r="B74" s="2" t="s">
        <v>3257</v>
      </c>
      <c r="C74" s="2">
        <v>602</v>
      </c>
      <c r="D74" s="3">
        <v>27191</v>
      </c>
      <c r="E74" s="3">
        <v>141500</v>
      </c>
      <c r="F74" s="4">
        <v>3032915</v>
      </c>
      <c r="G74" s="11" cm="1">
        <f t="array" aca="1" ref="G74" ca="1">IFERROR(VLOOKUP("*" &amp; B74  &amp; "*" &amp; (MID(CELL("filename",A73),FIND("]",CELL("filename",A73))+1,31)) &amp; "*",CHOOSE({1,2}, Super_CBSA!$B$2:$B$1917, Super_CBSA!$A$2:$A$1917), 2,FALSE), IFERROR(VLOOKUP(B74  &amp; " city",CHOOSE({1,2}, Super_CBSA!$E$2:$E$1917, Super_CBSA!$A$2:$A$1917), 2,FALSE), ""))</f>
        <v>16740</v>
      </c>
    </row>
    <row r="75" spans="1:7" ht="17">
      <c r="A75" s="1" t="s">
        <v>3357</v>
      </c>
      <c r="B75" s="2" t="s">
        <v>2671</v>
      </c>
      <c r="C75" s="2">
        <v>199</v>
      </c>
      <c r="D75" s="3">
        <v>9946</v>
      </c>
      <c r="E75" s="3">
        <v>44771</v>
      </c>
      <c r="F75" s="4">
        <v>767857</v>
      </c>
      <c r="G75" s="11" t="str" cm="1">
        <f t="array" aca="1" ref="G75" ca="1">IFERROR(VLOOKUP("*" &amp; B75  &amp; "*" &amp; (MID(CELL("filename",A74),FIND("]",CELL("filename",A74))+1,31)) &amp; "*",CHOOSE({1,2}, Super_CBSA!$B$2:$B$1917, Super_CBSA!$A$2:$A$1917), 2,FALSE), IFERROR(VLOOKUP(B75  &amp; " city",CHOOSE({1,2}, Super_CBSA!$E$2:$E$1917, Super_CBSA!$A$2:$A$1917), 2,FALSE), ""))</f>
        <v/>
      </c>
    </row>
    <row r="76" spans="1:7" ht="17">
      <c r="A76" s="1" t="s">
        <v>3358</v>
      </c>
      <c r="B76" s="2" t="s">
        <v>1502</v>
      </c>
      <c r="C76" s="2">
        <v>119</v>
      </c>
      <c r="D76" s="3">
        <v>3767</v>
      </c>
      <c r="E76" s="3">
        <v>13988</v>
      </c>
      <c r="F76" s="4">
        <v>296992</v>
      </c>
      <c r="G76" s="11" t="str" cm="1">
        <f t="array" aca="1" ref="G76" ca="1">IFERROR(VLOOKUP("*" &amp; B76  &amp; "*" &amp; (MID(CELL("filename",A75),FIND("]",CELL("filename",A75))+1,31)) &amp; "*",CHOOSE({1,2}, Super_CBSA!$B$2:$B$1917, Super_CBSA!$A$2:$A$1917), 2,FALSE), IFERROR(VLOOKUP(B76  &amp; " city",CHOOSE({1,2}, Super_CBSA!$E$2:$E$1917, Super_CBSA!$A$2:$A$1917), 2,FALSE), ""))</f>
        <v/>
      </c>
    </row>
    <row r="77" spans="1:7" ht="17">
      <c r="A77" s="1" t="s">
        <v>3359</v>
      </c>
      <c r="B77" s="2" t="s">
        <v>1212</v>
      </c>
      <c r="C77" s="2">
        <v>162</v>
      </c>
      <c r="D77" s="3">
        <v>7706</v>
      </c>
      <c r="E77" s="3">
        <v>30840</v>
      </c>
      <c r="F77" s="4">
        <v>444452</v>
      </c>
      <c r="G77" s="11" cm="1">
        <f t="array" aca="1" ref="G77" ca="1">IFERROR(VLOOKUP("*" &amp; B77  &amp; "*" &amp; (MID(CELL("filename",A76),FIND("]",CELL("filename",A76))+1,31)) &amp; "*",CHOOSE({1,2}, Super_CBSA!$B$2:$B$1917, Super_CBSA!$A$2:$A$1917), 2,FALSE), IFERROR(VLOOKUP(B77  &amp; " city",CHOOSE({1,2}, Super_CBSA!$E$2:$E$1917, Super_CBSA!$A$2:$A$1917), 2,FALSE), ""))</f>
        <v>27340</v>
      </c>
    </row>
    <row r="78" spans="1:7" ht="17">
      <c r="A78" s="1" t="s">
        <v>3360</v>
      </c>
      <c r="B78" s="2" t="s">
        <v>3245</v>
      </c>
      <c r="C78" s="2">
        <v>160</v>
      </c>
      <c r="D78" s="3">
        <v>8421</v>
      </c>
      <c r="E78" s="3">
        <v>32517</v>
      </c>
      <c r="F78" s="4">
        <v>794799</v>
      </c>
      <c r="G78" s="11" t="str" cm="1">
        <f t="array" aca="1" ref="G78" ca="1">IFERROR(VLOOKUP("*" &amp; B78  &amp; "*" &amp; (MID(CELL("filename",A77),FIND("]",CELL("filename",A77))+1,31)) &amp; "*",CHOOSE({1,2}, Super_CBSA!$B$2:$B$1917, Super_CBSA!$A$2:$A$1917), 2,FALSE), IFERROR(VLOOKUP(B78  &amp; " city",CHOOSE({1,2}, Super_CBSA!$E$2:$E$1917, Super_CBSA!$A$2:$A$1917), 2,FALSE), ""))</f>
        <v/>
      </c>
    </row>
    <row r="79" spans="1:7" ht="17">
      <c r="A79" s="1" t="s">
        <v>3361</v>
      </c>
      <c r="B79" s="2" t="s">
        <v>3362</v>
      </c>
      <c r="C79" s="2">
        <v>98</v>
      </c>
      <c r="D79" s="2">
        <v>986</v>
      </c>
      <c r="E79" s="3">
        <v>3392</v>
      </c>
      <c r="F79" s="4">
        <v>153820</v>
      </c>
      <c r="G79" s="11" t="str" cm="1">
        <f t="array" aca="1" ref="G79" ca="1">IFERROR(VLOOKUP("*" &amp; B79  &amp; "*" &amp; (MID(CELL("filename",A78),FIND("]",CELL("filename",A78))+1,31)) &amp; "*",CHOOSE({1,2}, Super_CBSA!$B$2:$B$1917, Super_CBSA!$A$2:$A$1917), 2,FALSE), IFERROR(VLOOKUP(B79  &amp; " city",CHOOSE({1,2}, Super_CBSA!$E$2:$E$1917, Super_CBSA!$A$2:$A$1917), 2,FALSE), ""))</f>
        <v/>
      </c>
    </row>
    <row r="80" spans="1:7" ht="17">
      <c r="A80" s="1" t="s">
        <v>3363</v>
      </c>
      <c r="B80" s="2" t="s">
        <v>3364</v>
      </c>
      <c r="C80" s="2">
        <v>145</v>
      </c>
      <c r="D80" s="3">
        <v>5384</v>
      </c>
      <c r="E80" s="3">
        <v>14511</v>
      </c>
      <c r="F80" s="4">
        <v>321671</v>
      </c>
      <c r="G80" s="11" t="str" cm="1">
        <f t="array" aca="1" ref="G80" ca="1">IFERROR(VLOOKUP("*" &amp; B80  &amp; "*" &amp; (MID(CELL("filename",A79),FIND("]",CELL("filename",A79))+1,31)) &amp; "*",CHOOSE({1,2}, Super_CBSA!$B$2:$B$1917, Super_CBSA!$A$2:$A$1917), 2,FALSE), IFERROR(VLOOKUP(B80  &amp; " city",CHOOSE({1,2}, Super_CBSA!$E$2:$E$1917, Super_CBSA!$A$2:$A$1917), 2,FALSE), ""))</f>
        <v/>
      </c>
    </row>
    <row r="81" spans="1:7" ht="17">
      <c r="A81" s="1" t="s">
        <v>3365</v>
      </c>
      <c r="B81" s="2" t="s">
        <v>3366</v>
      </c>
      <c r="C81" s="2">
        <v>125</v>
      </c>
      <c r="D81" s="3">
        <v>3170</v>
      </c>
      <c r="E81" s="3">
        <v>11012</v>
      </c>
      <c r="F81" s="4">
        <v>367752</v>
      </c>
      <c r="G81" s="11" t="str" cm="1">
        <f t="array" aca="1" ref="G81" ca="1">IFERROR(VLOOKUP("*" &amp; B81  &amp; "*" &amp; (MID(CELL("filename",A80),FIND("]",CELL("filename",A80))+1,31)) &amp; "*",CHOOSE({1,2}, Super_CBSA!$B$2:$B$1917, Super_CBSA!$A$2:$A$1917), 2,FALSE), IFERROR(VLOOKUP(B81  &amp; " city",CHOOSE({1,2}, Super_CBSA!$E$2:$E$1917, Super_CBSA!$A$2:$A$1917), 2,FALSE), ""))</f>
        <v/>
      </c>
    </row>
    <row r="82" spans="1:7" ht="17">
      <c r="A82" s="1" t="s">
        <v>3367</v>
      </c>
      <c r="B82" s="2" t="s">
        <v>1729</v>
      </c>
      <c r="C82" s="2">
        <v>59</v>
      </c>
      <c r="D82" s="3">
        <v>2808</v>
      </c>
      <c r="E82" s="3">
        <v>9403</v>
      </c>
      <c r="F82" s="4">
        <v>199985</v>
      </c>
      <c r="G82" s="11" t="str" cm="1">
        <f t="array" aca="1" ref="G82" ca="1">IFERROR(VLOOKUP("*" &amp; B82  &amp; "*" &amp; (MID(CELL("filename",A81),FIND("]",CELL("filename",A81))+1,31)) &amp; "*",CHOOSE({1,2}, Super_CBSA!$B$2:$B$1917, Super_CBSA!$A$2:$A$1917), 2,FALSE), IFERROR(VLOOKUP(B82  &amp; " city",CHOOSE({1,2}, Super_CBSA!$E$2:$E$1917, Super_CBSA!$A$2:$A$1917), 2,FALSE), ""))</f>
        <v/>
      </c>
    </row>
    <row r="83" spans="1:7" ht="17">
      <c r="A83" s="1" t="s">
        <v>3368</v>
      </c>
      <c r="B83" s="2" t="s">
        <v>3369</v>
      </c>
      <c r="C83" s="2">
        <v>104</v>
      </c>
      <c r="D83" s="3">
        <v>5673</v>
      </c>
      <c r="E83" s="3">
        <v>21744</v>
      </c>
      <c r="F83" s="4">
        <v>585613</v>
      </c>
      <c r="G83" s="11" cm="1">
        <f t="array" aca="1" ref="G83" ca="1">IFERROR(VLOOKUP("*" &amp; B83  &amp; "*" &amp; (MID(CELL("filename",A82),FIND("]",CELL("filename",A82))+1,31)) &amp; "*",CHOOSE({1,2}, Super_CBSA!$B$2:$B$1917, Super_CBSA!$A$2:$A$1917), 2,FALSE), IFERROR(VLOOKUP(B83  &amp; " city",CHOOSE({1,2}, Super_CBSA!$E$2:$E$1917, Super_CBSA!$A$2:$A$1917), 2,FALSE), ""))</f>
        <v>29900</v>
      </c>
    </row>
    <row r="84" spans="1:7" ht="17">
      <c r="A84" s="1" t="s">
        <v>3370</v>
      </c>
      <c r="B84" s="2" t="s">
        <v>3371</v>
      </c>
      <c r="C84" s="2">
        <v>91</v>
      </c>
      <c r="D84" s="3">
        <v>4818</v>
      </c>
      <c r="E84" s="3">
        <v>20294</v>
      </c>
      <c r="F84" s="4">
        <v>360513</v>
      </c>
      <c r="G84" s="11" cm="1">
        <f t="array" aca="1" ref="G84" ca="1">IFERROR(VLOOKUP("*" &amp; B84  &amp; "*" &amp; (MID(CELL("filename",A83),FIND("]",CELL("filename",A83))+1,31)) &amp; "*",CHOOSE({1,2}, Super_CBSA!$B$2:$B$1917, Super_CBSA!$A$2:$A$1917), 2,FALSE), IFERROR(VLOOKUP(B84  &amp; " city",CHOOSE({1,2}, Super_CBSA!$E$2:$E$1917, Super_CBSA!$A$2:$A$1917), 2,FALSE), ""))</f>
        <v>21020</v>
      </c>
    </row>
    <row r="85" spans="1:7" ht="17">
      <c r="A85" s="1" t="s">
        <v>3372</v>
      </c>
      <c r="B85" s="2" t="s">
        <v>3373</v>
      </c>
      <c r="C85" s="2">
        <v>361</v>
      </c>
      <c r="D85" s="3">
        <v>12747</v>
      </c>
      <c r="E85" s="3">
        <v>57730</v>
      </c>
      <c r="F85" s="4">
        <v>911772</v>
      </c>
      <c r="G85" s="11" cm="1">
        <f t="array" aca="1" ref="G85" ca="1">IFERROR(VLOOKUP("*" &amp; B85  &amp; "*" &amp; (MID(CELL("filename",A84),FIND("]",CELL("filename",A84))+1,31)) &amp; "*",CHOOSE({1,2}, Super_CBSA!$B$2:$B$1917, Super_CBSA!$A$2:$A$1917), 2,FALSE), IFERROR(VLOOKUP(B85  &amp; " city",CHOOSE({1,2}, Super_CBSA!$E$2:$E$1917, Super_CBSA!$A$2:$A$1917), 2,FALSE), ""))</f>
        <v>31300</v>
      </c>
    </row>
    <row r="86" spans="1:7" ht="17">
      <c r="A86" s="1" t="s">
        <v>3374</v>
      </c>
      <c r="B86" s="2" t="s">
        <v>146</v>
      </c>
      <c r="C86" s="2">
        <v>823</v>
      </c>
      <c r="D86" s="3">
        <v>44883</v>
      </c>
      <c r="E86" s="3">
        <v>201563</v>
      </c>
      <c r="F86" s="4">
        <v>3409476</v>
      </c>
      <c r="G86" s="11" cm="1">
        <f t="array" aca="1" ref="G86" ca="1">IFERROR(VLOOKUP("*" &amp; B86  &amp; "*" &amp; (MID(CELL("filename",A85),FIND("]",CELL("filename",A85))+1,31)) &amp; "*",CHOOSE({1,2}, Super_CBSA!$B$2:$B$1917, Super_CBSA!$A$2:$A$1917), 2,FALSE), IFERROR(VLOOKUP(B86  &amp; " city",CHOOSE({1,2}, Super_CBSA!$E$2:$E$1917, Super_CBSA!$A$2:$A$1917), 2,FALSE), ""))</f>
        <v>24660</v>
      </c>
    </row>
    <row r="87" spans="1:7" ht="17">
      <c r="A87" s="1" t="s">
        <v>3375</v>
      </c>
      <c r="B87" s="2" t="s">
        <v>3376</v>
      </c>
      <c r="C87" s="2">
        <v>0</v>
      </c>
      <c r="D87" s="2">
        <v>0</v>
      </c>
      <c r="E87" s="2">
        <v>0</v>
      </c>
      <c r="F87" s="4">
        <v>0</v>
      </c>
      <c r="G87" s="11" t="str" cm="1">
        <f t="array" aca="1" ref="G87" ca="1">IFERROR(VLOOKUP("*" &amp; B87  &amp; "*" &amp; (MID(CELL("filename",A86),FIND("]",CELL("filename",A86))+1,31)) &amp; "*",CHOOSE({1,2}, Super_CBSA!$B$2:$B$1917, Super_CBSA!$A$2:$A$1917), 2,FALSE), IFERROR(VLOOKUP(B87  &amp; " city",CHOOSE({1,2}, Super_CBSA!$E$2:$E$1917, Super_CBSA!$A$2:$A$1917), 2,FALSE), ""))</f>
        <v/>
      </c>
    </row>
    <row r="88" spans="1:7" ht="17">
      <c r="A88" s="1" t="s">
        <v>3377</v>
      </c>
      <c r="B88" s="2" t="s">
        <v>3378</v>
      </c>
      <c r="C88" s="2">
        <v>937</v>
      </c>
      <c r="D88" s="3">
        <v>37342</v>
      </c>
      <c r="E88" s="3">
        <v>254763</v>
      </c>
      <c r="F88" s="4">
        <v>5209505</v>
      </c>
      <c r="G88" s="11" cm="1">
        <f t="array" aca="1" ref="G88" ca="1">IFERROR(VLOOKUP("*" &amp; B88  &amp; "*" &amp; (MID(CELL("filename",A87),FIND("]",CELL("filename",A87))+1,31)) &amp; "*",CHOOSE({1,2}, Super_CBSA!$B$2:$B$1917, Super_CBSA!$A$2:$A$1917), 2,FALSE), IFERROR(VLOOKUP(B88  &amp; " city",CHOOSE({1,2}, Super_CBSA!$E$2:$E$1917, Super_CBSA!$A$2:$A$1917), 2,FALSE), ""))</f>
        <v>20500</v>
      </c>
    </row>
    <row r="89" spans="1:7" ht="17">
      <c r="A89" s="1" t="s">
        <v>3379</v>
      </c>
      <c r="B89" s="2" t="s">
        <v>3197</v>
      </c>
      <c r="C89" s="2">
        <v>559</v>
      </c>
      <c r="D89" s="3">
        <v>28737</v>
      </c>
      <c r="E89" s="3">
        <v>122933</v>
      </c>
      <c r="F89" s="4">
        <v>3092382</v>
      </c>
      <c r="G89" s="11" cm="1">
        <f t="array" aca="1" ref="G89" ca="1">IFERROR(VLOOKUP("*" &amp; B89  &amp; "*" &amp; (MID(CELL("filename",A88),FIND("]",CELL("filename",A88))+1,31)) &amp; "*",CHOOSE({1,2}, Super_CBSA!$B$2:$B$1917, Super_CBSA!$A$2:$A$1917), 2,FALSE), IFERROR(VLOOKUP(B89  &amp; " city",CHOOSE({1,2}, Super_CBSA!$E$2:$E$1917, Super_CBSA!$A$2:$A$1917), 2,FALSE), ""))</f>
        <v>39580</v>
      </c>
    </row>
    <row r="90" spans="1:7" ht="17">
      <c r="A90" s="1" t="s">
        <v>3380</v>
      </c>
      <c r="B90" s="2" t="s">
        <v>3381</v>
      </c>
      <c r="C90" s="2">
        <v>229</v>
      </c>
      <c r="D90" s="3">
        <v>3207</v>
      </c>
      <c r="E90" s="3">
        <v>10875</v>
      </c>
      <c r="F90" s="4">
        <v>168641</v>
      </c>
      <c r="G90" s="11" t="str" cm="1">
        <f t="array" aca="1" ref="G90" ca="1">IFERROR(VLOOKUP("*" &amp; B90  &amp; "*" &amp; (MID(CELL("filename",A89),FIND("]",CELL("filename",A89))+1,31)) &amp; "*",CHOOSE({1,2}, Super_CBSA!$B$2:$B$1917, Super_CBSA!$A$2:$A$1917), 2,FALSE), IFERROR(VLOOKUP(B90  &amp; " city",CHOOSE({1,2}, Super_CBSA!$E$2:$E$1917, Super_CBSA!$A$2:$A$1917), 2,FALSE), ""))</f>
        <v/>
      </c>
    </row>
    <row r="91" spans="1:7" ht="17">
      <c r="A91" s="1" t="s">
        <v>3382</v>
      </c>
      <c r="B91" s="2" t="s">
        <v>1134</v>
      </c>
      <c r="C91" s="2">
        <v>91</v>
      </c>
      <c r="D91" s="3">
        <v>2944</v>
      </c>
      <c r="E91" s="3">
        <v>13751</v>
      </c>
      <c r="F91" s="4">
        <v>220336</v>
      </c>
      <c r="G91" s="11" cm="1">
        <f t="array" aca="1" ref="G91" ca="1">IFERROR(VLOOKUP("*" &amp; B91  &amp; "*" &amp; (MID(CELL("filename",A90),FIND("]",CELL("filename",A90))+1,31)) &amp; "*",CHOOSE({1,2}, Super_CBSA!$B$2:$B$1917, Super_CBSA!$A$2:$A$1917), 2,FALSE), IFERROR(VLOOKUP(B91  &amp; " city",CHOOSE({1,2}, Super_CBSA!$E$2:$E$1917, Super_CBSA!$A$2:$A$1917), 2,FALSE), ""))</f>
        <v>47820</v>
      </c>
    </row>
    <row r="92" spans="1:7" ht="17">
      <c r="A92" s="1" t="s">
        <v>3383</v>
      </c>
      <c r="B92" s="2" t="s">
        <v>3384</v>
      </c>
      <c r="C92" s="2">
        <v>74</v>
      </c>
      <c r="D92" s="3">
        <v>2562</v>
      </c>
      <c r="E92" s="3">
        <v>10836</v>
      </c>
      <c r="F92" s="4">
        <v>158017</v>
      </c>
      <c r="G92" s="11" t="str" cm="1">
        <f t="array" aca="1" ref="G92" ca="1">IFERROR(VLOOKUP("*" &amp; B92  &amp; "*" &amp; (MID(CELL("filename",A91),FIND("]",CELL("filename",A91))+1,31)) &amp; "*",CHOOSE({1,2}, Super_CBSA!$B$2:$B$1917, Super_CBSA!$A$2:$A$1917), 2,FALSE), IFERROR(VLOOKUP(B92  &amp; " city",CHOOSE({1,2}, Super_CBSA!$E$2:$E$1917, Super_CBSA!$A$2:$A$1917), 2,FALSE), ""))</f>
        <v/>
      </c>
    </row>
    <row r="93" spans="1:7" ht="17">
      <c r="A93" s="1" t="s">
        <v>3385</v>
      </c>
      <c r="B93" s="2" t="s">
        <v>3386</v>
      </c>
      <c r="C93" s="2">
        <v>117</v>
      </c>
      <c r="D93" s="3">
        <v>3259</v>
      </c>
      <c r="E93" s="3">
        <v>14240</v>
      </c>
      <c r="F93" s="4">
        <v>264451</v>
      </c>
      <c r="G93" s="11" t="str" cm="1">
        <f t="array" aca="1" ref="G93" ca="1">IFERROR(VLOOKUP("*" &amp; B93  &amp; "*" &amp; (MID(CELL("filename",A92),FIND("]",CELL("filename",A92))+1,31)) &amp; "*",CHOOSE({1,2}, Super_CBSA!$B$2:$B$1917, Super_CBSA!$A$2:$A$1917), 2,FALSE), IFERROR(VLOOKUP(B93  &amp; " city",CHOOSE({1,2}, Super_CBSA!$E$2:$E$1917, Super_CBSA!$A$2:$A$1917), 2,FALSE), ""))</f>
        <v/>
      </c>
    </row>
    <row r="94" spans="1:7" ht="17">
      <c r="A94" s="1" t="s">
        <v>3387</v>
      </c>
      <c r="B94" s="2" t="s">
        <v>200</v>
      </c>
      <c r="C94" s="2">
        <v>974</v>
      </c>
      <c r="D94" s="3">
        <v>40664</v>
      </c>
      <c r="E94" s="3">
        <v>253419</v>
      </c>
      <c r="F94" s="4">
        <v>3288731</v>
      </c>
      <c r="G94" s="11" cm="1">
        <f t="array" aca="1" ref="G94" ca="1">IFERROR(VLOOKUP("*" &amp; B94  &amp; "*" &amp; (MID(CELL("filename",A93),FIND("]",CELL("filename",A93))+1,31)) &amp; "*",CHOOSE({1,2}, Super_CBSA!$B$2:$B$1917, Super_CBSA!$A$2:$A$1917), 2,FALSE), IFERROR(VLOOKUP(B94  &amp; " city",CHOOSE({1,2}, Super_CBSA!$E$2:$E$1917, Super_CBSA!$A$2:$A$1917), 2,FALSE), ""))</f>
        <v>24780</v>
      </c>
    </row>
    <row r="95" spans="1:7" ht="17">
      <c r="A95" s="1" t="s">
        <v>3388</v>
      </c>
      <c r="B95" s="2" t="s">
        <v>3389</v>
      </c>
      <c r="C95" s="2">
        <v>124</v>
      </c>
      <c r="D95" s="3">
        <v>4302</v>
      </c>
      <c r="E95" s="3">
        <v>19368</v>
      </c>
      <c r="F95" s="4">
        <v>272618</v>
      </c>
      <c r="G95" s="11" cm="1">
        <f t="array" aca="1" ref="G95" ca="1">IFERROR(VLOOKUP("*" &amp; B95  &amp; "*" &amp; (MID(CELL("filename",A94),FIND("]",CELL("filename",A94))+1,31)) &amp; "*",CHOOSE({1,2}, Super_CBSA!$B$2:$B$1917, Super_CBSA!$A$2:$A$1917), 2,FALSE), IFERROR(VLOOKUP(B95  &amp; " city",CHOOSE({1,2}, Super_CBSA!$E$2:$E$1917, Super_CBSA!$A$2:$A$1917), 2,FALSE), ""))</f>
        <v>40260</v>
      </c>
    </row>
    <row r="96" spans="1:7" ht="17">
      <c r="A96" s="1" t="s">
        <v>3390</v>
      </c>
      <c r="B96" s="2" t="s">
        <v>3391</v>
      </c>
      <c r="C96" s="2">
        <v>98</v>
      </c>
      <c r="D96" s="3">
        <v>3274</v>
      </c>
      <c r="E96" s="3">
        <v>13459</v>
      </c>
      <c r="F96" s="4">
        <v>211919</v>
      </c>
      <c r="G96" s="11" t="str" cm="1">
        <f t="array" aca="1" ref="G96" ca="1">IFERROR(VLOOKUP("*" &amp; B96  &amp; "*" &amp; (MID(CELL("filename",A95),FIND("]",CELL("filename",A95))+1,31)) &amp; "*",CHOOSE({1,2}, Super_CBSA!$B$2:$B$1917, Super_CBSA!$A$2:$A$1917), 2,FALSE), IFERROR(VLOOKUP(B96  &amp; " city",CHOOSE({1,2}, Super_CBSA!$E$2:$E$1917, Super_CBSA!$A$2:$A$1917), 2,FALSE), ""))</f>
        <v/>
      </c>
    </row>
    <row r="97" spans="1:7" ht="17">
      <c r="A97" s="1" t="s">
        <v>3392</v>
      </c>
      <c r="B97" s="2" t="s">
        <v>2671</v>
      </c>
      <c r="C97" s="2">
        <v>0</v>
      </c>
      <c r="D97" s="2">
        <v>0</v>
      </c>
      <c r="E97" s="2">
        <v>0</v>
      </c>
      <c r="F97" s="4">
        <v>0</v>
      </c>
      <c r="G97" s="11" t="str" cm="1">
        <f t="array" aca="1" ref="G97" ca="1">IFERROR(VLOOKUP("*" &amp; B97  &amp; "*" &amp; (MID(CELL("filename",A96),FIND("]",CELL("filename",A96))+1,31)) &amp; "*",CHOOSE({1,2}, Super_CBSA!$B$2:$B$1917, Super_CBSA!$A$2:$A$1917), 2,FALSE), IFERROR(VLOOKUP(B97  &amp; " city",CHOOSE({1,2}, Super_CBSA!$E$2:$E$1917, Super_CBSA!$A$2:$A$1917), 2,FALSE), ""))</f>
        <v/>
      </c>
    </row>
    <row r="98" spans="1:7" ht="17">
      <c r="A98" s="1" t="s">
        <v>3393</v>
      </c>
      <c r="B98" s="2" t="s">
        <v>3394</v>
      </c>
      <c r="C98" s="2">
        <v>103</v>
      </c>
      <c r="D98" s="3">
        <v>3609</v>
      </c>
      <c r="E98" s="3">
        <v>11808</v>
      </c>
      <c r="F98" s="4">
        <v>281029</v>
      </c>
      <c r="G98" s="11" cm="1">
        <f t="array" aca="1" ref="G98" ca="1">IFERROR(VLOOKUP("*" &amp; B98  &amp; "*" &amp; (MID(CELL("filename",A97),FIND("]",CELL("filename",A97))+1,31)) &amp; "*",CHOOSE({1,2}, Super_CBSA!$B$2:$B$1917, Super_CBSA!$A$2:$A$1917), 2,FALSE), IFERROR(VLOOKUP(B98  &amp; " city",CHOOSE({1,2}, Super_CBSA!$E$2:$E$1917, Super_CBSA!$A$2:$A$1917), 2,FALSE), ""))</f>
        <v>35900</v>
      </c>
    </row>
    <row r="99" spans="1:7" ht="17">
      <c r="A99" s="1" t="s">
        <v>3395</v>
      </c>
      <c r="B99" s="2" t="s">
        <v>3396</v>
      </c>
      <c r="C99" s="2">
        <v>304</v>
      </c>
      <c r="D99" s="3">
        <v>15376</v>
      </c>
      <c r="E99" s="3">
        <v>67732</v>
      </c>
      <c r="F99" s="4">
        <v>1152800</v>
      </c>
      <c r="G99" s="11" cm="1">
        <f t="array" aca="1" ref="G99" ca="1">IFERROR(VLOOKUP("*" &amp; B99  &amp; "*" &amp; (MID(CELL("filename",A98),FIND("]",CELL("filename",A98))+1,31)) &amp; "*",CHOOSE({1,2}, Super_CBSA!$B$2:$B$1917, Super_CBSA!$A$2:$A$1917), 2,FALSE), IFERROR(VLOOKUP(B99  &amp; " city",CHOOSE({1,2}, Super_CBSA!$E$2:$E$1917, Super_CBSA!$A$2:$A$1917), 2,FALSE), ""))</f>
        <v>24660</v>
      </c>
    </row>
    <row r="100" spans="1:7" ht="17">
      <c r="A100" s="1" t="s">
        <v>3397</v>
      </c>
      <c r="B100" s="2" t="s">
        <v>2252</v>
      </c>
      <c r="C100" s="2">
        <v>80</v>
      </c>
      <c r="D100" s="3">
        <v>3849</v>
      </c>
      <c r="E100" s="3">
        <v>12415</v>
      </c>
      <c r="F100" s="4">
        <v>388044</v>
      </c>
      <c r="G100" s="11" t="str" cm="1">
        <f t="array" aca="1" ref="G100" ca="1">IFERROR(VLOOKUP("*" &amp; B100  &amp; "*" &amp; (MID(CELL("filename",A99),FIND("]",CELL("filename",A99))+1,31)) &amp; "*",CHOOSE({1,2}, Super_CBSA!$B$2:$B$1917, Super_CBSA!$A$2:$A$1917), 2,FALSE), IFERROR(VLOOKUP(B100  &amp; " city",CHOOSE({1,2}, Super_CBSA!$E$2:$E$1917, Super_CBSA!$A$2:$A$1917), 2,FALSE), ""))</f>
        <v/>
      </c>
    </row>
    <row r="101" spans="1:7" ht="17">
      <c r="A101" s="1" t="s">
        <v>3398</v>
      </c>
      <c r="B101" s="2" t="s">
        <v>3266</v>
      </c>
      <c r="C101" s="2">
        <v>870</v>
      </c>
      <c r="D101" s="3">
        <v>36712</v>
      </c>
      <c r="E101" s="3">
        <v>233152</v>
      </c>
      <c r="F101" s="4">
        <v>6190811</v>
      </c>
      <c r="G101" s="11" cm="1">
        <f t="array" aca="1" ref="G101" ca="1">IFERROR(VLOOKUP("*" &amp; B101  &amp; "*" &amp; (MID(CELL("filename",A100),FIND("]",CELL("filename",A100))+1,31)) &amp; "*",CHOOSE({1,2}, Super_CBSA!$B$2:$B$1917, Super_CBSA!$A$2:$A$1917), 2,FALSE), IFERROR(VLOOKUP(B101  &amp; " city",CHOOSE({1,2}, Super_CBSA!$E$2:$E$1917, Super_CBSA!$A$2:$A$1917), 2,FALSE), ""))</f>
        <v>49180</v>
      </c>
    </row>
    <row r="102" spans="1:7" ht="17">
      <c r="A102" s="1" t="s">
        <v>3399</v>
      </c>
      <c r="B102" s="2" t="s">
        <v>3400</v>
      </c>
      <c r="C102" s="2">
        <v>196</v>
      </c>
      <c r="D102" s="3">
        <v>12844</v>
      </c>
      <c r="E102" s="3">
        <v>55325</v>
      </c>
      <c r="F102" s="4">
        <v>1119356</v>
      </c>
      <c r="G102" s="11" cm="1">
        <f t="array" aca="1" ref="G102" ca="1">IFERROR(VLOOKUP("*" &amp; B102  &amp; "*" &amp; (MID(CELL("filename",A101),FIND("]",CELL("filename",A101))+1,31)) &amp; "*",CHOOSE({1,2}, Super_CBSA!$B$2:$B$1917, Super_CBSA!$A$2:$A$1917), 2,FALSE), IFERROR(VLOOKUP(B102  &amp; " city",CHOOSE({1,2}, Super_CBSA!$E$2:$E$1917, Super_CBSA!$A$2:$A$1917), 2,FALSE), ""))</f>
        <v>39580</v>
      </c>
    </row>
    <row r="103" spans="1:7" ht="17">
      <c r="A103" s="1" t="s">
        <v>3401</v>
      </c>
      <c r="B103" s="2" t="s">
        <v>3197</v>
      </c>
      <c r="C103" s="2">
        <v>0</v>
      </c>
      <c r="D103" s="2">
        <v>0</v>
      </c>
      <c r="E103" s="2">
        <v>0</v>
      </c>
      <c r="F103" s="4">
        <v>0</v>
      </c>
      <c r="G103" s="11" cm="1">
        <f t="array" aca="1" ref="G103" ca="1">IFERROR(VLOOKUP("*" &amp; B103  &amp; "*" &amp; (MID(CELL("filename",A102),FIND("]",CELL("filename",A102))+1,31)) &amp; "*",CHOOSE({1,2}, Super_CBSA!$B$2:$B$1917, Super_CBSA!$A$2:$A$1917), 2,FALSE), IFERROR(VLOOKUP(B103  &amp; " city",CHOOSE({1,2}, Super_CBSA!$E$2:$E$1917, Super_CBSA!$A$2:$A$1917), 2,FALSE), ""))</f>
        <v>39580</v>
      </c>
    </row>
    <row r="104" spans="1:7" ht="17">
      <c r="A104" s="1" t="s">
        <v>3402</v>
      </c>
      <c r="B104" s="2" t="s">
        <v>3197</v>
      </c>
      <c r="C104" s="2">
        <v>694</v>
      </c>
      <c r="D104" s="3">
        <v>33669</v>
      </c>
      <c r="E104" s="3">
        <v>177482</v>
      </c>
      <c r="F104" s="4">
        <v>3836138</v>
      </c>
      <c r="G104" s="11" cm="1">
        <f t="array" aca="1" ref="G104" ca="1">IFERROR(VLOOKUP("*" &amp; B104  &amp; "*" &amp; (MID(CELL("filename",A103),FIND("]",CELL("filename",A103))+1,31)) &amp; "*",CHOOSE({1,2}, Super_CBSA!$B$2:$B$1917, Super_CBSA!$A$2:$A$1917), 2,FALSE), IFERROR(VLOOKUP(B104  &amp; " city",CHOOSE({1,2}, Super_CBSA!$E$2:$E$1917, Super_CBSA!$A$2:$A$1917), 2,FALSE), ""))</f>
        <v>39580</v>
      </c>
    </row>
    <row r="105" spans="1:7" ht="17">
      <c r="A105" s="1" t="s">
        <v>3403</v>
      </c>
      <c r="B105" s="2" t="s">
        <v>3404</v>
      </c>
      <c r="C105" s="2">
        <v>95</v>
      </c>
      <c r="D105" s="3">
        <v>4318</v>
      </c>
      <c r="E105" s="3">
        <v>15155</v>
      </c>
      <c r="F105" s="4">
        <v>411978</v>
      </c>
      <c r="G105" s="11" cm="1">
        <f t="array" aca="1" ref="G105" ca="1">IFERROR(VLOOKUP("*" &amp; B105  &amp; "*" &amp; (MID(CELL("filename",A104),FIND("]",CELL("filename",A104))+1,31)) &amp; "*",CHOOSE({1,2}, Super_CBSA!$B$2:$B$1917, Super_CBSA!$A$2:$A$1917), 2,FALSE), IFERROR(VLOOKUP(B105  &amp; " city",CHOOSE({1,2}, Super_CBSA!$E$2:$E$1917, Super_CBSA!$A$2:$A$1917), 2,FALSE), ""))</f>
        <v>14380</v>
      </c>
    </row>
    <row r="106" spans="1:7" ht="17">
      <c r="A106" s="1" t="s">
        <v>3405</v>
      </c>
      <c r="B106" s="2" t="s">
        <v>3406</v>
      </c>
      <c r="C106" s="2">
        <v>261</v>
      </c>
      <c r="D106" s="3">
        <v>10306</v>
      </c>
      <c r="E106" s="3">
        <v>49863</v>
      </c>
      <c r="F106" s="4">
        <v>620159</v>
      </c>
      <c r="G106" s="11" cm="1">
        <f t="array" aca="1" ref="G106" ca="1">IFERROR(VLOOKUP("*" &amp; B106  &amp; "*" &amp; (MID(CELL("filename",A105),FIND("]",CELL("filename",A105))+1,31)) &amp; "*",CHOOSE({1,2}, Super_CBSA!$B$2:$B$1917, Super_CBSA!$A$2:$A$1917), 2,FALSE), IFERROR(VLOOKUP(B106  &amp; " city",CHOOSE({1,2}, Super_CBSA!$E$2:$E$1917, Super_CBSA!$A$2:$A$1917), 2,FALSE), ""))</f>
        <v>24140</v>
      </c>
    </row>
    <row r="107" spans="1:7" ht="17">
      <c r="A107" s="1" t="s">
        <v>3407</v>
      </c>
      <c r="B107" s="2" t="s">
        <v>1151</v>
      </c>
      <c r="C107" s="2">
        <v>92</v>
      </c>
      <c r="D107" s="3">
        <v>1207</v>
      </c>
      <c r="E107" s="3">
        <v>17802</v>
      </c>
      <c r="F107" s="4">
        <v>42599</v>
      </c>
      <c r="G107" s="11" cm="1">
        <f t="array" aca="1" ref="G107" ca="1">IFERROR(VLOOKUP("*" &amp; B107  &amp; "*" &amp; (MID(CELL("filename",A106),FIND("]",CELL("filename",A106))+1,31)) &amp; "*",CHOOSE({1,2}, Super_CBSA!$B$2:$B$1917, Super_CBSA!$A$2:$A$1917), 2,FALSE), IFERROR(VLOOKUP(B107  &amp; " city",CHOOSE({1,2}, Super_CBSA!$E$2:$E$1917, Super_CBSA!$A$2:$A$1917), 2,FALSE), ""))</f>
        <v>48900</v>
      </c>
    </row>
    <row r="108" spans="1:7" ht="17">
      <c r="A108" s="1" t="s">
        <v>3408</v>
      </c>
      <c r="B108" s="2" t="s">
        <v>3409</v>
      </c>
      <c r="C108" s="2">
        <v>294</v>
      </c>
      <c r="D108" s="3">
        <v>6650</v>
      </c>
      <c r="E108" s="3">
        <v>26771</v>
      </c>
      <c r="F108" s="4">
        <v>559909</v>
      </c>
      <c r="G108" s="11" cm="1">
        <f t="array" aca="1" ref="G108" ca="1">IFERROR(VLOOKUP("*" &amp; B108  &amp; "*" &amp; (MID(CELL("filename",A107),FIND("]",CELL("filename",A107))+1,31)) &amp; "*",CHOOSE({1,2}, Super_CBSA!$B$2:$B$1917, Super_CBSA!$A$2:$A$1917), 2,FALSE), IFERROR(VLOOKUP(B108  &amp; " city",CHOOSE({1,2}, Super_CBSA!$E$2:$E$1917, Super_CBSA!$A$2:$A$1917), 2,FALSE), ""))</f>
        <v>48980</v>
      </c>
    </row>
    <row r="109" spans="1:7" ht="17">
      <c r="A109" s="1" t="s">
        <v>3410</v>
      </c>
      <c r="B109" s="2" t="s">
        <v>3411</v>
      </c>
      <c r="C109" s="2">
        <v>0</v>
      </c>
      <c r="D109" s="2">
        <v>0</v>
      </c>
      <c r="E109" s="2">
        <v>0</v>
      </c>
      <c r="F109" s="4">
        <v>0</v>
      </c>
      <c r="G109" s="11" t="str" cm="1">
        <f t="array" aca="1" ref="G109" ca="1">IFERROR(VLOOKUP("*" &amp; B109  &amp; "*" &amp; (MID(CELL("filename",A108),FIND("]",CELL("filename",A108))+1,31)) &amp; "*",CHOOSE({1,2}, Super_CBSA!$B$2:$B$1917, Super_CBSA!$A$2:$A$1917), 2,FALSE), IFERROR(VLOOKUP(B109  &amp; " city",CHOOSE({1,2}, Super_CBSA!$E$2:$E$1917, Super_CBSA!$A$2:$A$1917), 2,FALSE), ""))</f>
        <v/>
      </c>
    </row>
    <row r="110" spans="1:7" ht="17">
      <c r="A110" s="2" t="s">
        <v>56</v>
      </c>
      <c r="B110" s="2"/>
      <c r="C110" s="3">
        <v>23289</v>
      </c>
      <c r="D110" s="3">
        <v>988598</v>
      </c>
      <c r="E110" s="3">
        <v>4862283</v>
      </c>
      <c r="F110" s="4">
        <v>103690769</v>
      </c>
    </row>
  </sheetData>
  <hyperlinks>
    <hyperlink ref="A2" r:id="rId1" display="https://www.ahd.com/free_profile/340023/AdventHealth_Hendersonville/Hendersonville/North_Carolina/" xr:uid="{4379EC78-A944-DA47-BAB9-898A765C4D23}"/>
    <hyperlink ref="A3" r:id="rId2" display="https://www.ahd.com/free_profile/340070/Alamance_Regional_Medical_Center/Burlington/North_Carolina/" xr:uid="{7515782D-8F04-384B-AF43-5D91955099C3}"/>
    <hyperlink ref="A4" r:id="rId3" display="https://www.ahd.com/free_profile/340084/Atrium_Health_Anson/Wadesboro/North_Carolina/" xr:uid="{6360B5AE-C038-EC41-A89D-A33037CB48E0}"/>
    <hyperlink ref="A5" r:id="rId4" display="https://www.ahd.com/free_profile/340001/Atrium_Health_Cabarrus/Concord/North_Carolina/" xr:uid="{2A77891E-3B3B-9644-AE45-069098C00733}"/>
    <hyperlink ref="A6" r:id="rId5" display="https://www.ahd.com/free_profile/340021/Atrium_Health_Cleveland/Shelby/North_Carolina/" xr:uid="{73E0C5F7-BE24-EE43-8CCA-61072CDC8772}"/>
    <hyperlink ref="A7" r:id="rId6" display="https://www.ahd.com/free_profile/340037/Atrium_Health_Kings_Mountain/Kings_Mountain/North_Carolina/" xr:uid="{C6D92400-A5FE-9446-9EAF-6CB917195F69}"/>
    <hyperlink ref="A8" r:id="rId7" display="https://www.ahd.com/free_profile/340145/Atrium_Health_Lincoln/Lincolnton/North_Carolina/" xr:uid="{9E08E2EE-2087-7144-A4F3-319A63F46333}"/>
    <hyperlink ref="A9" r:id="rId8" display="https://www.ahd.com/free_profile/I07873/Atrium_Health_Mercy/Charlotte/North_Carolina/" xr:uid="{41246EBB-E66B-094B-A14B-9E701E09CDDC}"/>
    <hyperlink ref="A10" r:id="rId9" display="https://www.ahd.com/free_profile/340098/Atrium_Health_Pineville/Charlotte/North_Carolina/" xr:uid="{DB3FC847-D53E-464E-A05F-2F8056E48743}"/>
    <hyperlink ref="A11" r:id="rId10" display="https://www.ahd.com/free_profile/340119/Atrium_Health_Stanly/Albemarle/North_Carolina/" xr:uid="{6D2863E4-2B8B-5747-8682-D77CE2FB2B03}"/>
    <hyperlink ref="A12" r:id="rId11" display="https://www.ahd.com/free_profile/340130/Atrium_Health_Union/Monroe/North_Carolina/" xr:uid="{1B8F1E7C-9F9E-4742-BEA8-18B729770C8E}"/>
    <hyperlink ref="A13" r:id="rId12" display="https://www.ahd.com/free_profile/340166/Atrium_Health_University_City/Charlotte/North_Carolina/" xr:uid="{8B505DF6-C33B-AA48-9AF1-ACF46E76B989}"/>
    <hyperlink ref="A14" r:id="rId13" display="https://www.ahd.com/free_profile/340071/Betsy_Johnson_Regional_Hospital/Dunn/North_Carolina/" xr:uid="{0BB4BDED-5D62-2D44-B9CA-9D94F2BC38F0}"/>
    <hyperlink ref="A15" r:id="rId14" display="https://www.ahd.com/free_profile/I41824/Brenner_Children%27s_Hospital/Winston-Salem/North_Carolina/" xr:uid="{E0AFCAA2-D262-2648-AEC2-E62E49824099}"/>
    <hyperlink ref="A16" r:id="rId15" display="https://www.ahd.com/free_profile/340041/Caldwell_Memorial_Hospital/Lenoir/North_Carolina/" xr:uid="{300E9AB9-7F4E-2D4A-A9D0-71881FE0AEBC}"/>
    <hyperlink ref="A17" r:id="rId16" display="https://www.ahd.com/free_profile/340188/Cape_Fear_Valley_Hoke_Hospital_/Raeford_/North_Carolina/" xr:uid="{998E2F68-CE77-5F44-B778-AF76B84F08AA}"/>
    <hyperlink ref="A18" r:id="rId17" display="https://www.ahd.com/free_profile/340028/Cape_Fear_Valley_Medical_Center/Fayetteville/North_Carolina/" xr:uid="{0BFBD7F6-AE29-F244-B312-0D2C631E6ECD}"/>
    <hyperlink ref="A19" r:id="rId18" display="https://www.ahd.com/free_profile/340131/CarolinaEast_Medical_Center/New_Bern/North_Carolina/" xr:uid="{C9FB1C43-3B3E-644C-AE56-A3626618C61D}"/>
    <hyperlink ref="A20" r:id="rId19" display="https://www.ahd.com/free_profile/340075/Carolinas_HealthCare_System_-_Blue_Ridge/Morgantown/North_Carolina/" xr:uid="{1E5070F0-4DA8-5945-B6B0-9E0BF53E5A8D}"/>
    <hyperlink ref="A21" r:id="rId20" display="https://www.ahd.com/free_profile/340113/Carolinas_Medical_Center/Charlotte/North_Carolina/" xr:uid="{EE35B68D-8B7D-2541-9234-514B69D898B0}"/>
    <hyperlink ref="A22" r:id="rId21" display="https://www.ahd.com/free_profile/340032/CaroMont_Regional_Medical_Center/Gastonia/North_Carolina/" xr:uid="{1F54C006-97C2-F642-9DB8-ABAF79F1452D}"/>
    <hyperlink ref="A23" r:id="rId22" display="https://www.ahd.com/free_profile/340142/Carteret_Healthcare_/Morehead_City/North_Carolina/" xr:uid="{A489DD4B-CA82-EE42-9E07-F7BF72311F75}"/>
    <hyperlink ref="A24" r:id="rId23" display="https://www.ahd.com/free_profile/340143/Catawba_Valley_Medical_Center/Hickory/North_Carolina/" xr:uid="{5A25FDF2-8830-F043-ACCD-7039FFF9FA80}"/>
    <hyperlink ref="A25" r:id="rId24" display="https://www.ahd.com/free_profile/340020/Central_Carolina_Hospital/Sanford/North_Carolina/" xr:uid="{ED98FD6A-5731-804E-8226-2EC1345ABF96}"/>
    <hyperlink ref="A26" r:id="rId25" display="https://www.ahd.com/free_profile/I41871/Central_Harnett_Hospital/Lillington_/North_Carolina/" xr:uid="{D11E2988-B063-CA4C-9BC2-8BFA21BE1DC1}"/>
    <hyperlink ref="A27" r:id="rId26" display="https://www.ahd.com/free_profile/I07935/Central_Prison_Hospital/Raleigh/North_Carolina/" xr:uid="{0E0D9D2F-E146-4C43-8E6C-69259A3491EA}"/>
    <hyperlink ref="A28" r:id="rId27" display="https://www.ahd.com/free_profile/34036F/Charles_George_VA_Medical_Center_-_Asheville_NC/Asheville/North_Carolina/" xr:uid="{FCCBFA47-C193-A343-863F-CA06F67DEF10}"/>
    <hyperlink ref="A29" r:id="rId28" display="https://www.ahd.com/free_profile/340156/Cherokee_Indian_Hospital/Cherokee/North_Carolina/" xr:uid="{9B26263D-E059-D648-B9C8-A321C7A86B41}"/>
    <hyperlink ref="A30" r:id="rId29" display="https://www.ahd.com/free_profile/340068/Columbus_Regional_Healthcare_System/Whiteville/North_Carolina/" xr:uid="{A88635EE-B9DC-274C-B3DA-D7B0C2634962}"/>
    <hyperlink ref="A31" r:id="rId30" display="https://www.ahd.com/free_profile/340007/Cone_Health_Annie_Penn_Hospital/Reidsville/North_Carolina/" xr:uid="{98908030-F8F0-8343-8E8D-753458945236}"/>
    <hyperlink ref="A32" r:id="rId31" display="https://www.ahd.com/free_profile/I41136/Cone_Health_Wesley_Long_Hospital_/Greensboro/North_Carolina/" xr:uid="{8B8D3128-9ED7-B949-AB24-ED982A8A10D7}"/>
    <hyperlink ref="A33" r:id="rId32" display="https://www.ahd.com/free_profile/I08209/Cone_Health_Women%27s_Hospital_/Greensboro/North_Carolina/" xr:uid="{D7590F02-FF49-1948-8558-8C4B36C50C47}"/>
    <hyperlink ref="A34" r:id="rId33" display="https://www.ahd.com/free_profile/340187/Davie_Medical_Center/Bermuda_Run/North_Carolina/" xr:uid="{C0F7130F-F341-5249-B9BA-27621EF6F60E}"/>
    <hyperlink ref="A35" r:id="rId34" display="https://www.ahd.com/free_profile/340144/Davis_Regional_Medical_Center/Statesville/North_Carolina/" xr:uid="{724033BD-713A-3A47-8883-A89532728C49}"/>
    <hyperlink ref="A36" r:id="rId35" display="https://www.ahd.com/free_profile/340073/Duke_Raleigh_Hospital/Raleigh/North_Carolina/" xr:uid="{5EBBBD02-91F5-E247-9355-7AD25041EFDE}"/>
    <hyperlink ref="A37" r:id="rId36" display="https://www.ahd.com/free_profile/340155/Duke_Regional_Hospital/Durham/North_Carolina/" xr:uid="{D4167306-D643-4D44-9B88-F8AB02D9785A}"/>
    <hyperlink ref="A38" r:id="rId37" display="https://www.ahd.com/free_profile/340030/Duke_University_Hospital/Durham/North_Carolina/" xr:uid="{B9F1298B-9397-5441-9106-18B774A71DB1}"/>
    <hyperlink ref="A39" r:id="rId38" display="https://www.ahd.com/free_profile/34012F/Durham_VA_Medical_Center/Durham/North_Carolina/" xr:uid="{93955618-D414-F841-AA1F-7A85F7FD4CD6}"/>
    <hyperlink ref="A40" r:id="rId39" display="https://www.ahd.com/free_profile/34013F/Fayetteville_VA_Medical_Center/Fayetteville/North_Carolina/" xr:uid="{B7F7A041-96FA-A241-86A6-4E13E0BF8792}"/>
    <hyperlink ref="A41" r:id="rId40" display="https://www.ahd.com/free_profile/340115/FirstHealth_Moore_Regional_Hospital/Pinehurst/North_Carolina/" xr:uid="{BA0E383B-D588-2347-AED2-4109A3A163B8}"/>
    <hyperlink ref="A42" r:id="rId41" display="https://www.ahd.com/free_profile/I41979/FirstHealth_Moore_Regional_Hospital-Hoke_Campus/Raeford/North_Carolina/" xr:uid="{8286BF9C-A8AF-1145-8BAA-CEBE7932F40B}"/>
    <hyperlink ref="A43" r:id="rId42" display="https://www.ahd.com/free_profile/340035/FirstHealth_Moore_Regional_Hospital-Richmond_/Rockingham/North_Carolina/" xr:uid="{F91E2B9F-10AB-854C-A38D-3D6F5BF85D7B}"/>
    <hyperlink ref="A44" r:id="rId43" display="https://www.ahd.com/free_profile/340116/Frye_Regional_Medical_Center/Hickory/North_Carolina/" xr:uid="{F70FC790-E1F2-4046-9C48-296E9FE1A716}"/>
    <hyperlink ref="A45" r:id="rId44" display="https://www.ahd.com/free_profile/340127/Granville_Medical_Center/Oxford/North_Carolina/" xr:uid="{859FFF6F-FC8D-9E45-BFFC-321C8EA6DF02}"/>
    <hyperlink ref="A46" r:id="rId45" display="https://www.ahd.com/free_profile/340016/Harris_Regional_Hospital/Sylva/North_Carolina/" xr:uid="{7E973146-4B7C-4A45-96E2-95BE6E8677AF}"/>
    <hyperlink ref="A47" r:id="rId46" display="https://www.ahd.com/free_profile/340184/Haywood_Regional_Medical_Center/Clyde/North_Carolina/" xr:uid="{51D46951-745C-0348-AC1E-087B1C10D4F2}"/>
    <hyperlink ref="A48" r:id="rId47" display="https://www.ahd.com/free_profile/340097/Hugh_Chatham_Memorial_Hospital/Elkin/North_Carolina/" xr:uid="{B7AD8194-7525-1146-9686-1F68B11E2993}"/>
    <hyperlink ref="A49" r:id="rId48" display="https://www.ahd.com/free_profile/340039/Iredell_Memorial_Hospital/Statesville/North_Carolina/" xr:uid="{82F3DC63-27A8-F446-BD97-14E8FA30438F}"/>
    <hyperlink ref="A50" r:id="rId49" display="https://www.ahd.com/free_profile/I42029/Johnston_Health_Clayton/Clayton/North_Carolina/" xr:uid="{A6DF2BF4-3267-F847-942F-EB32CFEE72A8}"/>
    <hyperlink ref="A51" r:id="rId50" display="https://www.ahd.com/free_profile/340090/Johnston_Health_Smithfield/Smithfield/North_Carolina/" xr:uid="{A5616B50-A2EE-7143-9A04-A1817F26761E}"/>
    <hyperlink ref="A52" r:id="rId51" display="https://www.ahd.com/free_profile/340129/Lake_Norman_Regional_Medical_Center/Mooresville/North_Carolina/" xr:uid="{30EFD3AA-3BAE-0943-A122-8DE8BE9AA078}"/>
    <hyperlink ref="A53" r:id="rId52" display="https://www.ahd.com/free_profile/340027/Lenoir_UNC_Health_Care/Kinston/North_Carolina/" xr:uid="{28D11D76-B6EF-064A-86B2-43FAC0C16E2E}"/>
    <hyperlink ref="A54" r:id="rId53" display="https://www.ahd.com/free_profile/340132/Maria_Parham_Medical_Center/Henderson/North_Carolina/" xr:uid="{44ABCB86-F661-DA4C-9F7E-E06EF8AC593E}"/>
    <hyperlink ref="A55" r:id="rId54" display="https://www.ahd.com/free_profile/340133/Martin_General_Hospital/Williamston/North_Carolina/" xr:uid="{51FFB2CB-EDA6-3C42-B6CC-653F4C1F6116}"/>
    <hyperlink ref="A56" r:id="rId55" display="https://www.ahd.com/free_profile/I42330/Maynard_Children%27s_Hospital/Greenville/North_Carolina/" xr:uid="{41B43B97-27C7-134B-8835-B4AC57733EA8}"/>
    <hyperlink ref="A57" r:id="rId56" display="https://www.ahd.com/free_profile/340002/Mission_Hospital_-_Memorial_Campus/Asheville/North_Carolina/" xr:uid="{B72A7DD7-1ED7-DA47-801D-4FA8624A8FC7}"/>
    <hyperlink ref="A58" r:id="rId57" display="https://www.ahd.com/free_profile/340087/Mission_Hospital_McDowell_/Marion/North_Carolina/" xr:uid="{E17DB4B4-9AB6-CD41-8D03-BBCA53EF702C}"/>
    <hyperlink ref="A59" r:id="rId58" display="https://www.ahd.com/free_profile/I41350/Mission_Saint_Joseph_Campus/Asheville/North_Carolina/" xr:uid="{3B81DA67-3167-8747-8582-F250D9E4EB5E}"/>
    <hyperlink ref="A60" r:id="rId59" display="https://www.ahd.com/free_profile/340147/Nash_General_Hospital/Rocky_Mount/North_Carolina/" xr:uid="{C40FA11D-FFDD-FA4C-87D1-F94FA7B1CA20}"/>
    <hyperlink ref="A61" r:id="rId60" display="https://www.ahd.com/free_profile/34011F/Naval_Hospital_Camp_Lejeune/Camp_Lejeune/North_Carolina/" xr:uid="{6BEFDC29-891B-6C40-B60E-C9DEBDF9D9A7}"/>
    <hyperlink ref="A62" r:id="rId61" display="https://www.ahd.com/free_profile/340141/New_Hanover_Regional_Medical_Center/Wilmington/North_Carolina/" xr:uid="{C5D3A67C-C21E-6944-A868-716979D3AAF1}"/>
    <hyperlink ref="A63" r:id="rId62" display="https://www.ahd.com/free_profile/340094/New_Hanover_Regional_Medical_Center_-_Orthopedic_Hospital_/Wilmington/North_Carolina/" xr:uid="{21BDCF05-BEC0-4848-BE69-7BECB5ED4C1D}"/>
    <hyperlink ref="A64" r:id="rId63" display="https://www.ahd.com/free_profile/340049/North_Carolina_Specialty_Hospital/Durham/North_Carolina/" xr:uid="{A41A8AF8-1394-4B4E-91DE-3287D7AEB25C}"/>
    <hyperlink ref="A65" r:id="rId64" display="https://www.ahd.com/free_profile/340003/Northern_Hospital_of_Surry_County/Mount_Airy/North_Carolina/" xr:uid="{2F8586C7-F33A-034D-9ED7-89DD8E54A225}"/>
    <hyperlink ref="A66" r:id="rId65" display="https://www.ahd.com/free_profile/340158/Novant_Health_Brunswick_Medical_Center/Bolivia/North_Carolina/" xr:uid="{37DF3E42-C35C-F949-A0D5-BE19F78C0738}"/>
    <hyperlink ref="A67" r:id="rId66" display="https://www.ahd.com/free_profile/340153/Novant_Health_Charlotte_Orthopaedic_Hospital/Charlotte/North_Carolina/" xr:uid="{5A67BA5C-E1B3-C440-9AC8-C4A80D3E21F5}"/>
    <hyperlink ref="A68" r:id="rId67" display="https://www.ahd.com/free_profile/340014/Novant_Health_Forsyth_Medical_Center/Winston-Salem/North_Carolina/" xr:uid="{FD8D4826-7A19-7042-8E39-8C7E908EE2BC}"/>
    <hyperlink ref="A69" r:id="rId68" display="https://www.ahd.com/free_profile/340183/Novant_Health_Huntersville_Medical_Center/Huntersville/North_Carolina/" xr:uid="{8B939256-45C2-C94D-B692-C6D4231BD47A}"/>
    <hyperlink ref="A70" r:id="rId69" display="https://www.ahd.com/free_profile/I42182/Novant_Health_Kernersville_Medical_Center/Kernersville_/North_Carolina/" xr:uid="{4CDC8620-6C11-1A40-9958-D878DC80B7A8}"/>
    <hyperlink ref="A71" r:id="rId70" display="https://www.ahd.com/free_profile/340171/Novant_Health_Matthews_Medical_Center/Matthews/North_Carolina/" xr:uid="{4A6BE50E-14F4-7B4F-8751-7F8A0E573780}"/>
    <hyperlink ref="A72" r:id="rId71" display="https://www.ahd.com/free_profile/340148/Novant_Health_Medical_Park_Hospital/Winston-Salem/North_Carolina/" xr:uid="{8F1EE050-E688-3143-8FA2-11A40CE38082}"/>
    <hyperlink ref="A73" r:id="rId72" display="https://www.ahd.com/free_profile/340190/Novant_Health_Mint_Hill_Medical_Center/Mint_Hill/North_Carolina/" xr:uid="{24772CB6-7979-1849-87C4-7FD02ACDAE66}"/>
    <hyperlink ref="A74" r:id="rId73" display="https://www.ahd.com/free_profile/340053/Novant_Health_Presbyterian_Medical_Center/Charlotte/North_Carolina/" xr:uid="{C4EF0364-D1E6-7542-A1FF-C511D03E3CDE}"/>
    <hyperlink ref="A75" r:id="rId74" display="https://www.ahd.com/free_profile/340015/Novant_Health_Rowan_Medical_Center/Salisbury/North_Carolina/" xr:uid="{CE1B92CF-4F5D-6B47-97FC-B6D7DD4D44FD}"/>
    <hyperlink ref="A76" r:id="rId75" display="https://www.ahd.com/free_profile/340085/Novant_Health_Thomasville_Medical_Center/Thomasville/North_Carolina/" xr:uid="{17C5DFAF-246B-0D4C-8B8C-B504DC75FAD9}"/>
    <hyperlink ref="A77" r:id="rId76" display="https://www.ahd.com/free_profile/340042/Onslow_Memorial_Hospital_/Jacksonville/North_Carolina/" xr:uid="{C1F23BD3-AEE1-B545-BA07-659F4502CDE3}"/>
    <hyperlink ref="A78" r:id="rId77" display="https://www.ahd.com/free_profile/340017/Pardee_Hospital/Hendersonville/North_Carolina/" xr:uid="{7B3BBF79-24BA-FB43-8ED4-BE0A0E39A472}"/>
    <hyperlink ref="A79" r:id="rId78" display="https://www.ahd.com/free_profile/340159/Person_Memorial_Hospital/Roxboro/North_Carolina/" xr:uid="{0937D7DE-6E06-604C-91C6-BE1598A5612C}"/>
    <hyperlink ref="A80" r:id="rId79" display="https://www.ahd.com/free_profile/340123/Randolph_Hospital/Asheboro/North_Carolina/" xr:uid="{3E1B1EB9-2467-4842-A391-BD90B2B48A7C}"/>
    <hyperlink ref="A81" r:id="rId80" display="https://www.ahd.com/free_profile/340013/Rutherford_Hospital/Rutherfordton/North_Carolina/" xr:uid="{E9E83634-6A79-7A45-81D7-82F4EC063D0D}"/>
    <hyperlink ref="A82" r:id="rId81" display="https://www.ahd.com/free_profile/340024/Sampson_Regional_Medical_Center/Clinton/North_Carolina/" xr:uid="{92B0DD5C-A429-DC42-A73C-26B029D93D21}"/>
    <hyperlink ref="A83" r:id="rId82" display="https://www.ahd.com/free_profile/340008/Scotland_Memorial_Hospital/Laurinburg/North_Carolina/" xr:uid="{5583B494-D0AA-E143-8D35-CE7B11767460}"/>
    <hyperlink ref="A84" r:id="rId83" display="https://www.ahd.com/free_profile/340109/Sentara_Albemarle_Medical_Center/Elizabeth_City/North_Carolina/" xr:uid="{48431586-9FED-A24D-86FE-AC00FAA839C4}"/>
    <hyperlink ref="A85" r:id="rId84" display="https://www.ahd.com/free_profile/340050/Southeastern_Regional_Medical_Center/Lumberton/North_Carolina/" xr:uid="{91ADC7A2-1257-614E-AD63-827CD6378BDD}"/>
    <hyperlink ref="A86" r:id="rId85" display="https://www.ahd.com/free_profile/340091/The_Moses_H_Cone_Memorial_Hospital/Greensboro/North_Carolina/" xr:uid="{DBE9BAA3-E86D-014C-A544-CE974D26CE6B}"/>
    <hyperlink ref="A87" r:id="rId86" display="https://www.ahd.com/free_profile/I42238/UNC_Hospitals_Hillsborough_Campus/Hillsborough/North_Carolina/" xr:uid="{350F9EF6-744F-474B-910B-6BC29BF187F1}"/>
    <hyperlink ref="A88" r:id="rId87" display="https://www.ahd.com/free_profile/340061/UNC_Medical_Center/Chapel_Hill/North_Carolina/" xr:uid="{62832DDA-C213-C14F-9F9C-F697EB17AF05}"/>
    <hyperlink ref="A89" r:id="rId88" display="https://www.ahd.com/free_profile/340114/UNC_Rex_Healthcare/Raleigh/North_Carolina/" xr:uid="{B3369104-B152-914C-85C5-393F950651EA}"/>
    <hyperlink ref="A90" r:id="rId89" display="https://www.ahd.com/free_profile/340060/UNC_Rockingham_Health_Care/Eden/North_Carolina/" xr:uid="{E751B0E2-A5A5-414C-8D99-0F687D451B16}"/>
    <hyperlink ref="A91" r:id="rId90" display="https://www.ahd.com/free_profile/340186/Vidant_Beaufort_Hospital/Washington/North_Carolina/" xr:uid="{B40CC23F-2DC4-4D41-8F5E-6C26F3E9A5FE}"/>
    <hyperlink ref="A92" r:id="rId91" display="https://www.ahd.com/free_profile/340120/Vidant_Duplin_Hospital/Kenansville/North_Carolina/" xr:uid="{9B1440BF-D6EF-6F4D-9B54-4EAD4BB18E90}"/>
    <hyperlink ref="A93" r:id="rId92" display="https://www.ahd.com/free_profile/340107/Vidant_Edgecombe_Hospital/Tarboro/North_Carolina/" xr:uid="{0C1D8D60-6C9A-6442-957B-7BF02BE43C0B}"/>
    <hyperlink ref="A94" r:id="rId93" display="https://www.ahd.com/free_profile/340040/Vidant_Medical_Center/Greenville/North_Carolina/" xr:uid="{E9E766F7-13DC-2848-9B85-0C7A79CE8482}"/>
    <hyperlink ref="A95" r:id="rId94" display="https://www.ahd.com/free_profile/340151/Vidant_North_Hospital/Roanoke_Rapids/North_Carolina/" xr:uid="{4BF8B147-2352-7846-B814-C00AF9F5C54B}"/>
    <hyperlink ref="A96" r:id="rId95" display="https://www.ahd.com/free_profile/340099/Vidant_Roanoke-Chowan_Hospital/Ahoskie/North_Carolina/" xr:uid="{58A45561-73CB-D446-A6F1-556B3A7D25F2}"/>
    <hyperlink ref="A97" r:id="rId96" display="https://www.ahd.com/free_profile/34017F/W_G_%28Bill%29_Hefner_VA_Medical_Center_-_Salisbury%2C_NC/Salisbury/North_Carolina/" xr:uid="{FBBE1AD9-9FC4-CE4B-B839-8C312EAF9484}"/>
    <hyperlink ref="A98" r:id="rId97" display="https://www.ahd.com/free_profile/340064/Wake_Forest_Baptist_Health_-_Wilkes__Medical_Center/North_Wilkesboro/North_Carolina/" xr:uid="{00CAEC6A-3926-AD45-989C-CAD608AE9E7C}"/>
    <hyperlink ref="A99" r:id="rId98" display="https://www.ahd.com/free_profile/340004/Wake_Forest_Baptist_Health_-High_Point_Medical_Center/High_Point/North_Carolina/" xr:uid="{D73C2D19-EAA0-AD43-9266-DAD4AA9A7D44}"/>
    <hyperlink ref="A100" r:id="rId99" display="https://www.ahd.com/free_profile/340096/Wake_Forest_Baptist_Health_Lexington_Medical_Center/Lexington/North_Carolina/" xr:uid="{B31F146F-BCD4-7449-9853-84522BBFD444}"/>
    <hyperlink ref="A101" r:id="rId100" display="https://www.ahd.com/free_profile/340047/Wake_Forest_Baptist_Medical_Center/Winston-Salem/North_Carolina/" xr:uid="{79DB5F2A-DC84-4246-870C-5F94C30F9271}"/>
    <hyperlink ref="A102" r:id="rId101" display="https://www.ahd.com/free_profile/340173/WakeMed_Cary_Hospital/Cary/North_Carolina/" xr:uid="{658726AB-9695-A345-B039-61C52282E500}"/>
    <hyperlink ref="A103" r:id="rId102" display="https://www.ahd.com/free_profile/I42101/WakeMed_North_Family_Health_and_Women%27s_Hospital/Raleigh/North_Carolina/" xr:uid="{AB546988-1D86-4449-86AE-9FEE99C2D924}"/>
    <hyperlink ref="A104" r:id="rId103" display="https://www.ahd.com/free_profile/340069/WakeMed_Raleigh_Campus/Raleigh/North_Carolina/" xr:uid="{E6A50436-05A4-8547-8F03-46A80D3BFE9B}"/>
    <hyperlink ref="A105" r:id="rId104" display="https://www.ahd.com/free_profile/340051/Watauga_Medical_Center/Boone/North_Carolina/" xr:uid="{288A2FFB-001F-164A-AF01-317DB8C653C9}"/>
    <hyperlink ref="A106" r:id="rId105" display="https://www.ahd.com/free_profile/340010/Wayne_UNC_Health_Care/Goldsboro/North_Carolina/" xr:uid="{F7199CA7-A395-6B46-B46E-ECC27E7B22DE}"/>
    <hyperlink ref="A107" r:id="rId106" display="https://www.ahd.com/free_profile/340168/Wilmington_Treatment_Center/Wilmington/North_Carolina/" xr:uid="{F299325E-78AE-124D-87C5-1C39ACD65E11}"/>
    <hyperlink ref="A108" r:id="rId107" display="https://www.ahd.com/free_profile/340126/Wilson_Medical_Center/Wilson/North_Carolina/" xr:uid="{686668ED-2DA6-9449-BF6A-77B96A109E19}"/>
    <hyperlink ref="A109" r:id="rId108" display="https://www.ahd.com/free_profile/34014F/Womack_Army_Medical_Center/Fort_Bragg/North_Carolina/" xr:uid="{F3F4B6DF-741C-0645-9A7E-B4E0A71DBF84}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2A968-7145-7E4F-B1C7-5FAD9F21B364}">
  <sheetPr codeName="Sheet30"/>
  <dimension ref="A1:G12"/>
  <sheetViews>
    <sheetView workbookViewId="0">
      <selection activeCell="G2" sqref="G2:G11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3412</v>
      </c>
      <c r="B2" s="2" t="s">
        <v>3413</v>
      </c>
      <c r="C2" s="2">
        <v>294</v>
      </c>
      <c r="D2" s="3">
        <v>12901</v>
      </c>
      <c r="E2" s="3">
        <v>55185</v>
      </c>
      <c r="F2" s="4">
        <v>1414071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 city",CHOOSE({1,2}, Super_CBSA!$E$2:$E$1917, Super_CBSA!$A$2:$A$1917), 2,FALSE), ""))</f>
        <v>24220</v>
      </c>
    </row>
    <row r="3" spans="1:7" ht="17">
      <c r="A3" s="1" t="s">
        <v>3414</v>
      </c>
      <c r="B3" s="2" t="s">
        <v>3415</v>
      </c>
      <c r="C3" s="2">
        <v>225</v>
      </c>
      <c r="D3" s="3">
        <v>7677</v>
      </c>
      <c r="E3" s="3">
        <v>35449</v>
      </c>
      <c r="F3" s="4">
        <v>584997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 city",CHOOSE({1,2}, Super_CBSA!$E$2:$E$1917, Super_CBSA!$A$2:$A$1917), 2,FALSE), ""))</f>
        <v>13900</v>
      </c>
    </row>
    <row r="4" spans="1:7" ht="17">
      <c r="A4" s="1" t="s">
        <v>3416</v>
      </c>
      <c r="B4" s="2" t="s">
        <v>3417</v>
      </c>
      <c r="C4" s="2">
        <v>133</v>
      </c>
      <c r="D4" s="3">
        <v>8364</v>
      </c>
      <c r="E4" s="3">
        <v>34977</v>
      </c>
      <c r="F4" s="4">
        <v>887994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 city",CHOOSE({1,2}, Super_CBSA!$E$2:$E$1917, Super_CBSA!$A$2:$A$1917), 2,FALSE), ""))</f>
        <v>22020</v>
      </c>
    </row>
    <row r="5" spans="1:7" ht="17">
      <c r="A5" s="1" t="s">
        <v>3418</v>
      </c>
      <c r="B5" s="2" t="s">
        <v>3417</v>
      </c>
      <c r="C5" s="2">
        <v>0</v>
      </c>
      <c r="D5" s="2">
        <v>0</v>
      </c>
      <c r="E5" s="2">
        <v>0</v>
      </c>
      <c r="F5" s="4">
        <v>0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 city",CHOOSE({1,2}, Super_CBSA!$E$2:$E$1917, Super_CBSA!$A$2:$A$1917), 2,FALSE), ""))</f>
        <v>22020</v>
      </c>
    </row>
    <row r="6" spans="1:7" ht="17">
      <c r="A6" s="1" t="s">
        <v>3419</v>
      </c>
      <c r="B6" s="2" t="s">
        <v>3420</v>
      </c>
      <c r="C6" s="2">
        <v>12</v>
      </c>
      <c r="D6" s="2">
        <v>50</v>
      </c>
      <c r="E6" s="2">
        <v>185</v>
      </c>
      <c r="F6" s="4">
        <v>0</v>
      </c>
      <c r="G6" s="11" t="str" cm="1">
        <f t="array" aca="1" ref="G6" ca="1">IFERROR(VLOOKUP("*" &amp; B6  &amp; "*" &amp; (MID(CELL("filename",A5),FIND("]",CELL("filename",A5))+1,31)) &amp; "*",CHOOSE({1,2}, Super_CBSA!$B$2:$B$1917, Super_CBSA!$A$2:$A$1917), 2,FALSE), IFERROR(VLOOKUP(B6  &amp; " city",CHOOSE({1,2}, Super_CBSA!$E$2:$E$1917, Super_CBSA!$A$2:$A$1917), 2,FALSE), ""))</f>
        <v/>
      </c>
    </row>
    <row r="7" spans="1:7" ht="17">
      <c r="A7" s="1" t="s">
        <v>3421</v>
      </c>
      <c r="B7" s="2" t="s">
        <v>3422</v>
      </c>
      <c r="C7" s="2">
        <v>27</v>
      </c>
      <c r="D7" s="2">
        <v>530</v>
      </c>
      <c r="E7" s="3">
        <v>2388</v>
      </c>
      <c r="F7" s="4">
        <v>0</v>
      </c>
      <c r="G7" s="11" t="str" cm="1">
        <f t="array" aca="1" ref="G7" ca="1">IFERROR(VLOOKUP("*" &amp; B7  &amp; "*" &amp; (MID(CELL("filename",A6),FIND("]",CELL("filename",A6))+1,31)) &amp; "*",CHOOSE({1,2}, Super_CBSA!$B$2:$B$1917, Super_CBSA!$A$2:$A$1917), 2,FALSE), IFERROR(VLOOKUP(B7  &amp; " city",CHOOSE({1,2}, Super_CBSA!$E$2:$E$1917, Super_CBSA!$A$2:$A$1917), 2,FALSE), ""))</f>
        <v/>
      </c>
    </row>
    <row r="8" spans="1:7" ht="17">
      <c r="A8" s="1" t="s">
        <v>3423</v>
      </c>
      <c r="B8" s="2" t="s">
        <v>3415</v>
      </c>
      <c r="C8" s="2">
        <v>227</v>
      </c>
      <c r="D8" s="3">
        <v>10882</v>
      </c>
      <c r="E8" s="3">
        <v>54797</v>
      </c>
      <c r="F8" s="4">
        <v>1138164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 city",CHOOSE({1,2}, Super_CBSA!$E$2:$E$1917, Super_CBSA!$A$2:$A$1917), 2,FALSE), ""))</f>
        <v>13900</v>
      </c>
    </row>
    <row r="9" spans="1:7" ht="17">
      <c r="A9" s="1" t="s">
        <v>3424</v>
      </c>
      <c r="B9" s="2" t="s">
        <v>3417</v>
      </c>
      <c r="C9" s="2">
        <v>512</v>
      </c>
      <c r="D9" s="3">
        <v>25373</v>
      </c>
      <c r="E9" s="3">
        <v>119590</v>
      </c>
      <c r="F9" s="4">
        <v>3039521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 city",CHOOSE({1,2}, Super_CBSA!$E$2:$E$1917, Super_CBSA!$A$2:$A$1917), 2,FALSE), ""))</f>
        <v>22020</v>
      </c>
    </row>
    <row r="10" spans="1:7" ht="17">
      <c r="A10" s="1" t="s">
        <v>3425</v>
      </c>
      <c r="B10" s="2" t="s">
        <v>3417</v>
      </c>
      <c r="C10" s="2">
        <v>145</v>
      </c>
      <c r="D10" s="3">
        <v>2887</v>
      </c>
      <c r="E10" s="3">
        <v>14376</v>
      </c>
      <c r="F10" s="4">
        <v>125251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 city",CHOOSE({1,2}, Super_CBSA!$E$2:$E$1917, Super_CBSA!$A$2:$A$1917), 2,FALSE), ""))</f>
        <v>22020</v>
      </c>
    </row>
    <row r="11" spans="1:7" ht="17">
      <c r="A11" s="1" t="s">
        <v>3426</v>
      </c>
      <c r="B11" s="2" t="s">
        <v>3427</v>
      </c>
      <c r="C11" s="2">
        <v>428</v>
      </c>
      <c r="D11" s="3">
        <v>7128</v>
      </c>
      <c r="E11" s="3">
        <v>33344</v>
      </c>
      <c r="F11" s="4">
        <v>1234460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 city",CHOOSE({1,2}, Super_CBSA!$E$2:$E$1917, Super_CBSA!$A$2:$A$1917), 2,FALSE), ""))</f>
        <v>33500</v>
      </c>
    </row>
    <row r="12" spans="1:7" ht="17">
      <c r="A12" s="2" t="s">
        <v>56</v>
      </c>
      <c r="B12" s="2"/>
      <c r="C12" s="3">
        <v>2003</v>
      </c>
      <c r="D12" s="3">
        <v>75792</v>
      </c>
      <c r="E12" s="3">
        <v>350291</v>
      </c>
      <c r="F12" s="4">
        <v>8424459</v>
      </c>
    </row>
  </sheetData>
  <hyperlinks>
    <hyperlink ref="A2" r:id="rId1" display="https://www.ahd.com/free_profile/350019/Altru_Hospital/Grand_Forks/North_Dakota/" xr:uid="{64DC08A8-A1D2-4542-A02B-2BC284EE3A1F}"/>
    <hyperlink ref="A3" r:id="rId2" display="https://www.ahd.com/free_profile/350002/CHI_Saint_Alexius_Health_Bismarck/Bismarck/North_Dakota/" xr:uid="{CCEA8443-D452-A043-8123-07DE9A73F295}"/>
    <hyperlink ref="A4" r:id="rId3" display="https://www.ahd.com/free_profile/350070/Essentia_Health_Fargo/Fargo/North_Dakota/" xr:uid="{7CDE2C9C-12EC-FC42-B1E0-F3D6BCCAC954}"/>
    <hyperlink ref="A5" r:id="rId4" display="https://www.ahd.com/free_profile/35002F/Fargo_VA_Health_Care_System/Fargo/North_Dakota/" xr:uid="{51CA39D2-C3BA-7F40-89DC-DE974ECE3788}"/>
    <hyperlink ref="A6" r:id="rId5" display="https://www.ahd.com/free_profile/350064/Fort_Yates_Hospital/Fort_Yates/North_Dakota/" xr:uid="{AFB41A2A-9D4E-5741-9792-C43AABA03288}"/>
    <hyperlink ref="A7" r:id="rId6" display="https://www.ahd.com/free_profile/350063/Quentin_N_Burdick_Memorial_Health_Care_Facility/Belcourt/North_Dakota/" xr:uid="{E62E3C78-1807-EC43-9B17-29161C3536C5}"/>
    <hyperlink ref="A8" r:id="rId7" display="https://www.ahd.com/free_profile/350015/Sanford_Bismarck_Medical_Center/Bismarck/North_Dakota/" xr:uid="{B84D2C02-B410-3846-A7BA-E1C8C9D5EB3C}"/>
    <hyperlink ref="A9" r:id="rId8" display="https://www.ahd.com/free_profile/350011/Sanford_Medical_Center_Fargo/Fargo/North_Dakota/" xr:uid="{B2139BE7-3466-0A41-B55A-C133097F78B0}"/>
    <hyperlink ref="A10" r:id="rId9" display="https://www.ahd.com/free_profile/350004/Sanford_South_University_Medical_Center/Fargo/North_Dakota/" xr:uid="{8F77A864-7620-E544-84C0-1836B4B5B331}"/>
    <hyperlink ref="A11" r:id="rId10" display="https://www.ahd.com/free_profile/350006/Trinity_Hospital/Minot/North_Dakota/" xr:uid="{5D7B3962-A209-7B4F-89B9-1D1A56559E33}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BA6C5-834D-ED4C-B8E4-4C5A1B416F77}">
  <sheetPr codeName="Sheet31"/>
  <dimension ref="A1:G28"/>
  <sheetViews>
    <sheetView workbookViewId="0">
      <selection activeCell="G2" sqref="G2:G27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3428</v>
      </c>
      <c r="B2" s="2" t="s">
        <v>3429</v>
      </c>
      <c r="C2" s="2">
        <v>574</v>
      </c>
      <c r="D2" s="3">
        <v>24028</v>
      </c>
      <c r="E2" s="3">
        <v>122963</v>
      </c>
      <c r="F2" s="4">
        <v>1736289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 city",CHOOSE({1,2}, Super_CBSA!$E$2:$E$1917, Super_CBSA!$A$2:$A$1917), 2,FALSE), ""))</f>
        <v>30700</v>
      </c>
    </row>
    <row r="3" spans="1:7" ht="17">
      <c r="A3" s="1" t="s">
        <v>3430</v>
      </c>
      <c r="B3" s="2" t="s">
        <v>3429</v>
      </c>
      <c r="C3" s="2">
        <v>230</v>
      </c>
      <c r="D3" s="3">
        <v>7683</v>
      </c>
      <c r="E3" s="3">
        <v>43032</v>
      </c>
      <c r="F3" s="4">
        <v>321868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 city",CHOOSE({1,2}, Super_CBSA!$E$2:$E$1917, Super_CBSA!$A$2:$A$1917), 2,FALSE), ""))</f>
        <v>30700</v>
      </c>
    </row>
    <row r="4" spans="1:7" ht="17">
      <c r="A4" s="1" t="s">
        <v>3431</v>
      </c>
      <c r="B4" s="2" t="s">
        <v>3432</v>
      </c>
      <c r="C4" s="2">
        <v>385</v>
      </c>
      <c r="D4" s="3">
        <v>23238</v>
      </c>
      <c r="E4" s="3">
        <v>111456</v>
      </c>
      <c r="F4" s="4">
        <v>1659211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 city",CHOOSE({1,2}, Super_CBSA!$E$2:$E$1917, Super_CBSA!$A$2:$A$1917), 2,FALSE), ""))</f>
        <v>36540</v>
      </c>
    </row>
    <row r="5" spans="1:7" ht="17">
      <c r="A5" s="1" t="s">
        <v>3433</v>
      </c>
      <c r="B5" s="2" t="s">
        <v>3434</v>
      </c>
      <c r="C5" s="2">
        <v>239</v>
      </c>
      <c r="D5" s="3">
        <v>6989</v>
      </c>
      <c r="E5" s="3">
        <v>31395</v>
      </c>
      <c r="F5" s="4">
        <v>494749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 city",CHOOSE({1,2}, Super_CBSA!$E$2:$E$1917, Super_CBSA!$A$2:$A$1917), 2,FALSE), ""))</f>
        <v>28260</v>
      </c>
    </row>
    <row r="6" spans="1:7" ht="17">
      <c r="A6" s="1" t="s">
        <v>3435</v>
      </c>
      <c r="B6" s="2" t="s">
        <v>3432</v>
      </c>
      <c r="C6" s="2">
        <v>232</v>
      </c>
      <c r="D6" s="3">
        <v>9702</v>
      </c>
      <c r="E6" s="3">
        <v>41718</v>
      </c>
      <c r="F6" s="4">
        <v>666647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 city",CHOOSE({1,2}, Super_CBSA!$E$2:$E$1917, Super_CBSA!$A$2:$A$1917), 2,FALSE), ""))</f>
        <v>36540</v>
      </c>
    </row>
    <row r="7" spans="1:7" ht="17">
      <c r="A7" s="1" t="s">
        <v>3436</v>
      </c>
      <c r="B7" s="2" t="s">
        <v>3432</v>
      </c>
      <c r="C7" s="2">
        <v>108</v>
      </c>
      <c r="D7" s="3">
        <v>6545</v>
      </c>
      <c r="E7" s="3">
        <v>23144</v>
      </c>
      <c r="F7" s="4">
        <v>579402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 city",CHOOSE({1,2}, Super_CBSA!$E$2:$E$1917, Super_CBSA!$A$2:$A$1917), 2,FALSE), ""))</f>
        <v>36540</v>
      </c>
    </row>
    <row r="8" spans="1:7" ht="17">
      <c r="A8" s="1" t="s">
        <v>3437</v>
      </c>
      <c r="B8" s="2" t="s">
        <v>3438</v>
      </c>
      <c r="C8" s="2">
        <v>28</v>
      </c>
      <c r="D8" s="2">
        <v>651</v>
      </c>
      <c r="E8" s="3">
        <v>1667</v>
      </c>
      <c r="F8" s="4">
        <v>123593</v>
      </c>
      <c r="G8" s="11" t="str" cm="1">
        <f t="array" aca="1" ref="G8" ca="1">IFERROR(VLOOKUP("*" &amp; B8  &amp; "*" &amp; (MID(CELL("filename",A7),FIND("]",CELL("filename",A7))+1,31)) &amp; "*",CHOOSE({1,2}, Super_CBSA!$B$2:$B$1917, Super_CBSA!$A$2:$A$1917), 2,FALSE), IFERROR(VLOOKUP(B8  &amp; " city",CHOOSE({1,2}, Super_CBSA!$E$2:$E$1917, Super_CBSA!$A$2:$A$1917), 2,FALSE), ""))</f>
        <v/>
      </c>
    </row>
    <row r="9" spans="1:7" ht="17">
      <c r="A9" s="1" t="s">
        <v>3439</v>
      </c>
      <c r="B9" s="2" t="s">
        <v>3429</v>
      </c>
      <c r="C9" s="2">
        <v>54</v>
      </c>
      <c r="D9" s="3">
        <v>2707</v>
      </c>
      <c r="E9" s="3">
        <v>6213</v>
      </c>
      <c r="F9" s="4">
        <v>185338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 city",CHOOSE({1,2}, Super_CBSA!$E$2:$E$1917, Super_CBSA!$A$2:$A$1917), 2,FALSE), ""))</f>
        <v>30700</v>
      </c>
    </row>
    <row r="10" spans="1:7" ht="17">
      <c r="A10" s="1" t="s">
        <v>3440</v>
      </c>
      <c r="B10" s="2" t="s">
        <v>3429</v>
      </c>
      <c r="C10" s="2">
        <v>235</v>
      </c>
      <c r="D10" s="3">
        <v>7655</v>
      </c>
      <c r="E10" s="3">
        <v>32107</v>
      </c>
      <c r="F10" s="4">
        <v>527128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 city",CHOOSE({1,2}, Super_CBSA!$E$2:$E$1917, Super_CBSA!$A$2:$A$1917), 2,FALSE), ""))</f>
        <v>30700</v>
      </c>
    </row>
    <row r="11" spans="1:7" ht="17">
      <c r="A11" s="1" t="s">
        <v>3441</v>
      </c>
      <c r="B11" s="2" t="s">
        <v>3442</v>
      </c>
      <c r="C11" s="2">
        <v>186</v>
      </c>
      <c r="D11" s="3">
        <v>6107</v>
      </c>
      <c r="E11" s="3">
        <v>21993</v>
      </c>
      <c r="F11" s="4">
        <v>540381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 city",CHOOSE({1,2}, Super_CBSA!$E$2:$E$1917, Super_CBSA!$A$2:$A$1917), 2,FALSE), ""))</f>
        <v>24260</v>
      </c>
    </row>
    <row r="12" spans="1:7" ht="17">
      <c r="A12" s="1" t="s">
        <v>3443</v>
      </c>
      <c r="B12" s="2" t="s">
        <v>1612</v>
      </c>
      <c r="C12" s="2">
        <v>47</v>
      </c>
      <c r="D12" s="3">
        <v>1793</v>
      </c>
      <c r="E12" s="3">
        <v>5697</v>
      </c>
      <c r="F12" s="4">
        <v>168264</v>
      </c>
      <c r="G12" s="11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 city",CHOOSE({1,2}, Super_CBSA!$E$2:$E$1917, Super_CBSA!$A$2:$A$1917), 2,FALSE), ""))</f>
        <v>18100</v>
      </c>
    </row>
    <row r="13" spans="1:7" ht="17">
      <c r="A13" s="1" t="s">
        <v>3444</v>
      </c>
      <c r="B13" s="2" t="s">
        <v>3445</v>
      </c>
      <c r="C13" s="2">
        <v>129</v>
      </c>
      <c r="D13" s="3">
        <v>4985</v>
      </c>
      <c r="E13" s="3">
        <v>20255</v>
      </c>
      <c r="F13" s="4">
        <v>375168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 city",CHOOSE({1,2}, Super_CBSA!$E$2:$E$1917, Super_CBSA!$A$2:$A$1917), 2,FALSE), ""))</f>
        <v>35740</v>
      </c>
    </row>
    <row r="14" spans="1:7" ht="17">
      <c r="A14" s="1" t="s">
        <v>3446</v>
      </c>
      <c r="B14" s="2" t="s">
        <v>3447</v>
      </c>
      <c r="C14" s="2">
        <v>116</v>
      </c>
      <c r="D14" s="3">
        <v>5195</v>
      </c>
      <c r="E14" s="3">
        <v>19087</v>
      </c>
      <c r="F14" s="4">
        <v>584010</v>
      </c>
      <c r="G14" s="11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 city",CHOOSE({1,2}, Super_CBSA!$E$2:$E$1917, Super_CBSA!$A$2:$A$1917), 2,FALSE), ""))</f>
        <v>35820</v>
      </c>
    </row>
    <row r="15" spans="1:7" ht="17">
      <c r="A15" s="1" t="s">
        <v>3448</v>
      </c>
      <c r="B15" s="2" t="s">
        <v>3434</v>
      </c>
      <c r="C15" s="2">
        <v>94</v>
      </c>
      <c r="D15" s="3">
        <v>2710</v>
      </c>
      <c r="E15" s="3">
        <v>12902</v>
      </c>
      <c r="F15" s="4">
        <v>358108</v>
      </c>
      <c r="G15" s="11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 city",CHOOSE({1,2}, Super_CBSA!$E$2:$E$1917, Super_CBSA!$A$2:$A$1917), 2,FALSE), ""))</f>
        <v>28260</v>
      </c>
    </row>
    <row r="16" spans="1:7" ht="17">
      <c r="A16" s="1" t="s">
        <v>3449</v>
      </c>
      <c r="B16" s="2" t="s">
        <v>3429</v>
      </c>
      <c r="C16" s="2">
        <v>21</v>
      </c>
      <c r="D16" s="3">
        <v>1313</v>
      </c>
      <c r="E16" s="3">
        <v>1763</v>
      </c>
      <c r="F16" s="4">
        <v>138286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 city",CHOOSE({1,2}, Super_CBSA!$E$2:$E$1917, Super_CBSA!$A$2:$A$1917), 2,FALSE), ""))</f>
        <v>30700</v>
      </c>
    </row>
    <row r="17" spans="1:7" ht="17">
      <c r="A17" s="1" t="s">
        <v>3450</v>
      </c>
      <c r="B17" s="2" t="s">
        <v>2976</v>
      </c>
      <c r="C17" s="2">
        <v>143</v>
      </c>
      <c r="D17" s="3">
        <v>4211</v>
      </c>
      <c r="E17" s="3">
        <v>16240</v>
      </c>
      <c r="F17" s="4">
        <v>385513</v>
      </c>
      <c r="G17" s="11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 city",CHOOSE({1,2}, Super_CBSA!$E$2:$E$1917, Super_CBSA!$A$2:$A$1917), 2,FALSE), ""))</f>
        <v>25580</v>
      </c>
    </row>
    <row r="18" spans="1:7" ht="17">
      <c r="A18" s="1" t="s">
        <v>3451</v>
      </c>
      <c r="B18" s="2" t="s">
        <v>635</v>
      </c>
      <c r="C18" s="2">
        <v>176</v>
      </c>
      <c r="D18" s="3">
        <v>2312</v>
      </c>
      <c r="E18" s="3">
        <v>8239</v>
      </c>
      <c r="F18" s="4">
        <v>337869</v>
      </c>
      <c r="G18" s="11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 city",CHOOSE({1,2}, Super_CBSA!$E$2:$E$1917, Super_CBSA!$A$2:$A$1917), 2,FALSE), ""))</f>
        <v>23340</v>
      </c>
    </row>
    <row r="19" spans="1:7" ht="17">
      <c r="A19" s="1" t="s">
        <v>708</v>
      </c>
      <c r="B19" s="2" t="s">
        <v>3432</v>
      </c>
      <c r="C19" s="2">
        <v>374</v>
      </c>
      <c r="D19" s="3">
        <v>18408</v>
      </c>
      <c r="E19" s="3">
        <v>93350</v>
      </c>
      <c r="F19" s="4">
        <v>1374648</v>
      </c>
      <c r="G19" s="11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 city",CHOOSE({1,2}, Super_CBSA!$E$2:$E$1917, Super_CBSA!$A$2:$A$1917), 2,FALSE), ""))</f>
        <v>36540</v>
      </c>
    </row>
    <row r="20" spans="1:7" ht="17">
      <c r="A20" s="1" t="s">
        <v>3452</v>
      </c>
      <c r="B20" s="2" t="s">
        <v>3432</v>
      </c>
      <c r="C20" s="2">
        <v>0</v>
      </c>
      <c r="D20" s="2">
        <v>0</v>
      </c>
      <c r="E20" s="2">
        <v>0</v>
      </c>
      <c r="F20" s="4">
        <v>0</v>
      </c>
      <c r="G20" s="11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 city",CHOOSE({1,2}, Super_CBSA!$E$2:$E$1917, Super_CBSA!$A$2:$A$1917), 2,FALSE), ""))</f>
        <v>36540</v>
      </c>
    </row>
    <row r="21" spans="1:7" ht="17">
      <c r="A21" s="1" t="s">
        <v>3453</v>
      </c>
      <c r="B21" s="2" t="s">
        <v>3432</v>
      </c>
      <c r="C21" s="2">
        <v>19</v>
      </c>
      <c r="D21" s="3">
        <v>1496</v>
      </c>
      <c r="E21" s="3">
        <v>2138</v>
      </c>
      <c r="F21" s="4">
        <v>139914</v>
      </c>
      <c r="G21" s="11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 city",CHOOSE({1,2}, Super_CBSA!$E$2:$E$1917, Super_CBSA!$A$2:$A$1917), 2,FALSE), ""))</f>
        <v>36540</v>
      </c>
    </row>
    <row r="22" spans="1:7" ht="17">
      <c r="A22" s="1" t="s">
        <v>3454</v>
      </c>
      <c r="B22" s="2" t="s">
        <v>3455</v>
      </c>
      <c r="C22" s="2">
        <v>61</v>
      </c>
      <c r="D22" s="3">
        <v>4897</v>
      </c>
      <c r="E22" s="3">
        <v>15489</v>
      </c>
      <c r="F22" s="4">
        <v>0</v>
      </c>
      <c r="G22" s="11" t="str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 city",CHOOSE({1,2}, Super_CBSA!$E$2:$E$1917, Super_CBSA!$A$2:$A$1917), 2,FALSE), ""))</f>
        <v/>
      </c>
    </row>
    <row r="23" spans="1:7" ht="17">
      <c r="A23" s="1" t="s">
        <v>3456</v>
      </c>
      <c r="B23" s="2" t="s">
        <v>3432</v>
      </c>
      <c r="C23" s="2">
        <v>34</v>
      </c>
      <c r="D23" s="2">
        <v>884</v>
      </c>
      <c r="E23" s="3">
        <v>2338</v>
      </c>
      <c r="F23" s="4">
        <v>146726</v>
      </c>
      <c r="G23" s="11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 city",CHOOSE({1,2}, Super_CBSA!$E$2:$E$1917, Super_CBSA!$A$2:$A$1917), 2,FALSE), ""))</f>
        <v>36540</v>
      </c>
    </row>
    <row r="24" spans="1:7" ht="17">
      <c r="A24" s="1" t="s">
        <v>3457</v>
      </c>
      <c r="B24" s="2" t="s">
        <v>3432</v>
      </c>
      <c r="C24" s="2">
        <v>0</v>
      </c>
      <c r="D24" s="2">
        <v>0</v>
      </c>
      <c r="E24" s="2">
        <v>0</v>
      </c>
      <c r="F24" s="4">
        <v>0</v>
      </c>
      <c r="G24" s="11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 city",CHOOSE({1,2}, Super_CBSA!$E$2:$E$1917, Super_CBSA!$A$2:$A$1917), 2,FALSE), ""))</f>
        <v>36540</v>
      </c>
    </row>
    <row r="25" spans="1:7" ht="17">
      <c r="A25" s="1" t="s">
        <v>3458</v>
      </c>
      <c r="B25" s="2" t="s">
        <v>3432</v>
      </c>
      <c r="C25" s="2">
        <v>24</v>
      </c>
      <c r="D25" s="3">
        <v>1875</v>
      </c>
      <c r="E25" s="3">
        <v>3062</v>
      </c>
      <c r="F25" s="4">
        <v>186424</v>
      </c>
      <c r="G25" s="11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 city",CHOOSE({1,2}, Super_CBSA!$E$2:$E$1917, Super_CBSA!$A$2:$A$1917), 2,FALSE), ""))</f>
        <v>36540</v>
      </c>
    </row>
    <row r="26" spans="1:7" ht="17">
      <c r="A26" s="1" t="s">
        <v>3459</v>
      </c>
      <c r="B26" s="2" t="s">
        <v>3460</v>
      </c>
      <c r="C26" s="2">
        <v>158</v>
      </c>
      <c r="D26" s="3">
        <v>5295</v>
      </c>
      <c r="E26" s="3">
        <v>21834</v>
      </c>
      <c r="F26" s="4">
        <v>540352</v>
      </c>
      <c r="G26" s="11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 city",CHOOSE({1,2}, Super_CBSA!$E$2:$E$1917, Super_CBSA!$A$2:$A$1917), 2,FALSE), ""))</f>
        <v>42420</v>
      </c>
    </row>
    <row r="27" spans="1:7" ht="17">
      <c r="A27" s="1" t="s">
        <v>3461</v>
      </c>
      <c r="B27" s="2" t="s">
        <v>3432</v>
      </c>
      <c r="C27" s="2">
        <v>578</v>
      </c>
      <c r="D27" s="3">
        <v>29102</v>
      </c>
      <c r="E27" s="3">
        <v>167918</v>
      </c>
      <c r="F27" s="4">
        <v>3740476</v>
      </c>
      <c r="G27" s="11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 city",CHOOSE({1,2}, Super_CBSA!$E$2:$E$1917, Super_CBSA!$A$2:$A$1917), 2,FALSE), ""))</f>
        <v>36540</v>
      </c>
    </row>
    <row r="28" spans="1:7" ht="17">
      <c r="A28" s="2" t="s">
        <v>56</v>
      </c>
      <c r="B28" s="2"/>
      <c r="C28" s="3">
        <v>4245</v>
      </c>
      <c r="D28" s="3">
        <v>179781</v>
      </c>
      <c r="E28" s="3">
        <v>826000</v>
      </c>
      <c r="F28" s="4">
        <v>15310364</v>
      </c>
    </row>
  </sheetData>
  <hyperlinks>
    <hyperlink ref="A2" r:id="rId1" display="https://www.ahd.com/free_profile/280003/Bryan_Medical_Center_-_East_Campus/Lincoln/Nebraska/" xr:uid="{875AC4D3-EF2E-C74E-B012-FAC1D82E0688}"/>
    <hyperlink ref="A3" r:id="rId2" display="https://www.ahd.com/free_profile/280005/Bryan_Medical_Center_-_West_Campus/Lincoln/Nebraska/" xr:uid="{5B95428E-4069-674D-B563-795145E1B994}"/>
    <hyperlink ref="A4" r:id="rId3" display="https://www.ahd.com/free_profile/280060/CHI_Health_Creighton_University_Medical_Center_-_Bergan_Mercy/Omaha/Nebraska/" xr:uid="{D69D4A6C-8863-B14C-8F8F-3D88670B2569}"/>
    <hyperlink ref="A5" r:id="rId4" display="https://www.ahd.com/free_profile/280009/CHI_Health_Good_Samaritan/Kearney/Nebraska/" xr:uid="{934E2DC3-FEC4-7B41-929F-06BECF5709FB}"/>
    <hyperlink ref="A6" r:id="rId5" display="https://www.ahd.com/free_profile/280081/CHI_Health_Immanuel_/Omaha/Nebraska/" xr:uid="{D63DDA03-36D3-CE44-A41E-75722ED42B19}"/>
    <hyperlink ref="A7" r:id="rId6" display="https://www.ahd.com/free_profile/280130/CHI_Health_Lakeside_/Omaha/Nebraska/" xr:uid="{DDFFBD32-7146-FD46-AD66-F84C4F7D2BEA}"/>
    <hyperlink ref="A8" r:id="rId7" display="https://www.ahd.com/free_profile/280105/CHI_Health_Midlands_/Papillion/Nebraska/" xr:uid="{1EF72CBE-2F01-3043-AE83-62FCB71D0B67}"/>
    <hyperlink ref="A9" r:id="rId8" display="https://www.ahd.com/free_profile/280128/CHI_Health_Nebraska_Heart/Lincoln/Nebraska/" xr:uid="{03546A4C-B4C4-6D48-B74A-6964B93981C4}"/>
    <hyperlink ref="A10" r:id="rId9" display="https://www.ahd.com/free_profile/280020/CHI_Health_Saint_Elizabeth/Lincoln/Nebraska/" xr:uid="{305A148B-7551-974E-9D2F-2971588CF768}"/>
    <hyperlink ref="A11" r:id="rId10" display="https://www.ahd.com/free_profile/280023/CHI_Health_Saint_Francis/Grand_Island/Nebraska/" xr:uid="{F93CE704-F09A-1B48-9690-BAE505D596F9}"/>
    <hyperlink ref="A12" r:id="rId11" display="https://www.ahd.com/free_profile/280111/Columbus_Community_Hospital/Columbus/Nebraska/" xr:uid="{A7C3E1D1-8254-2648-83C0-1AF8DDF5722D}"/>
    <hyperlink ref="A13" r:id="rId12" display="https://www.ahd.com/free_profile/280125/Faith_Regional_Health_Services/Norfolk/Nebraska/" xr:uid="{63D71C0B-3BDF-A040-901D-30B5C996CBA3}"/>
    <hyperlink ref="A14" r:id="rId13" display="https://www.ahd.com/free_profile/280065/Great_Plains_Health/North_Platte/Nebraska/" xr:uid="{15392E93-0852-714F-964C-A8255EB46659}"/>
    <hyperlink ref="A15" r:id="rId14" display="https://www.ahd.com/free_profile/280134/Kearney_Regional_Medical_Center/Kearney/Nebraska/" xr:uid="{E44F72EF-D074-FC40-9218-484A07FCC7E4}"/>
    <hyperlink ref="A16" r:id="rId15" display="https://www.ahd.com/free_profile/280127/Lincoln_Surgical_Hospital/Lincoln/Nebraska/" xr:uid="{2F770471-A989-E94A-921B-F0E94232BC41}"/>
    <hyperlink ref="A17" r:id="rId16" display="https://www.ahd.com/free_profile/280032/Mary_Lanning_Memorial_Hospital/Hastings/Nebraska/" xr:uid="{EB5D2BFC-FADA-2743-954C-057123AA19F9}"/>
    <hyperlink ref="A18" r:id="rId17" display="https://www.ahd.com/free_profile/280077/Methodist_Fremont_Health/Fremont/Nebraska/" xr:uid="{CCD6640E-8CF8-904D-BB0C-91C4EB33827F}"/>
    <hyperlink ref="A19" r:id="rId18" display="https://www.ahd.com/free_profile/280040/Methodist_Hospital/Omaha/Nebraska/" xr:uid="{E461BC7F-27D4-7C49-9E6C-73D7FF19DADF}"/>
    <hyperlink ref="A20" r:id="rId19" display="https://www.ahd.com/free_profile/I41752/Methodist_Women%27s_Hospital/Omaha/Nebraska/" xr:uid="{80F917F1-307D-614C-8047-280206A1F410}"/>
    <hyperlink ref="A21" r:id="rId20" display="https://www.ahd.com/free_profile/280131/Midwest_Surgical_Hospital/Omaha/Nebraska/" xr:uid="{34865082-D37E-E546-83C0-1E10C7AF3D98}"/>
    <hyperlink ref="A22" r:id="rId21" display="https://www.ahd.com/free_profile/280132/Nebraska_Medicine-_Bellevue/Bellevue/Nebraska/" xr:uid="{6488B44A-EC4F-FC4A-8355-2897D39551A7}"/>
    <hyperlink ref="A23" r:id="rId22" display="https://www.ahd.com/free_profile/280133/Nebraska_Spine_Hospital/Omaha/Nebraska/" xr:uid="{16FC4877-7F08-F447-A4F9-258143DADCE1}"/>
    <hyperlink ref="A24" r:id="rId23" display="https://www.ahd.com/free_profile/28006F/Omaha_VA_Medical_Center/Omaha/Nebraska/" xr:uid="{3C778B23-1042-5042-B102-2235C0427C6B}"/>
    <hyperlink ref="A25" r:id="rId24" display="https://www.ahd.com/free_profile/280129/OrthoNebraska/Omaha/Nebraska/" xr:uid="{BF6C0161-0BC0-B441-B507-522B8F2869F9}"/>
    <hyperlink ref="A26" r:id="rId25" display="https://www.ahd.com/free_profile/280061/Regional_West_Medical_Center/Scottsbluff/Nebraska/" xr:uid="{1236A884-FD3C-DA43-AF25-673084DFE13F}"/>
    <hyperlink ref="A27" r:id="rId26" display="https://www.ahd.com/free_profile/280013/The_Nebraska_Medical_Center/Omaha/Nebraska/" xr:uid="{A7E625E7-A042-4445-9A76-0716DA26AE28}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2F512-66A6-A646-B5BA-342FA3832487}">
  <sheetPr codeName="Sheet32"/>
  <dimension ref="A1:G16"/>
  <sheetViews>
    <sheetView workbookViewId="0">
      <selection activeCell="G2" sqref="G2:G15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3462</v>
      </c>
      <c r="B2" s="2" t="s">
        <v>1096</v>
      </c>
      <c r="C2" s="2">
        <v>261</v>
      </c>
      <c r="D2" s="3">
        <v>11289</v>
      </c>
      <c r="E2" s="3">
        <v>63401</v>
      </c>
      <c r="F2" s="4">
        <v>1401202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 city",CHOOSE({1,2}, Super_CBSA!$E$2:$E$1917, Super_CBSA!$A$2:$A$1917), 2,FALSE), ""))</f>
        <v>31700</v>
      </c>
    </row>
    <row r="3" spans="1:7" ht="17">
      <c r="A3" s="1" t="s">
        <v>3463</v>
      </c>
      <c r="B3" s="2" t="s">
        <v>3464</v>
      </c>
      <c r="C3" s="2">
        <v>110</v>
      </c>
      <c r="D3" s="3">
        <v>4347</v>
      </c>
      <c r="E3" s="3">
        <v>19182</v>
      </c>
      <c r="F3" s="4">
        <v>682961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 city",CHOOSE({1,2}, Super_CBSA!$E$2:$E$1917, Super_CBSA!$A$2:$A$1917), 2,FALSE), ""))</f>
        <v>28300</v>
      </c>
    </row>
    <row r="4" spans="1:7" ht="17">
      <c r="A4" s="1" t="s">
        <v>3465</v>
      </c>
      <c r="B4" s="2" t="s">
        <v>539</v>
      </c>
      <c r="C4" s="2">
        <v>221</v>
      </c>
      <c r="D4" s="3">
        <v>12480</v>
      </c>
      <c r="E4" s="3">
        <v>56274</v>
      </c>
      <c r="F4" s="4">
        <v>1473285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 city",CHOOSE({1,2}, Super_CBSA!$E$2:$E$1917, Super_CBSA!$A$2:$A$1917), 2,FALSE), ""))</f>
        <v>18180</v>
      </c>
    </row>
    <row r="5" spans="1:7" ht="17">
      <c r="A5" s="1" t="s">
        <v>3466</v>
      </c>
      <c r="B5" s="2" t="s">
        <v>2162</v>
      </c>
      <c r="C5" s="2">
        <v>422</v>
      </c>
      <c r="D5" s="3">
        <v>18966</v>
      </c>
      <c r="E5" s="3">
        <v>116086</v>
      </c>
      <c r="F5" s="4">
        <v>3030629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 city",CHOOSE({1,2}, Super_CBSA!$E$2:$E$1917, Super_CBSA!$A$2:$A$1917), 2,FALSE), ""))</f>
        <v>30100</v>
      </c>
    </row>
    <row r="6" spans="1:7" ht="17">
      <c r="A6" s="1" t="s">
        <v>3467</v>
      </c>
      <c r="B6" s="2" t="s">
        <v>1096</v>
      </c>
      <c r="C6" s="2">
        <v>240</v>
      </c>
      <c r="D6" s="3">
        <v>11833</v>
      </c>
      <c r="E6" s="3">
        <v>59704</v>
      </c>
      <c r="F6" s="4">
        <v>1155635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 city",CHOOSE({1,2}, Super_CBSA!$E$2:$E$1917, Super_CBSA!$A$2:$A$1917), 2,FALSE), ""))</f>
        <v>31700</v>
      </c>
    </row>
    <row r="7" spans="1:7" ht="17">
      <c r="A7" s="1" t="s">
        <v>3468</v>
      </c>
      <c r="B7" s="2" t="s">
        <v>3469</v>
      </c>
      <c r="C7" s="2">
        <v>97</v>
      </c>
      <c r="D7" s="3">
        <v>5388</v>
      </c>
      <c r="E7" s="3">
        <v>21720</v>
      </c>
      <c r="F7" s="4">
        <v>708897</v>
      </c>
      <c r="G7" s="11" t="str" cm="1">
        <f t="array" aca="1" ref="G7" ca="1">IFERROR(VLOOKUP("*" &amp; B7  &amp; "*" &amp; (MID(CELL("filename",A6),FIND("]",CELL("filename",A6))+1,31)) &amp; "*",CHOOSE({1,2}, Super_CBSA!$B$2:$B$1917, Super_CBSA!$A$2:$A$1917), 2,FALSE), IFERROR(VLOOKUP(B7  &amp; " city",CHOOSE({1,2}, Super_CBSA!$E$2:$E$1917, Super_CBSA!$A$2:$A$1917), 2,FALSE), ""))</f>
        <v/>
      </c>
    </row>
    <row r="8" spans="1:7" ht="17">
      <c r="A8" s="1" t="s">
        <v>3470</v>
      </c>
      <c r="B8" s="2" t="s">
        <v>2753</v>
      </c>
      <c r="C8" s="2">
        <v>84</v>
      </c>
      <c r="D8" s="3">
        <v>2841</v>
      </c>
      <c r="E8" s="3">
        <v>12154</v>
      </c>
      <c r="F8" s="4">
        <v>378092</v>
      </c>
      <c r="G8" s="11" t="str" cm="1">
        <f t="array" aca="1" ref="G8" ca="1">IFERROR(VLOOKUP("*" &amp; B8  &amp; "*" &amp; (MID(CELL("filename",A7),FIND("]",CELL("filename",A7))+1,31)) &amp; "*",CHOOSE({1,2}, Super_CBSA!$B$2:$B$1917, Super_CBSA!$A$2:$A$1917), 2,FALSE), IFERROR(VLOOKUP(B8  &amp; " city",CHOOSE({1,2}, Super_CBSA!$E$2:$E$1917, Super_CBSA!$A$2:$A$1917), 2,FALSE), ""))</f>
        <v/>
      </c>
    </row>
    <row r="9" spans="1:7" ht="17">
      <c r="A9" s="1" t="s">
        <v>3471</v>
      </c>
      <c r="B9" s="2" t="s">
        <v>3472</v>
      </c>
      <c r="C9" s="2">
        <v>96</v>
      </c>
      <c r="D9" s="3">
        <v>3504</v>
      </c>
      <c r="E9" s="3">
        <v>14190</v>
      </c>
      <c r="F9" s="4">
        <v>462316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 city",CHOOSE({1,2}, Super_CBSA!$E$2:$E$1917, Super_CBSA!$A$2:$A$1917), 2,FALSE), ""))</f>
        <v>29060</v>
      </c>
    </row>
    <row r="10" spans="1:7" ht="17">
      <c r="A10" s="1" t="s">
        <v>3473</v>
      </c>
      <c r="B10" s="2" t="s">
        <v>1096</v>
      </c>
      <c r="C10" s="2">
        <v>0</v>
      </c>
      <c r="D10" s="2">
        <v>0</v>
      </c>
      <c r="E10" s="2">
        <v>0</v>
      </c>
      <c r="F10" s="4">
        <v>0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 city",CHOOSE({1,2}, Super_CBSA!$E$2:$E$1917, Super_CBSA!$A$2:$A$1917), 2,FALSE), ""))</f>
        <v>31700</v>
      </c>
    </row>
    <row r="11" spans="1:7" ht="17">
      <c r="A11" s="1" t="s">
        <v>3474</v>
      </c>
      <c r="B11" s="2" t="s">
        <v>3475</v>
      </c>
      <c r="C11" s="2">
        <v>86</v>
      </c>
      <c r="D11" s="3">
        <v>2769</v>
      </c>
      <c r="E11" s="3">
        <v>15536</v>
      </c>
      <c r="F11" s="4">
        <v>636835</v>
      </c>
      <c r="G11" s="11" t="str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 city",CHOOSE({1,2}, Super_CBSA!$E$2:$E$1917, Super_CBSA!$A$2:$A$1917), 2,FALSE), ""))</f>
        <v/>
      </c>
    </row>
    <row r="12" spans="1:7" ht="17">
      <c r="A12" s="1" t="s">
        <v>3476</v>
      </c>
      <c r="B12" s="2" t="s">
        <v>3477</v>
      </c>
      <c r="C12" s="2">
        <v>173</v>
      </c>
      <c r="D12" s="3">
        <v>8601</v>
      </c>
      <c r="E12" s="3">
        <v>43994</v>
      </c>
      <c r="F12" s="4">
        <v>1359089</v>
      </c>
      <c r="G12" s="11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 city",CHOOSE({1,2}, Super_CBSA!$E$2:$E$1917, Super_CBSA!$A$2:$A$1917), 2,FALSE), ""))</f>
        <v>47260</v>
      </c>
    </row>
    <row r="13" spans="1:7" ht="17">
      <c r="A13" s="1" t="s">
        <v>1042</v>
      </c>
      <c r="B13" s="2" t="s">
        <v>3478</v>
      </c>
      <c r="C13" s="2">
        <v>208</v>
      </c>
      <c r="D13" s="3">
        <v>4691</v>
      </c>
      <c r="E13" s="3">
        <v>23010</v>
      </c>
      <c r="F13" s="4">
        <v>566381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 city",CHOOSE({1,2}, Super_CBSA!$E$2:$E$1917, Super_CBSA!$A$2:$A$1917), 2,FALSE), ""))</f>
        <v>31700</v>
      </c>
    </row>
    <row r="14" spans="1:7" ht="17">
      <c r="A14" s="1" t="s">
        <v>3479</v>
      </c>
      <c r="B14" s="2" t="s">
        <v>3478</v>
      </c>
      <c r="C14" s="2">
        <v>160</v>
      </c>
      <c r="D14" s="3">
        <v>9416</v>
      </c>
      <c r="E14" s="3">
        <v>36414</v>
      </c>
      <c r="F14" s="4">
        <v>663998</v>
      </c>
      <c r="G14" s="11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 city",CHOOSE({1,2}, Super_CBSA!$E$2:$E$1917, Super_CBSA!$A$2:$A$1917), 2,FALSE), ""))</f>
        <v>31700</v>
      </c>
    </row>
    <row r="15" spans="1:7" ht="17">
      <c r="A15" s="1" t="s">
        <v>3480</v>
      </c>
      <c r="B15" s="2" t="s">
        <v>1142</v>
      </c>
      <c r="C15" s="2">
        <v>118</v>
      </c>
      <c r="D15" s="3">
        <v>8253</v>
      </c>
      <c r="E15" s="3">
        <v>32326</v>
      </c>
      <c r="F15" s="4">
        <v>1168533</v>
      </c>
      <c r="G15" s="11" t="str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 city",CHOOSE({1,2}, Super_CBSA!$E$2:$E$1917, Super_CBSA!$A$2:$A$1917), 2,FALSE), ""))</f>
        <v/>
      </c>
    </row>
    <row r="16" spans="1:7" ht="17">
      <c r="A16" s="2" t="s">
        <v>56</v>
      </c>
      <c r="B16" s="2"/>
      <c r="C16" s="3">
        <v>2276</v>
      </c>
      <c r="D16" s="3">
        <v>104378</v>
      </c>
      <c r="E16" s="3">
        <v>513991</v>
      </c>
      <c r="F16" s="4">
        <v>13687853</v>
      </c>
    </row>
  </sheetData>
  <hyperlinks>
    <hyperlink ref="A2" r:id="rId1" display="https://www.ahd.com/free_profile/300034/Catholic_Medical_Center/Manchester/New_Hampshire/" xr:uid="{C3E20C8A-EAA8-3941-8F73-141331D8EC2A}"/>
    <hyperlink ref="A3" r:id="rId2" display="https://www.ahd.com/free_profile/300019/Cheshire_Medical_Center/Keene/New_Hampshire/" xr:uid="{44F2640A-55DE-4140-A0CF-06F7C9339372}"/>
    <hyperlink ref="A4" r:id="rId3" display="https://www.ahd.com/free_profile/300001/Concord_Hospital/Concord/New_Hampshire/" xr:uid="{ABD6EB9A-DECB-B641-AF4A-684DDC60C933}"/>
    <hyperlink ref="A5" r:id="rId4" display="https://www.ahd.com/free_profile/300003/Dartmouth-Hitchcock_Medical_Center/Lebanon/New_Hampshire/" xr:uid="{B7A97D7C-5A17-B64A-BCFD-EDF6962AB788}"/>
    <hyperlink ref="A6" r:id="rId5" display="https://www.ahd.com/free_profile/300012/Elliot_Hospital_/Manchester/New_Hampshire/" xr:uid="{94A5A7D8-910D-6A45-95FF-CC7CC1C73F18}"/>
    <hyperlink ref="A7" r:id="rId6" display="https://www.ahd.com/free_profile/300023/Exeter_Hospital/Exeter/New_Hampshire/" xr:uid="{60C7F3FB-3F42-A246-A21D-7DB12062BE80}"/>
    <hyperlink ref="A8" r:id="rId7" display="https://www.ahd.com/free_profile/300014/Frisbie_Memorial_Hospital/Rochester/New_Hampshire/" xr:uid="{58D1EA2E-236A-CD41-B087-6485DB5FC97D}"/>
    <hyperlink ref="A9" r:id="rId8" display="https://www.ahd.com/free_profile/300005/Lakes_Region_General_Hospital/Laconia/New_Hampshire/" xr:uid="{860E2BA0-8A0F-A94B-BA80-D9021BFCD64B}"/>
    <hyperlink ref="A10" r:id="rId9" display="https://www.ahd.com/free_profile/30001F/Manchester_VA_Medical_Center/Manchester/New_Hampshire/" xr:uid="{9B574C8D-0135-2442-A83E-8C5471310900}"/>
    <hyperlink ref="A11" r:id="rId10" display="https://www.ahd.com/free_profile/300017/Parkland_Medical_Center/Derry/New_Hampshire/" xr:uid="{08A6393A-4ACC-4849-AC0B-B92A7A808E40}"/>
    <hyperlink ref="A12" r:id="rId11" display="https://www.ahd.com/free_profile/300029/Portsmouth_Regional_Hospital/Portsmouth/New_Hampshire/" xr:uid="{EC9B9420-7D78-C44F-8273-204A2981406F}"/>
    <hyperlink ref="A13" r:id="rId12" display="https://www.ahd.com/free_profile/300011/Saint_Joseph_Hospital/Nashua/New_Hampshire/" xr:uid="{C2ACF1AA-702F-F743-88D8-1A5710FE3A39}"/>
    <hyperlink ref="A14" r:id="rId13" display="https://www.ahd.com/free_profile/300020/Southern_New_Hampshire_Medical_Center/Nashua/New_Hampshire/" xr:uid="{30AB8B38-AD00-4F4D-A188-38618839E113}"/>
    <hyperlink ref="A15" r:id="rId14" display="https://www.ahd.com/free_profile/300018/Wentworth-Douglass_Hospital/Dover/New_Hampshire/" xr:uid="{F561F694-FE20-5248-B788-75C17358C2B8}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D71D7-A969-5940-8752-7B1344DDFA45}">
  <sheetPr codeName="Sheet33"/>
  <dimension ref="A1:G80"/>
  <sheetViews>
    <sheetView workbookViewId="0">
      <selection activeCell="G2" sqref="G2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3481</v>
      </c>
      <c r="B2" s="2" t="s">
        <v>3482</v>
      </c>
      <c r="C2" s="2">
        <v>202</v>
      </c>
      <c r="D2" s="3">
        <v>9575</v>
      </c>
      <c r="E2" s="3">
        <v>41821</v>
      </c>
      <c r="F2" s="4">
        <v>955944</v>
      </c>
      <c r="G2" s="11" t="str" cm="1">
        <f t="array" aca="1" ref="G2" ca="1">IFERROR(VLOOKUP("*" &amp; B2  &amp; "*" &amp; (MID(CELL("filename",A1),FIND("]",CELL("filename",A1))+1,31)) &amp; "*",CHOOSE({1,2}, Super_CBSA!$B$2:$B$1917, Super_CBSA!$A$2:$A$1917), 2,FALSE), IFERROR(VLOOKUP(B2  &amp; " city",CHOOSE({1,2}, Super_CBSA!$E$2:$E$1917, Super_CBSA!$A$2:$A$1917), 2,FALSE), ""))</f>
        <v/>
      </c>
    </row>
    <row r="3" spans="1:7" ht="17">
      <c r="A3" s="1" t="s">
        <v>3483</v>
      </c>
      <c r="B3" s="2" t="s">
        <v>504</v>
      </c>
      <c r="C3" s="2">
        <v>0</v>
      </c>
      <c r="D3" s="2">
        <v>0</v>
      </c>
      <c r="E3" s="2">
        <v>0</v>
      </c>
      <c r="F3" s="4">
        <v>0</v>
      </c>
      <c r="G3" s="11" t="str" cm="1">
        <f t="array" aca="1" ref="G3" ca="1">IFERROR(VLOOKUP("*" &amp; B3  &amp; "*" &amp; (MID(CELL("filename",A2),FIND("]",CELL("filename",A2))+1,31)) &amp; "*",CHOOSE({1,2}, Super_CBSA!$B$2:$B$1917, Super_CBSA!$A$2:$A$1917), 2,FALSE), IFERROR(VLOOKUP(B3  &amp; " city",CHOOSE({1,2}, Super_CBSA!$E$2:$E$1917, Super_CBSA!$A$2:$A$1917), 2,FALSE), ""))</f>
        <v/>
      </c>
    </row>
    <row r="4" spans="1:7" ht="17">
      <c r="A4" s="1" t="s">
        <v>3484</v>
      </c>
      <c r="B4" s="2" t="s">
        <v>3485</v>
      </c>
      <c r="C4" s="2">
        <v>540</v>
      </c>
      <c r="D4" s="3">
        <v>30244</v>
      </c>
      <c r="E4" s="3">
        <v>135601</v>
      </c>
      <c r="F4" s="4">
        <v>3672844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 city",CHOOSE({1,2}, Super_CBSA!$E$2:$E$1917, Super_CBSA!$A$2:$A$1917), 2,FALSE), ""))</f>
        <v>12100</v>
      </c>
    </row>
    <row r="5" spans="1:7" ht="17">
      <c r="A5" s="1" t="s">
        <v>3486</v>
      </c>
      <c r="B5" s="2" t="s">
        <v>3487</v>
      </c>
      <c r="C5" s="2">
        <v>163</v>
      </c>
      <c r="D5" s="3">
        <v>5083</v>
      </c>
      <c r="E5" s="3">
        <v>23070</v>
      </c>
      <c r="F5" s="4">
        <v>1603840</v>
      </c>
      <c r="G5" s="11" t="str" cm="1">
        <f t="array" aca="1" ref="G5" ca="1">IFERROR(VLOOKUP("*" &amp; B5  &amp; "*" &amp; (MID(CELL("filename",A4),FIND("]",CELL("filename",A4))+1,31)) &amp; "*",CHOOSE({1,2}, Super_CBSA!$B$2:$B$1917, Super_CBSA!$A$2:$A$1917), 2,FALSE), IFERROR(VLOOKUP(B5  &amp; " city",CHOOSE({1,2}, Super_CBSA!$E$2:$E$1917, Super_CBSA!$A$2:$A$1917), 2,FALSE), ""))</f>
        <v/>
      </c>
    </row>
    <row r="6" spans="1:7" ht="17">
      <c r="A6" s="1" t="s">
        <v>3488</v>
      </c>
      <c r="B6" s="2" t="s">
        <v>3489</v>
      </c>
      <c r="C6" s="2">
        <v>169</v>
      </c>
      <c r="D6" s="3">
        <v>7212</v>
      </c>
      <c r="E6" s="3">
        <v>37434</v>
      </c>
      <c r="F6" s="4">
        <v>853103</v>
      </c>
      <c r="G6" s="11" t="str" cm="1">
        <f t="array" aca="1" ref="G6" ca="1">IFERROR(VLOOKUP("*" &amp; B6  &amp; "*" &amp; (MID(CELL("filename",A5),FIND("]",CELL("filename",A5))+1,31)) &amp; "*",CHOOSE({1,2}, Super_CBSA!$B$2:$B$1917, Super_CBSA!$A$2:$A$1917), 2,FALSE), IFERROR(VLOOKUP(B6  &amp; " city",CHOOSE({1,2}, Super_CBSA!$E$2:$E$1917, Super_CBSA!$A$2:$A$1917), 2,FALSE), ""))</f>
        <v/>
      </c>
    </row>
    <row r="7" spans="1:7" ht="17">
      <c r="A7" s="1" t="s">
        <v>3490</v>
      </c>
      <c r="B7" s="2" t="s">
        <v>3491</v>
      </c>
      <c r="C7" s="3">
        <v>1020</v>
      </c>
      <c r="D7" s="3">
        <v>7067</v>
      </c>
      <c r="E7" s="3">
        <v>26781</v>
      </c>
      <c r="F7" s="4">
        <v>565859</v>
      </c>
      <c r="G7" s="11" t="str" cm="1">
        <f t="array" aca="1" ref="G7" ca="1">IFERROR(VLOOKUP("*" &amp; B7  &amp; "*" &amp; (MID(CELL("filename",A6),FIND("]",CELL("filename",A6))+1,31)) &amp; "*",CHOOSE({1,2}, Super_CBSA!$B$2:$B$1917, Super_CBSA!$A$2:$A$1917), 2,FALSE), IFERROR(VLOOKUP(B7  &amp; " city",CHOOSE({1,2}, Super_CBSA!$E$2:$E$1917, Super_CBSA!$A$2:$A$1917), 2,FALSE), ""))</f>
        <v/>
      </c>
    </row>
    <row r="8" spans="1:7" ht="17">
      <c r="A8" s="1" t="s">
        <v>3492</v>
      </c>
      <c r="B8" s="2" t="s">
        <v>3493</v>
      </c>
      <c r="C8" s="2">
        <v>149</v>
      </c>
      <c r="D8" s="3">
        <v>6520</v>
      </c>
      <c r="E8" s="3">
        <v>24371</v>
      </c>
      <c r="F8" s="4">
        <v>807756</v>
      </c>
      <c r="G8" s="11" t="str" cm="1">
        <f t="array" aca="1" ref="G8" ca="1">IFERROR(VLOOKUP("*" &amp; B8  &amp; "*" &amp; (MID(CELL("filename",A7),FIND("]",CELL("filename",A7))+1,31)) &amp; "*",CHOOSE({1,2}, Super_CBSA!$B$2:$B$1917, Super_CBSA!$A$2:$A$1917), 2,FALSE), IFERROR(VLOOKUP(B8  &amp; " city",CHOOSE({1,2}, Super_CBSA!$E$2:$E$1917, Super_CBSA!$A$2:$A$1917), 2,FALSE), ""))</f>
        <v/>
      </c>
    </row>
    <row r="9" spans="1:7" ht="17">
      <c r="A9" s="1" t="s">
        <v>3494</v>
      </c>
      <c r="B9" s="2" t="s">
        <v>3495</v>
      </c>
      <c r="C9" s="2">
        <v>145</v>
      </c>
      <c r="D9" s="3">
        <v>11188</v>
      </c>
      <c r="E9" s="3">
        <v>59292</v>
      </c>
      <c r="F9" s="4">
        <v>3724947</v>
      </c>
      <c r="G9" s="11" t="str" cm="1">
        <f t="array" aca="1" ref="G9" ca="1">IFERROR(VLOOKUP("*" &amp; B9  &amp; "*" &amp; (MID(CELL("filename",A8),FIND("]",CELL("filename",A8))+1,31)) &amp; "*",CHOOSE({1,2}, Super_CBSA!$B$2:$B$1917, Super_CBSA!$A$2:$A$1917), 2,FALSE), IFERROR(VLOOKUP(B9  &amp; " city",CHOOSE({1,2}, Super_CBSA!$E$2:$E$1917, Super_CBSA!$A$2:$A$1917), 2,FALSE), ""))</f>
        <v/>
      </c>
    </row>
    <row r="10" spans="1:7" ht="17">
      <c r="A10" s="1" t="s">
        <v>3496</v>
      </c>
      <c r="B10" s="2" t="s">
        <v>2772</v>
      </c>
      <c r="C10" s="2">
        <v>162</v>
      </c>
      <c r="D10" s="3">
        <v>6579</v>
      </c>
      <c r="E10" s="3">
        <v>41096</v>
      </c>
      <c r="F10" s="4">
        <v>3231249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 city",CHOOSE({1,2}, Super_CBSA!$E$2:$E$1917, Super_CBSA!$A$2:$A$1917), 2,FALSE), ""))</f>
        <v>45940</v>
      </c>
    </row>
    <row r="11" spans="1:7" ht="17">
      <c r="A11" s="1" t="s">
        <v>3497</v>
      </c>
      <c r="B11" s="2" t="s">
        <v>3498</v>
      </c>
      <c r="C11" s="2">
        <v>264</v>
      </c>
      <c r="D11" s="3">
        <v>12451</v>
      </c>
      <c r="E11" s="3">
        <v>58181</v>
      </c>
      <c r="F11" s="4">
        <v>1062980</v>
      </c>
      <c r="G11" s="11" t="str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 city",CHOOSE({1,2}, Super_CBSA!$E$2:$E$1917, Super_CBSA!$A$2:$A$1917), 2,FALSE), ""))</f>
        <v/>
      </c>
    </row>
    <row r="12" spans="1:7" ht="17">
      <c r="A12" s="1" t="s">
        <v>3499</v>
      </c>
      <c r="B12" s="2" t="s">
        <v>3500</v>
      </c>
      <c r="C12" s="2">
        <v>175</v>
      </c>
      <c r="D12" s="3">
        <v>9116</v>
      </c>
      <c r="E12" s="3">
        <v>39823</v>
      </c>
      <c r="F12" s="4">
        <v>1122169</v>
      </c>
      <c r="G12" s="11" t="str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 city",CHOOSE({1,2}, Super_CBSA!$E$2:$E$1917, Super_CBSA!$A$2:$A$1917), 2,FALSE), ""))</f>
        <v/>
      </c>
    </row>
    <row r="13" spans="1:7" ht="17">
      <c r="A13" s="1" t="s">
        <v>3501</v>
      </c>
      <c r="B13" s="2" t="s">
        <v>3502</v>
      </c>
      <c r="C13" s="2">
        <v>178</v>
      </c>
      <c r="D13" s="3">
        <v>8868</v>
      </c>
      <c r="E13" s="3">
        <v>46421</v>
      </c>
      <c r="F13" s="4">
        <v>2261484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 city",CHOOSE({1,2}, Super_CBSA!$E$2:$E$1917, Super_CBSA!$A$2:$A$1917), 2,FALSE), ""))</f>
        <v>35620</v>
      </c>
    </row>
    <row r="14" spans="1:7" ht="17">
      <c r="A14" s="1" t="s">
        <v>3503</v>
      </c>
      <c r="B14" s="2" t="s">
        <v>1933</v>
      </c>
      <c r="C14" s="2">
        <v>342</v>
      </c>
      <c r="D14" s="3">
        <v>12605</v>
      </c>
      <c r="E14" s="3">
        <v>68843</v>
      </c>
      <c r="F14" s="4">
        <v>1411511</v>
      </c>
      <c r="G14" s="11" t="str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 city",CHOOSE({1,2}, Super_CBSA!$E$2:$E$1917, Super_CBSA!$A$2:$A$1917), 2,FALSE), ""))</f>
        <v/>
      </c>
    </row>
    <row r="15" spans="1:7" ht="17">
      <c r="A15" s="1" t="s">
        <v>3228</v>
      </c>
      <c r="B15" s="2" t="s">
        <v>3504</v>
      </c>
      <c r="C15" s="2">
        <v>449</v>
      </c>
      <c r="D15" s="3">
        <v>19660</v>
      </c>
      <c r="E15" s="3">
        <v>107270</v>
      </c>
      <c r="F15" s="4">
        <v>2028328</v>
      </c>
      <c r="G15" s="11" t="str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 city",CHOOSE({1,2}, Super_CBSA!$E$2:$E$1917, Super_CBSA!$A$2:$A$1917), 2,FALSE), ""))</f>
        <v/>
      </c>
    </row>
    <row r="16" spans="1:7" ht="17">
      <c r="A16" s="1" t="s">
        <v>3505</v>
      </c>
      <c r="B16" s="2" t="s">
        <v>160</v>
      </c>
      <c r="C16" s="2">
        <v>574</v>
      </c>
      <c r="D16" s="3">
        <v>28570</v>
      </c>
      <c r="E16" s="3">
        <v>158191</v>
      </c>
      <c r="F16" s="4">
        <v>4353407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 city",CHOOSE({1,2}, Super_CBSA!$E$2:$E$1917, Super_CBSA!$A$2:$A$1917), 2,FALSE), ""))</f>
        <v>37980</v>
      </c>
    </row>
    <row r="17" spans="1:7" ht="17">
      <c r="A17" s="1" t="s">
        <v>3506</v>
      </c>
      <c r="B17" s="2" t="s">
        <v>3507</v>
      </c>
      <c r="C17" s="2">
        <v>86</v>
      </c>
      <c r="D17" s="3">
        <v>3840</v>
      </c>
      <c r="E17" s="3">
        <v>20543</v>
      </c>
      <c r="F17" s="4">
        <v>962878</v>
      </c>
      <c r="G17" s="11" t="str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 city",CHOOSE({1,2}, Super_CBSA!$E$2:$E$1917, Super_CBSA!$A$2:$A$1917), 2,FALSE), ""))</f>
        <v/>
      </c>
    </row>
    <row r="18" spans="1:7" ht="17">
      <c r="A18" s="1" t="s">
        <v>3508</v>
      </c>
      <c r="B18" s="2" t="s">
        <v>3509</v>
      </c>
      <c r="C18" s="2">
        <v>196</v>
      </c>
      <c r="D18" s="3">
        <v>4929</v>
      </c>
      <c r="E18" s="3">
        <v>25260</v>
      </c>
      <c r="F18" s="4">
        <v>650633</v>
      </c>
      <c r="G18" s="11" t="str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 city",CHOOSE({1,2}, Super_CBSA!$E$2:$E$1917, Super_CBSA!$A$2:$A$1917), 2,FALSE), ""))</f>
        <v/>
      </c>
    </row>
    <row r="19" spans="1:7" ht="17">
      <c r="A19" s="1" t="s">
        <v>3510</v>
      </c>
      <c r="B19" s="2" t="s">
        <v>1050</v>
      </c>
      <c r="C19" s="2">
        <v>289</v>
      </c>
      <c r="D19" s="3">
        <v>13937</v>
      </c>
      <c r="E19" s="3">
        <v>71852</v>
      </c>
      <c r="F19" s="4">
        <v>3764615</v>
      </c>
      <c r="G19" s="11" t="str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 city",CHOOSE({1,2}, Super_CBSA!$E$2:$E$1917, Super_CBSA!$A$2:$A$1917), 2,FALSE), ""))</f>
        <v/>
      </c>
    </row>
    <row r="20" spans="1:7" ht="17">
      <c r="A20" s="1" t="s">
        <v>3511</v>
      </c>
      <c r="B20" s="2" t="s">
        <v>3512</v>
      </c>
      <c r="C20" s="2">
        <v>447</v>
      </c>
      <c r="D20" s="3">
        <v>20340</v>
      </c>
      <c r="E20" s="3">
        <v>94894</v>
      </c>
      <c r="F20" s="4">
        <v>2483575</v>
      </c>
      <c r="G20" s="11" t="str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 city",CHOOSE({1,2}, Super_CBSA!$E$2:$E$1917, Super_CBSA!$A$2:$A$1917), 2,FALSE), ""))</f>
        <v/>
      </c>
    </row>
    <row r="21" spans="1:7" ht="17">
      <c r="A21" s="1" t="s">
        <v>3513</v>
      </c>
      <c r="B21" s="2" t="s">
        <v>721</v>
      </c>
      <c r="C21" s="2">
        <v>231</v>
      </c>
      <c r="D21" s="3">
        <v>10662</v>
      </c>
      <c r="E21" s="3">
        <v>41538</v>
      </c>
      <c r="F21" s="4">
        <v>1219069</v>
      </c>
      <c r="G21" s="11" t="str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 city",CHOOSE({1,2}, Super_CBSA!$E$2:$E$1917, Super_CBSA!$A$2:$A$1917), 2,FALSE), ""))</f>
        <v/>
      </c>
    </row>
    <row r="22" spans="1:7" ht="17">
      <c r="A22" s="1" t="s">
        <v>3514</v>
      </c>
      <c r="B22" s="2" t="s">
        <v>3515</v>
      </c>
      <c r="C22" s="2">
        <v>78</v>
      </c>
      <c r="D22" s="3">
        <v>4955</v>
      </c>
      <c r="E22" s="3">
        <v>19785</v>
      </c>
      <c r="F22" s="4">
        <v>523703</v>
      </c>
      <c r="G22" s="11" t="str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 city",CHOOSE({1,2}, Super_CBSA!$E$2:$E$1917, Super_CBSA!$A$2:$A$1917), 2,FALSE), ""))</f>
        <v/>
      </c>
    </row>
    <row r="23" spans="1:7" ht="17">
      <c r="A23" s="1" t="s">
        <v>3516</v>
      </c>
      <c r="B23" s="2" t="s">
        <v>3517</v>
      </c>
      <c r="C23" s="2">
        <v>711</v>
      </c>
      <c r="D23" s="3">
        <v>36706</v>
      </c>
      <c r="E23" s="3">
        <v>220920</v>
      </c>
      <c r="F23" s="4">
        <v>5585188</v>
      </c>
      <c r="G23" s="11" t="str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 city",CHOOSE({1,2}, Super_CBSA!$E$2:$E$1917, Super_CBSA!$A$2:$A$1917), 2,FALSE), ""))</f>
        <v/>
      </c>
    </row>
    <row r="24" spans="1:7" ht="17">
      <c r="A24" s="1" t="s">
        <v>3518</v>
      </c>
      <c r="B24" s="2" t="s">
        <v>3519</v>
      </c>
      <c r="C24" s="2">
        <v>64</v>
      </c>
      <c r="D24" s="3">
        <v>3320</v>
      </c>
      <c r="E24" s="3">
        <v>13575</v>
      </c>
      <c r="F24" s="4">
        <v>0</v>
      </c>
      <c r="G24" s="11" t="str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 city",CHOOSE({1,2}, Super_CBSA!$E$2:$E$1917, Super_CBSA!$A$2:$A$1917), 2,FALSE), ""))</f>
        <v/>
      </c>
    </row>
    <row r="25" spans="1:7" ht="17">
      <c r="A25" s="1" t="s">
        <v>3520</v>
      </c>
      <c r="B25" s="2" t="s">
        <v>3521</v>
      </c>
      <c r="C25" s="2">
        <v>190</v>
      </c>
      <c r="D25" s="3">
        <v>4659</v>
      </c>
      <c r="E25" s="3">
        <v>22389</v>
      </c>
      <c r="F25" s="4">
        <v>1753126</v>
      </c>
      <c r="G25" s="11" t="str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 city",CHOOSE({1,2}, Super_CBSA!$E$2:$E$1917, Super_CBSA!$A$2:$A$1917), 2,FALSE), ""))</f>
        <v/>
      </c>
    </row>
    <row r="26" spans="1:7" ht="17">
      <c r="A26" s="1" t="s">
        <v>3522</v>
      </c>
      <c r="B26" s="2" t="s">
        <v>3523</v>
      </c>
      <c r="C26" s="2">
        <v>307</v>
      </c>
      <c r="D26" s="3">
        <v>12271</v>
      </c>
      <c r="E26" s="3">
        <v>64840</v>
      </c>
      <c r="F26" s="4">
        <v>1721334</v>
      </c>
      <c r="G26" s="11" t="str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 city",CHOOSE({1,2}, Super_CBSA!$E$2:$E$1917, Super_CBSA!$A$2:$A$1917), 2,FALSE), ""))</f>
        <v/>
      </c>
    </row>
    <row r="27" spans="1:7" ht="17">
      <c r="A27" s="1" t="s">
        <v>3524</v>
      </c>
      <c r="B27" s="2" t="s">
        <v>3525</v>
      </c>
      <c r="C27" s="2">
        <v>106</v>
      </c>
      <c r="D27" s="3">
        <v>2299</v>
      </c>
      <c r="E27" s="3">
        <v>8721</v>
      </c>
      <c r="F27" s="4">
        <v>643970</v>
      </c>
      <c r="G27" s="11" t="str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 city",CHOOSE({1,2}, Super_CBSA!$E$2:$E$1917, Super_CBSA!$A$2:$A$1917), 2,FALSE), ""))</f>
        <v/>
      </c>
    </row>
    <row r="28" spans="1:7" ht="17">
      <c r="A28" s="1" t="s">
        <v>3526</v>
      </c>
      <c r="B28" s="2" t="s">
        <v>3527</v>
      </c>
      <c r="C28" s="2">
        <v>184</v>
      </c>
      <c r="D28" s="3">
        <v>8670</v>
      </c>
      <c r="E28" s="3">
        <v>38148</v>
      </c>
      <c r="F28" s="4">
        <v>850659</v>
      </c>
      <c r="G28" s="11" t="str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 city",CHOOSE({1,2}, Super_CBSA!$E$2:$E$1917, Super_CBSA!$A$2:$A$1917), 2,FALSE), ""))</f>
        <v/>
      </c>
    </row>
    <row r="29" spans="1:7" ht="17">
      <c r="A29" s="1" t="s">
        <v>3528</v>
      </c>
      <c r="B29" s="2" t="s">
        <v>3529</v>
      </c>
      <c r="C29" s="2">
        <v>83</v>
      </c>
      <c r="D29" s="3">
        <v>2916</v>
      </c>
      <c r="E29" s="3">
        <v>11605</v>
      </c>
      <c r="F29" s="4">
        <v>295625</v>
      </c>
      <c r="G29" s="11" t="str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 city",CHOOSE({1,2}, Super_CBSA!$E$2:$E$1917, Super_CBSA!$A$2:$A$1917), 2,FALSE), ""))</f>
        <v/>
      </c>
    </row>
    <row r="30" spans="1:7" ht="17">
      <c r="A30" s="1" t="s">
        <v>3530</v>
      </c>
      <c r="B30" s="2" t="s">
        <v>3531</v>
      </c>
      <c r="C30" s="2">
        <v>0</v>
      </c>
      <c r="D30" s="2">
        <v>0</v>
      </c>
      <c r="E30" s="2">
        <v>0</v>
      </c>
      <c r="F30" s="4">
        <v>0</v>
      </c>
      <c r="G30" s="11" t="str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 city",CHOOSE({1,2}, Super_CBSA!$E$2:$E$1917, Super_CBSA!$A$2:$A$1917), 2,FALSE), ""))</f>
        <v/>
      </c>
    </row>
    <row r="31" spans="1:7" ht="17">
      <c r="A31" s="1" t="s">
        <v>3532</v>
      </c>
      <c r="B31" s="2" t="s">
        <v>3533</v>
      </c>
      <c r="C31" s="2">
        <v>325</v>
      </c>
      <c r="D31" s="3">
        <v>16308</v>
      </c>
      <c r="E31" s="3">
        <v>76379</v>
      </c>
      <c r="F31" s="4">
        <v>1869640</v>
      </c>
      <c r="G31" s="11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 city",CHOOSE({1,2}, Super_CBSA!$E$2:$E$1917, Super_CBSA!$A$2:$A$1917), 2,FALSE), ""))</f>
        <v>47220</v>
      </c>
    </row>
    <row r="32" spans="1:7" ht="17">
      <c r="A32" s="1" t="s">
        <v>3534</v>
      </c>
      <c r="B32" s="2" t="s">
        <v>2992</v>
      </c>
      <c r="C32" s="2">
        <v>253</v>
      </c>
      <c r="D32" s="3">
        <v>8125</v>
      </c>
      <c r="E32" s="3">
        <v>39530</v>
      </c>
      <c r="F32" s="4">
        <v>1102446</v>
      </c>
      <c r="G32" s="11" t="str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 city",CHOOSE({1,2}, Super_CBSA!$E$2:$E$1917, Super_CBSA!$A$2:$A$1917), 2,FALSE), ""))</f>
        <v/>
      </c>
    </row>
    <row r="33" spans="1:7" ht="17">
      <c r="A33" s="1" t="s">
        <v>3535</v>
      </c>
      <c r="B33" s="2" t="s">
        <v>3536</v>
      </c>
      <c r="C33" s="2">
        <v>0</v>
      </c>
      <c r="D33" s="2">
        <v>0</v>
      </c>
      <c r="E33" s="2">
        <v>0</v>
      </c>
      <c r="F33" s="4">
        <v>0</v>
      </c>
      <c r="G33" s="11" t="str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 city",CHOOSE({1,2}, Super_CBSA!$E$2:$E$1917, Super_CBSA!$A$2:$A$1917), 2,FALSE), ""))</f>
        <v/>
      </c>
    </row>
    <row r="34" spans="1:7" ht="17">
      <c r="A34" s="1" t="s">
        <v>3537</v>
      </c>
      <c r="B34" s="2" t="s">
        <v>3538</v>
      </c>
      <c r="C34" s="2">
        <v>522</v>
      </c>
      <c r="D34" s="3">
        <v>26830</v>
      </c>
      <c r="E34" s="3">
        <v>127205</v>
      </c>
      <c r="F34" s="4">
        <v>3655950</v>
      </c>
      <c r="G34" s="11" t="str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 city",CHOOSE({1,2}, Super_CBSA!$E$2:$E$1917, Super_CBSA!$A$2:$A$1917), 2,FALSE), ""))</f>
        <v/>
      </c>
    </row>
    <row r="35" spans="1:7" ht="17">
      <c r="A35" s="1" t="s">
        <v>3539</v>
      </c>
      <c r="B35" s="2" t="s">
        <v>3540</v>
      </c>
      <c r="C35" s="2">
        <v>0</v>
      </c>
      <c r="D35" s="2">
        <v>0</v>
      </c>
      <c r="E35" s="2">
        <v>0</v>
      </c>
      <c r="F35" s="4">
        <v>0</v>
      </c>
      <c r="G35" s="11" t="str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 city",CHOOSE({1,2}, Super_CBSA!$E$2:$E$1917, Super_CBSA!$A$2:$A$1917), 2,FALSE), ""))</f>
        <v/>
      </c>
    </row>
    <row r="36" spans="1:7" ht="17">
      <c r="A36" s="1" t="s">
        <v>3541</v>
      </c>
      <c r="B36" s="2" t="s">
        <v>3502</v>
      </c>
      <c r="C36" s="2">
        <v>308</v>
      </c>
      <c r="D36" s="3">
        <v>13027</v>
      </c>
      <c r="E36" s="3">
        <v>70853</v>
      </c>
      <c r="F36" s="4">
        <v>2021296</v>
      </c>
      <c r="G36" s="11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 city",CHOOSE({1,2}, Super_CBSA!$E$2:$E$1917, Super_CBSA!$A$2:$A$1917), 2,FALSE), ""))</f>
        <v>35620</v>
      </c>
    </row>
    <row r="37" spans="1:7" ht="17">
      <c r="A37" s="1" t="s">
        <v>3542</v>
      </c>
      <c r="B37" s="2" t="s">
        <v>3543</v>
      </c>
      <c r="C37" s="2">
        <v>597</v>
      </c>
      <c r="D37" s="3">
        <v>29251</v>
      </c>
      <c r="E37" s="3">
        <v>149670</v>
      </c>
      <c r="F37" s="4">
        <v>3690475</v>
      </c>
      <c r="G37" s="11" t="str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 city",CHOOSE({1,2}, Super_CBSA!$E$2:$E$1917, Super_CBSA!$A$2:$A$1917), 2,FALSE), ""))</f>
        <v/>
      </c>
    </row>
    <row r="38" spans="1:7" ht="17">
      <c r="A38" s="1" t="s">
        <v>3544</v>
      </c>
      <c r="B38" s="2" t="s">
        <v>3515</v>
      </c>
      <c r="C38" s="2">
        <v>0</v>
      </c>
      <c r="D38" s="2">
        <v>0</v>
      </c>
      <c r="E38" s="2">
        <v>0</v>
      </c>
      <c r="F38" s="4">
        <v>0</v>
      </c>
      <c r="G38" s="11" t="str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 city",CHOOSE({1,2}, Super_CBSA!$E$2:$E$1917, Super_CBSA!$A$2:$A$1917), 2,FALSE), ""))</f>
        <v/>
      </c>
    </row>
    <row r="39" spans="1:7" ht="17">
      <c r="A39" s="1" t="s">
        <v>3545</v>
      </c>
      <c r="B39" s="2" t="s">
        <v>3546</v>
      </c>
      <c r="C39" s="2">
        <v>0</v>
      </c>
      <c r="D39" s="2">
        <v>0</v>
      </c>
      <c r="E39" s="2">
        <v>0</v>
      </c>
      <c r="F39" s="4">
        <v>0</v>
      </c>
      <c r="G39" s="11" t="str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 city",CHOOSE({1,2}, Super_CBSA!$E$2:$E$1917, Super_CBSA!$A$2:$A$1917), 2,FALSE), ""))</f>
        <v/>
      </c>
    </row>
    <row r="40" spans="1:7" ht="17">
      <c r="A40" s="1" t="s">
        <v>3547</v>
      </c>
      <c r="B40" s="2" t="s">
        <v>3548</v>
      </c>
      <c r="C40" s="2">
        <v>342</v>
      </c>
      <c r="D40" s="3">
        <v>14787</v>
      </c>
      <c r="E40" s="3">
        <v>66681</v>
      </c>
      <c r="F40" s="4">
        <v>1625841</v>
      </c>
      <c r="G40" s="11" t="str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 city",CHOOSE({1,2}, Super_CBSA!$E$2:$E$1917, Super_CBSA!$A$2:$A$1917), 2,FALSE), ""))</f>
        <v/>
      </c>
    </row>
    <row r="41" spans="1:7" ht="17">
      <c r="A41" s="1" t="s">
        <v>3549</v>
      </c>
      <c r="B41" s="2" t="s">
        <v>652</v>
      </c>
      <c r="C41" s="2">
        <v>201</v>
      </c>
      <c r="D41" s="3">
        <v>6098</v>
      </c>
      <c r="E41" s="3">
        <v>35950</v>
      </c>
      <c r="F41" s="4">
        <v>647596</v>
      </c>
      <c r="G41" s="11" t="str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 city",CHOOSE({1,2}, Super_CBSA!$E$2:$E$1917, Super_CBSA!$A$2:$A$1917), 2,FALSE), ""))</f>
        <v/>
      </c>
    </row>
    <row r="42" spans="1:7" ht="17">
      <c r="A42" s="1" t="s">
        <v>3550</v>
      </c>
      <c r="B42" s="2" t="s">
        <v>3551</v>
      </c>
      <c r="C42" s="2">
        <v>693</v>
      </c>
      <c r="D42" s="3">
        <v>41066</v>
      </c>
      <c r="E42" s="3">
        <v>187734</v>
      </c>
      <c r="F42" s="4">
        <v>5739361</v>
      </c>
      <c r="G42" s="11" t="str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 city",CHOOSE({1,2}, Super_CBSA!$E$2:$E$1917, Super_CBSA!$A$2:$A$1917), 2,FALSE), ""))</f>
        <v/>
      </c>
    </row>
    <row r="43" spans="1:7" ht="17">
      <c r="A43" s="1" t="s">
        <v>3552</v>
      </c>
      <c r="B43" s="2" t="s">
        <v>1147</v>
      </c>
      <c r="C43" s="2">
        <v>487</v>
      </c>
      <c r="D43" s="3">
        <v>18423</v>
      </c>
      <c r="E43" s="3">
        <v>123208</v>
      </c>
      <c r="F43" s="4">
        <v>2690119</v>
      </c>
      <c r="G43" s="11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 city",CHOOSE({1,2}, Super_CBSA!$E$2:$E$1917, Super_CBSA!$A$2:$A$1917), 2,FALSE), ""))</f>
        <v>35620</v>
      </c>
    </row>
    <row r="44" spans="1:7" ht="17">
      <c r="A44" s="1" t="s">
        <v>2212</v>
      </c>
      <c r="B44" s="2" t="s">
        <v>1734</v>
      </c>
      <c r="C44" s="2">
        <v>146</v>
      </c>
      <c r="D44" s="3">
        <v>8118</v>
      </c>
      <c r="E44" s="3">
        <v>35235</v>
      </c>
      <c r="F44" s="4">
        <v>1408686</v>
      </c>
      <c r="G44" s="11" t="str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 city",CHOOSE({1,2}, Super_CBSA!$E$2:$E$1917, Super_CBSA!$A$2:$A$1917), 2,FALSE), ""))</f>
        <v/>
      </c>
    </row>
    <row r="45" spans="1:7" ht="17">
      <c r="A45" s="1" t="s">
        <v>3553</v>
      </c>
      <c r="B45" s="2" t="s">
        <v>3554</v>
      </c>
      <c r="C45" s="2">
        <v>318</v>
      </c>
      <c r="D45" s="3">
        <v>13885</v>
      </c>
      <c r="E45" s="3">
        <v>75256</v>
      </c>
      <c r="F45" s="4">
        <v>1824627</v>
      </c>
      <c r="G45" s="11" t="str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 city",CHOOSE({1,2}, Super_CBSA!$E$2:$E$1917, Super_CBSA!$A$2:$A$1917), 2,FALSE), ""))</f>
        <v/>
      </c>
    </row>
    <row r="46" spans="1:7" ht="17">
      <c r="A46" s="1" t="s">
        <v>3555</v>
      </c>
      <c r="B46" s="2" t="s">
        <v>3556</v>
      </c>
      <c r="C46" s="2">
        <v>467</v>
      </c>
      <c r="D46" s="3">
        <v>23734</v>
      </c>
      <c r="E46" s="3">
        <v>97514</v>
      </c>
      <c r="F46" s="4">
        <v>2893795</v>
      </c>
      <c r="G46" s="11" t="str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 city",CHOOSE({1,2}, Super_CBSA!$E$2:$E$1917, Super_CBSA!$A$2:$A$1917), 2,FALSE), ""))</f>
        <v/>
      </c>
    </row>
    <row r="47" spans="1:7" ht="17">
      <c r="A47" s="1" t="s">
        <v>3557</v>
      </c>
      <c r="B47" s="2" t="s">
        <v>2937</v>
      </c>
      <c r="C47" s="2">
        <v>0</v>
      </c>
      <c r="D47" s="2">
        <v>0</v>
      </c>
      <c r="E47" s="2">
        <v>0</v>
      </c>
      <c r="F47" s="4">
        <v>0</v>
      </c>
      <c r="G47" s="11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 city",CHOOSE({1,2}, Super_CBSA!$E$2:$E$1917, Super_CBSA!$A$2:$A$1917), 2,FALSE), ""))</f>
        <v>45940</v>
      </c>
    </row>
    <row r="48" spans="1:7" ht="17">
      <c r="A48" s="1" t="s">
        <v>3558</v>
      </c>
      <c r="B48" s="2" t="s">
        <v>3559</v>
      </c>
      <c r="C48" s="2">
        <v>355</v>
      </c>
      <c r="D48" s="3">
        <v>13863</v>
      </c>
      <c r="E48" s="3">
        <v>60067</v>
      </c>
      <c r="F48" s="4">
        <v>2133883</v>
      </c>
      <c r="G48" s="11" t="str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 city",CHOOSE({1,2}, Super_CBSA!$E$2:$E$1917, Super_CBSA!$A$2:$A$1917), 2,FALSE), ""))</f>
        <v/>
      </c>
    </row>
    <row r="49" spans="1:7" ht="17">
      <c r="A49" s="1" t="s">
        <v>3560</v>
      </c>
      <c r="B49" s="2" t="s">
        <v>3561</v>
      </c>
      <c r="C49" s="2">
        <v>0</v>
      </c>
      <c r="D49" s="2">
        <v>0</v>
      </c>
      <c r="E49" s="2">
        <v>0</v>
      </c>
      <c r="F49" s="4">
        <v>0</v>
      </c>
      <c r="G49" s="11" t="str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 city",CHOOSE({1,2}, Super_CBSA!$E$2:$E$1917, Super_CBSA!$A$2:$A$1917), 2,FALSE), ""))</f>
        <v/>
      </c>
    </row>
    <row r="50" spans="1:7" ht="17">
      <c r="A50" s="1" t="s">
        <v>3562</v>
      </c>
      <c r="B50" s="2" t="s">
        <v>3563</v>
      </c>
      <c r="C50" s="2">
        <v>302</v>
      </c>
      <c r="D50" s="3">
        <v>11641</v>
      </c>
      <c r="E50" s="3">
        <v>60066</v>
      </c>
      <c r="F50" s="4">
        <v>1347018</v>
      </c>
      <c r="G50" s="11" t="str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 city",CHOOSE({1,2}, Super_CBSA!$E$2:$E$1917, Super_CBSA!$A$2:$A$1917), 2,FALSE), ""))</f>
        <v/>
      </c>
    </row>
    <row r="51" spans="1:7" ht="17">
      <c r="A51" s="1" t="s">
        <v>3564</v>
      </c>
      <c r="B51" s="2" t="s">
        <v>3565</v>
      </c>
      <c r="C51" s="2">
        <v>304</v>
      </c>
      <c r="D51" s="3">
        <v>13930</v>
      </c>
      <c r="E51" s="3">
        <v>59017</v>
      </c>
      <c r="F51" s="4">
        <v>1463323</v>
      </c>
      <c r="G51" s="11" t="str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 city",CHOOSE({1,2}, Super_CBSA!$E$2:$E$1917, Super_CBSA!$A$2:$A$1917), 2,FALSE), ""))</f>
        <v/>
      </c>
    </row>
    <row r="52" spans="1:7" ht="17">
      <c r="A52" s="1" t="s">
        <v>3566</v>
      </c>
      <c r="B52" s="2" t="s">
        <v>3567</v>
      </c>
      <c r="C52" s="2">
        <v>610</v>
      </c>
      <c r="D52" s="3">
        <v>30830</v>
      </c>
      <c r="E52" s="3">
        <v>172117</v>
      </c>
      <c r="F52" s="4">
        <v>5360762</v>
      </c>
      <c r="G52" s="11" t="str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 city",CHOOSE({1,2}, Super_CBSA!$E$2:$E$1917, Super_CBSA!$A$2:$A$1917), 2,FALSE), ""))</f>
        <v/>
      </c>
    </row>
    <row r="53" spans="1:7" ht="17">
      <c r="A53" s="1" t="s">
        <v>3568</v>
      </c>
      <c r="B53" s="2" t="s">
        <v>3569</v>
      </c>
      <c r="C53" s="2">
        <v>122</v>
      </c>
      <c r="D53" s="3">
        <v>4776</v>
      </c>
      <c r="E53" s="3">
        <v>25201</v>
      </c>
      <c r="F53" s="4">
        <v>895850</v>
      </c>
      <c r="G53" s="11" t="str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 city",CHOOSE({1,2}, Super_CBSA!$E$2:$E$1917, Super_CBSA!$A$2:$A$1917), 2,FALSE), ""))</f>
        <v/>
      </c>
    </row>
    <row r="54" spans="1:7" ht="17">
      <c r="A54" s="1" t="s">
        <v>3570</v>
      </c>
      <c r="B54" s="2" t="s">
        <v>2550</v>
      </c>
      <c r="C54" s="2">
        <v>297</v>
      </c>
      <c r="D54" s="3">
        <v>12611</v>
      </c>
      <c r="E54" s="3">
        <v>60810</v>
      </c>
      <c r="F54" s="4">
        <v>1735061</v>
      </c>
      <c r="G54" s="11" t="str" cm="1">
        <f t="array" aca="1" ref="G54" ca="1">IFERROR(VLOOKUP("*" &amp; B54  &amp; "*" &amp; (MID(CELL("filename",A53),FIND("]",CELL("filename",A53))+1,31)) &amp; "*",CHOOSE({1,2}, Super_CBSA!$B$2:$B$1917, Super_CBSA!$A$2:$A$1917), 2,FALSE), IFERROR(VLOOKUP(B54  &amp; " city",CHOOSE({1,2}, Super_CBSA!$E$2:$E$1917, Super_CBSA!$A$2:$A$1917), 2,FALSE), ""))</f>
        <v/>
      </c>
    </row>
    <row r="55" spans="1:7" ht="17">
      <c r="A55" s="1" t="s">
        <v>3571</v>
      </c>
      <c r="B55" s="2" t="s">
        <v>190</v>
      </c>
      <c r="C55" s="2">
        <v>152</v>
      </c>
      <c r="D55" s="3">
        <v>7055</v>
      </c>
      <c r="E55" s="3">
        <v>35078</v>
      </c>
      <c r="F55" s="4">
        <v>1367986</v>
      </c>
      <c r="G55" s="11" t="str" cm="1">
        <f t="array" aca="1" ref="G55" ca="1">IFERROR(VLOOKUP("*" &amp; B55  &amp; "*" &amp; (MID(CELL("filename",A54),FIND("]",CELL("filename",A54))+1,31)) &amp; "*",CHOOSE({1,2}, Super_CBSA!$B$2:$B$1917, Super_CBSA!$A$2:$A$1917), 2,FALSE), IFERROR(VLOOKUP(B55  &amp; " city",CHOOSE({1,2}, Super_CBSA!$E$2:$E$1917, Super_CBSA!$A$2:$A$1917), 2,FALSE), ""))</f>
        <v/>
      </c>
    </row>
    <row r="56" spans="1:7" ht="17">
      <c r="A56" s="1" t="s">
        <v>3572</v>
      </c>
      <c r="B56" s="2" t="s">
        <v>3573</v>
      </c>
      <c r="C56" s="2">
        <v>552</v>
      </c>
      <c r="D56" s="3">
        <v>28094</v>
      </c>
      <c r="E56" s="3">
        <v>162495</v>
      </c>
      <c r="F56" s="4">
        <v>3382848</v>
      </c>
      <c r="G56" s="11" t="str" cm="1">
        <f t="array" aca="1" ref="G56" ca="1">IFERROR(VLOOKUP("*" &amp; B56  &amp; "*" &amp; (MID(CELL("filename",A55),FIND("]",CELL("filename",A55))+1,31)) &amp; "*",CHOOSE({1,2}, Super_CBSA!$B$2:$B$1917, Super_CBSA!$A$2:$A$1917), 2,FALSE), IFERROR(VLOOKUP(B56  &amp; " city",CHOOSE({1,2}, Super_CBSA!$E$2:$E$1917, Super_CBSA!$A$2:$A$1917), 2,FALSE), ""))</f>
        <v/>
      </c>
    </row>
    <row r="57" spans="1:7" ht="17">
      <c r="A57" s="1" t="s">
        <v>3574</v>
      </c>
      <c r="B57" s="2" t="s">
        <v>3575</v>
      </c>
      <c r="C57" s="2">
        <v>367</v>
      </c>
      <c r="D57" s="3">
        <v>14713</v>
      </c>
      <c r="E57" s="3">
        <v>55495</v>
      </c>
      <c r="F57" s="4">
        <v>1203777</v>
      </c>
      <c r="G57" s="11" t="str" cm="1">
        <f t="array" aca="1" ref="G57" ca="1">IFERROR(VLOOKUP("*" &amp; B57  &amp; "*" &amp; (MID(CELL("filename",A56),FIND("]",CELL("filename",A56))+1,31)) &amp; "*",CHOOSE({1,2}, Super_CBSA!$B$2:$B$1917, Super_CBSA!$A$2:$A$1917), 2,FALSE), IFERROR(VLOOKUP(B57  &amp; " city",CHOOSE({1,2}, Super_CBSA!$E$2:$E$1917, Super_CBSA!$A$2:$A$1917), 2,FALSE), ""))</f>
        <v/>
      </c>
    </row>
    <row r="58" spans="1:7" ht="17">
      <c r="A58" s="1" t="s">
        <v>3576</v>
      </c>
      <c r="B58" s="2" t="s">
        <v>1142</v>
      </c>
      <c r="C58" s="2">
        <v>243</v>
      </c>
      <c r="D58" s="2">
        <v>3</v>
      </c>
      <c r="E58" s="2">
        <v>29</v>
      </c>
      <c r="F58" s="4">
        <v>79118</v>
      </c>
      <c r="G58" s="11" t="str" cm="1">
        <f t="array" aca="1" ref="G58" ca="1">IFERROR(VLOOKUP("*" &amp; B58  &amp; "*" &amp; (MID(CELL("filename",A57),FIND("]",CELL("filename",A57))+1,31)) &amp; "*",CHOOSE({1,2}, Super_CBSA!$B$2:$B$1917, Super_CBSA!$A$2:$A$1917), 2,FALSE), IFERROR(VLOOKUP(B58  &amp; " city",CHOOSE({1,2}, Super_CBSA!$E$2:$E$1917, Super_CBSA!$A$2:$A$1917), 2,FALSE), ""))</f>
        <v/>
      </c>
    </row>
    <row r="59" spans="1:7" ht="17">
      <c r="A59" s="1" t="s">
        <v>817</v>
      </c>
      <c r="B59" s="2" t="s">
        <v>2772</v>
      </c>
      <c r="C59" s="2">
        <v>134</v>
      </c>
      <c r="D59" s="3">
        <v>4718</v>
      </c>
      <c r="E59" s="3">
        <v>22457</v>
      </c>
      <c r="F59" s="4">
        <v>828590</v>
      </c>
      <c r="G59" s="11" cm="1">
        <f t="array" aca="1" ref="G59" ca="1">IFERROR(VLOOKUP("*" &amp; B59  &amp; "*" &amp; (MID(CELL("filename",A58),FIND("]",CELL("filename",A58))+1,31)) &amp; "*",CHOOSE({1,2}, Super_CBSA!$B$2:$B$1917, Super_CBSA!$A$2:$A$1917), 2,FALSE), IFERROR(VLOOKUP(B59  &amp; " city",CHOOSE({1,2}, Super_CBSA!$E$2:$E$1917, Super_CBSA!$A$2:$A$1917), 2,FALSE), ""))</f>
        <v>45940</v>
      </c>
    </row>
    <row r="60" spans="1:7" ht="17">
      <c r="A60" s="1" t="s">
        <v>3577</v>
      </c>
      <c r="B60" s="2" t="s">
        <v>3578</v>
      </c>
      <c r="C60" s="2">
        <v>698</v>
      </c>
      <c r="D60" s="3">
        <v>33009</v>
      </c>
      <c r="E60" s="3">
        <v>187142</v>
      </c>
      <c r="F60" s="4">
        <v>3914809</v>
      </c>
      <c r="G60" s="11" t="str" cm="1">
        <f t="array" aca="1" ref="G60" ca="1">IFERROR(VLOOKUP("*" &amp; B60  &amp; "*" &amp; (MID(CELL("filename",A59),FIND("]",CELL("filename",A59))+1,31)) &amp; "*",CHOOSE({1,2}, Super_CBSA!$B$2:$B$1917, Super_CBSA!$A$2:$A$1917), 2,FALSE), IFERROR(VLOOKUP(B60  &amp; " city",CHOOSE({1,2}, Super_CBSA!$E$2:$E$1917, Super_CBSA!$A$2:$A$1917), 2,FALSE), ""))</f>
        <v/>
      </c>
    </row>
    <row r="61" spans="1:7" ht="17">
      <c r="A61" s="1" t="s">
        <v>3579</v>
      </c>
      <c r="B61" s="2" t="s">
        <v>2775</v>
      </c>
      <c r="C61" s="2">
        <v>141</v>
      </c>
      <c r="D61" s="3">
        <v>6040</v>
      </c>
      <c r="E61" s="3">
        <v>35308</v>
      </c>
      <c r="F61" s="4">
        <v>310154</v>
      </c>
      <c r="G61" s="11" t="str" cm="1">
        <f t="array" aca="1" ref="G61" ca="1">IFERROR(VLOOKUP("*" &amp; B61  &amp; "*" &amp; (MID(CELL("filename",A60),FIND("]",CELL("filename",A60))+1,31)) &amp; "*",CHOOSE({1,2}, Super_CBSA!$B$2:$B$1917, Super_CBSA!$A$2:$A$1917), 2,FALSE), IFERROR(VLOOKUP(B61  &amp; " city",CHOOSE({1,2}, Super_CBSA!$E$2:$E$1917, Super_CBSA!$A$2:$A$1917), 2,FALSE), ""))</f>
        <v/>
      </c>
    </row>
    <row r="62" spans="1:7" ht="17">
      <c r="A62" s="1" t="s">
        <v>3580</v>
      </c>
      <c r="B62" s="2" t="s">
        <v>3581</v>
      </c>
      <c r="C62" s="2">
        <v>92</v>
      </c>
      <c r="D62" s="3">
        <v>4077</v>
      </c>
      <c r="E62" s="3">
        <v>16852</v>
      </c>
      <c r="F62" s="4">
        <v>1011042</v>
      </c>
      <c r="G62" s="11" t="str" cm="1">
        <f t="array" aca="1" ref="G62" ca="1">IFERROR(VLOOKUP("*" &amp; B62  &amp; "*" &amp; (MID(CELL("filename",A61),FIND("]",CELL("filename",A61))+1,31)) &amp; "*",CHOOSE({1,2}, Super_CBSA!$B$2:$B$1917, Super_CBSA!$A$2:$A$1917), 2,FALSE), IFERROR(VLOOKUP(B62  &amp; " city",CHOOSE({1,2}, Super_CBSA!$E$2:$E$1917, Super_CBSA!$A$2:$A$1917), 2,FALSE), ""))</f>
        <v/>
      </c>
    </row>
    <row r="63" spans="1:7" ht="17">
      <c r="A63" s="1" t="s">
        <v>3582</v>
      </c>
      <c r="B63" s="2" t="s">
        <v>3583</v>
      </c>
      <c r="C63" s="2">
        <v>145</v>
      </c>
      <c r="D63" s="3">
        <v>6044</v>
      </c>
      <c r="E63" s="3">
        <v>26288</v>
      </c>
      <c r="F63" s="4">
        <v>630525</v>
      </c>
      <c r="G63" s="11" t="str" cm="1">
        <f t="array" aca="1" ref="G63" ca="1">IFERROR(VLOOKUP("*" &amp; B63  &amp; "*" &amp; (MID(CELL("filename",A62),FIND("]",CELL("filename",A62))+1,31)) &amp; "*",CHOOSE({1,2}, Super_CBSA!$B$2:$B$1917, Super_CBSA!$A$2:$A$1917), 2,FALSE), IFERROR(VLOOKUP(B63  &amp; " city",CHOOSE({1,2}, Super_CBSA!$E$2:$E$1917, Super_CBSA!$A$2:$A$1917), 2,FALSE), ""))</f>
        <v/>
      </c>
    </row>
    <row r="64" spans="1:7" ht="17">
      <c r="A64" s="1" t="s">
        <v>3584</v>
      </c>
      <c r="B64" s="2" t="s">
        <v>1147</v>
      </c>
      <c r="C64" s="2">
        <v>147</v>
      </c>
      <c r="D64" s="3">
        <v>8370</v>
      </c>
      <c r="E64" s="3">
        <v>34843</v>
      </c>
      <c r="F64" s="4">
        <v>933529</v>
      </c>
      <c r="G64" s="11" cm="1">
        <f t="array" aca="1" ref="G64" ca="1">IFERROR(VLOOKUP("*" &amp; B64  &amp; "*" &amp; (MID(CELL("filename",A63),FIND("]",CELL("filename",A63))+1,31)) &amp; "*",CHOOSE({1,2}, Super_CBSA!$B$2:$B$1917, Super_CBSA!$A$2:$A$1917), 2,FALSE), IFERROR(VLOOKUP(B64  &amp; " city",CHOOSE({1,2}, Super_CBSA!$E$2:$E$1917, Super_CBSA!$A$2:$A$1917), 2,FALSE), ""))</f>
        <v>35620</v>
      </c>
    </row>
    <row r="65" spans="1:7" ht="17">
      <c r="A65" s="1" t="s">
        <v>3585</v>
      </c>
      <c r="B65" s="2" t="s">
        <v>3567</v>
      </c>
      <c r="C65" s="2">
        <v>353</v>
      </c>
      <c r="D65" s="3">
        <v>18954</v>
      </c>
      <c r="E65" s="3">
        <v>89506</v>
      </c>
      <c r="F65" s="4">
        <v>3291434</v>
      </c>
      <c r="G65" s="11" t="str" cm="1">
        <f t="array" aca="1" ref="G65" ca="1">IFERROR(VLOOKUP("*" &amp; B65  &amp; "*" &amp; (MID(CELL("filename",A64),FIND("]",CELL("filename",A64))+1,31)) &amp; "*",CHOOSE({1,2}, Super_CBSA!$B$2:$B$1917, Super_CBSA!$A$2:$A$1917), 2,FALSE), IFERROR(VLOOKUP(B65  &amp; " city",CHOOSE({1,2}, Super_CBSA!$E$2:$E$1917, Super_CBSA!$A$2:$A$1917), 2,FALSE), ""))</f>
        <v/>
      </c>
    </row>
    <row r="66" spans="1:7" ht="17">
      <c r="A66" s="1" t="s">
        <v>3586</v>
      </c>
      <c r="B66" s="2" t="s">
        <v>2601</v>
      </c>
      <c r="C66" s="2">
        <v>126</v>
      </c>
      <c r="D66" s="3">
        <v>2647</v>
      </c>
      <c r="E66" s="3">
        <v>9081</v>
      </c>
      <c r="F66" s="4">
        <v>437495</v>
      </c>
      <c r="G66" s="11" cm="1">
        <f t="array" aca="1" ref="G66" ca="1">IFERROR(VLOOKUP("*" &amp; B66  &amp; "*" &amp; (MID(CELL("filename",A65),FIND("]",CELL("filename",A65))+1,31)) &amp; "*",CHOOSE({1,2}, Super_CBSA!$B$2:$B$1917, Super_CBSA!$A$2:$A$1917), 2,FALSE), IFERROR(VLOOKUP(B66  &amp; " city",CHOOSE({1,2}, Super_CBSA!$E$2:$E$1917, Super_CBSA!$A$2:$A$1917), 2,FALSE), ""))</f>
        <v>40220</v>
      </c>
    </row>
    <row r="67" spans="1:7" ht="17">
      <c r="A67" s="1" t="s">
        <v>3587</v>
      </c>
      <c r="B67" s="2" t="s">
        <v>3588</v>
      </c>
      <c r="C67" s="2">
        <v>199</v>
      </c>
      <c r="D67" s="3">
        <v>8638</v>
      </c>
      <c r="E67" s="3">
        <v>34352</v>
      </c>
      <c r="F67" s="4">
        <v>1018197</v>
      </c>
      <c r="G67" s="11" t="str" cm="1">
        <f t="array" aca="1" ref="G67" ca="1">IFERROR(VLOOKUP("*" &amp; B67  &amp; "*" &amp; (MID(CELL("filename",A66),FIND("]",CELL("filename",A66))+1,31)) &amp; "*",CHOOSE({1,2}, Super_CBSA!$B$2:$B$1917, Super_CBSA!$A$2:$A$1917), 2,FALSE), IFERROR(VLOOKUP(B67  &amp; " city",CHOOSE({1,2}, Super_CBSA!$E$2:$E$1917, Super_CBSA!$A$2:$A$1917), 2,FALSE), ""))</f>
        <v/>
      </c>
    </row>
    <row r="68" spans="1:7" ht="17">
      <c r="A68" s="1" t="s">
        <v>3589</v>
      </c>
      <c r="B68" s="2" t="s">
        <v>3590</v>
      </c>
      <c r="C68" s="2">
        <v>174</v>
      </c>
      <c r="D68" s="3">
        <v>7613</v>
      </c>
      <c r="E68" s="3">
        <v>27024</v>
      </c>
      <c r="F68" s="4">
        <v>943670</v>
      </c>
      <c r="G68" s="11" t="str" cm="1">
        <f t="array" aca="1" ref="G68" ca="1">IFERROR(VLOOKUP("*" &amp; B68  &amp; "*" &amp; (MID(CELL("filename",A67),FIND("]",CELL("filename",A67))+1,31)) &amp; "*",CHOOSE({1,2}, Super_CBSA!$B$2:$B$1917, Super_CBSA!$A$2:$A$1917), 2,FALSE), IFERROR(VLOOKUP(B68  &amp; " city",CHOOSE({1,2}, Super_CBSA!$E$2:$E$1917, Super_CBSA!$A$2:$A$1917), 2,FALSE), ""))</f>
        <v/>
      </c>
    </row>
    <row r="69" spans="1:7" ht="17">
      <c r="A69" s="1" t="s">
        <v>3591</v>
      </c>
      <c r="B69" s="2" t="s">
        <v>1147</v>
      </c>
      <c r="C69" s="2">
        <v>355</v>
      </c>
      <c r="D69" s="3">
        <v>15230</v>
      </c>
      <c r="E69" s="3">
        <v>99643</v>
      </c>
      <c r="F69" s="4">
        <v>2807647</v>
      </c>
      <c r="G69" s="11" cm="1">
        <f t="array" aca="1" ref="G69" ca="1">IFERROR(VLOOKUP("*" &amp; B69  &amp; "*" &amp; (MID(CELL("filename",A68),FIND("]",CELL("filename",A68))+1,31)) &amp; "*",CHOOSE({1,2}, Super_CBSA!$B$2:$B$1917, Super_CBSA!$A$2:$A$1917), 2,FALSE), IFERROR(VLOOKUP(B69  &amp; " city",CHOOSE({1,2}, Super_CBSA!$E$2:$E$1917, Super_CBSA!$A$2:$A$1917), 2,FALSE), ""))</f>
        <v>35620</v>
      </c>
    </row>
    <row r="70" spans="1:7" ht="17">
      <c r="A70" s="1" t="s">
        <v>3592</v>
      </c>
      <c r="B70" s="2" t="s">
        <v>3593</v>
      </c>
      <c r="C70" s="2">
        <v>363</v>
      </c>
      <c r="D70" s="3">
        <v>20249</v>
      </c>
      <c r="E70" s="3">
        <v>91764</v>
      </c>
      <c r="F70" s="4">
        <v>2379918</v>
      </c>
      <c r="G70" s="11" t="str" cm="1">
        <f t="array" aca="1" ref="G70" ca="1">IFERROR(VLOOKUP("*" &amp; B70  &amp; "*" &amp; (MID(CELL("filename",A69),FIND("]",CELL("filename",A69))+1,31)) &amp; "*",CHOOSE({1,2}, Super_CBSA!$B$2:$B$1917, Super_CBSA!$A$2:$A$1917), 2,FALSE), IFERROR(VLOOKUP(B70  &amp; " city",CHOOSE({1,2}, Super_CBSA!$E$2:$E$1917, Super_CBSA!$A$2:$A$1917), 2,FALSE), ""))</f>
        <v/>
      </c>
    </row>
    <row r="71" spans="1:7" ht="17">
      <c r="A71" s="1" t="s">
        <v>3594</v>
      </c>
      <c r="B71" s="2" t="s">
        <v>3546</v>
      </c>
      <c r="C71" s="2">
        <v>442</v>
      </c>
      <c r="D71" s="3">
        <v>10723</v>
      </c>
      <c r="E71" s="3">
        <v>51849</v>
      </c>
      <c r="F71" s="4">
        <v>1497985</v>
      </c>
      <c r="G71" s="11" t="str" cm="1">
        <f t="array" aca="1" ref="G71" ca="1">IFERROR(VLOOKUP("*" &amp; B71  &amp; "*" &amp; (MID(CELL("filename",A70),FIND("]",CELL("filename",A70))+1,31)) &amp; "*",CHOOSE({1,2}, Super_CBSA!$B$2:$B$1917, Super_CBSA!$A$2:$A$1917), 2,FALSE), IFERROR(VLOOKUP(B71  &amp; " city",CHOOSE({1,2}, Super_CBSA!$E$2:$E$1917, Super_CBSA!$A$2:$A$1917), 2,FALSE), ""))</f>
        <v/>
      </c>
    </row>
    <row r="72" spans="1:7" ht="17">
      <c r="A72" s="1" t="s">
        <v>3595</v>
      </c>
      <c r="B72" s="2" t="s">
        <v>3596</v>
      </c>
      <c r="C72" s="2">
        <v>0</v>
      </c>
      <c r="D72" s="2">
        <v>0</v>
      </c>
      <c r="E72" s="2">
        <v>0</v>
      </c>
      <c r="F72" s="4">
        <v>0</v>
      </c>
      <c r="G72" s="11" t="str" cm="1">
        <f t="array" aca="1" ref="G72" ca="1">IFERROR(VLOOKUP("*" &amp; B72  &amp; "*" &amp; (MID(CELL("filename",A71),FIND("]",CELL("filename",A71))+1,31)) &amp; "*",CHOOSE({1,2}, Super_CBSA!$B$2:$B$1917, Super_CBSA!$A$2:$A$1917), 2,FALSE), IFERROR(VLOOKUP(B72  &amp; " city",CHOOSE({1,2}, Super_CBSA!$E$2:$E$1917, Super_CBSA!$A$2:$A$1917), 2,FALSE), ""))</f>
        <v/>
      </c>
    </row>
    <row r="73" spans="1:7" ht="17">
      <c r="A73" s="1" t="s">
        <v>3597</v>
      </c>
      <c r="B73" s="2" t="s">
        <v>3509</v>
      </c>
      <c r="C73" s="2">
        <v>0</v>
      </c>
      <c r="D73" s="2">
        <v>0</v>
      </c>
      <c r="E73" s="2">
        <v>0</v>
      </c>
      <c r="F73" s="4">
        <v>0</v>
      </c>
      <c r="G73" s="11" t="str" cm="1">
        <f t="array" aca="1" ref="G73" ca="1">IFERROR(VLOOKUP("*" &amp; B73  &amp; "*" &amp; (MID(CELL("filename",A72),FIND("]",CELL("filename",A72))+1,31)) &amp; "*",CHOOSE({1,2}, Super_CBSA!$B$2:$B$1917, Super_CBSA!$A$2:$A$1917), 2,FALSE), IFERROR(VLOOKUP(B73  &amp; " city",CHOOSE({1,2}, Super_CBSA!$E$2:$E$1917, Super_CBSA!$A$2:$A$1917), 2,FALSE), ""))</f>
        <v/>
      </c>
    </row>
    <row r="74" spans="1:7" ht="17">
      <c r="A74" s="1" t="s">
        <v>3598</v>
      </c>
      <c r="B74" s="2" t="s">
        <v>3491</v>
      </c>
      <c r="C74" s="2">
        <v>0</v>
      </c>
      <c r="D74" s="2">
        <v>0</v>
      </c>
      <c r="E74" s="2">
        <v>0</v>
      </c>
      <c r="F74" s="4">
        <v>0</v>
      </c>
      <c r="G74" s="11" t="str" cm="1">
        <f t="array" aca="1" ref="G74" ca="1">IFERROR(VLOOKUP("*" &amp; B74  &amp; "*" &amp; (MID(CELL("filename",A73),FIND("]",CELL("filename",A73))+1,31)) &amp; "*",CHOOSE({1,2}, Super_CBSA!$B$2:$B$1917, Super_CBSA!$A$2:$A$1917), 2,FALSE), IFERROR(VLOOKUP(B74  &amp; " city",CHOOSE({1,2}, Super_CBSA!$E$2:$E$1917, Super_CBSA!$A$2:$A$1917), 2,FALSE), ""))</f>
        <v/>
      </c>
    </row>
    <row r="75" spans="1:7" ht="17">
      <c r="A75" s="1" t="s">
        <v>3599</v>
      </c>
      <c r="B75" s="2" t="s">
        <v>3600</v>
      </c>
      <c r="C75" s="2">
        <v>0</v>
      </c>
      <c r="D75" s="2">
        <v>0</v>
      </c>
      <c r="E75" s="2">
        <v>0</v>
      </c>
      <c r="F75" s="4">
        <v>0</v>
      </c>
      <c r="G75" s="11" t="str" cm="1">
        <f t="array" aca="1" ref="G75" ca="1">IFERROR(VLOOKUP("*" &amp; B75  &amp; "*" &amp; (MID(CELL("filename",A74),FIND("]",CELL("filename",A74))+1,31)) &amp; "*",CHOOSE({1,2}, Super_CBSA!$B$2:$B$1917, Super_CBSA!$A$2:$A$1917), 2,FALSE), IFERROR(VLOOKUP(B75  &amp; " city",CHOOSE({1,2}, Super_CBSA!$E$2:$E$1917, Super_CBSA!$A$2:$A$1917), 2,FALSE), ""))</f>
        <v/>
      </c>
    </row>
    <row r="76" spans="1:7" ht="17">
      <c r="A76" s="1" t="s">
        <v>3601</v>
      </c>
      <c r="B76" s="2" t="s">
        <v>3602</v>
      </c>
      <c r="C76" s="2">
        <v>339</v>
      </c>
      <c r="D76" s="3">
        <v>16955</v>
      </c>
      <c r="E76" s="3">
        <v>72528</v>
      </c>
      <c r="F76" s="4">
        <v>1824004</v>
      </c>
      <c r="G76" s="11" t="str" cm="1">
        <f t="array" aca="1" ref="G76" ca="1">IFERROR(VLOOKUP("*" &amp; B76  &amp; "*" &amp; (MID(CELL("filename",A75),FIND("]",CELL("filename",A75))+1,31)) &amp; "*",CHOOSE({1,2}, Super_CBSA!$B$2:$B$1917, Super_CBSA!$A$2:$A$1917), 2,FALSE), IFERROR(VLOOKUP(B76  &amp; " city",CHOOSE({1,2}, Super_CBSA!$E$2:$E$1917, Super_CBSA!$A$2:$A$1917), 2,FALSE), ""))</f>
        <v/>
      </c>
    </row>
    <row r="77" spans="1:7" ht="17">
      <c r="A77" s="1" t="s">
        <v>3603</v>
      </c>
      <c r="B77" s="2" t="s">
        <v>160</v>
      </c>
      <c r="C77" s="2">
        <v>301</v>
      </c>
      <c r="D77" s="3">
        <v>14304</v>
      </c>
      <c r="E77" s="3">
        <v>53146</v>
      </c>
      <c r="F77" s="4">
        <v>1939752</v>
      </c>
      <c r="G77" s="11" cm="1">
        <f t="array" aca="1" ref="G77" ca="1">IFERROR(VLOOKUP("*" &amp; B77  &amp; "*" &amp; (MID(CELL("filename",A76),FIND("]",CELL("filename",A76))+1,31)) &amp; "*",CHOOSE({1,2}, Super_CBSA!$B$2:$B$1917, Super_CBSA!$A$2:$A$1917), 2,FALSE), IFERROR(VLOOKUP(B77  &amp; " city",CHOOSE({1,2}, Super_CBSA!$E$2:$E$1917, Super_CBSA!$A$2:$A$1917), 2,FALSE), ""))</f>
        <v>37980</v>
      </c>
    </row>
    <row r="78" spans="1:7" ht="17">
      <c r="A78" s="1" t="s">
        <v>3604</v>
      </c>
      <c r="B78" s="2" t="s">
        <v>3605</v>
      </c>
      <c r="C78" s="2">
        <v>587</v>
      </c>
      <c r="D78" s="3">
        <v>35329</v>
      </c>
      <c r="E78" s="3">
        <v>144883</v>
      </c>
      <c r="F78" s="4">
        <v>3844933</v>
      </c>
      <c r="G78" s="11" t="str" cm="1">
        <f t="array" aca="1" ref="G78" ca="1">IFERROR(VLOOKUP("*" &amp; B78  &amp; "*" &amp; (MID(CELL("filename",A77),FIND("]",CELL("filename",A77))+1,31)) &amp; "*",CHOOSE({1,2}, Super_CBSA!$B$2:$B$1917, Super_CBSA!$A$2:$A$1917), 2,FALSE), IFERROR(VLOOKUP(B78  &amp; " city",CHOOSE({1,2}, Super_CBSA!$E$2:$E$1917, Super_CBSA!$A$2:$A$1917), 2,FALSE), ""))</f>
        <v/>
      </c>
    </row>
    <row r="79" spans="1:7" ht="17">
      <c r="A79" s="1" t="s">
        <v>3606</v>
      </c>
      <c r="B79" s="2" t="s">
        <v>3607</v>
      </c>
      <c r="C79" s="2">
        <v>144</v>
      </c>
      <c r="D79" s="3">
        <v>6686</v>
      </c>
      <c r="E79" s="3">
        <v>29822</v>
      </c>
      <c r="F79" s="4">
        <v>805790</v>
      </c>
      <c r="G79" s="11" t="str" cm="1">
        <f t="array" aca="1" ref="G79" ca="1">IFERROR(VLOOKUP("*" &amp; B79  &amp; "*" &amp; (MID(CELL("filename",A78),FIND("]",CELL("filename",A78))+1,31)) &amp; "*",CHOOSE({1,2}, Super_CBSA!$B$2:$B$1917, Super_CBSA!$A$2:$A$1917), 2,FALSE), IFERROR(VLOOKUP(B79  &amp; " city",CHOOSE({1,2}, Super_CBSA!$E$2:$E$1917, Super_CBSA!$A$2:$A$1917), 2,FALSE), ""))</f>
        <v/>
      </c>
    </row>
    <row r="80" spans="1:7" ht="17">
      <c r="A80" s="2" t="s">
        <v>56</v>
      </c>
      <c r="B80" s="2"/>
      <c r="C80" s="3">
        <v>20207</v>
      </c>
      <c r="D80" s="3">
        <v>880996</v>
      </c>
      <c r="E80" s="3">
        <v>4324343</v>
      </c>
      <c r="F80" s="4">
        <v>124668729</v>
      </c>
    </row>
  </sheetData>
  <hyperlinks>
    <hyperlink ref="A2" r:id="rId1" display="https://www.ahd.com/free_profile/310003/_Palisades_Medical_Center_/North_Bergen/New_Jersey/" xr:uid="{0D01663E-644C-5B4C-95A9-158E61D7D0F2}"/>
    <hyperlink ref="A3" r:id="rId2" display="https://www.ahd.com/free_profile/I41276/AtlantiCare_Regional_Medical_Center_-_Mainland_Campus/Pomona/New_Jersey/" xr:uid="{994AEC2B-D735-DD47-81DF-2067A2730AC5}"/>
    <hyperlink ref="A4" r:id="rId3" display="https://www.ahd.com/free_profile/310064/AtlantiCare_Regional_Medical_Center_-Atlantic_City_Campus/Atlantic_City/New_Jersey/" xr:uid="{D67C085B-7256-C842-BC83-D105D9F2C8EA}"/>
    <hyperlink ref="A5" r:id="rId4" display="https://www.ahd.com/free_profile/310025/Bayonne_Medical_Center/Bayonne/New_Jersey/" xr:uid="{C2B273D2-B19C-3B4F-8141-72F2A93D9FE1}"/>
    <hyperlink ref="A6" r:id="rId5" display="https://www.ahd.com/free_profile/310112/Bayshore_Medical_Center/Holmdel/New_Jersey/" xr:uid="{FED332ED-D0D7-F146-9D2B-B2382EFEE209}"/>
    <hyperlink ref="A7" r:id="rId6" display="https://www.ahd.com/free_profile/310058/Bergen_New_Bridge_Medical_Center/Paramus/New_Jersey/" xr:uid="{F6D45A73-605A-5144-A9DB-7C057A08F969}"/>
    <hyperlink ref="A8" r:id="rId7" display="https://www.ahd.com/free_profile/310011/Cape_Regional_Medical_Center/Cape_May_Court_House/New_Jersey/" xr:uid="{523D9AF0-1AF2-C44E-A9D0-C024DB3E9A4D}"/>
    <hyperlink ref="A9" r:id="rId8" display="https://www.ahd.com/free_profile/310044/Capital_Health_Medical_Center_-_Hopewell/Pennington/New_Jersey/" xr:uid="{145D3B9B-5408-9241-AB34-9FE5CC29BC94}"/>
    <hyperlink ref="A10" r:id="rId9" display="https://www.ahd.com/free_profile/310092/Capital_Health_Regional_Medical_Center/Trenton/New_Jersey/" xr:uid="{094B2F8A-E8D6-7E42-B9A9-C87C5A8240AF}"/>
    <hyperlink ref="A11" r:id="rId10" display="https://www.ahd.com/free_profile/310111/CentraState_Medical_Center/Freehold/New_Jersey/" xr:uid="{7EB767E0-145E-FD4D-95F0-A2A291A6C3F5}"/>
    <hyperlink ref="A12" r:id="rId11" display="https://www.ahd.com/free_profile/310017/Chilton_Medical_Center/Pompton_Plains/New_Jersey/" xr:uid="{2AD7CA45-29A0-364B-B0B3-3B1A6799ACF2}"/>
    <hyperlink ref="A13" r:id="rId12" display="https://www.ahd.com/free_profile/310016/Christ_Hospital/Jersey_City/New_Jersey/" xr:uid="{65C7B480-1B9F-B04F-BBB2-D78C0B210009}"/>
    <hyperlink ref="A14" r:id="rId13" display="https://www.ahd.com/free_profile/310009/Clara_Maass_Medical_Center/Belleville/New_Jersey/" xr:uid="{F30FB0BF-E367-3841-9367-7E1A4178CD46}"/>
    <hyperlink ref="A15" r:id="rId14" display="https://www.ahd.com/free_profile/310041/Community_Medical_Center/Toms_River/New_Jersey/" xr:uid="{C31C509F-8CDD-C842-BED8-0CDF117BF642}"/>
    <hyperlink ref="A16" r:id="rId15" display="https://www.ahd.com/free_profile/310014/Cooper_University_Hospital/Camden/New_Jersey/" xr:uid="{AC199D8C-1F9D-6144-9E00-2AF3D5B1AD72}"/>
    <hyperlink ref="A17" r:id="rId16" display="https://www.ahd.com/free_profile/310031/Deborah_Heart_and_Lung_Center/Browns_Mills/New_Jersey/" xr:uid="{1C730834-889B-2B4E-A92E-57EEEC1DD7D8}"/>
    <hyperlink ref="A18" r:id="rId17" display="https://www.ahd.com/free_profile/310083/East_Orange_General_Hospital/East_Orange/New_Jersey/" xr:uid="{38BA0D87-B815-AC49-9E10-F138A07CFB07}"/>
    <hyperlink ref="A19" r:id="rId18" display="https://www.ahd.com/free_profile/310045/Englewood_Hospital_and_Medical_Center/Englewood/New_Jersey/" xr:uid="{1B8100D5-E4E9-5746-A59B-D7215BCB88EE}"/>
    <hyperlink ref="A20" r:id="rId19" display="https://www.ahd.com/free_profile/310108/Hackensack_Meridian_Health_JFK_Medical_Center/Edison/New_Jersey/" xr:uid="{579B782D-9392-3740-8135-5EFC5747EFE3}"/>
    <hyperlink ref="A21" r:id="rId20" display="https://www.ahd.com/free_profile/310054/Hackensack_Meridian_Health_Mountainside_Medical_Center_/Montclair/New_Jersey/" xr:uid="{9DFC8A01-1226-C242-89CA-A1C148245442}"/>
    <hyperlink ref="A22" r:id="rId21" display="https://www.ahd.com/free_profile/310130/Hackensack_Meridian_Health_Pascack_Valley_Medical_Center/Westwood/New_Jersey/" xr:uid="{A8CACAFF-1B7D-3445-A41C-B2A5512955B2}"/>
    <hyperlink ref="A23" r:id="rId22" display="https://www.ahd.com/free_profile/310001/Hackensack_University_Medical_Center/Hackensack/New_Jersey/" xr:uid="{0B3B322F-6601-B349-B200-488B3B8733C7}"/>
    <hyperlink ref="A24" r:id="rId23" display="https://www.ahd.com/free_profile/310115/Hackettstown_Medical_Center/Hackettstown/New_Jersey/" xr:uid="{56B8D7DF-F5BA-D04C-A130-ABE4FFEBAAB3}"/>
    <hyperlink ref="A25" r:id="rId24" display="https://www.ahd.com/free_profile/310040/Hoboken_University_Medical_Center/Hoboken/New_Jersey/" xr:uid="{2AFFC0E2-E46E-0A45-AB9D-52C035841802}"/>
    <hyperlink ref="A26" r:id="rId25" display="https://www.ahd.com/free_profile/310008/Holy_Name_Medical_Center/Teaneck/New_Jersey/" xr:uid="{BB3B837A-5D6A-A745-97D0-8F74CA6CB478}"/>
    <hyperlink ref="A27" r:id="rId26" display="https://www.ahd.com/free_profile/310118/Hudson_Regional_Hospital/Secaucus/New_Jersey/" xr:uid="{60D3D53C-DC41-824A-AC04-FA7B42A8755A}"/>
    <hyperlink ref="A28" r:id="rId27" display="https://www.ahd.com/free_profile/310005/Hunterdon_Medical_Center/Flemington/New_Jersey/" xr:uid="{0E67A166-48E0-3047-94FB-ADA99EA79155}"/>
    <hyperlink ref="A29" r:id="rId28" display="https://www.ahd.com/free_profile/310069/Inspira_Medical_Center_Elmer/Elmer/New_Jersey/" xr:uid="{83C96BAA-1A51-D44F-A62F-60B3C5AECC9D}"/>
    <hyperlink ref="A30" r:id="rId29" display="https://www.ahd.com/free_profile/I42338/Inspira_Medical_Center_Mullica_Hill/Mullica_Hill/New_Jersey/" xr:uid="{2B180136-74DD-634A-86AF-3C63E1C55525}"/>
    <hyperlink ref="A31" r:id="rId30" display="https://www.ahd.com/free_profile/310032/Inspira_Medical_Center_Vineland/Vineland/New_Jersey/" xr:uid="{166627A6-E482-2043-8D0B-219525A6FF85}"/>
    <hyperlink ref="A32" r:id="rId31" display="https://www.ahd.com/free_profile/310081/Inspira_Medical_Center_Woodbury/Woodbury/New_Jersey/" xr:uid="{73121D8F-E1B3-4A44-B797-997D19301223}"/>
    <hyperlink ref="A33" r:id="rId32" display="https://www.ahd.com/free_profile/I08072/Jefferson__Washington_Township_Hospital/Turnersville/New_Jersey/" xr:uid="{9014BBA7-E57F-EC47-856B-CEB19C6F7803}"/>
    <hyperlink ref="A34" r:id="rId33" display="https://www.ahd.com/free_profile/310086/Jefferson_Cherry_Hill_Hospital/Cherry_Hill/New_Jersey/" xr:uid="{C9136E03-5246-7741-8ADF-5A275F2C2A92}"/>
    <hyperlink ref="A35" r:id="rId34" display="https://www.ahd.com/free_profile/I08071/Jefferson_Stratford_Hospital/Stratford/New_Jersey/" xr:uid="{4C063854-A17F-714F-9B35-B4906C3CED16}"/>
    <hyperlink ref="A36" r:id="rId35" display="https://www.ahd.com/free_profile/310074/Jersey_City_Medical_Center/Jersey_City/New_Jersey/" xr:uid="{50EA8979-66F6-8A40-92A9-7DD9C24E8C24}"/>
    <hyperlink ref="A37" r:id="rId36" display="https://www.ahd.com/free_profile/310073/Jersey_Shore_University_Medical_Center/Neptune/New_Jersey/" xr:uid="{ABAA00C1-9B9C-414D-B3E4-E76E9746E809}"/>
    <hyperlink ref="A38" r:id="rId37" display="https://www.ahd.com/free_profile/I42372/LTACH_-_CareOne_at_Hackensack_University_Medical_Center%2C_Pascack_Valley/Westwood/New_Jersey/" xr:uid="{07E36F97-A12B-D841-BA49-46C48365A275}"/>
    <hyperlink ref="A39" r:id="rId38" display="https://www.ahd.com/free_profile/I42373/LTACH_-_CareOne_at_Trinitas_Regional_Medical_Center/Elizabeth/New_Jersey/" xr:uid="{EA9DAB21-A3A0-4942-A532-42C1BBCBD57B}"/>
    <hyperlink ref="A40" r:id="rId39" display="https://www.ahd.com/free_profile/310075/Monmouth_Medical_Center/Long_Branch/New_Jersey/" xr:uid="{5B7AB0E7-5422-F94B-B786-FC91653E34C2}"/>
    <hyperlink ref="A41" r:id="rId40" display="https://www.ahd.com/free_profile/310084/Monmouth_Medical_Center%2C_Southern_Campus/Lakewood/New_Jersey/" xr:uid="{2E24528D-E2BD-0045-8BFE-AF121D0C557F}"/>
    <hyperlink ref="A42" r:id="rId41" display="https://www.ahd.com/free_profile/310015/Morristown_Medical_Center/Morristown/New_Jersey/" xr:uid="{6B5218A3-4556-2148-8B68-9B9DBBC53AD9}"/>
    <hyperlink ref="A43" r:id="rId42" display="https://www.ahd.com/free_profile/310002/Newark_Beth_Israel_Medical_Center/Newark/New_Jersey/" xr:uid="{473445B0-A7E8-E848-B797-C438187EA759}"/>
    <hyperlink ref="A44" r:id="rId43" display="https://www.ahd.com/free_profile/310028/Newton_Medical_Center/Newton/New_Jersey/" xr:uid="{AAD72AFF-061E-554C-AA06-171847DC8730}"/>
    <hyperlink ref="A45" r:id="rId44" display="https://www.ahd.com/free_profile/310052/Ocean_Medical_Center/Brick/New_Jersey/" xr:uid="{5F57DB52-383B-F446-8CFC-D67569186A13}"/>
    <hyperlink ref="A46" r:id="rId45" display="https://www.ahd.com/free_profile/310051/Overlook_Medical_Center/Summit/New_Jersey/" xr:uid="{B46E50B7-D021-B649-8A0F-F6E7E8072D61}"/>
    <hyperlink ref="A47" r:id="rId46" display="https://www.ahd.com/free_profile/I42103/Princeton_House_Behavioral_Health/Princeton/New_Jersey/" xr:uid="{762A087C-74A2-CC43-81D1-BD7C97353BCB}"/>
    <hyperlink ref="A48" r:id="rId47" display="https://www.ahd.com/free_profile/310010/Princeton_Medical_Center/Plainsboro/New_Jersey/" xr:uid="{608303EF-9909-B840-92FB-BD8E3CE5BAC5}"/>
    <hyperlink ref="A49" r:id="rId48" display="https://www.ahd.com/free_profile/I41147/Raritan_Bay_Medical_Center_-_Old_Bridge_Division/Old_Bridge/New_Jersey/" xr:uid="{266B5460-7BAD-3F44-9EFC-4FCCF6FEFDFD}"/>
    <hyperlink ref="A50" r:id="rId49" display="https://www.ahd.com/free_profile/310039/Raritan_Bay_Medical_Center_-_Perth_Amboy_Division/Perth_Amboy/New_Jersey/" xr:uid="{64C33828-4906-E246-B194-74696C75C4B0}"/>
    <hyperlink ref="A51" r:id="rId50" display="https://www.ahd.com/free_profile/310034/Riverview_Medical_Center/Red_Bank/New_Jersey/" xr:uid="{6ECE592A-06B8-E347-9B96-235236A36A9C}"/>
    <hyperlink ref="A52" r:id="rId51" display="https://www.ahd.com/free_profile/310038/Robert_Wood_Johnson_University_Hospital/New_Brunswick/New_Jersey/" xr:uid="{1754F0EC-37D4-9C48-97C1-53D501968B91}"/>
    <hyperlink ref="A53" r:id="rId52" display="https://www.ahd.com/free_profile/310024/Robert_Wood_Johnson_University_Hospital_at_Rahway/Rahway/New_Jersey/" xr:uid="{49A4FB3C-C8BA-4049-847B-0AB5F660F75C}"/>
    <hyperlink ref="A54" r:id="rId53" display="https://www.ahd.com/free_profile/310048/Robert_Wood_Johnson_University_Hospital_Somerset/Somerville/New_Jersey/" xr:uid="{49F5117E-31E9-004B-A98F-D98FF5299290}"/>
    <hyperlink ref="A55" r:id="rId54" display="https://www.ahd.com/free_profile/310110/RWJ_University_Hospital_Hamilton/Hamilton/New_Jersey/" xr:uid="{08F0F5DF-F0AD-BA4D-9EED-8DD493FA084F}"/>
    <hyperlink ref="A56" r:id="rId55" display="https://www.ahd.com/free_profile/310076/Saint_Barnabas_Medical_Center/Livingston/New_Jersey/" xr:uid="{C8E52DF8-0E5E-4248-847F-D9754D3CB258}"/>
    <hyperlink ref="A57" r:id="rId56" display="https://www.ahd.com/free_profile/310050/Saint_Clare%27s_Denville_Hospital_/Denville/New_Jersey/" xr:uid="{C735248D-0A15-E644-8C89-AC3921C828BF}"/>
    <hyperlink ref="A58" r:id="rId57" display="https://www.ahd.com/free_profile/310067/Saint_Clare%27s_Hospital_-_Dover/Dover/New_Jersey/" xr:uid="{E75F39C2-A8C5-E043-BD60-9E99650B6CBB}"/>
    <hyperlink ref="A59" r:id="rId58" display="https://www.ahd.com/free_profile/310021/Saint_Francis_Medical_Center/Trenton/New_Jersey/" xr:uid="{312E1349-0C9B-9F4F-AFA7-B994E951474B}"/>
    <hyperlink ref="A60" r:id="rId59" display="https://www.ahd.com/free_profile/310019/Saint_Joseph%27s_University_Medical_Center/Paterson/New_Jersey/" xr:uid="{08C33C63-DBEA-CC42-9E24-D86AF0F9AF5C}"/>
    <hyperlink ref="A61" r:id="rId60" display="https://www.ahd.com/free_profile/310116/Saint_Joseph%27s_Wayne_Medical_Center/Wayne/New_Jersey/" xr:uid="{CC75B347-791A-D14A-A404-BB15FF7EF518}"/>
    <hyperlink ref="A62" r:id="rId61" display="https://www.ahd.com/free_profile/310060/Saint_Luke%27s_Warren_Campus/Phillipsburg/New_Jersey/" xr:uid="{5A48859D-DA2A-024E-8F0A-E8EAADFEDEC6}"/>
    <hyperlink ref="A63" r:id="rId62" display="https://www.ahd.com/free_profile/310006/Saint_Mary%27s_General_Hospital/Passaic/New_Jersey/" xr:uid="{E86D5BC0-0514-6D43-8B65-D857960AF497}"/>
    <hyperlink ref="A64" r:id="rId63" display="https://www.ahd.com/free_profile/310096/Saint_Michael%27s_Medical_Center/Newark/New_Jersey/" xr:uid="{B1F29BF7-5122-AA46-8745-56C295A343F0}"/>
    <hyperlink ref="A65" r:id="rId64" display="https://www.ahd.com/free_profile/310070/Saint_Peter%27s_University_Hospital/New_Brunswick/New_Jersey/" xr:uid="{54ADF324-712E-3144-89C8-E0F4B0F4B791}"/>
    <hyperlink ref="A66" r:id="rId65" display="https://www.ahd.com/free_profile/310091/Salem_Medical_Center/Salem/New_Jersey/" xr:uid="{A808C749-5FF5-9F4D-93C6-EF0052902C12}"/>
    <hyperlink ref="A67" r:id="rId66" display="https://www.ahd.com/free_profile/310047/Shore_Medical_Center/Somers_Point/New_Jersey/" xr:uid="{15BE92DB-AB64-BD47-A22D-0824042C6D44}"/>
    <hyperlink ref="A68" r:id="rId67" display="https://www.ahd.com/free_profile/310113/Southern_Ocean_Medical_Center/Manahawkin/New_Jersey/" xr:uid="{0E61883A-AD64-7B4A-957B-E6D17CD5838B}"/>
    <hyperlink ref="A69" r:id="rId68" display="https://www.ahd.com/free_profile/310119/The_University_Hospital/Newark/New_Jersey/" xr:uid="{1BC58BD3-59D3-7E4B-A04D-86757EDDBAB6}"/>
    <hyperlink ref="A70" r:id="rId69" display="https://www.ahd.com/free_profile/310012/The_Valley_Hospital/Ridgewood/New_Jersey/" xr:uid="{825BCB39-DBE8-0546-8953-7F879F8EEDB5}"/>
    <hyperlink ref="A71" r:id="rId70" display="https://www.ahd.com/free_profile/310027/Trinitas_Regional_Medical_Center_/Elizabeth/New_Jersey/" xr:uid="{B8F34C2C-8F33-B645-BF28-3D196272749B}"/>
    <hyperlink ref="A72" r:id="rId71" display="https://www.ahd.com/free_profile/I42141/VA_New_Jersey_Health_Care_System_-_Lyons_Campus/Lyons_/New_Jersey/" xr:uid="{38244AA8-BA55-A94F-9856-62CC42660DB6}"/>
    <hyperlink ref="A73" r:id="rId72" display="https://www.ahd.com/free_profile/31001F/VA_New_Jersey_Healthcare_System_-_East_Orange_Campus/East_Orange/New_Jersey/" xr:uid="{78046C3F-03C9-B142-AACF-158A3844D2B4}"/>
    <hyperlink ref="A74" r:id="rId73" display="https://www.ahd.com/free_profile/I42314/Valley-Mount_Sinai_Comprehensive_Cancer_Care/Paramus/New_Jersey/" xr:uid="{8AA6E26E-278C-3049-98DE-B05A868EFD23}"/>
    <hyperlink ref="A75" r:id="rId74" display="https://www.ahd.com/free_profile/I07825/Virtua_Marlton_Hospital/Marlton/New_Jersey/" xr:uid="{1D8F04E6-96DB-304B-B865-164619B18A43}"/>
    <hyperlink ref="A76" r:id="rId75" display="https://www.ahd.com/free_profile/310057/Virtua_Memorial_Hospital_/Mount_Holly/New_Jersey/" xr:uid="{F5597169-7099-3949-A6CF-A478C934858C}"/>
    <hyperlink ref="A77" r:id="rId76" display="https://www.ahd.com/free_profile/310029/Virtua_Our_Lady_of_Lourdes_Hospital/Camden/New_Jersey/" xr:uid="{30E52130-414C-4049-97AB-D69A2F37BA4D}"/>
    <hyperlink ref="A78" r:id="rId77" display="https://www.ahd.com/free_profile/310022/Virtua_Voorhees_Hospital/Voorhees/New_Jersey/" xr:uid="{875A58F0-AF02-094F-83DC-4D8E59F68150}"/>
    <hyperlink ref="A79" r:id="rId78" display="https://www.ahd.com/free_profile/310061/Virtua_Willingboro_Hospital/Willingboro/New_Jersey/" xr:uid="{078DADD0-3BD7-EF4B-8768-2A4A0B63F3F4}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0DFC7-82A1-4349-88EE-77180A2359A5}">
  <sheetPr codeName="Sheet34"/>
  <dimension ref="A1:G39"/>
  <sheetViews>
    <sheetView workbookViewId="0">
      <selection activeCell="G2" sqref="G2:G38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3608</v>
      </c>
      <c r="B2" s="2" t="s">
        <v>3609</v>
      </c>
      <c r="C2" s="2">
        <v>4</v>
      </c>
      <c r="D2" s="2">
        <v>19</v>
      </c>
      <c r="E2" s="2">
        <v>86</v>
      </c>
      <c r="F2" s="4">
        <v>0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 city",CHOOSE({1,2}, Super_CBSA!$E$2:$E$1917, Super_CBSA!$A$2:$A$1917), 2,FALSE), ""))</f>
        <v>42140</v>
      </c>
    </row>
    <row r="3" spans="1:7" ht="17">
      <c r="A3" s="1" t="s">
        <v>3610</v>
      </c>
      <c r="B3" s="2" t="s">
        <v>3611</v>
      </c>
      <c r="C3" s="2">
        <v>6</v>
      </c>
      <c r="D3" s="2">
        <v>38</v>
      </c>
      <c r="E3" s="2">
        <v>122</v>
      </c>
      <c r="F3" s="4">
        <v>0</v>
      </c>
      <c r="G3" s="11" t="str" cm="1">
        <f t="array" aca="1" ref="G3" ca="1">IFERROR(VLOOKUP("*" &amp; B3  &amp; "*" &amp; (MID(CELL("filename",A2),FIND("]",CELL("filename",A2))+1,31)) &amp; "*",CHOOSE({1,2}, Super_CBSA!$B$2:$B$1917, Super_CBSA!$A$2:$A$1917), 2,FALSE), IFERROR(VLOOKUP(B3  &amp; " city",CHOOSE({1,2}, Super_CBSA!$E$2:$E$1917, Super_CBSA!$A$2:$A$1917), 2,FALSE), ""))</f>
        <v/>
      </c>
    </row>
    <row r="4" spans="1:7" ht="17">
      <c r="A4" s="1" t="s">
        <v>3612</v>
      </c>
      <c r="B4" s="2" t="s">
        <v>3613</v>
      </c>
      <c r="C4" s="2">
        <v>46</v>
      </c>
      <c r="D4" s="3">
        <v>1090</v>
      </c>
      <c r="E4" s="3">
        <v>3607</v>
      </c>
      <c r="F4" s="4">
        <v>187950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 city",CHOOSE({1,2}, Super_CBSA!$E$2:$E$1917, Super_CBSA!$A$2:$A$1917), 2,FALSE), ""))</f>
        <v>29780</v>
      </c>
    </row>
    <row r="5" spans="1:7" ht="17">
      <c r="A5" s="1" t="s">
        <v>3614</v>
      </c>
      <c r="B5" s="2" t="s">
        <v>3615</v>
      </c>
      <c r="C5" s="2">
        <v>49</v>
      </c>
      <c r="D5" s="2">
        <v>892</v>
      </c>
      <c r="E5" s="3">
        <v>2224</v>
      </c>
      <c r="F5" s="4">
        <v>179574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 city",CHOOSE({1,2}, Super_CBSA!$E$2:$E$1917, Super_CBSA!$A$2:$A$1917), 2,FALSE), ""))</f>
        <v>16100</v>
      </c>
    </row>
    <row r="6" spans="1:7" ht="17">
      <c r="A6" s="1" t="s">
        <v>3616</v>
      </c>
      <c r="B6" s="2" t="s">
        <v>3617</v>
      </c>
      <c r="C6" s="2">
        <v>95</v>
      </c>
      <c r="D6" s="3">
        <v>2050</v>
      </c>
      <c r="E6" s="3">
        <v>6649</v>
      </c>
      <c r="F6" s="4">
        <v>423268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 city",CHOOSE({1,2}, Super_CBSA!$E$2:$E$1917, Super_CBSA!$A$2:$A$1917), 2,FALSE), ""))</f>
        <v>16100</v>
      </c>
    </row>
    <row r="7" spans="1:7" ht="17">
      <c r="A7" s="1" t="s">
        <v>3618</v>
      </c>
      <c r="B7" s="2" t="s">
        <v>3609</v>
      </c>
      <c r="C7" s="2">
        <v>12</v>
      </c>
      <c r="D7" s="2">
        <v>325</v>
      </c>
      <c r="E7" s="2">
        <v>828</v>
      </c>
      <c r="F7" s="4">
        <v>31559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 city",CHOOSE({1,2}, Super_CBSA!$E$2:$E$1917, Super_CBSA!$A$2:$A$1917), 2,FALSE), ""))</f>
        <v>42140</v>
      </c>
    </row>
    <row r="8" spans="1:7" ht="17">
      <c r="A8" s="1" t="s">
        <v>3619</v>
      </c>
      <c r="B8" s="2" t="s">
        <v>3609</v>
      </c>
      <c r="C8" s="2">
        <v>214</v>
      </c>
      <c r="D8" s="3">
        <v>10031</v>
      </c>
      <c r="E8" s="3">
        <v>43757</v>
      </c>
      <c r="F8" s="4">
        <v>1426258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 city",CHOOSE({1,2}, Super_CBSA!$E$2:$E$1917, Super_CBSA!$A$2:$A$1917), 2,FALSE), ""))</f>
        <v>42140</v>
      </c>
    </row>
    <row r="9" spans="1:7" ht="17">
      <c r="A9" s="1" t="s">
        <v>3620</v>
      </c>
      <c r="B9" s="2" t="s">
        <v>3621</v>
      </c>
      <c r="C9" s="2">
        <v>19</v>
      </c>
      <c r="D9" s="2">
        <v>353</v>
      </c>
      <c r="E9" s="3">
        <v>1175</v>
      </c>
      <c r="F9" s="4">
        <v>0</v>
      </c>
      <c r="G9" s="11" t="str" cm="1">
        <f t="array" aca="1" ref="G9" ca="1">IFERROR(VLOOKUP("*" &amp; B9  &amp; "*" &amp; (MID(CELL("filename",A8),FIND("]",CELL("filename",A8))+1,31)) &amp; "*",CHOOSE({1,2}, Super_CBSA!$B$2:$B$1917, Super_CBSA!$A$2:$A$1917), 2,FALSE), IFERROR(VLOOKUP(B9  &amp; " city",CHOOSE({1,2}, Super_CBSA!$E$2:$E$1917, Super_CBSA!$A$2:$A$1917), 2,FALSE), ""))</f>
        <v/>
      </c>
    </row>
    <row r="10" spans="1:7" ht="17">
      <c r="A10" s="1" t="s">
        <v>3622</v>
      </c>
      <c r="B10" s="2" t="s">
        <v>1674</v>
      </c>
      <c r="C10" s="2">
        <v>162</v>
      </c>
      <c r="D10" s="3">
        <v>5105</v>
      </c>
      <c r="E10" s="3">
        <v>19731</v>
      </c>
      <c r="F10" s="4">
        <v>658248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 city",CHOOSE({1,2}, Super_CBSA!$E$2:$E$1917, Super_CBSA!$A$2:$A$1917), 2,FALSE), ""))</f>
        <v>40740</v>
      </c>
    </row>
    <row r="11" spans="1:7" ht="17">
      <c r="A11" s="1" t="s">
        <v>3623</v>
      </c>
      <c r="B11" s="2" t="s">
        <v>3624</v>
      </c>
      <c r="C11" s="2">
        <v>74</v>
      </c>
      <c r="D11" s="3">
        <v>2696</v>
      </c>
      <c r="E11" s="3">
        <v>11872</v>
      </c>
      <c r="F11" s="4">
        <v>0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 city",CHOOSE({1,2}, Super_CBSA!$E$2:$E$1917, Super_CBSA!$A$2:$A$1917), 2,FALSE), ""))</f>
        <v>23700</v>
      </c>
    </row>
    <row r="12" spans="1:7" ht="17">
      <c r="A12" s="1" t="s">
        <v>3625</v>
      </c>
      <c r="B12" s="2" t="s">
        <v>3626</v>
      </c>
      <c r="C12" s="2">
        <v>98</v>
      </c>
      <c r="D12" s="3">
        <v>3103</v>
      </c>
      <c r="E12" s="3">
        <v>10691</v>
      </c>
      <c r="F12" s="4">
        <v>729613</v>
      </c>
      <c r="G12" s="11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 city",CHOOSE({1,2}, Super_CBSA!$E$2:$E$1917, Super_CBSA!$A$2:$A$1917), 2,FALSE), ""))</f>
        <v>10460</v>
      </c>
    </row>
    <row r="13" spans="1:7" ht="17">
      <c r="A13" s="1" t="s">
        <v>3627</v>
      </c>
      <c r="B13" s="2" t="s">
        <v>3628</v>
      </c>
      <c r="C13" s="2">
        <v>42</v>
      </c>
      <c r="D13" s="3">
        <v>1033</v>
      </c>
      <c r="E13" s="3">
        <v>4432</v>
      </c>
      <c r="F13" s="4">
        <v>176551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 city",CHOOSE({1,2}, Super_CBSA!$E$2:$E$1917, Super_CBSA!$A$2:$A$1917), 2,FALSE), ""))</f>
        <v>43500</v>
      </c>
    </row>
    <row r="14" spans="1:7" ht="17">
      <c r="A14" s="1" t="s">
        <v>3629</v>
      </c>
      <c r="B14" s="2" t="s">
        <v>866</v>
      </c>
      <c r="C14" s="2">
        <v>10</v>
      </c>
      <c r="D14" s="2">
        <v>212</v>
      </c>
      <c r="E14" s="2">
        <v>584</v>
      </c>
      <c r="F14" s="4">
        <v>22787</v>
      </c>
      <c r="G14" s="11" t="str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 city",CHOOSE({1,2}, Super_CBSA!$E$2:$E$1917, Super_CBSA!$A$2:$A$1917), 2,FALSE), ""))</f>
        <v/>
      </c>
    </row>
    <row r="15" spans="1:7" ht="17">
      <c r="A15" s="1" t="s">
        <v>3630</v>
      </c>
      <c r="B15" s="2" t="s">
        <v>3631</v>
      </c>
      <c r="C15" s="2">
        <v>92</v>
      </c>
      <c r="D15" s="3">
        <v>2157</v>
      </c>
      <c r="E15" s="3">
        <v>6420</v>
      </c>
      <c r="F15" s="4">
        <v>252530</v>
      </c>
      <c r="G15" s="11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 city",CHOOSE({1,2}, Super_CBSA!$E$2:$E$1917, Super_CBSA!$A$2:$A$1917), 2,FALSE), ""))</f>
        <v>26020</v>
      </c>
    </row>
    <row r="16" spans="1:7" ht="17">
      <c r="A16" s="1" t="s">
        <v>3632</v>
      </c>
      <c r="B16" s="2" t="s">
        <v>3633</v>
      </c>
      <c r="C16" s="2">
        <v>47</v>
      </c>
      <c r="D16" s="2">
        <v>756</v>
      </c>
      <c r="E16" s="3">
        <v>2701</v>
      </c>
      <c r="F16" s="4">
        <v>140099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 city",CHOOSE({1,2}, Super_CBSA!$E$2:$E$1917, Super_CBSA!$A$2:$A$1917), 2,FALSE), ""))</f>
        <v>31060</v>
      </c>
    </row>
    <row r="17" spans="1:7" ht="17">
      <c r="A17" s="1" t="s">
        <v>3634</v>
      </c>
      <c r="B17" s="2" t="s">
        <v>3635</v>
      </c>
      <c r="C17" s="2">
        <v>293</v>
      </c>
      <c r="D17" s="3">
        <v>12469</v>
      </c>
      <c r="E17" s="3">
        <v>62759</v>
      </c>
      <c r="F17" s="4">
        <v>1733872</v>
      </c>
      <c r="G17" s="11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 city",CHOOSE({1,2}, Super_CBSA!$E$2:$E$1917, Super_CBSA!$A$2:$A$1917), 2,FALSE), ""))</f>
        <v>10740</v>
      </c>
    </row>
    <row r="18" spans="1:7" ht="17">
      <c r="A18" s="1" t="s">
        <v>3636</v>
      </c>
      <c r="B18" s="2" t="s">
        <v>1674</v>
      </c>
      <c r="C18" s="2">
        <v>27</v>
      </c>
      <c r="D18" s="3">
        <v>2011</v>
      </c>
      <c r="E18" s="3">
        <v>6667</v>
      </c>
      <c r="F18" s="4">
        <v>231435</v>
      </c>
      <c r="G18" s="11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 city",CHOOSE({1,2}, Super_CBSA!$E$2:$E$1917, Super_CBSA!$A$2:$A$1917), 2,FALSE), ""))</f>
        <v>40740</v>
      </c>
    </row>
    <row r="19" spans="1:7" ht="17">
      <c r="A19" s="1" t="s">
        <v>3637</v>
      </c>
      <c r="B19" s="2" t="s">
        <v>3635</v>
      </c>
      <c r="C19" s="2">
        <v>70</v>
      </c>
      <c r="D19" s="3">
        <v>3079</v>
      </c>
      <c r="E19" s="3">
        <v>9963</v>
      </c>
      <c r="F19" s="4">
        <v>406124</v>
      </c>
      <c r="G19" s="11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 city",CHOOSE({1,2}, Super_CBSA!$E$2:$E$1917, Super_CBSA!$A$2:$A$1917), 2,FALSE), ""))</f>
        <v>10740</v>
      </c>
    </row>
    <row r="20" spans="1:7" ht="17">
      <c r="A20" s="1" t="s">
        <v>3638</v>
      </c>
      <c r="B20" s="2" t="s">
        <v>3635</v>
      </c>
      <c r="C20" s="2">
        <v>162</v>
      </c>
      <c r="D20" s="3">
        <v>6772</v>
      </c>
      <c r="E20" s="3">
        <v>32780</v>
      </c>
      <c r="F20" s="4">
        <v>948546</v>
      </c>
      <c r="G20" s="11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 city",CHOOSE({1,2}, Super_CBSA!$E$2:$E$1917, Super_CBSA!$A$2:$A$1917), 2,FALSE), ""))</f>
        <v>10740</v>
      </c>
    </row>
    <row r="21" spans="1:7" ht="17">
      <c r="A21" s="1" t="s">
        <v>691</v>
      </c>
      <c r="B21" s="2" t="s">
        <v>3639</v>
      </c>
      <c r="C21" s="2">
        <v>199</v>
      </c>
      <c r="D21" s="3">
        <v>10247</v>
      </c>
      <c r="E21" s="3">
        <v>42845</v>
      </c>
      <c r="F21" s="4">
        <v>1326557</v>
      </c>
      <c r="G21" s="11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 city",CHOOSE({1,2}, Super_CBSA!$E$2:$E$1917, Super_CBSA!$A$2:$A$1917), 2,FALSE), ""))</f>
        <v>29740</v>
      </c>
    </row>
    <row r="22" spans="1:7" ht="17">
      <c r="A22" s="1" t="s">
        <v>3640</v>
      </c>
      <c r="B22" s="2" t="s">
        <v>3641</v>
      </c>
      <c r="C22" s="2">
        <v>6</v>
      </c>
      <c r="D22" s="2">
        <v>48</v>
      </c>
      <c r="E22" s="2">
        <v>159</v>
      </c>
      <c r="F22" s="4">
        <v>0</v>
      </c>
      <c r="G22" s="11" t="str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 city",CHOOSE({1,2}, Super_CBSA!$E$2:$E$1917, Super_CBSA!$A$2:$A$1917), 2,FALSE), ""))</f>
        <v/>
      </c>
    </row>
    <row r="23" spans="1:7" ht="17">
      <c r="A23" s="1" t="s">
        <v>3642</v>
      </c>
      <c r="B23" s="2" t="s">
        <v>3639</v>
      </c>
      <c r="C23" s="2">
        <v>180</v>
      </c>
      <c r="D23" s="3">
        <v>9795</v>
      </c>
      <c r="E23" s="3">
        <v>45745</v>
      </c>
      <c r="F23" s="4">
        <v>1239067</v>
      </c>
      <c r="G23" s="11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 city",CHOOSE({1,2}, Super_CBSA!$E$2:$E$1917, Super_CBSA!$A$2:$A$1917), 2,FALSE), ""))</f>
        <v>29740</v>
      </c>
    </row>
    <row r="24" spans="1:7" ht="17">
      <c r="A24" s="1" t="s">
        <v>3643</v>
      </c>
      <c r="B24" s="2" t="s">
        <v>518</v>
      </c>
      <c r="C24" s="2">
        <v>106</v>
      </c>
      <c r="D24" s="3">
        <v>3562</v>
      </c>
      <c r="E24" s="3">
        <v>13134</v>
      </c>
      <c r="F24" s="4">
        <v>307470</v>
      </c>
      <c r="G24" s="11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 city",CHOOSE({1,2}, Super_CBSA!$E$2:$E$1917, Super_CBSA!$A$2:$A$1917), 2,FALSE), ""))</f>
        <v>17580</v>
      </c>
    </row>
    <row r="25" spans="1:7" ht="17">
      <c r="A25" s="1" t="s">
        <v>3644</v>
      </c>
      <c r="B25" s="2" t="s">
        <v>3645</v>
      </c>
      <c r="C25" s="2">
        <v>52</v>
      </c>
      <c r="D25" s="3">
        <v>2097</v>
      </c>
      <c r="E25" s="3">
        <v>7983</v>
      </c>
      <c r="F25" s="4">
        <v>199645</v>
      </c>
      <c r="G25" s="11" t="str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 city",CHOOSE({1,2}, Super_CBSA!$E$2:$E$1917, Super_CBSA!$A$2:$A$1917), 2,FALSE), ""))</f>
        <v/>
      </c>
    </row>
    <row r="26" spans="1:7" ht="17">
      <c r="A26" s="1" t="s">
        <v>3646</v>
      </c>
      <c r="B26" s="2" t="s">
        <v>3635</v>
      </c>
      <c r="C26" s="2">
        <v>716</v>
      </c>
      <c r="D26" s="3">
        <v>39171</v>
      </c>
      <c r="E26" s="3">
        <v>183249</v>
      </c>
      <c r="F26" s="4">
        <v>3639545</v>
      </c>
      <c r="G26" s="11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 city",CHOOSE({1,2}, Super_CBSA!$E$2:$E$1917, Super_CBSA!$A$2:$A$1917), 2,FALSE), ""))</f>
        <v>10740</v>
      </c>
    </row>
    <row r="27" spans="1:7" ht="17">
      <c r="A27" s="1" t="s">
        <v>3647</v>
      </c>
      <c r="B27" s="2" t="s">
        <v>3635</v>
      </c>
      <c r="C27" s="2">
        <v>85</v>
      </c>
      <c r="D27" s="3">
        <v>1554</v>
      </c>
      <c r="E27" s="3">
        <v>6059</v>
      </c>
      <c r="F27" s="4">
        <v>215707</v>
      </c>
      <c r="G27" s="11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 city",CHOOSE({1,2}, Super_CBSA!$E$2:$E$1917, Super_CBSA!$A$2:$A$1917), 2,FALSE), ""))</f>
        <v>10740</v>
      </c>
    </row>
    <row r="28" spans="1:7" ht="17">
      <c r="A28" s="1" t="s">
        <v>3648</v>
      </c>
      <c r="B28" s="2" t="s">
        <v>3649</v>
      </c>
      <c r="C28" s="2">
        <v>0</v>
      </c>
      <c r="D28" s="2">
        <v>0</v>
      </c>
      <c r="E28" s="2">
        <v>0</v>
      </c>
      <c r="F28" s="4">
        <v>0</v>
      </c>
      <c r="G28" s="11" t="str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 city",CHOOSE({1,2}, Super_CBSA!$E$2:$E$1917, Super_CBSA!$A$2:$A$1917), 2,FALSE), ""))</f>
        <v/>
      </c>
    </row>
    <row r="29" spans="1:7" ht="17">
      <c r="A29" s="1" t="s">
        <v>3650</v>
      </c>
      <c r="B29" s="2" t="s">
        <v>3609</v>
      </c>
      <c r="C29" s="2">
        <v>36</v>
      </c>
      <c r="D29" s="3">
        <v>1924</v>
      </c>
      <c r="E29" s="3">
        <v>5647</v>
      </c>
      <c r="F29" s="4">
        <v>245913</v>
      </c>
      <c r="G29" s="11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 city",CHOOSE({1,2}, Super_CBSA!$E$2:$E$1917, Super_CBSA!$A$2:$A$1917), 2,FALSE), ""))</f>
        <v>42140</v>
      </c>
    </row>
    <row r="30" spans="1:7" ht="17">
      <c r="A30" s="1" t="s">
        <v>3651</v>
      </c>
      <c r="B30" s="2" t="s">
        <v>3635</v>
      </c>
      <c r="C30" s="2">
        <v>0</v>
      </c>
      <c r="D30" s="2">
        <v>0</v>
      </c>
      <c r="E30" s="2">
        <v>0</v>
      </c>
      <c r="F30" s="4">
        <v>0</v>
      </c>
      <c r="G30" s="11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 city",CHOOSE({1,2}, Super_CBSA!$E$2:$E$1917, Super_CBSA!$A$2:$A$1917), 2,FALSE), ""))</f>
        <v>10740</v>
      </c>
    </row>
    <row r="31" spans="1:7" ht="17">
      <c r="A31" s="1" t="s">
        <v>3652</v>
      </c>
      <c r="B31" s="2" t="s">
        <v>3624</v>
      </c>
      <c r="C31" s="2">
        <v>28</v>
      </c>
      <c r="D31" s="3">
        <v>2368</v>
      </c>
      <c r="E31" s="3">
        <v>7477</v>
      </c>
      <c r="F31" s="4">
        <v>245047</v>
      </c>
      <c r="G31" s="11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 city",CHOOSE({1,2}, Super_CBSA!$E$2:$E$1917, Super_CBSA!$A$2:$A$1917), 2,FALSE), ""))</f>
        <v>23700</v>
      </c>
    </row>
    <row r="32" spans="1:7" ht="17">
      <c r="A32" s="1" t="s">
        <v>3653</v>
      </c>
      <c r="B32" s="2" t="s">
        <v>3654</v>
      </c>
      <c r="C32" s="2">
        <v>20</v>
      </c>
      <c r="D32" s="2">
        <v>359</v>
      </c>
      <c r="E32" s="2">
        <v>946</v>
      </c>
      <c r="F32" s="4">
        <v>90332</v>
      </c>
      <c r="G32" s="11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 city",CHOOSE({1,2}, Super_CBSA!$E$2:$E$1917, Super_CBSA!$A$2:$A$1917), 2,FALSE), ""))</f>
        <v>38780</v>
      </c>
    </row>
    <row r="33" spans="1:7" ht="17">
      <c r="A33" s="1" t="s">
        <v>3655</v>
      </c>
      <c r="B33" s="2" t="s">
        <v>1124</v>
      </c>
      <c r="C33" s="2">
        <v>184</v>
      </c>
      <c r="D33" s="3">
        <v>8857</v>
      </c>
      <c r="E33" s="3">
        <v>36449</v>
      </c>
      <c r="F33" s="4">
        <v>748231</v>
      </c>
      <c r="G33" s="11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 city",CHOOSE({1,2}, Super_CBSA!$E$2:$E$1917, Super_CBSA!$A$2:$A$1917), 2,FALSE), ""))</f>
        <v>22140</v>
      </c>
    </row>
    <row r="34" spans="1:7" ht="17">
      <c r="A34" s="1" t="s">
        <v>3656</v>
      </c>
      <c r="B34" s="2" t="s">
        <v>3635</v>
      </c>
      <c r="C34" s="2">
        <v>55</v>
      </c>
      <c r="D34" s="3">
        <v>2817</v>
      </c>
      <c r="E34" s="3">
        <v>12085</v>
      </c>
      <c r="F34" s="4">
        <v>258668</v>
      </c>
      <c r="G34" s="11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 city",CHOOSE({1,2}, Super_CBSA!$E$2:$E$1917, Super_CBSA!$A$2:$A$1917), 2,FALSE), ""))</f>
        <v>10740</v>
      </c>
    </row>
    <row r="35" spans="1:7" ht="17">
      <c r="A35" s="1" t="s">
        <v>3657</v>
      </c>
      <c r="B35" s="2" t="s">
        <v>3658</v>
      </c>
      <c r="C35" s="2">
        <v>60</v>
      </c>
      <c r="D35" s="3">
        <v>1692</v>
      </c>
      <c r="E35" s="3">
        <v>6991</v>
      </c>
      <c r="F35" s="4">
        <v>0</v>
      </c>
      <c r="G35" s="11" t="str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 city",CHOOSE({1,2}, Super_CBSA!$E$2:$E$1917, Super_CBSA!$A$2:$A$1917), 2,FALSE), ""))</f>
        <v/>
      </c>
    </row>
    <row r="36" spans="1:7" ht="17">
      <c r="A36" s="1" t="s">
        <v>3659</v>
      </c>
      <c r="B36" s="2" t="s">
        <v>3635</v>
      </c>
      <c r="C36" s="2">
        <v>555</v>
      </c>
      <c r="D36" s="3">
        <v>22737</v>
      </c>
      <c r="E36" s="3">
        <v>153088</v>
      </c>
      <c r="F36" s="4">
        <v>2101048</v>
      </c>
      <c r="G36" s="11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 city",CHOOSE({1,2}, Super_CBSA!$E$2:$E$1917, Super_CBSA!$A$2:$A$1917), 2,FALSE), ""))</f>
        <v>10740</v>
      </c>
    </row>
    <row r="37" spans="1:7" ht="17">
      <c r="A37" s="1" t="s">
        <v>3660</v>
      </c>
      <c r="B37" s="2" t="s">
        <v>3649</v>
      </c>
      <c r="C37" s="2">
        <v>60</v>
      </c>
      <c r="D37" s="3">
        <v>2950</v>
      </c>
      <c r="E37" s="3">
        <v>11951</v>
      </c>
      <c r="F37" s="4">
        <v>211606</v>
      </c>
      <c r="G37" s="11" t="str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 city",CHOOSE({1,2}, Super_CBSA!$E$2:$E$1917, Super_CBSA!$A$2:$A$1917), 2,FALSE), ""))</f>
        <v/>
      </c>
    </row>
    <row r="38" spans="1:7" ht="17">
      <c r="A38" s="1" t="s">
        <v>3661</v>
      </c>
      <c r="B38" s="2" t="s">
        <v>3662</v>
      </c>
      <c r="C38" s="2">
        <v>27</v>
      </c>
      <c r="D38" s="2">
        <v>548</v>
      </c>
      <c r="E38" s="3">
        <v>2164</v>
      </c>
      <c r="F38" s="4">
        <v>0</v>
      </c>
      <c r="G38" s="11" t="str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 city",CHOOSE({1,2}, Super_CBSA!$E$2:$E$1917, Super_CBSA!$A$2:$A$1917), 2,FALSE), ""))</f>
        <v/>
      </c>
    </row>
    <row r="39" spans="1:7" ht="17">
      <c r="A39" s="2" t="s">
        <v>56</v>
      </c>
      <c r="B39" s="2"/>
      <c r="C39" s="3">
        <v>3891</v>
      </c>
      <c r="D39" s="3">
        <v>164917</v>
      </c>
      <c r="E39" s="3">
        <v>763020</v>
      </c>
      <c r="F39" s="4">
        <v>18377251</v>
      </c>
    </row>
  </sheetData>
  <hyperlinks>
    <hyperlink ref="A2" r:id="rId1" display="https://www.ahd.com/free_profile/320057/_Santa_Fe_Indian_Hospital/Santa_Fe/New_Mexico/" xr:uid="{1AA777B0-1795-A249-B049-586F11A3D603}"/>
    <hyperlink ref="A3" r:id="rId2" display="https://www.ahd.com/free_profile/320070/Acoma-Canoncito-Laguna_Hospital/Acoma/New_Mexico/" xr:uid="{64B481F2-6FFE-914E-9FB0-36522EEF65F7}"/>
    <hyperlink ref="A4" r:id="rId3" display="https://www.ahd.com/free_profile/320003/Alta_Vista_Regional_Hospital/Las_Vegas/New_Mexico/" xr:uid="{107323F0-8B4E-B846-97E2-5AAA912DB645}"/>
    <hyperlink ref="A5" r:id="rId4" display="https://www.ahd.com/free_profile/320030/Artesia_General_Hospital/Artesia/New_Mexico/" xr:uid="{59FAB085-E808-0145-B4F9-81A4D9889698}"/>
    <hyperlink ref="A6" r:id="rId5" display="https://www.ahd.com/free_profile/320063/Carlsbad_Medical_Center/Carlsbad/New_Mexico/" xr:uid="{1F2188E0-66BC-2E4A-BC32-A9C77E39CA76}"/>
    <hyperlink ref="A7" r:id="rId6" display="https://www.ahd.com/free_profile/320087/CHRISTUS_Saint_Vincent_Physicians_Medical_Center_/Santa_Fe/New_Mexico/" xr:uid="{52CE07EE-81C8-8E40-AB51-EAD537ECF8A8}"/>
    <hyperlink ref="A8" r:id="rId7" display="https://www.ahd.com/free_profile/320002/CHRISTUS_Saint_Vincent_Regional_Medical_Center/Santa_Fe/New_Mexico/" xr:uid="{76C3A7C3-8086-F346-AAA1-48F4F2BCD4B1}"/>
    <hyperlink ref="A9" r:id="rId8" display="https://www.ahd.com/free_profile/320062/Crownpoint_Health_Care_Facility/Crownpoint/New_Mexico/" xr:uid="{ACC6665F-77E7-1A4D-BC11-6A94D43A8A09}"/>
    <hyperlink ref="A10" r:id="rId9" display="https://www.ahd.com/free_profile/320006/Eastern_New_Mexico_Medical_Center/Roswell/New_Mexico/" xr:uid="{88871CEA-0089-0443-8B31-024FC35DD4DE}"/>
    <hyperlink ref="A11" r:id="rId10" display="https://www.ahd.com/free_profile/320061/Gallup_Indian_Medical_Center/Gallup/New_Mexico/" xr:uid="{80008C3E-D6A6-FA4F-9F93-80DF6E17ADA1}"/>
    <hyperlink ref="A12" r:id="rId11" display="https://www.ahd.com/free_profile/320004/Gerald_Champion_Regional_Medical_Center/Alamogordo/New_Mexico/" xr:uid="{55385FF1-0A1C-754C-8042-30686EA451B8}"/>
    <hyperlink ref="A13" r:id="rId12" display="https://www.ahd.com/free_profile/320016/Gila_Regional_Medical_Center/Silver_City/New_Mexico/" xr:uid="{448AD8DD-553C-AF45-8523-0A9BBDB949EF}"/>
    <hyperlink ref="A14" r:id="rId13" display="https://www.ahd.com/free_profile/320067/Guadalupe_County_Hospital/Santa_Rosa/New_Mexico/" xr:uid="{78ADD37A-8825-F244-BEFD-28FB40C9932D}"/>
    <hyperlink ref="A15" r:id="rId14" display="https://www.ahd.com/free_profile/320065/Lea_Regional_Medical_Center/Hobbs/New_Mexico/" xr:uid="{00A9232C-B8EA-E84E-9893-38B3B0DBBC24}"/>
    <hyperlink ref="A16" r:id="rId15" display="https://www.ahd.com/free_profile/320033/Los_Alamos_Medical_Center/Los_Alamos/New_Mexico/" xr:uid="{B294264E-E51D-7A4D-8BD4-B879CAC6BE95}"/>
    <hyperlink ref="A17" r:id="rId16" display="https://www.ahd.com/free_profile/320009/Lovelace_Medical_Center/Albuquerque/New_Mexico/" xr:uid="{E139A7D3-F82E-FA4E-805B-5AA9316D4A87}"/>
    <hyperlink ref="A18" r:id="rId17" display="https://www.ahd.com/free_profile/320086/Lovelace_Regional_Hospital_-_Roswell/Roswell/New_Mexico/" xr:uid="{0BA780C5-D8E0-334E-A0EB-64D03B1AB5FE}"/>
    <hyperlink ref="A19" r:id="rId18" display="https://www.ahd.com/free_profile/320074/Lovelace_Westside_Hospital/Albuquerque/New_Mexico/" xr:uid="{D17EA0C8-74B0-0648-BDC3-96663F6F2CD6}"/>
    <hyperlink ref="A20" r:id="rId19" display="https://www.ahd.com/free_profile/320017/Lovelace_Women%27s_Hospital/Albuquerque/New_Mexico/" xr:uid="{755D1AA5-B31D-A549-AC01-07EA7ED8D88A}"/>
    <hyperlink ref="A21" r:id="rId20" display="https://www.ahd.com/free_profile/320018/Memorial_Medical_Center/Las_Cruces/New_Mexico/" xr:uid="{3996CDE1-9A73-444A-9D49-74E6F6825612}"/>
    <hyperlink ref="A22" r:id="rId21" display="https://www.ahd.com/free_profile/320058/Mescalero_Hospital/Mescalero/New_Mexico/" xr:uid="{10A817C6-71D6-7B4C-93DE-672257BB564F}"/>
    <hyperlink ref="A23" r:id="rId22" display="https://www.ahd.com/free_profile/320085/MountainView_Regional_Medical_Center/Las_Cruces/New_Mexico/" xr:uid="{96BF25DA-3F05-8E4E-9A5A-E0AB9A3A4B3F}"/>
    <hyperlink ref="A24" r:id="rId23" display="https://www.ahd.com/free_profile/320022/Plains_Regional_Medical_Center/Clovis/New_Mexico/" xr:uid="{5DE88B59-7AA2-2543-AF9D-B5C415EF0E8A}"/>
    <hyperlink ref="A25" r:id="rId24" display="https://www.ahd.com/free_profile/320011/Presbyterian_Espanola_Hospital/Espanola/New_Mexico/" xr:uid="{50D21452-8CC6-484A-8CA4-7A99E6A1B750}"/>
    <hyperlink ref="A26" r:id="rId25" display="https://www.ahd.com/free_profile/320021/Presbyterian_Hospital/Albuquerque/New_Mexico/" xr:uid="{52FB6B42-6205-5E41-8C90-5B2206BFD188}"/>
    <hyperlink ref="A27" r:id="rId26" display="https://www.ahd.com/free_profile/320079/Presbyterian_Kaseman_Hospital/Albuquerque/New_Mexico/" xr:uid="{EC212D0B-4187-5545-9181-29CAEDA03A64}"/>
    <hyperlink ref="A28" r:id="rId27" display="https://www.ahd.com/free_profile/I41850/Presbyterian_Rust_Medical_Center/Rio_Rancho/New_Mexico/" xr:uid="{DCEA361F-0824-C049-AB56-97BB19437DF7}"/>
    <hyperlink ref="A29" r:id="rId28" display="https://www.ahd.com/free_profile/320090/Presbyterian_Santa_Fe_Medical_Center/Santa_Fe/New_Mexico/" xr:uid="{BC9F1ACF-E5B7-8848-AFF6-51EB8FC9F297}"/>
    <hyperlink ref="A30" r:id="rId29" display="https://www.ahd.com/free_profile/I07856/Raymond_G_Murphy_VA_Medical_Center/Albuquerque/New_Mexico/" xr:uid="{CE639DB7-376E-8E4A-99C1-BCA1303AC06B}"/>
    <hyperlink ref="A31" r:id="rId30" display="https://www.ahd.com/free_profile/320038/Rehoboth_McKinley_Christian_Health_Care_Services_Hospital/Gallup/New_Mexico/" xr:uid="{1F48047D-876C-D04C-975C-DAC02A82C69D}"/>
    <hyperlink ref="A32" r:id="rId31" display="https://www.ahd.com/free_profile/320084/Roosevelt_General_Hospital/Portales/New_Mexico/" xr:uid="{AA45CDF3-608D-814C-A9D7-5884C4E7C54F}"/>
    <hyperlink ref="A33" r:id="rId32" display="https://www.ahd.com/free_profile/320005/San_Juan_Regional_Medical_Center/Farmington/New_Mexico/" xr:uid="{8F161FCC-AFA7-1C4C-8A3D-901507BE1D8A}"/>
    <hyperlink ref="A34" r:id="rId33" display="https://www.ahd.com/free_profile/320083/The_Heart_Hospital_of_New_Mexico_at_Lovelace_Medical_Center/Albuquerque/New_Mexico/" xr:uid="{4B9B5511-3405-054F-8AA1-34FF9141F4CD}"/>
    <hyperlink ref="A35" r:id="rId34" display="https://www.ahd.com/free_profile/320059/The_Northern_Navajo_Medical_Center_/Shiprock/New_Mexico/" xr:uid="{1F4C534E-60EB-5E4B-97A3-0AA8BA3BD9A9}"/>
    <hyperlink ref="A36" r:id="rId35" display="https://www.ahd.com/free_profile/320001/UNM_Hospital_/Albuquerque/New_Mexico/" xr:uid="{BB61A04D-2E85-E341-ACA0-0302097359AB}"/>
    <hyperlink ref="A37" r:id="rId36" display="https://www.ahd.com/free_profile/320089/UNM_Sandoval_Regional_Medical_Center/Rio_Rancho/New_Mexico/" xr:uid="{00E6A92E-BBDE-8A4B-9C9A-C32BD799D64B}"/>
    <hyperlink ref="A38" r:id="rId37" display="https://www.ahd.com/free_profile/320060/Zuni_Hospital/Zuni/New_Mexico/" xr:uid="{B9CE0B90-CE16-9E4C-B091-1197F0EB3EBF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3B1B6-A0B3-944C-8E40-CABE4BBB643B}">
  <sheetPr codeName="Sheet35"/>
  <dimension ref="A1:G33"/>
  <sheetViews>
    <sheetView workbookViewId="0">
      <selection activeCell="G2" sqref="G2:G32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3663</v>
      </c>
      <c r="B2" s="2" t="s">
        <v>2881</v>
      </c>
      <c r="C2" s="2">
        <v>211</v>
      </c>
      <c r="D2" s="3">
        <v>10795</v>
      </c>
      <c r="E2" s="3">
        <v>46814</v>
      </c>
      <c r="F2" s="4">
        <v>1059467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 city",CHOOSE({1,2}, Super_CBSA!$E$2:$E$1917, Super_CBSA!$A$2:$A$1917), 2,FALSE), ""))</f>
        <v>16180</v>
      </c>
    </row>
    <row r="3" spans="1:7" ht="17">
      <c r="A3" s="1" t="s">
        <v>3664</v>
      </c>
      <c r="B3" s="2" t="s">
        <v>2881</v>
      </c>
      <c r="C3" s="2">
        <v>15</v>
      </c>
      <c r="D3" s="2">
        <v>746</v>
      </c>
      <c r="E3" s="3">
        <v>1772</v>
      </c>
      <c r="F3" s="4">
        <v>104781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 city",CHOOSE({1,2}, Super_CBSA!$E$2:$E$1917, Super_CBSA!$A$2:$A$1917), 2,FALSE), ""))</f>
        <v>16180</v>
      </c>
    </row>
    <row r="4" spans="1:7" ht="17">
      <c r="A4" s="1" t="s">
        <v>3665</v>
      </c>
      <c r="B4" s="2" t="s">
        <v>3613</v>
      </c>
      <c r="C4" s="2">
        <v>248</v>
      </c>
      <c r="D4" s="3">
        <v>15560</v>
      </c>
      <c r="E4" s="3">
        <v>69168</v>
      </c>
      <c r="F4" s="4">
        <v>2341932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 city",CHOOSE({1,2}, Super_CBSA!$E$2:$E$1917, Super_CBSA!$A$2:$A$1917), 2,FALSE), ""))</f>
        <v>29820</v>
      </c>
    </row>
    <row r="5" spans="1:7" ht="17">
      <c r="A5" s="1" t="s">
        <v>3666</v>
      </c>
      <c r="B5" s="2" t="s">
        <v>3613</v>
      </c>
      <c r="C5" s="2">
        <v>0</v>
      </c>
      <c r="D5" s="2">
        <v>0</v>
      </c>
      <c r="E5" s="2">
        <v>0</v>
      </c>
      <c r="F5" s="4">
        <v>0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 city",CHOOSE({1,2}, Super_CBSA!$E$2:$E$1917, Super_CBSA!$A$2:$A$1917), 2,FALSE), ""))</f>
        <v>29820</v>
      </c>
    </row>
    <row r="6" spans="1:7" ht="17">
      <c r="A6" s="1" t="s">
        <v>3667</v>
      </c>
      <c r="B6" s="2" t="s">
        <v>3613</v>
      </c>
      <c r="C6" s="2">
        <v>293</v>
      </c>
      <c r="D6" s="3">
        <v>12675</v>
      </c>
      <c r="E6" s="3">
        <v>58563</v>
      </c>
      <c r="F6" s="4">
        <v>2184270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 city",CHOOSE({1,2}, Super_CBSA!$E$2:$E$1917, Super_CBSA!$A$2:$A$1917), 2,FALSE), ""))</f>
        <v>29820</v>
      </c>
    </row>
    <row r="7" spans="1:7" ht="17">
      <c r="A7" s="1" t="s">
        <v>3668</v>
      </c>
      <c r="B7" s="2" t="s">
        <v>3613</v>
      </c>
      <c r="C7" s="2">
        <v>0</v>
      </c>
      <c r="D7" s="2">
        <v>0</v>
      </c>
      <c r="E7" s="2">
        <v>0</v>
      </c>
      <c r="F7" s="4">
        <v>0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 city",CHOOSE({1,2}, Super_CBSA!$E$2:$E$1917, Super_CBSA!$A$2:$A$1917), 2,FALSE), ""))</f>
        <v>29820</v>
      </c>
    </row>
    <row r="8" spans="1:7" ht="17">
      <c r="A8" s="1" t="s">
        <v>3669</v>
      </c>
      <c r="B8" s="2" t="s">
        <v>2307</v>
      </c>
      <c r="C8" s="2">
        <v>110</v>
      </c>
      <c r="D8" s="3">
        <v>1022</v>
      </c>
      <c r="E8" s="3">
        <v>3781</v>
      </c>
      <c r="F8" s="4">
        <v>324091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 city",CHOOSE({1,2}, Super_CBSA!$E$2:$E$1917, Super_CBSA!$A$2:$A$1917), 2,FALSE), ""))</f>
        <v>29820</v>
      </c>
    </row>
    <row r="9" spans="1:7" ht="17">
      <c r="A9" s="1" t="s">
        <v>3670</v>
      </c>
      <c r="B9" s="2" t="s">
        <v>2307</v>
      </c>
      <c r="C9" s="2">
        <v>326</v>
      </c>
      <c r="D9" s="3">
        <v>19564</v>
      </c>
      <c r="E9" s="3">
        <v>97776</v>
      </c>
      <c r="F9" s="4">
        <v>3362593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 city",CHOOSE({1,2}, Super_CBSA!$E$2:$E$1917, Super_CBSA!$A$2:$A$1917), 2,FALSE), ""))</f>
        <v>29820</v>
      </c>
    </row>
    <row r="10" spans="1:7" ht="17">
      <c r="A10" s="1" t="s">
        <v>3671</v>
      </c>
      <c r="B10" s="2" t="s">
        <v>3672</v>
      </c>
      <c r="C10" s="2">
        <v>32</v>
      </c>
      <c r="D10" s="2">
        <v>682</v>
      </c>
      <c r="E10" s="3">
        <v>1399</v>
      </c>
      <c r="F10" s="4">
        <v>368241</v>
      </c>
      <c r="G10" s="11" t="str" cm="1">
        <f t="array" aca="1" ref="G10" ca="1">IFERROR(VLOOKUP("*" &amp; B10  &amp; "*" &amp; (MID(CELL("filename",A9),FIND("]",CELL("filename",A9))+1,31)) &amp; "*",CHOOSE({1,2}, Super_CBSA!$B$2:$B$1917, Super_CBSA!$A$2:$A$1917), 2,FALSE), IFERROR(VLOOKUP(B10  &amp; " city",CHOOSE({1,2}, Super_CBSA!$E$2:$E$1917, Super_CBSA!$A$2:$A$1917), 2,FALSE), ""))</f>
        <v/>
      </c>
    </row>
    <row r="11" spans="1:7" ht="17">
      <c r="A11" s="1" t="s">
        <v>3673</v>
      </c>
      <c r="B11" s="2" t="s">
        <v>3613</v>
      </c>
      <c r="C11" s="2">
        <v>0</v>
      </c>
      <c r="D11" s="2">
        <v>0</v>
      </c>
      <c r="E11" s="2">
        <v>0</v>
      </c>
      <c r="F11" s="4">
        <v>0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 city",CHOOSE({1,2}, Super_CBSA!$E$2:$E$1917, Super_CBSA!$A$2:$A$1917), 2,FALSE), ""))</f>
        <v>29820</v>
      </c>
    </row>
    <row r="12" spans="1:7" ht="17">
      <c r="A12" s="1" t="s">
        <v>3674</v>
      </c>
      <c r="B12" s="2" t="s">
        <v>3613</v>
      </c>
      <c r="C12" s="2">
        <v>0</v>
      </c>
      <c r="D12" s="2">
        <v>0</v>
      </c>
      <c r="E12" s="2">
        <v>0</v>
      </c>
      <c r="F12" s="4">
        <v>0</v>
      </c>
      <c r="G12" s="11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 city",CHOOSE({1,2}, Super_CBSA!$E$2:$E$1917, Super_CBSA!$A$2:$A$1917), 2,FALSE), ""))</f>
        <v>29820</v>
      </c>
    </row>
    <row r="13" spans="1:7" ht="17">
      <c r="A13" s="1" t="s">
        <v>3675</v>
      </c>
      <c r="B13" s="2" t="s">
        <v>3613</v>
      </c>
      <c r="C13" s="2">
        <v>136</v>
      </c>
      <c r="D13" s="3">
        <v>7543</v>
      </c>
      <c r="E13" s="3">
        <v>33170</v>
      </c>
      <c r="F13" s="4">
        <v>1254650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 city",CHOOSE({1,2}, Super_CBSA!$E$2:$E$1917, Super_CBSA!$A$2:$A$1917), 2,FALSE), ""))</f>
        <v>29820</v>
      </c>
    </row>
    <row r="14" spans="1:7" ht="17">
      <c r="A14" s="1" t="s">
        <v>3676</v>
      </c>
      <c r="B14" s="2" t="s">
        <v>2307</v>
      </c>
      <c r="C14" s="2">
        <v>140</v>
      </c>
      <c r="D14" s="3">
        <v>10545</v>
      </c>
      <c r="E14" s="3">
        <v>35470</v>
      </c>
      <c r="F14" s="4">
        <v>1571748</v>
      </c>
      <c r="G14" s="11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 city",CHOOSE({1,2}, Super_CBSA!$E$2:$E$1917, Super_CBSA!$A$2:$A$1917), 2,FALSE), ""))</f>
        <v>29820</v>
      </c>
    </row>
    <row r="15" spans="1:7" ht="17">
      <c r="A15" s="1" t="s">
        <v>3677</v>
      </c>
      <c r="B15" s="2" t="s">
        <v>3678</v>
      </c>
      <c r="C15" s="2">
        <v>0</v>
      </c>
      <c r="D15" s="2">
        <v>0</v>
      </c>
      <c r="E15" s="2">
        <v>0</v>
      </c>
      <c r="F15" s="4">
        <v>0</v>
      </c>
      <c r="G15" s="11" t="str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 city",CHOOSE({1,2}, Super_CBSA!$E$2:$E$1917, Super_CBSA!$A$2:$A$1917), 2,FALSE), ""))</f>
        <v/>
      </c>
    </row>
    <row r="16" spans="1:7" ht="17">
      <c r="A16" s="1" t="s">
        <v>3679</v>
      </c>
      <c r="B16" s="2" t="s">
        <v>3613</v>
      </c>
      <c r="C16" s="2">
        <v>384</v>
      </c>
      <c r="D16" s="3">
        <v>21837</v>
      </c>
      <c r="E16" s="3">
        <v>102822</v>
      </c>
      <c r="F16" s="4">
        <v>3873767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 city",CHOOSE({1,2}, Super_CBSA!$E$2:$E$1917, Super_CBSA!$A$2:$A$1917), 2,FALSE), ""))</f>
        <v>29820</v>
      </c>
    </row>
    <row r="17" spans="1:7" ht="17">
      <c r="A17" s="1" t="s">
        <v>3680</v>
      </c>
      <c r="B17" s="2" t="s">
        <v>3672</v>
      </c>
      <c r="C17" s="2">
        <v>177</v>
      </c>
      <c r="D17" s="3">
        <v>8357</v>
      </c>
      <c r="E17" s="3">
        <v>37059</v>
      </c>
      <c r="F17" s="4">
        <v>801421</v>
      </c>
      <c r="G17" s="11" t="str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 city",CHOOSE({1,2}, Super_CBSA!$E$2:$E$1917, Super_CBSA!$A$2:$A$1917), 2,FALSE), ""))</f>
        <v/>
      </c>
    </row>
    <row r="18" spans="1:7" ht="17">
      <c r="A18" s="1" t="s">
        <v>3681</v>
      </c>
      <c r="B18" s="2" t="s">
        <v>3682</v>
      </c>
      <c r="C18" s="2">
        <v>59</v>
      </c>
      <c r="D18" s="3">
        <v>1958</v>
      </c>
      <c r="E18" s="3">
        <v>5159</v>
      </c>
      <c r="F18" s="4">
        <v>214261</v>
      </c>
      <c r="G18" s="11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 city",CHOOSE({1,2}, Super_CBSA!$E$2:$E$1917, Super_CBSA!$A$2:$A$1917), 2,FALSE), ""))</f>
        <v>21220</v>
      </c>
    </row>
    <row r="19" spans="1:7" ht="17">
      <c r="A19" s="1" t="s">
        <v>3683</v>
      </c>
      <c r="B19" s="2" t="s">
        <v>3684</v>
      </c>
      <c r="C19" s="2">
        <v>108</v>
      </c>
      <c r="D19" s="3">
        <v>4042</v>
      </c>
      <c r="E19" s="3">
        <v>13241</v>
      </c>
      <c r="F19" s="4">
        <v>829810</v>
      </c>
      <c r="G19" s="11" t="str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 city",CHOOSE({1,2}, Super_CBSA!$E$2:$E$1917, Super_CBSA!$A$2:$A$1917), 2,FALSE), ""))</f>
        <v/>
      </c>
    </row>
    <row r="20" spans="1:7" ht="17">
      <c r="A20" s="1" t="s">
        <v>3685</v>
      </c>
      <c r="B20" s="2" t="s">
        <v>3613</v>
      </c>
      <c r="C20" s="2">
        <v>130</v>
      </c>
      <c r="D20" s="3">
        <v>3375</v>
      </c>
      <c r="E20" s="3">
        <v>20734</v>
      </c>
      <c r="F20" s="4">
        <v>132967</v>
      </c>
      <c r="G20" s="11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 city",CHOOSE({1,2}, Super_CBSA!$E$2:$E$1917, Super_CBSA!$A$2:$A$1917), 2,FALSE), ""))</f>
        <v>29820</v>
      </c>
    </row>
    <row r="21" spans="1:7" ht="17">
      <c r="A21" s="1" t="s">
        <v>3686</v>
      </c>
      <c r="B21" s="2" t="s">
        <v>3687</v>
      </c>
      <c r="C21" s="2">
        <v>637</v>
      </c>
      <c r="D21" s="3">
        <v>32725</v>
      </c>
      <c r="E21" s="3">
        <v>187103</v>
      </c>
      <c r="F21" s="4">
        <v>3640874</v>
      </c>
      <c r="G21" s="11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 city",CHOOSE({1,2}, Super_CBSA!$E$2:$E$1917, Super_CBSA!$A$2:$A$1917), 2,FALSE), ""))</f>
        <v>39900</v>
      </c>
    </row>
    <row r="22" spans="1:7" ht="17">
      <c r="A22" s="1" t="s">
        <v>3688</v>
      </c>
      <c r="B22" s="2" t="s">
        <v>3687</v>
      </c>
      <c r="C22" s="2">
        <v>138</v>
      </c>
      <c r="D22" s="3">
        <v>4080</v>
      </c>
      <c r="E22" s="3">
        <v>13403</v>
      </c>
      <c r="F22" s="4">
        <v>577715</v>
      </c>
      <c r="G22" s="11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 city",CHOOSE({1,2}, Super_CBSA!$E$2:$E$1917, Super_CBSA!$A$2:$A$1917), 2,FALSE), ""))</f>
        <v>39900</v>
      </c>
    </row>
    <row r="23" spans="1:7" ht="17">
      <c r="A23" s="1" t="s">
        <v>2726</v>
      </c>
      <c r="B23" s="2" t="s">
        <v>3687</v>
      </c>
      <c r="C23" s="2">
        <v>252</v>
      </c>
      <c r="D23" s="3">
        <v>13342</v>
      </c>
      <c r="E23" s="3">
        <v>60403</v>
      </c>
      <c r="F23" s="4">
        <v>1127999</v>
      </c>
      <c r="G23" s="11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 city",CHOOSE({1,2}, Super_CBSA!$E$2:$E$1917, Super_CBSA!$A$2:$A$1917), 2,FALSE), ""))</f>
        <v>39900</v>
      </c>
    </row>
    <row r="24" spans="1:7" ht="17">
      <c r="A24" s="1" t="s">
        <v>3689</v>
      </c>
      <c r="B24" s="2" t="s">
        <v>3613</v>
      </c>
      <c r="C24" s="2">
        <v>186</v>
      </c>
      <c r="D24" s="3">
        <v>9899</v>
      </c>
      <c r="E24" s="3">
        <v>39940</v>
      </c>
      <c r="F24" s="4">
        <v>1544931</v>
      </c>
      <c r="G24" s="11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 city",CHOOSE({1,2}, Super_CBSA!$E$2:$E$1917, Super_CBSA!$A$2:$A$1917), 2,FALSE), ""))</f>
        <v>29820</v>
      </c>
    </row>
    <row r="25" spans="1:7" ht="17">
      <c r="A25" s="1" t="s">
        <v>3690</v>
      </c>
      <c r="B25" s="2" t="s">
        <v>3613</v>
      </c>
      <c r="C25" s="2">
        <v>359</v>
      </c>
      <c r="D25" s="3">
        <v>17218</v>
      </c>
      <c r="E25" s="3">
        <v>81066</v>
      </c>
      <c r="F25" s="4">
        <v>2900694</v>
      </c>
      <c r="G25" s="11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 city",CHOOSE({1,2}, Super_CBSA!$E$2:$E$1917, Super_CBSA!$A$2:$A$1917), 2,FALSE), ""))</f>
        <v>29820</v>
      </c>
    </row>
    <row r="26" spans="1:7" ht="17">
      <c r="A26" s="1" t="s">
        <v>3691</v>
      </c>
      <c r="B26" s="2" t="s">
        <v>3613</v>
      </c>
      <c r="C26" s="2">
        <v>401</v>
      </c>
      <c r="D26" s="3">
        <v>22993</v>
      </c>
      <c r="E26" s="3">
        <v>111894</v>
      </c>
      <c r="F26" s="4">
        <v>3724161</v>
      </c>
      <c r="G26" s="11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 city",CHOOSE({1,2}, Super_CBSA!$E$2:$E$1917, Super_CBSA!$A$2:$A$1917), 2,FALSE), ""))</f>
        <v>29820</v>
      </c>
    </row>
    <row r="27" spans="1:7" ht="17">
      <c r="A27" s="1" t="s">
        <v>3692</v>
      </c>
      <c r="B27" s="2" t="s">
        <v>3613</v>
      </c>
      <c r="C27" s="2">
        <v>0</v>
      </c>
      <c r="D27" s="2">
        <v>0</v>
      </c>
      <c r="E27" s="2">
        <v>0</v>
      </c>
      <c r="F27" s="4">
        <v>0</v>
      </c>
      <c r="G27" s="11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 city",CHOOSE({1,2}, Super_CBSA!$E$2:$E$1917, Super_CBSA!$A$2:$A$1917), 2,FALSE), ""))</f>
        <v>29820</v>
      </c>
    </row>
    <row r="28" spans="1:7" ht="17">
      <c r="A28" s="1" t="s">
        <v>3693</v>
      </c>
      <c r="B28" s="2" t="s">
        <v>3613</v>
      </c>
      <c r="C28" s="2">
        <v>596</v>
      </c>
      <c r="D28" s="3">
        <v>28518</v>
      </c>
      <c r="E28" s="3">
        <v>179113</v>
      </c>
      <c r="F28" s="4">
        <v>6436417</v>
      </c>
      <c r="G28" s="11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 city",CHOOSE({1,2}, Super_CBSA!$E$2:$E$1917, Super_CBSA!$A$2:$A$1917), 2,FALSE), ""))</f>
        <v>29820</v>
      </c>
    </row>
    <row r="29" spans="1:7" ht="17">
      <c r="A29" s="1" t="s">
        <v>3694</v>
      </c>
      <c r="B29" s="2" t="s">
        <v>3613</v>
      </c>
      <c r="C29" s="2">
        <v>498</v>
      </c>
      <c r="D29" s="3">
        <v>25789</v>
      </c>
      <c r="E29" s="3">
        <v>128837</v>
      </c>
      <c r="F29" s="4">
        <v>3413693</v>
      </c>
      <c r="G29" s="11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 city",CHOOSE({1,2}, Super_CBSA!$E$2:$E$1917, Super_CBSA!$A$2:$A$1917), 2,FALSE), ""))</f>
        <v>29820</v>
      </c>
    </row>
    <row r="30" spans="1:7" ht="17">
      <c r="A30" s="1" t="s">
        <v>3695</v>
      </c>
      <c r="B30" s="2" t="s">
        <v>3687</v>
      </c>
      <c r="C30" s="2">
        <v>0</v>
      </c>
      <c r="D30" s="2">
        <v>0</v>
      </c>
      <c r="E30" s="2">
        <v>0</v>
      </c>
      <c r="F30" s="4">
        <v>0</v>
      </c>
      <c r="G30" s="11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 city",CHOOSE({1,2}, Super_CBSA!$E$2:$E$1917, Super_CBSA!$A$2:$A$1917), 2,FALSE), ""))</f>
        <v>39900</v>
      </c>
    </row>
    <row r="31" spans="1:7" ht="17">
      <c r="A31" s="1" t="s">
        <v>3696</v>
      </c>
      <c r="B31" s="2" t="s">
        <v>3613</v>
      </c>
      <c r="C31" s="2">
        <v>0</v>
      </c>
      <c r="D31" s="2">
        <v>0</v>
      </c>
      <c r="E31" s="2">
        <v>0</v>
      </c>
      <c r="F31" s="4">
        <v>0</v>
      </c>
      <c r="G31" s="11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 city",CHOOSE({1,2}, Super_CBSA!$E$2:$E$1917, Super_CBSA!$A$2:$A$1917), 2,FALSE), ""))</f>
        <v>29820</v>
      </c>
    </row>
    <row r="32" spans="1:7" ht="17">
      <c r="A32" s="1" t="s">
        <v>3697</v>
      </c>
      <c r="B32" s="2" t="s">
        <v>3613</v>
      </c>
      <c r="C32" s="2">
        <v>290</v>
      </c>
      <c r="D32" s="3">
        <v>14923</v>
      </c>
      <c r="E32" s="3">
        <v>85614</v>
      </c>
      <c r="F32" s="4">
        <v>2604304</v>
      </c>
      <c r="G32" s="11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 city",CHOOSE({1,2}, Super_CBSA!$E$2:$E$1917, Super_CBSA!$A$2:$A$1917), 2,FALSE), ""))</f>
        <v>29820</v>
      </c>
    </row>
    <row r="33" spans="1:6" ht="17">
      <c r="A33" s="2" t="s">
        <v>56</v>
      </c>
      <c r="B33" s="2"/>
      <c r="C33" s="3">
        <v>5726</v>
      </c>
      <c r="D33" s="3">
        <v>288188</v>
      </c>
      <c r="E33" s="3">
        <v>1414301</v>
      </c>
      <c r="F33" s="4">
        <v>44394789</v>
      </c>
    </row>
  </sheetData>
  <hyperlinks>
    <hyperlink ref="A2" r:id="rId1" display="https://www.ahd.com/free_profile/290019/Carson_Tahoe_Regional_Medical_Center/Carson_City/Nevada/" xr:uid="{26B1FF34-F000-D048-A512-D60FB68E85F9}"/>
    <hyperlink ref="A3" r:id="rId2" display="https://www.ahd.com/free_profile/290051/Carson_Tahoe_Sierra_Surgery_Hospital/Carson_City/Nevada/" xr:uid="{B486BFEB-7E42-1747-96F3-885FDF615068}"/>
    <hyperlink ref="A4" r:id="rId3" display="https://www.ahd.com/free_profile/290054/Centennial_Hills_Hospital_Medical_Center/Las_Vegas/Nevada/" xr:uid="{E59585AB-09AF-6D48-BDF0-1A621FEDF233}"/>
    <hyperlink ref="A5" r:id="rId4" display="https://www.ahd.com/free_profile/I42269/Children%27s_Hospital_of_Nevada/Las_Vegas_/Nevada/" xr:uid="{744858EE-AA86-8841-A74D-CDB8A215E862}"/>
    <hyperlink ref="A6" r:id="rId5" display="https://www.ahd.com/free_profile/290022/Desert_Springs_Hospital_Medical_Center/Las_Vegas/Nevada/" xr:uid="{DC778E84-E58B-694D-9396-F473B00B5076}"/>
    <hyperlink ref="A7" r:id="rId6" display="https://www.ahd.com/free_profile/I42232/Dignity_Health_-_Saint_Rose_Dominican_Sahara_Campus/Las_Vegas/Nevada/" xr:uid="{67F22505-9897-1346-A38D-9E52E02D53EE}"/>
    <hyperlink ref="A8" r:id="rId7" display="https://www.ahd.com/free_profile/290012/Dignity_Health_-_St_Rose_Dominican__Rose_de_Lima_Campus/Henderson/Nevada/" xr:uid="{C3D35627-8619-5441-BA97-956DBA595DAF}"/>
    <hyperlink ref="A9" r:id="rId8" display="https://www.ahd.com/free_profile/290045/Dignity_Health_-_St_Rose_Dominican_Siena_Campus/Henderson/Nevada/" xr:uid="{D67A6131-6E9E-BB4A-86E7-5D8DB6EB72D7}"/>
    <hyperlink ref="A10" r:id="rId9" display="https://www.ahd.com/free_profile/290058/Dignity_Health_Saint_Rose_Dominican_North_Las_Vegas_Campus/North_Las_Vegas/Nevada/" xr:uid="{3CC732C3-10E3-0645-831E-1657B4AF6EFD}"/>
    <hyperlink ref="A11" r:id="rId10" display="https://www.ahd.com/free_profile/I42233/Dignity_Health_St_Rose_Dominican%27s_Blue_Diamond_Campus/Las_Vegas/Nevada/" xr:uid="{80956A30-6932-A545-9F5C-34D56A21A745}"/>
    <hyperlink ref="A12" r:id="rId11" display="https://www.ahd.com/free_profile/I42234/Dignity_Health-Saint_Rose_Dominican%2C_West_Flamingo_Campus/Las_Vegas/Nevada/" xr:uid="{694EFA20-F2E7-BC40-A308-589A985A24E9}"/>
    <hyperlink ref="A13" r:id="rId12" display="https://www.ahd.com/free_profile/290053/Dignity_Health-St_Rose_Dominican_San_Martin_Campus/Las_Vegas/Nevada/" xr:uid="{82F9347B-1789-6449-B966-4E820F8A576E}"/>
    <hyperlink ref="A14" r:id="rId13" display="https://www.ahd.com/free_profile/290057/Henderson_Hospital/Henderson/Nevada/" xr:uid="{E5C442F8-1F04-5846-84E3-B25C323FE703}"/>
    <hyperlink ref="A15" r:id="rId14" display="https://www.ahd.com/free_profile/29003F/Mike_O%27Callaghan_Military_Medical_Center/Nellis_Air_Force_Base/Nevada/" xr:uid="{CA580D70-0A0D-144A-B754-46E580C47704}"/>
    <hyperlink ref="A16" r:id="rId15" display="https://www.ahd.com/free_profile/290039/MountainView_Hospital/Las_Vegas/Nevada/" xr:uid="{A7CA7F45-A34A-5E48-BC9D-50DF86057DFF}"/>
    <hyperlink ref="A17" r:id="rId16" display="https://www.ahd.com/free_profile/290005/North_Vista_Hospital/North_Las_Vegas/Nevada/" xr:uid="{916F512F-3158-994A-94A1-0BB12D0A53B7}"/>
    <hyperlink ref="A18" r:id="rId17" display="https://www.ahd.com/free_profile/290008/Northeastern_Nevada_Regional_Hospital/Elko/Nevada/" xr:uid="{74AD997A-02BA-6F45-884E-9FACF17640B2}"/>
    <hyperlink ref="A19" r:id="rId18" display="https://www.ahd.com/free_profile/290032/Northern_Nevada_Medical_Center/Sparks/Nevada/" xr:uid="{F176C1A5-217E-F94A-AA65-C3065F20234B}"/>
    <hyperlink ref="A20" r:id="rId19" display="https://www.ahd.com/free_profile/290056/Orthopedic_Specialty_Hospital_of_Nevada/Las_Vegas/Nevada/" xr:uid="{04D9398C-15A3-B64C-9101-09CD13DE0988}"/>
    <hyperlink ref="A21" r:id="rId20" display="https://www.ahd.com/free_profile/290001/Renown_Regional_Medical_Center/Reno/Nevada/" xr:uid="{C9560247-50DA-DB42-8176-8B7968A1CE02}"/>
    <hyperlink ref="A22" r:id="rId21" display="https://www.ahd.com/free_profile/290049/Renown_South_Meadows_Medical_Center/Reno/Nevada/" xr:uid="{C165C51C-5E70-7F4D-A51E-A840E60D8C7E}"/>
    <hyperlink ref="A23" r:id="rId22" display="https://www.ahd.com/free_profile/290009/Saint_Mary%27s_Regional_Medical_Center/Reno/Nevada/" xr:uid="{A8F3832A-C5E0-A146-9B34-97392C6F3E4D}"/>
    <hyperlink ref="A24" r:id="rId23" display="https://www.ahd.com/free_profile/290047/Southern_Hills_Hospital_%26_Medical_Center/Las_Vegas/Nevada/" xr:uid="{8891B35E-4CCF-CF4C-BD0F-E0FB578E75BF}"/>
    <hyperlink ref="A25" r:id="rId24" display="https://www.ahd.com/free_profile/290046/Spring_Valley_Hospital__Medical_Center/Las_Vegas/Nevada/" xr:uid="{7BE7CE9A-E04D-FF4F-B9C3-0EDF6B403F6E}"/>
    <hyperlink ref="A26" r:id="rId25" display="https://www.ahd.com/free_profile/290041/Summerlin_Hospital_Medical_Center/Las_Vegas/Nevada/" xr:uid="{226E741F-E538-8548-B927-31F3C00D32CE}"/>
    <hyperlink ref="A27" r:id="rId26" display="https://www.ahd.com/free_profile/I42358/Sunrise_Children%27s_Hospital/Las_Vegas/Nevada/" xr:uid="{35038BE8-EFDA-D84C-86D7-87182E868B3E}"/>
    <hyperlink ref="A28" r:id="rId27" display="https://www.ahd.com/free_profile/290003/Sunrise_Hospital_%26_Medical_Center/Las_Vegas/Nevada/" xr:uid="{D157A4D1-E61B-7A46-9A68-B21E9552821C}"/>
    <hyperlink ref="A29" r:id="rId28" display="https://www.ahd.com/free_profile/290007/University_Medical_Center/Las_Vegas/Nevada/" xr:uid="{321A9AA8-E0FF-0B48-9DF4-285AC94533BB}"/>
    <hyperlink ref="A30" r:id="rId29" display="https://www.ahd.com/free_profile/29002F/VA_Sierra_Nevada_Health_Care_System_/Reno/Nevada/" xr:uid="{7371FA5B-8875-8D44-A142-53F709AFC4B0}"/>
    <hyperlink ref="A31" r:id="rId30" display="https://www.ahd.com/free_profile/29004F/VA_Southern_Nevada_Healthcare_System/Las_Vegas/Nevada/" xr:uid="{4138F57D-583D-8B41-BC57-EF5B162AB032}"/>
    <hyperlink ref="A32" r:id="rId31" display="https://www.ahd.com/free_profile/290021/Valley_Hospital_Medical_Center/Las_Vegas/Nevada/" xr:uid="{D963D657-69CC-D24D-B26B-2657DAA80698}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6C8EC-16AF-B24B-90B3-0E83FB50C47F}">
  <sheetPr codeName="Sheet36"/>
  <dimension ref="A1:G188"/>
  <sheetViews>
    <sheetView workbookViewId="0">
      <selection activeCell="G2" sqref="G2:G187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3698</v>
      </c>
      <c r="B2" s="2" t="s">
        <v>3699</v>
      </c>
      <c r="C2" s="2">
        <v>235</v>
      </c>
      <c r="D2" s="3">
        <v>11756</v>
      </c>
      <c r="E2" s="3">
        <v>69960</v>
      </c>
      <c r="F2" s="4">
        <v>1419960</v>
      </c>
      <c r="G2" s="11" t="str" cm="1">
        <f t="array" aca="1" ref="G2" ca="1">IFERROR(VLOOKUP("*" &amp; B2  &amp; "*" &amp; (MID(CELL("filename",A1),FIND("]",CELL("filename",A1))+1,31)) &amp; "*",CHOOSE({1,2}, Super_CBSA!$B$2:$B$1917, Super_CBSA!$A$2:$A$1917), 2,FALSE), IFERROR(VLOOKUP(B2  &amp; " city",CHOOSE({1,2}, Super_CBSA!$E$2:$E$1917, Super_CBSA!$A$2:$A$1917), 2,FALSE), ""))</f>
        <v/>
      </c>
    </row>
    <row r="3" spans="1:7" ht="17">
      <c r="A3" s="1" t="s">
        <v>3700</v>
      </c>
      <c r="B3" s="2" t="s">
        <v>3701</v>
      </c>
      <c r="C3" s="2">
        <v>191</v>
      </c>
      <c r="D3" s="3">
        <v>2168</v>
      </c>
      <c r="E3" s="3">
        <v>8222</v>
      </c>
      <c r="F3" s="4">
        <v>174018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 city",CHOOSE({1,2}, Super_CBSA!$E$2:$E$1917, Super_CBSA!$A$2:$A$1917), 2,FALSE), ""))</f>
        <v>36580</v>
      </c>
    </row>
    <row r="4" spans="1:7" ht="17">
      <c r="A4" s="1" t="s">
        <v>3702</v>
      </c>
      <c r="B4" s="2" t="s">
        <v>3703</v>
      </c>
      <c r="C4" s="2">
        <v>155</v>
      </c>
      <c r="D4" s="3">
        <v>2001</v>
      </c>
      <c r="E4" s="3">
        <v>7868</v>
      </c>
      <c r="F4" s="4">
        <v>264858</v>
      </c>
      <c r="G4" s="11" t="str" cm="1">
        <f t="array" aca="1" ref="G4" ca="1">IFERROR(VLOOKUP("*" &amp; B4  &amp; "*" &amp; (MID(CELL("filename",A3),FIND("]",CELL("filename",A3))+1,31)) &amp; "*",CHOOSE({1,2}, Super_CBSA!$B$2:$B$1917, Super_CBSA!$A$2:$A$1917), 2,FALSE), IFERROR(VLOOKUP(B4  &amp; " city",CHOOSE({1,2}, Super_CBSA!$E$2:$E$1917, Super_CBSA!$A$2:$A$1917), 2,FALSE), ""))</f>
        <v/>
      </c>
    </row>
    <row r="5" spans="1:7" ht="17">
      <c r="A5" s="1" t="s">
        <v>3704</v>
      </c>
      <c r="B5" s="2" t="s">
        <v>1605</v>
      </c>
      <c r="C5" s="2">
        <v>793</v>
      </c>
      <c r="D5" s="3">
        <v>39130</v>
      </c>
      <c r="E5" s="3">
        <v>214165</v>
      </c>
      <c r="F5" s="4">
        <v>3152876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 city",CHOOSE({1,2}, Super_CBSA!$E$2:$E$1917, Super_CBSA!$A$2:$A$1917), 2,FALSE), ""))</f>
        <v>10580</v>
      </c>
    </row>
    <row r="6" spans="1:7" ht="17">
      <c r="A6" s="1" t="s">
        <v>3705</v>
      </c>
      <c r="B6" s="2" t="s">
        <v>1605</v>
      </c>
      <c r="C6" s="2">
        <v>0</v>
      </c>
      <c r="D6" s="2">
        <v>0</v>
      </c>
      <c r="E6" s="2">
        <v>0</v>
      </c>
      <c r="F6" s="4">
        <v>0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 city",CHOOSE({1,2}, Super_CBSA!$E$2:$E$1917, Super_CBSA!$A$2:$A$1917), 2,FALSE), ""))</f>
        <v>10580</v>
      </c>
    </row>
    <row r="7" spans="1:7" ht="17">
      <c r="A7" s="1" t="s">
        <v>3706</v>
      </c>
      <c r="B7" s="2" t="s">
        <v>3707</v>
      </c>
      <c r="C7" s="2">
        <v>178</v>
      </c>
      <c r="D7" s="3">
        <v>1655</v>
      </c>
      <c r="E7" s="3">
        <v>5760</v>
      </c>
      <c r="F7" s="4">
        <v>229430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 city",CHOOSE({1,2}, Super_CBSA!$E$2:$E$1917, Super_CBSA!$A$2:$A$1917), 2,FALSE), ""))</f>
        <v>31660</v>
      </c>
    </row>
    <row r="8" spans="1:7" ht="17">
      <c r="A8" s="1" t="s">
        <v>3708</v>
      </c>
      <c r="B8" s="2" t="s">
        <v>3709</v>
      </c>
      <c r="C8" s="2">
        <v>225</v>
      </c>
      <c r="D8" s="3">
        <v>10921</v>
      </c>
      <c r="E8" s="3">
        <v>46139</v>
      </c>
      <c r="F8" s="4">
        <v>718583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 city",CHOOSE({1,2}, Super_CBSA!$E$2:$E$1917, Super_CBSA!$A$2:$A$1917), 2,FALSE), ""))</f>
        <v>21300</v>
      </c>
    </row>
    <row r="9" spans="1:7" ht="17">
      <c r="A9" s="1" t="s">
        <v>3710</v>
      </c>
      <c r="B9" s="2" t="s">
        <v>919</v>
      </c>
      <c r="C9" s="2">
        <v>179</v>
      </c>
      <c r="D9" s="3">
        <v>4466</v>
      </c>
      <c r="E9" s="3">
        <v>17986</v>
      </c>
      <c r="F9" s="4">
        <v>269620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 city",CHOOSE({1,2}, Super_CBSA!$E$2:$E$1917, Super_CBSA!$A$2:$A$1917), 2,FALSE), ""))</f>
        <v>12180</v>
      </c>
    </row>
    <row r="10" spans="1:7" ht="17">
      <c r="A10" s="1" t="s">
        <v>3711</v>
      </c>
      <c r="B10" s="2" t="s">
        <v>3712</v>
      </c>
      <c r="C10" s="2">
        <v>180</v>
      </c>
      <c r="D10" s="3">
        <v>8910</v>
      </c>
      <c r="E10" s="3">
        <v>44246</v>
      </c>
      <c r="F10" s="4">
        <v>1134872</v>
      </c>
      <c r="G10" s="11" t="str" cm="1">
        <f t="array" aca="1" ref="G10" ca="1">IFERROR(VLOOKUP("*" &amp; B10  &amp; "*" &amp; (MID(CELL("filename",A9),FIND("]",CELL("filename",A9))+1,31)) &amp; "*",CHOOSE({1,2}, Super_CBSA!$B$2:$B$1917, Super_CBSA!$A$2:$A$1917), 2,FALSE), IFERROR(VLOOKUP(B10  &amp; " city",CHOOSE({1,2}, Super_CBSA!$E$2:$E$1917, Super_CBSA!$A$2:$A$1917), 2,FALSE), ""))</f>
        <v/>
      </c>
    </row>
    <row r="11" spans="1:7" ht="17">
      <c r="A11" s="1" t="s">
        <v>3713</v>
      </c>
      <c r="B11" s="2" t="s">
        <v>3714</v>
      </c>
      <c r="C11" s="2">
        <v>0</v>
      </c>
      <c r="D11" s="2">
        <v>0</v>
      </c>
      <c r="E11" s="2">
        <v>0</v>
      </c>
      <c r="F11" s="4">
        <v>0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 city",CHOOSE({1,2}, Super_CBSA!$E$2:$E$1917, Super_CBSA!$A$2:$A$1917), 2,FALSE), ""))</f>
        <v>12860</v>
      </c>
    </row>
    <row r="12" spans="1:7" ht="17">
      <c r="A12" s="1" t="s">
        <v>3715</v>
      </c>
      <c r="B12" s="2" t="s">
        <v>3716</v>
      </c>
      <c r="C12" s="2">
        <v>0</v>
      </c>
      <c r="D12" s="2">
        <v>0</v>
      </c>
      <c r="E12" s="2">
        <v>0</v>
      </c>
      <c r="F12" s="4">
        <v>0</v>
      </c>
      <c r="G12" s="11" t="str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 city",CHOOSE({1,2}, Super_CBSA!$E$2:$E$1917, Super_CBSA!$A$2:$A$1917), 2,FALSE), ""))</f>
        <v/>
      </c>
    </row>
    <row r="13" spans="1:7" ht="17">
      <c r="A13" s="1" t="s">
        <v>3717</v>
      </c>
      <c r="B13" s="2" t="s">
        <v>3718</v>
      </c>
      <c r="C13" s="2">
        <v>40</v>
      </c>
      <c r="D13" s="3">
        <v>2197</v>
      </c>
      <c r="E13" s="3">
        <v>11616</v>
      </c>
      <c r="F13" s="4">
        <v>49835</v>
      </c>
      <c r="G13" s="11" t="str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 city",CHOOSE({1,2}, Super_CBSA!$E$2:$E$1917, Super_CBSA!$A$2:$A$1917), 2,FALSE), ""))</f>
        <v/>
      </c>
    </row>
    <row r="14" spans="1:7" ht="17">
      <c r="A14" s="1" t="s">
        <v>3719</v>
      </c>
      <c r="B14" s="2" t="s">
        <v>3720</v>
      </c>
      <c r="C14" s="2">
        <v>103</v>
      </c>
      <c r="D14" s="2">
        <v>853</v>
      </c>
      <c r="E14" s="3">
        <v>3107</v>
      </c>
      <c r="F14" s="4">
        <v>45753</v>
      </c>
      <c r="G14" s="11" t="str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 city",CHOOSE({1,2}, Super_CBSA!$E$2:$E$1917, Super_CBSA!$A$2:$A$1917), 2,FALSE), ""))</f>
        <v/>
      </c>
    </row>
    <row r="15" spans="1:7" ht="17">
      <c r="A15" s="1" t="s">
        <v>3721</v>
      </c>
      <c r="B15" s="2" t="s">
        <v>3722</v>
      </c>
      <c r="C15" s="2">
        <v>168</v>
      </c>
      <c r="D15" s="3">
        <v>2868</v>
      </c>
      <c r="E15" s="3">
        <v>14014</v>
      </c>
      <c r="F15" s="4">
        <v>499171</v>
      </c>
      <c r="G15" s="11" t="str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 city",CHOOSE({1,2}, Super_CBSA!$E$2:$E$1917, Super_CBSA!$A$2:$A$1917), 2,FALSE), ""))</f>
        <v/>
      </c>
    </row>
    <row r="16" spans="1:7" ht="17">
      <c r="A16" s="1" t="s">
        <v>3723</v>
      </c>
      <c r="B16" s="2" t="s">
        <v>3724</v>
      </c>
      <c r="C16" s="2">
        <v>564</v>
      </c>
      <c r="D16" s="3">
        <v>27254</v>
      </c>
      <c r="E16" s="3">
        <v>131625</v>
      </c>
      <c r="F16" s="4">
        <v>968732</v>
      </c>
      <c r="G16" s="11" t="str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 city",CHOOSE({1,2}, Super_CBSA!$E$2:$E$1917, Super_CBSA!$A$2:$A$1917), 2,FALSE), ""))</f>
        <v/>
      </c>
    </row>
    <row r="17" spans="1:7" ht="17">
      <c r="A17" s="1" t="s">
        <v>3725</v>
      </c>
      <c r="B17" s="2" t="s">
        <v>3724</v>
      </c>
      <c r="C17" s="2">
        <v>0</v>
      </c>
      <c r="D17" s="2">
        <v>0</v>
      </c>
      <c r="E17" s="2">
        <v>0</v>
      </c>
      <c r="F17" s="4">
        <v>0</v>
      </c>
      <c r="G17" s="11" t="str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 city",CHOOSE({1,2}, Super_CBSA!$E$2:$E$1917, Super_CBSA!$A$2:$A$1917), 2,FALSE), ""))</f>
        <v/>
      </c>
    </row>
    <row r="18" spans="1:7" ht="17">
      <c r="A18" s="1" t="s">
        <v>3726</v>
      </c>
      <c r="B18" s="2" t="s">
        <v>3727</v>
      </c>
      <c r="C18" s="2">
        <v>65</v>
      </c>
      <c r="D18" s="3">
        <v>2180</v>
      </c>
      <c r="E18" s="3">
        <v>10201</v>
      </c>
      <c r="F18" s="4">
        <v>129291</v>
      </c>
      <c r="G18" s="11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 city",CHOOSE({1,2}, Super_CBSA!$E$2:$E$1917, Super_CBSA!$A$2:$A$1917), 2,FALSE), ""))</f>
        <v>27460</v>
      </c>
    </row>
    <row r="19" spans="1:7" ht="17">
      <c r="A19" s="1" t="s">
        <v>3728</v>
      </c>
      <c r="B19" s="2" t="s">
        <v>2911</v>
      </c>
      <c r="C19" s="3">
        <v>1068</v>
      </c>
      <c r="D19" s="3">
        <v>50926</v>
      </c>
      <c r="E19" s="3">
        <v>264758</v>
      </c>
      <c r="F19" s="4">
        <v>3326172</v>
      </c>
      <c r="G19" s="11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 city",CHOOSE({1,2}, Super_CBSA!$E$2:$E$1917, Super_CBSA!$A$2:$A$1917), 2,FALSE), ""))</f>
        <v>15380</v>
      </c>
    </row>
    <row r="20" spans="1:7" ht="17">
      <c r="A20" s="1" t="s">
        <v>3729</v>
      </c>
      <c r="B20" s="2" t="s">
        <v>2911</v>
      </c>
      <c r="C20" s="2">
        <v>0</v>
      </c>
      <c r="D20" s="2">
        <v>0</v>
      </c>
      <c r="E20" s="2">
        <v>0</v>
      </c>
      <c r="F20" s="4">
        <v>0</v>
      </c>
      <c r="G20" s="11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 city",CHOOSE({1,2}, Super_CBSA!$E$2:$E$1917, Super_CBSA!$A$2:$A$1917), 2,FALSE), ""))</f>
        <v>15380</v>
      </c>
    </row>
    <row r="21" spans="1:7" ht="17">
      <c r="A21" s="1" t="s">
        <v>3730</v>
      </c>
      <c r="B21" s="2" t="s">
        <v>224</v>
      </c>
      <c r="C21" s="2">
        <v>0</v>
      </c>
      <c r="D21" s="2">
        <v>0</v>
      </c>
      <c r="E21" s="2">
        <v>0</v>
      </c>
      <c r="F21" s="4">
        <v>0</v>
      </c>
      <c r="G21" s="11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 city",CHOOSE({1,2}, Super_CBSA!$E$2:$E$1917, Super_CBSA!$A$2:$A$1917), 2,FALSE), ""))</f>
        <v>10580</v>
      </c>
    </row>
    <row r="22" spans="1:7" ht="17">
      <c r="A22" s="1" t="s">
        <v>3731</v>
      </c>
      <c r="B22" s="2" t="s">
        <v>3732</v>
      </c>
      <c r="C22" s="2">
        <v>0</v>
      </c>
      <c r="D22" s="2">
        <v>0</v>
      </c>
      <c r="E22" s="2">
        <v>0</v>
      </c>
      <c r="F22" s="4">
        <v>0</v>
      </c>
      <c r="G22" s="11" t="str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 city",CHOOSE({1,2}, Super_CBSA!$E$2:$E$1917, Super_CBSA!$A$2:$A$1917), 2,FALSE), ""))</f>
        <v/>
      </c>
    </row>
    <row r="23" spans="1:7" ht="17">
      <c r="A23" s="1" t="s">
        <v>3733</v>
      </c>
      <c r="B23" s="2" t="s">
        <v>3734</v>
      </c>
      <c r="C23" s="2">
        <v>94</v>
      </c>
      <c r="D23" s="3">
        <v>4614</v>
      </c>
      <c r="E23" s="3">
        <v>23761</v>
      </c>
      <c r="F23" s="4">
        <v>419240</v>
      </c>
      <c r="G23" s="11" t="str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 city",CHOOSE({1,2}, Super_CBSA!$E$2:$E$1917, Super_CBSA!$A$2:$A$1917), 2,FALSE), ""))</f>
        <v/>
      </c>
    </row>
    <row r="24" spans="1:7" ht="17">
      <c r="A24" s="1" t="s">
        <v>3735</v>
      </c>
      <c r="B24" s="2" t="s">
        <v>3736</v>
      </c>
      <c r="C24" s="2">
        <v>166</v>
      </c>
      <c r="D24" s="3">
        <v>3485</v>
      </c>
      <c r="E24" s="3">
        <v>16320</v>
      </c>
      <c r="F24" s="4">
        <v>250405</v>
      </c>
      <c r="G24" s="11" t="str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 city",CHOOSE({1,2}, Super_CBSA!$E$2:$E$1917, Super_CBSA!$A$2:$A$1917), 2,FALSE), ""))</f>
        <v/>
      </c>
    </row>
    <row r="25" spans="1:7" ht="17">
      <c r="A25" s="1" t="s">
        <v>3737</v>
      </c>
      <c r="B25" s="2" t="s">
        <v>3738</v>
      </c>
      <c r="C25" s="2">
        <v>178</v>
      </c>
      <c r="D25" s="3">
        <v>6257</v>
      </c>
      <c r="E25" s="3">
        <v>28410</v>
      </c>
      <c r="F25" s="4">
        <v>414654</v>
      </c>
      <c r="G25" s="11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 city",CHOOSE({1,2}, Super_CBSA!$E$2:$E$1917, Super_CBSA!$A$2:$A$1917), 2,FALSE), ""))</f>
        <v>27060</v>
      </c>
    </row>
    <row r="26" spans="1:7" ht="17">
      <c r="A26" s="1" t="s">
        <v>3739</v>
      </c>
      <c r="B26" s="2" t="s">
        <v>3740</v>
      </c>
      <c r="C26" s="2">
        <v>130</v>
      </c>
      <c r="D26" s="3">
        <v>2046</v>
      </c>
      <c r="E26" s="3">
        <v>10390</v>
      </c>
      <c r="F26" s="4">
        <v>230531</v>
      </c>
      <c r="G26" s="11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 city",CHOOSE({1,2}, Super_CBSA!$E$2:$E$1917, Super_CBSA!$A$2:$A$1917), 2,FALSE), ""))</f>
        <v>36300</v>
      </c>
    </row>
    <row r="27" spans="1:7" ht="17">
      <c r="A27" s="1" t="s">
        <v>3741</v>
      </c>
      <c r="B27" s="2" t="s">
        <v>3742</v>
      </c>
      <c r="C27" s="2">
        <v>203</v>
      </c>
      <c r="D27" s="3">
        <v>1938</v>
      </c>
      <c r="E27" s="3">
        <v>14290</v>
      </c>
      <c r="F27" s="4">
        <v>149734</v>
      </c>
      <c r="G27" s="11" t="str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 city",CHOOSE({1,2}, Super_CBSA!$E$2:$E$1917, Super_CBSA!$A$2:$A$1917), 2,FALSE), ""))</f>
        <v/>
      </c>
    </row>
    <row r="28" spans="1:7" ht="17">
      <c r="A28" s="1" t="s">
        <v>3743</v>
      </c>
      <c r="B28" s="2" t="s">
        <v>1434</v>
      </c>
      <c r="C28" s="2">
        <v>117</v>
      </c>
      <c r="D28" s="3">
        <v>4342</v>
      </c>
      <c r="E28" s="3">
        <v>23510</v>
      </c>
      <c r="F28" s="4">
        <v>480484</v>
      </c>
      <c r="G28" s="11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 city",CHOOSE({1,2}, Super_CBSA!$E$2:$E$1917, Super_CBSA!$A$2:$A$1917), 2,FALSE), ""))</f>
        <v>26460</v>
      </c>
    </row>
    <row r="29" spans="1:7" ht="17">
      <c r="A29" s="1" t="s">
        <v>3744</v>
      </c>
      <c r="B29" s="2" t="s">
        <v>3745</v>
      </c>
      <c r="C29" s="2">
        <v>0</v>
      </c>
      <c r="D29" s="2">
        <v>0</v>
      </c>
      <c r="E29" s="2">
        <v>0</v>
      </c>
      <c r="F29" s="4">
        <v>0</v>
      </c>
      <c r="G29" s="11" t="str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 city",CHOOSE({1,2}, Super_CBSA!$E$2:$E$1917, Super_CBSA!$A$2:$A$1917), 2,FALSE), ""))</f>
        <v/>
      </c>
    </row>
    <row r="30" spans="1:7" ht="17">
      <c r="A30" s="1" t="s">
        <v>3746</v>
      </c>
      <c r="B30" s="2" t="s">
        <v>3747</v>
      </c>
      <c r="C30" s="2">
        <v>502</v>
      </c>
      <c r="D30" s="3">
        <v>19181</v>
      </c>
      <c r="E30" s="3">
        <v>114794</v>
      </c>
      <c r="F30" s="4">
        <v>858147</v>
      </c>
      <c r="G30" s="11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 city",CHOOSE({1,2}, Super_CBSA!$E$2:$E$1917, Super_CBSA!$A$2:$A$1917), 2,FALSE), ""))</f>
        <v>45060</v>
      </c>
    </row>
    <row r="31" spans="1:7" ht="17">
      <c r="A31" s="1" t="s">
        <v>3748</v>
      </c>
      <c r="B31" s="2" t="s">
        <v>3749</v>
      </c>
      <c r="C31" s="2">
        <v>135</v>
      </c>
      <c r="D31" s="3">
        <v>4071</v>
      </c>
      <c r="E31" s="3">
        <v>27558</v>
      </c>
      <c r="F31" s="4">
        <v>191264</v>
      </c>
      <c r="G31" s="11" t="str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 city",CHOOSE({1,2}, Super_CBSA!$E$2:$E$1917, Super_CBSA!$A$2:$A$1917), 2,FALSE), ""))</f>
        <v/>
      </c>
    </row>
    <row r="32" spans="1:7" ht="17">
      <c r="A32" s="1" t="s">
        <v>3750</v>
      </c>
      <c r="B32" s="2" t="s">
        <v>3751</v>
      </c>
      <c r="C32" s="2">
        <v>416</v>
      </c>
      <c r="D32" s="3">
        <v>16882</v>
      </c>
      <c r="E32" s="3">
        <v>92773</v>
      </c>
      <c r="F32" s="4">
        <v>1419755</v>
      </c>
      <c r="G32" s="11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 city",CHOOSE({1,2}, Super_CBSA!$E$2:$E$1917, Super_CBSA!$A$2:$A$1917), 2,FALSE), ""))</f>
        <v>10580</v>
      </c>
    </row>
    <row r="33" spans="1:7" ht="17">
      <c r="A33" s="1" t="s">
        <v>3752</v>
      </c>
      <c r="B33" s="2" t="s">
        <v>2911</v>
      </c>
      <c r="C33" s="2">
        <v>906</v>
      </c>
      <c r="D33" s="3">
        <v>16670</v>
      </c>
      <c r="E33" s="3">
        <v>102375</v>
      </c>
      <c r="F33" s="4">
        <v>1025323</v>
      </c>
      <c r="G33" s="11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 city",CHOOSE({1,2}, Super_CBSA!$E$2:$E$1917, Super_CBSA!$A$2:$A$1917), 2,FALSE), ""))</f>
        <v>15380</v>
      </c>
    </row>
    <row r="34" spans="1:7" ht="17">
      <c r="A34" s="1" t="s">
        <v>3753</v>
      </c>
      <c r="B34" s="2" t="s">
        <v>3732</v>
      </c>
      <c r="C34" s="2">
        <v>291</v>
      </c>
      <c r="D34" s="3">
        <v>4613</v>
      </c>
      <c r="E34" s="3">
        <v>21085</v>
      </c>
      <c r="F34" s="4">
        <v>400769</v>
      </c>
      <c r="G34" s="11" t="str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 city",CHOOSE({1,2}, Super_CBSA!$E$2:$E$1917, Super_CBSA!$A$2:$A$1917), 2,FALSE), ""))</f>
        <v/>
      </c>
    </row>
    <row r="35" spans="1:7" ht="17">
      <c r="A35" s="1" t="s">
        <v>3754</v>
      </c>
      <c r="B35" s="2" t="s">
        <v>3755</v>
      </c>
      <c r="C35" s="2">
        <v>299</v>
      </c>
      <c r="D35" s="3">
        <v>13402</v>
      </c>
      <c r="E35" s="3">
        <v>67185</v>
      </c>
      <c r="F35" s="4">
        <v>481041</v>
      </c>
      <c r="G35" s="11" t="str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 city",CHOOSE({1,2}, Super_CBSA!$E$2:$E$1917, Super_CBSA!$A$2:$A$1917), 2,FALSE), ""))</f>
        <v/>
      </c>
    </row>
    <row r="36" spans="1:7" ht="17">
      <c r="A36" s="1" t="s">
        <v>3756</v>
      </c>
      <c r="B36" s="2" t="s">
        <v>1100</v>
      </c>
      <c r="C36" s="2">
        <v>383</v>
      </c>
      <c r="D36" s="3">
        <v>21181</v>
      </c>
      <c r="E36" s="3">
        <v>99050</v>
      </c>
      <c r="F36" s="4">
        <v>1755704</v>
      </c>
      <c r="G36" s="11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 city",CHOOSE({1,2}, Super_CBSA!$E$2:$E$1917, Super_CBSA!$A$2:$A$1917), 2,FALSE), ""))</f>
        <v>39100</v>
      </c>
    </row>
    <row r="37" spans="1:7" ht="17">
      <c r="A37" s="1" t="s">
        <v>3757</v>
      </c>
      <c r="B37" s="2" t="s">
        <v>234</v>
      </c>
      <c r="C37" s="2">
        <v>477</v>
      </c>
      <c r="D37" s="3">
        <v>3607</v>
      </c>
      <c r="E37" s="3">
        <v>15323</v>
      </c>
      <c r="F37" s="4">
        <v>298949</v>
      </c>
      <c r="G37" s="11" t="str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 city",CHOOSE({1,2}, Super_CBSA!$E$2:$E$1917, Super_CBSA!$A$2:$A$1917), 2,FALSE), ""))</f>
        <v/>
      </c>
    </row>
    <row r="38" spans="1:7" ht="17">
      <c r="A38" s="1" t="s">
        <v>3758</v>
      </c>
      <c r="B38" s="2" t="s">
        <v>3759</v>
      </c>
      <c r="C38" s="2">
        <v>119</v>
      </c>
      <c r="D38" s="3">
        <v>3192</v>
      </c>
      <c r="E38" s="3">
        <v>13445</v>
      </c>
      <c r="F38" s="4">
        <v>501246</v>
      </c>
      <c r="G38" s="11" t="str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 city",CHOOSE({1,2}, Super_CBSA!$E$2:$E$1917, Super_CBSA!$A$2:$A$1917), 2,FALSE), ""))</f>
        <v/>
      </c>
    </row>
    <row r="39" spans="1:7" ht="17">
      <c r="A39" s="1" t="s">
        <v>3760</v>
      </c>
      <c r="B39" s="2" t="s">
        <v>3761</v>
      </c>
      <c r="C39" s="2">
        <v>406</v>
      </c>
      <c r="D39" s="3">
        <v>11172</v>
      </c>
      <c r="E39" s="3">
        <v>51127</v>
      </c>
      <c r="F39" s="4">
        <v>1077452</v>
      </c>
      <c r="G39" s="11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 city",CHOOSE({1,2}, Super_CBSA!$E$2:$E$1917, Super_CBSA!$A$2:$A$1917), 2,FALSE), ""))</f>
        <v>24020</v>
      </c>
    </row>
    <row r="40" spans="1:7" ht="17">
      <c r="A40" s="1" t="s">
        <v>605</v>
      </c>
      <c r="B40" s="2" t="s">
        <v>3762</v>
      </c>
      <c r="C40" s="2">
        <v>286</v>
      </c>
      <c r="D40" s="3">
        <v>14833</v>
      </c>
      <c r="E40" s="3">
        <v>70259</v>
      </c>
      <c r="F40" s="4">
        <v>2077793</v>
      </c>
      <c r="G40" s="11" t="str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 city",CHOOSE({1,2}, Super_CBSA!$E$2:$E$1917, Super_CBSA!$A$2:$A$1917), 2,FALSE), ""))</f>
        <v/>
      </c>
    </row>
    <row r="41" spans="1:7" ht="17">
      <c r="A41" s="1" t="s">
        <v>3763</v>
      </c>
      <c r="B41" s="2" t="s">
        <v>3764</v>
      </c>
      <c r="C41" s="2">
        <v>437</v>
      </c>
      <c r="D41" s="3">
        <v>24474</v>
      </c>
      <c r="E41" s="3">
        <v>127312</v>
      </c>
      <c r="F41" s="4">
        <v>2983104</v>
      </c>
      <c r="G41" s="11" t="str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 city",CHOOSE({1,2}, Super_CBSA!$E$2:$E$1917, Super_CBSA!$A$2:$A$1917), 2,FALSE), ""))</f>
        <v/>
      </c>
    </row>
    <row r="42" spans="1:7" ht="17">
      <c r="A42" s="1" t="s">
        <v>3765</v>
      </c>
      <c r="B42" s="2" t="s">
        <v>3766</v>
      </c>
      <c r="C42" s="2">
        <v>65</v>
      </c>
      <c r="D42" s="3">
        <v>4474</v>
      </c>
      <c r="E42" s="3">
        <v>15149</v>
      </c>
      <c r="F42" s="4">
        <v>473384</v>
      </c>
      <c r="G42" s="11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 city",CHOOSE({1,2}, Super_CBSA!$E$2:$E$1917, Super_CBSA!$A$2:$A$1917), 2,FALSE), ""))</f>
        <v>18500</v>
      </c>
    </row>
    <row r="43" spans="1:7" ht="17">
      <c r="A43" s="1" t="s">
        <v>3767</v>
      </c>
      <c r="B43" s="2" t="s">
        <v>3768</v>
      </c>
      <c r="C43" s="2">
        <v>194</v>
      </c>
      <c r="D43" s="3">
        <v>3121</v>
      </c>
      <c r="E43" s="3">
        <v>11271</v>
      </c>
      <c r="F43" s="4">
        <v>217521</v>
      </c>
      <c r="G43" s="11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 city",CHOOSE({1,2}, Super_CBSA!$E$2:$E$1917, Super_CBSA!$A$2:$A$1917), 2,FALSE), ""))</f>
        <v>18660</v>
      </c>
    </row>
    <row r="44" spans="1:7" ht="17">
      <c r="A44" s="1" t="s">
        <v>3769</v>
      </c>
      <c r="B44" s="2" t="s">
        <v>3770</v>
      </c>
      <c r="C44" s="2">
        <v>149</v>
      </c>
      <c r="D44" s="3">
        <v>5625</v>
      </c>
      <c r="E44" s="3">
        <v>26491</v>
      </c>
      <c r="F44" s="4">
        <v>637728</v>
      </c>
      <c r="G44" s="11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 city",CHOOSE({1,2}, Super_CBSA!$E$2:$E$1917, Super_CBSA!$A$2:$A$1917), 2,FALSE), ""))</f>
        <v>28740</v>
      </c>
    </row>
    <row r="45" spans="1:7" ht="17">
      <c r="A45" s="1" t="s">
        <v>3771</v>
      </c>
      <c r="B45" s="2" t="s">
        <v>3770</v>
      </c>
      <c r="C45" s="2">
        <v>105</v>
      </c>
      <c r="D45" s="3">
        <v>1676</v>
      </c>
      <c r="E45" s="3">
        <v>7761</v>
      </c>
      <c r="F45" s="4">
        <v>227912</v>
      </c>
      <c r="G45" s="11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 city",CHOOSE({1,2}, Super_CBSA!$E$2:$E$1917, Super_CBSA!$A$2:$A$1917), 2,FALSE), ""))</f>
        <v>28740</v>
      </c>
    </row>
    <row r="46" spans="1:7" ht="17">
      <c r="A46" s="1" t="s">
        <v>3772</v>
      </c>
      <c r="B46" s="2" t="s">
        <v>3773</v>
      </c>
      <c r="C46" s="2">
        <v>155</v>
      </c>
      <c r="D46" s="2">
        <v>0</v>
      </c>
      <c r="E46" s="2">
        <v>0</v>
      </c>
      <c r="F46" s="4">
        <v>109916</v>
      </c>
      <c r="G46" s="11" t="str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 city",CHOOSE({1,2}, Super_CBSA!$E$2:$E$1917, Super_CBSA!$A$2:$A$1917), 2,FALSE), ""))</f>
        <v/>
      </c>
    </row>
    <row r="47" spans="1:7" ht="17">
      <c r="A47" s="1" t="s">
        <v>620</v>
      </c>
      <c r="B47" s="2" t="s">
        <v>2753</v>
      </c>
      <c r="C47" s="2">
        <v>235</v>
      </c>
      <c r="D47" s="3">
        <v>16725</v>
      </c>
      <c r="E47" s="3">
        <v>88356</v>
      </c>
      <c r="F47" s="4">
        <v>892569</v>
      </c>
      <c r="G47" s="11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 city",CHOOSE({1,2}, Super_CBSA!$E$2:$E$1917, Super_CBSA!$A$2:$A$1917), 2,FALSE), ""))</f>
        <v>40380</v>
      </c>
    </row>
    <row r="48" spans="1:7" ht="17">
      <c r="A48" s="1" t="s">
        <v>3774</v>
      </c>
      <c r="B48" s="2" t="s">
        <v>3775</v>
      </c>
      <c r="C48" s="2">
        <v>215</v>
      </c>
      <c r="D48" s="3">
        <v>15772</v>
      </c>
      <c r="E48" s="3">
        <v>47370</v>
      </c>
      <c r="F48" s="4">
        <v>2151514</v>
      </c>
      <c r="G48" s="11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 city",CHOOSE({1,2}, Super_CBSA!$E$2:$E$1917, Super_CBSA!$A$2:$A$1917), 2,FALSE), ""))</f>
        <v>35620</v>
      </c>
    </row>
    <row r="49" spans="1:7" ht="17">
      <c r="A49" s="1" t="s">
        <v>628</v>
      </c>
      <c r="B49" s="2" t="s">
        <v>2115</v>
      </c>
      <c r="C49" s="2">
        <v>280</v>
      </c>
      <c r="D49" s="3">
        <v>15261</v>
      </c>
      <c r="E49" s="3">
        <v>66201</v>
      </c>
      <c r="F49" s="4">
        <v>1176339</v>
      </c>
      <c r="G49" s="11" t="str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 city",CHOOSE({1,2}, Super_CBSA!$E$2:$E$1917, Super_CBSA!$A$2:$A$1917), 2,FALSE), ""))</f>
        <v/>
      </c>
    </row>
    <row r="50" spans="1:7" ht="17">
      <c r="A50" s="1" t="s">
        <v>3776</v>
      </c>
      <c r="B50" s="2" t="s">
        <v>3777</v>
      </c>
      <c r="C50" s="2">
        <v>243</v>
      </c>
      <c r="D50" s="3">
        <v>7073</v>
      </c>
      <c r="E50" s="3">
        <v>39270</v>
      </c>
      <c r="F50" s="4">
        <v>539049</v>
      </c>
      <c r="G50" s="11" t="str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 city",CHOOSE({1,2}, Super_CBSA!$E$2:$E$1917, Super_CBSA!$A$2:$A$1917), 2,FALSE), ""))</f>
        <v/>
      </c>
    </row>
    <row r="51" spans="1:7" ht="17">
      <c r="A51" s="1" t="s">
        <v>3778</v>
      </c>
      <c r="B51" s="2" t="s">
        <v>3716</v>
      </c>
      <c r="C51" s="2">
        <v>135</v>
      </c>
      <c r="D51" s="2">
        <v>250</v>
      </c>
      <c r="E51" s="2">
        <v>628</v>
      </c>
      <c r="F51" s="4">
        <v>76115</v>
      </c>
      <c r="G51" s="11" t="str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 city",CHOOSE({1,2}, Super_CBSA!$E$2:$E$1917, Super_CBSA!$A$2:$A$1917), 2,FALSE), ""))</f>
        <v/>
      </c>
    </row>
    <row r="52" spans="1:7" ht="17">
      <c r="A52" s="1" t="s">
        <v>3779</v>
      </c>
      <c r="B52" s="2" t="s">
        <v>3724</v>
      </c>
      <c r="C52" s="2">
        <v>0</v>
      </c>
      <c r="D52" s="2">
        <v>0</v>
      </c>
      <c r="E52" s="2">
        <v>0</v>
      </c>
      <c r="F52" s="4">
        <v>0</v>
      </c>
      <c r="G52" s="11" t="str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 city",CHOOSE({1,2}, Super_CBSA!$E$2:$E$1917, Super_CBSA!$A$2:$A$1917), 2,FALSE), ""))</f>
        <v/>
      </c>
    </row>
    <row r="53" spans="1:7" ht="17">
      <c r="A53" s="1" t="s">
        <v>3780</v>
      </c>
      <c r="B53" s="2" t="s">
        <v>3781</v>
      </c>
      <c r="C53" s="2">
        <v>594</v>
      </c>
      <c r="D53" s="3">
        <v>15321</v>
      </c>
      <c r="E53" s="3">
        <v>76376</v>
      </c>
      <c r="F53" s="4">
        <v>966898</v>
      </c>
      <c r="G53" s="11" t="str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 city",CHOOSE({1,2}, Super_CBSA!$E$2:$E$1917, Super_CBSA!$A$2:$A$1917), 2,FALSE), ""))</f>
        <v/>
      </c>
    </row>
    <row r="54" spans="1:7" ht="17">
      <c r="A54" s="1" t="s">
        <v>3782</v>
      </c>
      <c r="B54" s="2" t="s">
        <v>3724</v>
      </c>
      <c r="C54" s="2">
        <v>0</v>
      </c>
      <c r="D54" s="2">
        <v>0</v>
      </c>
      <c r="E54" s="2">
        <v>0</v>
      </c>
      <c r="F54" s="4">
        <v>0</v>
      </c>
      <c r="G54" s="11" t="str" cm="1">
        <f t="array" aca="1" ref="G54" ca="1">IFERROR(VLOOKUP("*" &amp; B54  &amp; "*" &amp; (MID(CELL("filename",A53),FIND("]",CELL("filename",A53))+1,31)) &amp; "*",CHOOSE({1,2}, Super_CBSA!$B$2:$B$1917, Super_CBSA!$A$2:$A$1917), 2,FALSE), IFERROR(VLOOKUP(B54  &amp; " city",CHOOSE({1,2}, Super_CBSA!$E$2:$E$1917, Super_CBSA!$A$2:$A$1917), 2,FALSE), ""))</f>
        <v/>
      </c>
    </row>
    <row r="55" spans="1:7" ht="17">
      <c r="A55" s="1" t="s">
        <v>3783</v>
      </c>
      <c r="B55" s="2" t="s">
        <v>3784</v>
      </c>
      <c r="C55" s="2">
        <v>248</v>
      </c>
      <c r="D55" s="3">
        <v>10472</v>
      </c>
      <c r="E55" s="3">
        <v>58577</v>
      </c>
      <c r="F55" s="4">
        <v>1273802</v>
      </c>
      <c r="G55" s="11" t="str" cm="1">
        <f t="array" aca="1" ref="G55" ca="1">IFERROR(VLOOKUP("*" &amp; B55  &amp; "*" &amp; (MID(CELL("filename",A54),FIND("]",CELL("filename",A54))+1,31)) &amp; "*",CHOOSE({1,2}, Super_CBSA!$B$2:$B$1917, Super_CBSA!$A$2:$A$1917), 2,FALSE), IFERROR(VLOOKUP(B55  &amp; " city",CHOOSE({1,2}, Super_CBSA!$E$2:$E$1917, Super_CBSA!$A$2:$A$1917), 2,FALSE), ""))</f>
        <v/>
      </c>
    </row>
    <row r="56" spans="1:7" ht="17">
      <c r="A56" s="1" t="s">
        <v>3785</v>
      </c>
      <c r="B56" s="2" t="s">
        <v>3786</v>
      </c>
      <c r="C56" s="2">
        <v>49</v>
      </c>
      <c r="D56" s="3">
        <v>1724</v>
      </c>
      <c r="E56" s="3">
        <v>7256</v>
      </c>
      <c r="F56" s="4">
        <v>105648</v>
      </c>
      <c r="G56" s="11" t="str" cm="1">
        <f t="array" aca="1" ref="G56" ca="1">IFERROR(VLOOKUP("*" &amp; B56  &amp; "*" &amp; (MID(CELL("filename",A55),FIND("]",CELL("filename",A55))+1,31)) &amp; "*",CHOOSE({1,2}, Super_CBSA!$B$2:$B$1917, Super_CBSA!$A$2:$A$1917), 2,FALSE), IFERROR(VLOOKUP(B56  &amp; " city",CHOOSE({1,2}, Super_CBSA!$E$2:$E$1917, Super_CBSA!$A$2:$A$1917), 2,FALSE), ""))</f>
        <v/>
      </c>
    </row>
    <row r="57" spans="1:7" ht="17">
      <c r="A57" s="1" t="s">
        <v>3787</v>
      </c>
      <c r="B57" s="2" t="s">
        <v>3181</v>
      </c>
      <c r="C57" s="2">
        <v>0</v>
      </c>
      <c r="D57" s="2">
        <v>0</v>
      </c>
      <c r="E57" s="2">
        <v>0</v>
      </c>
      <c r="F57" s="4">
        <v>0</v>
      </c>
      <c r="G57" s="11" t="str" cm="1">
        <f t="array" aca="1" ref="G57" ca="1">IFERROR(VLOOKUP("*" &amp; B57  &amp; "*" &amp; (MID(CELL("filename",A56),FIND("]",CELL("filename",A56))+1,31)) &amp; "*",CHOOSE({1,2}, Super_CBSA!$B$2:$B$1917, Super_CBSA!$A$2:$A$1917), 2,FALSE), IFERROR(VLOOKUP(B57  &amp; " city",CHOOSE({1,2}, Super_CBSA!$E$2:$E$1917, Super_CBSA!$A$2:$A$1917), 2,FALSE), ""))</f>
        <v/>
      </c>
    </row>
    <row r="58" spans="1:7" ht="17">
      <c r="A58" s="1" t="s">
        <v>3788</v>
      </c>
      <c r="B58" s="2" t="s">
        <v>3789</v>
      </c>
      <c r="C58" s="2">
        <v>344</v>
      </c>
      <c r="D58" s="3">
        <v>7966</v>
      </c>
      <c r="E58" s="3">
        <v>31343</v>
      </c>
      <c r="F58" s="4">
        <v>389889</v>
      </c>
      <c r="G58" s="11" t="str" cm="1">
        <f t="array" aca="1" ref="G58" ca="1">IFERROR(VLOOKUP("*" &amp; B58  &amp; "*" &amp; (MID(CELL("filename",A57),FIND("]",CELL("filename",A57))+1,31)) &amp; "*",CHOOSE({1,2}, Super_CBSA!$B$2:$B$1917, Super_CBSA!$A$2:$A$1917), 2,FALSE), IFERROR(VLOOKUP(B58  &amp; " city",CHOOSE({1,2}, Super_CBSA!$E$2:$E$1917, Super_CBSA!$A$2:$A$1917), 2,FALSE), ""))</f>
        <v/>
      </c>
    </row>
    <row r="59" spans="1:7" ht="17">
      <c r="A59" s="1" t="s">
        <v>3790</v>
      </c>
      <c r="B59" s="2" t="s">
        <v>3777</v>
      </c>
      <c r="C59" s="2">
        <v>746</v>
      </c>
      <c r="D59" s="3">
        <v>6618</v>
      </c>
      <c r="E59" s="3">
        <v>42403</v>
      </c>
      <c r="F59" s="4">
        <v>937481</v>
      </c>
      <c r="G59" s="11" t="str" cm="1">
        <f t="array" aca="1" ref="G59" ca="1">IFERROR(VLOOKUP("*" &amp; B59  &amp; "*" &amp; (MID(CELL("filename",A58),FIND("]",CELL("filename",A58))+1,31)) &amp; "*",CHOOSE({1,2}, Super_CBSA!$B$2:$B$1917, Super_CBSA!$A$2:$A$1917), 2,FALSE), IFERROR(VLOOKUP(B59  &amp; " city",CHOOSE({1,2}, Super_CBSA!$E$2:$E$1917, Super_CBSA!$A$2:$A$1917), 2,FALSE), ""))</f>
        <v/>
      </c>
    </row>
    <row r="60" spans="1:7" ht="17">
      <c r="A60" s="1" t="s">
        <v>3791</v>
      </c>
      <c r="B60" s="2" t="s">
        <v>3775</v>
      </c>
      <c r="C60" s="2">
        <v>449</v>
      </c>
      <c r="D60" s="3">
        <v>27874</v>
      </c>
      <c r="E60" s="3">
        <v>118159</v>
      </c>
      <c r="F60" s="4">
        <v>3834802</v>
      </c>
      <c r="G60" s="11" cm="1">
        <f t="array" aca="1" ref="G60" ca="1">IFERROR(VLOOKUP("*" &amp; B60  &amp; "*" &amp; (MID(CELL("filename",A59),FIND("]",CELL("filename",A59))+1,31)) &amp; "*",CHOOSE({1,2}, Super_CBSA!$B$2:$B$1917, Super_CBSA!$A$2:$A$1917), 2,FALSE), IFERROR(VLOOKUP(B60  &amp; " city",CHOOSE({1,2}, Super_CBSA!$E$2:$E$1917, Super_CBSA!$A$2:$A$1917), 2,FALSE), ""))</f>
        <v>35620</v>
      </c>
    </row>
    <row r="61" spans="1:7" ht="17">
      <c r="A61" s="1" t="s">
        <v>3792</v>
      </c>
      <c r="B61" s="2" t="s">
        <v>3793</v>
      </c>
      <c r="C61" s="2">
        <v>227</v>
      </c>
      <c r="D61" s="3">
        <v>15009</v>
      </c>
      <c r="E61" s="3">
        <v>75691</v>
      </c>
      <c r="F61" s="4">
        <v>1030735</v>
      </c>
      <c r="G61" s="11" t="str" cm="1">
        <f t="array" aca="1" ref="G61" ca="1">IFERROR(VLOOKUP("*" &amp; B61  &amp; "*" &amp; (MID(CELL("filename",A60),FIND("]",CELL("filename",A60))+1,31)) &amp; "*",CHOOSE({1,2}, Super_CBSA!$B$2:$B$1917, Super_CBSA!$A$2:$A$1917), 2,FALSE), IFERROR(VLOOKUP(B61  &amp; " city",CHOOSE({1,2}, Super_CBSA!$E$2:$E$1917, Super_CBSA!$A$2:$A$1917), 2,FALSE), ""))</f>
        <v/>
      </c>
    </row>
    <row r="62" spans="1:7" ht="17">
      <c r="A62" s="1" t="s">
        <v>3794</v>
      </c>
      <c r="B62" s="2" t="s">
        <v>3795</v>
      </c>
      <c r="C62" s="3">
        <v>1549</v>
      </c>
      <c r="D62" s="3">
        <v>71299</v>
      </c>
      <c r="E62" s="3">
        <v>365219</v>
      </c>
      <c r="F62" s="4">
        <v>9678601</v>
      </c>
      <c r="G62" s="11" t="str" cm="1">
        <f t="array" aca="1" ref="G62" ca="1">IFERROR(VLOOKUP("*" &amp; B62  &amp; "*" &amp; (MID(CELL("filename",A61),FIND("]",CELL("filename",A61))+1,31)) &amp; "*",CHOOSE({1,2}, Super_CBSA!$B$2:$B$1917, Super_CBSA!$A$2:$A$1917), 2,FALSE), IFERROR(VLOOKUP(B62  &amp; " city",CHOOSE({1,2}, Super_CBSA!$E$2:$E$1917, Super_CBSA!$A$2:$A$1917), 2,FALSE), ""))</f>
        <v/>
      </c>
    </row>
    <row r="63" spans="1:7" ht="17">
      <c r="A63" s="1" t="s">
        <v>3796</v>
      </c>
      <c r="B63" s="2" t="s">
        <v>3797</v>
      </c>
      <c r="C63" s="2">
        <v>337</v>
      </c>
      <c r="D63" s="3">
        <v>8102</v>
      </c>
      <c r="E63" s="3">
        <v>37882</v>
      </c>
      <c r="F63" s="4">
        <v>750801</v>
      </c>
      <c r="G63" s="11" t="str" cm="1">
        <f t="array" aca="1" ref="G63" ca="1">IFERROR(VLOOKUP("*" &amp; B63  &amp; "*" &amp; (MID(CELL("filename",A62),FIND("]",CELL("filename",A62))+1,31)) &amp; "*",CHOOSE({1,2}, Super_CBSA!$B$2:$B$1917, Super_CBSA!$A$2:$A$1917), 2,FALSE), IFERROR(VLOOKUP(B63  &amp; " city",CHOOSE({1,2}, Super_CBSA!$E$2:$E$1917, Super_CBSA!$A$2:$A$1917), 2,FALSE), ""))</f>
        <v/>
      </c>
    </row>
    <row r="64" spans="1:7" ht="17">
      <c r="A64" s="1" t="s">
        <v>3798</v>
      </c>
      <c r="B64" s="2" t="s">
        <v>3777</v>
      </c>
      <c r="C64" s="2">
        <v>711</v>
      </c>
      <c r="D64" s="3">
        <v>34994</v>
      </c>
      <c r="E64" s="3">
        <v>194690</v>
      </c>
      <c r="F64" s="4">
        <v>3549561</v>
      </c>
      <c r="G64" s="11" t="str" cm="1">
        <f t="array" aca="1" ref="G64" ca="1">IFERROR(VLOOKUP("*" &amp; B64  &amp; "*" &amp; (MID(CELL("filename",A63),FIND("]",CELL("filename",A63))+1,31)) &amp; "*",CHOOSE({1,2}, Super_CBSA!$B$2:$B$1917, Super_CBSA!$A$2:$A$1917), 2,FALSE), IFERROR(VLOOKUP(B64  &amp; " city",CHOOSE({1,2}, Super_CBSA!$E$2:$E$1917, Super_CBSA!$A$2:$A$1917), 2,FALSE), ""))</f>
        <v/>
      </c>
    </row>
    <row r="65" spans="1:7" ht="17">
      <c r="A65" s="1" t="s">
        <v>3799</v>
      </c>
      <c r="B65" s="2" t="s">
        <v>3800</v>
      </c>
      <c r="C65" s="2">
        <v>50</v>
      </c>
      <c r="D65" s="3">
        <v>1573</v>
      </c>
      <c r="E65" s="3">
        <v>6512</v>
      </c>
      <c r="F65" s="4">
        <v>113063</v>
      </c>
      <c r="G65" s="11" cm="1">
        <f t="array" aca="1" ref="G65" ca="1">IFERROR(VLOOKUP("*" &amp; B65  &amp; "*" &amp; (MID(CELL("filename",A64),FIND("]",CELL("filename",A64))+1,31)) &amp; "*",CHOOSE({1,2}, Super_CBSA!$B$2:$B$1917, Super_CBSA!$A$2:$A$1917), 2,FALSE), IFERROR(VLOOKUP(B65  &amp; " city",CHOOSE({1,2}, Super_CBSA!$E$2:$E$1917, Super_CBSA!$A$2:$A$1917), 2,FALSE), ""))</f>
        <v>36300</v>
      </c>
    </row>
    <row r="66" spans="1:7" ht="17">
      <c r="A66" s="1" t="s">
        <v>3801</v>
      </c>
      <c r="B66" s="2" t="s">
        <v>3775</v>
      </c>
      <c r="C66" s="2">
        <v>498</v>
      </c>
      <c r="D66" s="3">
        <v>24139</v>
      </c>
      <c r="E66" s="3">
        <v>171716</v>
      </c>
      <c r="F66" s="4">
        <v>7929799</v>
      </c>
      <c r="G66" s="11" cm="1">
        <f t="array" aca="1" ref="G66" ca="1">IFERROR(VLOOKUP("*" &amp; B66  &amp; "*" &amp; (MID(CELL("filename",A65),FIND("]",CELL("filename",A65))+1,31)) &amp; "*",CHOOSE({1,2}, Super_CBSA!$B$2:$B$1917, Super_CBSA!$A$2:$A$1917), 2,FALSE), IFERROR(VLOOKUP(B66  &amp; " city",CHOOSE({1,2}, Super_CBSA!$E$2:$E$1917, Super_CBSA!$A$2:$A$1917), 2,FALSE), ""))</f>
        <v>35620</v>
      </c>
    </row>
    <row r="67" spans="1:7" ht="17">
      <c r="A67" s="1" t="s">
        <v>3802</v>
      </c>
      <c r="B67" s="2" t="s">
        <v>2911</v>
      </c>
      <c r="C67" s="2">
        <v>470</v>
      </c>
      <c r="D67" s="3">
        <v>18591</v>
      </c>
      <c r="E67" s="3">
        <v>91807</v>
      </c>
      <c r="F67" s="4">
        <v>1036453</v>
      </c>
      <c r="G67" s="11" cm="1">
        <f t="array" aca="1" ref="G67" ca="1">IFERROR(VLOOKUP("*" &amp; B67  &amp; "*" &amp; (MID(CELL("filename",A66),FIND("]",CELL("filename",A66))+1,31)) &amp; "*",CHOOSE({1,2}, Super_CBSA!$B$2:$B$1917, Super_CBSA!$A$2:$A$1917), 2,FALSE), IFERROR(VLOOKUP(B67  &amp; " city",CHOOSE({1,2}, Super_CBSA!$E$2:$E$1917, Super_CBSA!$A$2:$A$1917), 2,FALSE), ""))</f>
        <v>15380</v>
      </c>
    </row>
    <row r="68" spans="1:7" ht="17">
      <c r="A68" s="1" t="s">
        <v>702</v>
      </c>
      <c r="B68" s="2" t="s">
        <v>3803</v>
      </c>
      <c r="C68" s="2">
        <v>375</v>
      </c>
      <c r="D68" s="3">
        <v>9100</v>
      </c>
      <c r="E68" s="3">
        <v>47366</v>
      </c>
      <c r="F68" s="4">
        <v>1037183</v>
      </c>
      <c r="G68" s="11" t="str" cm="1">
        <f t="array" aca="1" ref="G68" ca="1">IFERROR(VLOOKUP("*" &amp; B68  &amp; "*" &amp; (MID(CELL("filename",A67),FIND("]",CELL("filename",A67))+1,31)) &amp; "*",CHOOSE({1,2}, Super_CBSA!$B$2:$B$1917, Super_CBSA!$A$2:$A$1917), 2,FALSE), IFERROR(VLOOKUP(B68  &amp; " city",CHOOSE({1,2}, Super_CBSA!$E$2:$E$1917, Super_CBSA!$A$2:$A$1917), 2,FALSE), ""))</f>
        <v/>
      </c>
    </row>
    <row r="69" spans="1:7" ht="17">
      <c r="A69" s="1" t="s">
        <v>3804</v>
      </c>
      <c r="B69" s="2" t="s">
        <v>3805</v>
      </c>
      <c r="C69" s="2">
        <v>243</v>
      </c>
      <c r="D69" s="3">
        <v>5805</v>
      </c>
      <c r="E69" s="3">
        <v>34600</v>
      </c>
      <c r="F69" s="4">
        <v>437716</v>
      </c>
      <c r="G69" s="11" cm="1">
        <f t="array" aca="1" ref="G69" ca="1">IFERROR(VLOOKUP("*" &amp; B69  &amp; "*" &amp; (MID(CELL("filename",A68),FIND("]",CELL("filename",A68))+1,31)) &amp; "*",CHOOSE({1,2}, Super_CBSA!$B$2:$B$1917, Super_CBSA!$A$2:$A$1917), 2,FALSE), IFERROR(VLOOKUP(B69  &amp; " city",CHOOSE({1,2}, Super_CBSA!$E$2:$E$1917, Super_CBSA!$A$2:$A$1917), 2,FALSE), ""))</f>
        <v>39100</v>
      </c>
    </row>
    <row r="70" spans="1:7" ht="17">
      <c r="A70" s="1" t="s">
        <v>3806</v>
      </c>
      <c r="B70" s="2" t="s">
        <v>3807</v>
      </c>
      <c r="C70" s="2">
        <v>0</v>
      </c>
      <c r="D70" s="2">
        <v>0</v>
      </c>
      <c r="E70" s="2">
        <v>0</v>
      </c>
      <c r="F70" s="4">
        <v>0</v>
      </c>
      <c r="G70" s="11" t="str" cm="1">
        <f t="array" aca="1" ref="G70" ca="1">IFERROR(VLOOKUP("*" &amp; B70  &amp; "*" &amp; (MID(CELL("filename",A69),FIND("]",CELL("filename",A69))+1,31)) &amp; "*",CHOOSE({1,2}, Super_CBSA!$B$2:$B$1917, Super_CBSA!$A$2:$A$1917), 2,FALSE), IFERROR(VLOOKUP(B70  &amp; " city",CHOOSE({1,2}, Super_CBSA!$E$2:$E$1917, Super_CBSA!$A$2:$A$1917), 2,FALSE), ""))</f>
        <v/>
      </c>
    </row>
    <row r="71" spans="1:7" ht="17">
      <c r="A71" s="1" t="s">
        <v>3808</v>
      </c>
      <c r="B71" s="2" t="s">
        <v>2753</v>
      </c>
      <c r="C71" s="2">
        <v>571</v>
      </c>
      <c r="D71" s="2">
        <v>0</v>
      </c>
      <c r="E71" s="2">
        <v>0</v>
      </c>
      <c r="F71" s="4">
        <v>114086</v>
      </c>
      <c r="G71" s="11" cm="1">
        <f t="array" aca="1" ref="G71" ca="1">IFERROR(VLOOKUP("*" &amp; B71  &amp; "*" &amp; (MID(CELL("filename",A70),FIND("]",CELL("filename",A70))+1,31)) &amp; "*",CHOOSE({1,2}, Super_CBSA!$B$2:$B$1917, Super_CBSA!$A$2:$A$1917), 2,FALSE), IFERROR(VLOOKUP(B71  &amp; " city",CHOOSE({1,2}, Super_CBSA!$E$2:$E$1917, Super_CBSA!$A$2:$A$1917), 2,FALSE), ""))</f>
        <v>40380</v>
      </c>
    </row>
    <row r="72" spans="1:7" ht="17">
      <c r="A72" s="1" t="s">
        <v>3809</v>
      </c>
      <c r="B72" s="2" t="s">
        <v>3724</v>
      </c>
      <c r="C72" s="3">
        <v>1529</v>
      </c>
      <c r="D72" s="3">
        <v>88041</v>
      </c>
      <c r="E72" s="3">
        <v>483151</v>
      </c>
      <c r="F72" s="4">
        <v>13189711</v>
      </c>
      <c r="G72" s="11" t="str" cm="1">
        <f t="array" aca="1" ref="G72" ca="1">IFERROR(VLOOKUP("*" &amp; B72  &amp; "*" &amp; (MID(CELL("filename",A71),FIND("]",CELL("filename",A71))+1,31)) &amp; "*",CHOOSE({1,2}, Super_CBSA!$B$2:$B$1917, Super_CBSA!$A$2:$A$1917), 2,FALSE), IFERROR(VLOOKUP(B72  &amp; " city",CHOOSE({1,2}, Super_CBSA!$E$2:$E$1917, Super_CBSA!$A$2:$A$1917), 2,FALSE), ""))</f>
        <v/>
      </c>
    </row>
    <row r="73" spans="1:7" ht="17">
      <c r="A73" s="1" t="s">
        <v>3810</v>
      </c>
      <c r="B73" s="2" t="s">
        <v>1863</v>
      </c>
      <c r="C73" s="2">
        <v>85</v>
      </c>
      <c r="D73" s="3">
        <v>3038</v>
      </c>
      <c r="E73" s="3">
        <v>14056</v>
      </c>
      <c r="F73" s="4">
        <v>258619</v>
      </c>
      <c r="G73" s="11" t="str" cm="1">
        <f t="array" aca="1" ref="G73" ca="1">IFERROR(VLOOKUP("*" &amp; B73  &amp; "*" &amp; (MID(CELL("filename",A72),FIND("]",CELL("filename",A72))+1,31)) &amp; "*",CHOOSE({1,2}, Super_CBSA!$B$2:$B$1917, Super_CBSA!$A$2:$A$1917), 2,FALSE), IFERROR(VLOOKUP(B73  &amp; " city",CHOOSE({1,2}, Super_CBSA!$E$2:$E$1917, Super_CBSA!$A$2:$A$1917), 2,FALSE), ""))</f>
        <v/>
      </c>
    </row>
    <row r="74" spans="1:7" ht="17">
      <c r="A74" s="1" t="s">
        <v>3811</v>
      </c>
      <c r="B74" s="2" t="s">
        <v>3812</v>
      </c>
      <c r="C74" s="2">
        <v>301</v>
      </c>
      <c r="D74" s="3">
        <v>6448</v>
      </c>
      <c r="E74" s="3">
        <v>31370</v>
      </c>
      <c r="F74" s="4">
        <v>492432</v>
      </c>
      <c r="G74" s="11" t="str" cm="1">
        <f t="array" aca="1" ref="G74" ca="1">IFERROR(VLOOKUP("*" &amp; B74  &amp; "*" &amp; (MID(CELL("filename",A73),FIND("]",CELL("filename",A73))+1,31)) &amp; "*",CHOOSE({1,2}, Super_CBSA!$B$2:$B$1917, Super_CBSA!$A$2:$A$1917), 2,FALSE), IFERROR(VLOOKUP(B74  &amp; " city",CHOOSE({1,2}, Super_CBSA!$E$2:$E$1917, Super_CBSA!$A$2:$A$1917), 2,FALSE), ""))</f>
        <v/>
      </c>
    </row>
    <row r="75" spans="1:7" ht="17">
      <c r="A75" s="1" t="s">
        <v>3813</v>
      </c>
      <c r="B75" s="2" t="s">
        <v>3814</v>
      </c>
      <c r="C75" s="2">
        <v>235</v>
      </c>
      <c r="D75" s="3">
        <v>10413</v>
      </c>
      <c r="E75" s="3">
        <v>56968</v>
      </c>
      <c r="F75" s="4">
        <v>1157523</v>
      </c>
      <c r="G75" s="11" t="str" cm="1">
        <f t="array" aca="1" ref="G75" ca="1">IFERROR(VLOOKUP("*" &amp; B75  &amp; "*" &amp; (MID(CELL("filename",A74),FIND("]",CELL("filename",A74))+1,31)) &amp; "*",CHOOSE({1,2}, Super_CBSA!$B$2:$B$1917, Super_CBSA!$A$2:$A$1917), 2,FALSE), IFERROR(VLOOKUP(B75  &amp; " city",CHOOSE({1,2}, Super_CBSA!$E$2:$E$1917, Super_CBSA!$A$2:$A$1917), 2,FALSE), ""))</f>
        <v/>
      </c>
    </row>
    <row r="76" spans="1:7" ht="17">
      <c r="A76" s="1" t="s">
        <v>3815</v>
      </c>
      <c r="B76" s="2" t="s">
        <v>2049</v>
      </c>
      <c r="C76" s="2">
        <v>193</v>
      </c>
      <c r="D76" s="3">
        <v>10231</v>
      </c>
      <c r="E76" s="3">
        <v>47898</v>
      </c>
      <c r="F76" s="4">
        <v>871362</v>
      </c>
      <c r="G76" s="11" cm="1">
        <f t="array" aca="1" ref="G76" ca="1">IFERROR(VLOOKUP("*" &amp; B76  &amp; "*" &amp; (MID(CELL("filename",A75),FIND("]",CELL("filename",A75))+1,31)) &amp; "*",CHOOSE({1,2}, Super_CBSA!$B$2:$B$1917, Super_CBSA!$A$2:$A$1917), 2,FALSE), IFERROR(VLOOKUP(B76  &amp; " city",CHOOSE({1,2}, Super_CBSA!$E$2:$E$1917, Super_CBSA!$A$2:$A$1917), 2,FALSE), ""))</f>
        <v>39100</v>
      </c>
    </row>
    <row r="77" spans="1:7" ht="17">
      <c r="A77" s="1" t="s">
        <v>3816</v>
      </c>
      <c r="B77" s="2" t="s">
        <v>3724</v>
      </c>
      <c r="C77" s="2">
        <v>345</v>
      </c>
      <c r="D77" s="3">
        <v>13485</v>
      </c>
      <c r="E77" s="3">
        <v>83657</v>
      </c>
      <c r="F77" s="4">
        <v>647213</v>
      </c>
      <c r="G77" s="11" t="str" cm="1">
        <f t="array" aca="1" ref="G77" ca="1">IFERROR(VLOOKUP("*" &amp; B77  &amp; "*" &amp; (MID(CELL("filename",A76),FIND("]",CELL("filename",A76))+1,31)) &amp; "*",CHOOSE({1,2}, Super_CBSA!$B$2:$B$1917, Super_CBSA!$A$2:$A$1917), 2,FALSE), IFERROR(VLOOKUP(B77  &amp; " city",CHOOSE({1,2}, Super_CBSA!$E$2:$E$1917, Super_CBSA!$A$2:$A$1917), 2,FALSE), ""))</f>
        <v/>
      </c>
    </row>
    <row r="78" spans="1:7" ht="17">
      <c r="A78" s="1" t="s">
        <v>3817</v>
      </c>
      <c r="B78" s="2" t="s">
        <v>3724</v>
      </c>
      <c r="C78" s="2">
        <v>140</v>
      </c>
      <c r="D78" s="3">
        <v>2929</v>
      </c>
      <c r="E78" s="3">
        <v>20347</v>
      </c>
      <c r="F78" s="4">
        <v>108653</v>
      </c>
      <c r="G78" s="11" t="str" cm="1">
        <f t="array" aca="1" ref="G78" ca="1">IFERROR(VLOOKUP("*" &amp; B78  &amp; "*" &amp; (MID(CELL("filename",A77),FIND("]",CELL("filename",A77))+1,31)) &amp; "*",CHOOSE({1,2}, Super_CBSA!$B$2:$B$1917, Super_CBSA!$A$2:$A$1917), 2,FALSE), IFERROR(VLOOKUP(B78  &amp; " city",CHOOSE({1,2}, Super_CBSA!$E$2:$E$1917, Super_CBSA!$A$2:$A$1917), 2,FALSE), ""))</f>
        <v/>
      </c>
    </row>
    <row r="79" spans="1:7" ht="17">
      <c r="A79" s="1" t="s">
        <v>3818</v>
      </c>
      <c r="B79" s="2" t="s">
        <v>1789</v>
      </c>
      <c r="C79" s="2">
        <v>175</v>
      </c>
      <c r="D79" s="3">
        <v>4820</v>
      </c>
      <c r="E79" s="3">
        <v>32052</v>
      </c>
      <c r="F79" s="4">
        <v>179697</v>
      </c>
      <c r="G79" s="11" t="str" cm="1">
        <f t="array" aca="1" ref="G79" ca="1">IFERROR(VLOOKUP("*" &amp; B79  &amp; "*" &amp; (MID(CELL("filename",A78),FIND("]",CELL("filename",A78))+1,31)) &amp; "*",CHOOSE({1,2}, Super_CBSA!$B$2:$B$1917, Super_CBSA!$A$2:$A$1917), 2,FALSE), IFERROR(VLOOKUP(B79  &amp; " city",CHOOSE({1,2}, Super_CBSA!$E$2:$E$1917, Super_CBSA!$A$2:$A$1917), 2,FALSE), ""))</f>
        <v/>
      </c>
    </row>
    <row r="80" spans="1:7" ht="17">
      <c r="A80" s="1" t="s">
        <v>3819</v>
      </c>
      <c r="B80" s="2" t="s">
        <v>3777</v>
      </c>
      <c r="C80" s="2">
        <v>0</v>
      </c>
      <c r="D80" s="2">
        <v>0</v>
      </c>
      <c r="E80" s="2">
        <v>0</v>
      </c>
      <c r="F80" s="4">
        <v>0</v>
      </c>
      <c r="G80" s="11" t="str" cm="1">
        <f t="array" aca="1" ref="G80" ca="1">IFERROR(VLOOKUP("*" &amp; B80  &amp; "*" &amp; (MID(CELL("filename",A79),FIND("]",CELL("filename",A79))+1,31)) &amp; "*",CHOOSE({1,2}, Super_CBSA!$B$2:$B$1917, Super_CBSA!$A$2:$A$1917), 2,FALSE), IFERROR(VLOOKUP(B80  &amp; " city",CHOOSE({1,2}, Super_CBSA!$E$2:$E$1917, Super_CBSA!$A$2:$A$1917), 2,FALSE), ""))</f>
        <v/>
      </c>
    </row>
    <row r="81" spans="1:7" ht="17">
      <c r="A81" s="1" t="s">
        <v>3820</v>
      </c>
      <c r="B81" s="2" t="s">
        <v>3821</v>
      </c>
      <c r="C81" s="2">
        <v>235</v>
      </c>
      <c r="D81" s="3">
        <v>9108</v>
      </c>
      <c r="E81" s="3">
        <v>60818</v>
      </c>
      <c r="F81" s="4">
        <v>129731</v>
      </c>
      <c r="G81" s="11" t="str" cm="1">
        <f t="array" aca="1" ref="G81" ca="1">IFERROR(VLOOKUP("*" &amp; B81  &amp; "*" &amp; (MID(CELL("filename",A80),FIND("]",CELL("filename",A80))+1,31)) &amp; "*",CHOOSE({1,2}, Super_CBSA!$B$2:$B$1917, Super_CBSA!$A$2:$A$1917), 2,FALSE), IFERROR(VLOOKUP(B81  &amp; " city",CHOOSE({1,2}, Super_CBSA!$E$2:$E$1917, Super_CBSA!$A$2:$A$1917), 2,FALSE), ""))</f>
        <v/>
      </c>
    </row>
    <row r="82" spans="1:7" ht="17">
      <c r="A82" s="1" t="s">
        <v>3822</v>
      </c>
      <c r="B82" s="2" t="s">
        <v>3775</v>
      </c>
      <c r="C82" s="2">
        <v>554</v>
      </c>
      <c r="D82" s="3">
        <v>23603</v>
      </c>
      <c r="E82" s="3">
        <v>138557</v>
      </c>
      <c r="F82" s="4">
        <v>3204060</v>
      </c>
      <c r="G82" s="11" cm="1">
        <f t="array" aca="1" ref="G82" ca="1">IFERROR(VLOOKUP("*" &amp; B82  &amp; "*" &amp; (MID(CELL("filename",A81),FIND("]",CELL("filename",A81))+1,31)) &amp; "*",CHOOSE({1,2}, Super_CBSA!$B$2:$B$1917, Super_CBSA!$A$2:$A$1917), 2,FALSE), IFERROR(VLOOKUP(B82  &amp; " city",CHOOSE({1,2}, Super_CBSA!$E$2:$E$1917, Super_CBSA!$A$2:$A$1917), 2,FALSE), ""))</f>
        <v>35620</v>
      </c>
    </row>
    <row r="83" spans="1:7" ht="17">
      <c r="A83" s="1" t="s">
        <v>3823</v>
      </c>
      <c r="B83" s="2" t="s">
        <v>3775</v>
      </c>
      <c r="C83" s="2">
        <v>783</v>
      </c>
      <c r="D83" s="3">
        <v>32314</v>
      </c>
      <c r="E83" s="3">
        <v>176754</v>
      </c>
      <c r="F83" s="4">
        <v>3831899</v>
      </c>
      <c r="G83" s="11" cm="1">
        <f t="array" aca="1" ref="G83" ca="1">IFERROR(VLOOKUP("*" &amp; B83  &amp; "*" &amp; (MID(CELL("filename",A82),FIND("]",CELL("filename",A82))+1,31)) &amp; "*",CHOOSE({1,2}, Super_CBSA!$B$2:$B$1917, Super_CBSA!$A$2:$A$1917), 2,FALSE), IFERROR(VLOOKUP(B83  &amp; " city",CHOOSE({1,2}, Super_CBSA!$E$2:$E$1917, Super_CBSA!$A$2:$A$1917), 2,FALSE), ""))</f>
        <v>35620</v>
      </c>
    </row>
    <row r="84" spans="1:7" ht="17">
      <c r="A84" s="1" t="s">
        <v>3824</v>
      </c>
      <c r="B84" s="2" t="s">
        <v>939</v>
      </c>
      <c r="C84" s="2">
        <v>407</v>
      </c>
      <c r="D84" s="3">
        <v>18713</v>
      </c>
      <c r="E84" s="3">
        <v>105708</v>
      </c>
      <c r="F84" s="4">
        <v>2419200</v>
      </c>
      <c r="G84" s="11" t="str" cm="1">
        <f t="array" aca="1" ref="G84" ca="1">IFERROR(VLOOKUP("*" &amp; B84  &amp; "*" &amp; (MID(CELL("filename",A83),FIND("]",CELL("filename",A83))+1,31)) &amp; "*",CHOOSE({1,2}, Super_CBSA!$B$2:$B$1917, Super_CBSA!$A$2:$A$1917), 2,FALSE), IFERROR(VLOOKUP(B84  &amp; " city",CHOOSE({1,2}, Super_CBSA!$E$2:$E$1917, Super_CBSA!$A$2:$A$1917), 2,FALSE), ""))</f>
        <v/>
      </c>
    </row>
    <row r="85" spans="1:7" ht="17">
      <c r="A85" s="1" t="s">
        <v>3825</v>
      </c>
      <c r="B85" s="2" t="s">
        <v>3775</v>
      </c>
      <c r="C85" s="2">
        <v>0</v>
      </c>
      <c r="D85" s="2">
        <v>0</v>
      </c>
      <c r="E85" s="2">
        <v>0</v>
      </c>
      <c r="F85" s="4">
        <v>0</v>
      </c>
      <c r="G85" s="11" cm="1">
        <f t="array" aca="1" ref="G85" ca="1">IFERROR(VLOOKUP("*" &amp; B85  &amp; "*" &amp; (MID(CELL("filename",A84),FIND("]",CELL("filename",A84))+1,31)) &amp; "*",CHOOSE({1,2}, Super_CBSA!$B$2:$B$1917, Super_CBSA!$A$2:$A$1917), 2,FALSE), IFERROR(VLOOKUP(B85  &amp; " city",CHOOSE({1,2}, Super_CBSA!$E$2:$E$1917, Super_CBSA!$A$2:$A$1917), 2,FALSE), ""))</f>
        <v>35620</v>
      </c>
    </row>
    <row r="86" spans="1:7" ht="17">
      <c r="A86" s="1" t="s">
        <v>3826</v>
      </c>
      <c r="B86" s="2" t="s">
        <v>3827</v>
      </c>
      <c r="C86" s="2">
        <v>255</v>
      </c>
      <c r="D86" s="3">
        <v>12306</v>
      </c>
      <c r="E86" s="3">
        <v>60436</v>
      </c>
      <c r="F86" s="4">
        <v>895445</v>
      </c>
      <c r="G86" s="11" cm="1">
        <f t="array" aca="1" ref="G86" ca="1">IFERROR(VLOOKUP("*" &amp; B86  &amp; "*" &amp; (MID(CELL("filename",A85),FIND("]",CELL("filename",A85))+1,31)) &amp; "*",CHOOSE({1,2}, Super_CBSA!$B$2:$B$1917, Super_CBSA!$A$2:$A$1917), 2,FALSE), IFERROR(VLOOKUP(B86  &amp; " city",CHOOSE({1,2}, Super_CBSA!$E$2:$E$1917, Super_CBSA!$A$2:$A$1917), 2,FALSE), ""))</f>
        <v>46540</v>
      </c>
    </row>
    <row r="87" spans="1:7" ht="17">
      <c r="A87" s="1" t="s">
        <v>3828</v>
      </c>
      <c r="B87" s="2" t="s">
        <v>3827</v>
      </c>
      <c r="C87" s="2">
        <v>0</v>
      </c>
      <c r="D87" s="2">
        <v>0</v>
      </c>
      <c r="E87" s="2">
        <v>0</v>
      </c>
      <c r="F87" s="4">
        <v>0</v>
      </c>
      <c r="G87" s="11" cm="1">
        <f t="array" aca="1" ref="G87" ca="1">IFERROR(VLOOKUP("*" &amp; B87  &amp; "*" &amp; (MID(CELL("filename",A86),FIND("]",CELL("filename",A86))+1,31)) &amp; "*",CHOOSE({1,2}, Super_CBSA!$B$2:$B$1917, Super_CBSA!$A$2:$A$1917), 2,FALSE), IFERROR(VLOOKUP(B87  &amp; " city",CHOOSE({1,2}, Super_CBSA!$E$2:$E$1917, Super_CBSA!$A$2:$A$1917), 2,FALSE), ""))</f>
        <v>46540</v>
      </c>
    </row>
    <row r="88" spans="1:7" ht="17">
      <c r="A88" s="1" t="s">
        <v>3829</v>
      </c>
      <c r="B88" s="2" t="s">
        <v>3827</v>
      </c>
      <c r="C88" s="2">
        <v>201</v>
      </c>
      <c r="D88" s="3">
        <v>9298</v>
      </c>
      <c r="E88" s="3">
        <v>47563</v>
      </c>
      <c r="F88" s="4">
        <v>679232</v>
      </c>
      <c r="G88" s="11" cm="1">
        <f t="array" aca="1" ref="G88" ca="1">IFERROR(VLOOKUP("*" &amp; B88  &amp; "*" &amp; (MID(CELL("filename",A87),FIND("]",CELL("filename",A87))+1,31)) &amp; "*",CHOOSE({1,2}, Super_CBSA!$B$2:$B$1917, Super_CBSA!$A$2:$A$1917), 2,FALSE), IFERROR(VLOOKUP(B88  &amp; " city",CHOOSE({1,2}, Super_CBSA!$E$2:$E$1917, Super_CBSA!$A$2:$A$1917), 2,FALSE), ""))</f>
        <v>46540</v>
      </c>
    </row>
    <row r="89" spans="1:7" ht="17">
      <c r="A89" s="1" t="s">
        <v>3830</v>
      </c>
      <c r="B89" s="2" t="s">
        <v>3831</v>
      </c>
      <c r="C89" s="2">
        <v>530</v>
      </c>
      <c r="D89" s="3">
        <v>17113</v>
      </c>
      <c r="E89" s="3">
        <v>81662</v>
      </c>
      <c r="F89" s="4">
        <v>1227568</v>
      </c>
      <c r="G89" s="11" t="str" cm="1">
        <f t="array" aca="1" ref="G89" ca="1">IFERROR(VLOOKUP("*" &amp; B89  &amp; "*" &amp; (MID(CELL("filename",A88),FIND("]",CELL("filename",A88))+1,31)) &amp; "*",CHOOSE({1,2}, Super_CBSA!$B$2:$B$1917, Super_CBSA!$A$2:$A$1917), 2,FALSE), IFERROR(VLOOKUP(B89  &amp; " city",CHOOSE({1,2}, Super_CBSA!$E$2:$E$1917, Super_CBSA!$A$2:$A$1917), 2,FALSE), ""))</f>
        <v/>
      </c>
    </row>
    <row r="90" spans="1:7" ht="17">
      <c r="A90" s="1" t="s">
        <v>3832</v>
      </c>
      <c r="B90" s="2" t="s">
        <v>3833</v>
      </c>
      <c r="C90" s="2">
        <v>142</v>
      </c>
      <c r="D90" s="3">
        <v>2407</v>
      </c>
      <c r="E90" s="3">
        <v>8507</v>
      </c>
      <c r="F90" s="4">
        <v>327665</v>
      </c>
      <c r="G90" s="11" cm="1">
        <f t="array" aca="1" ref="G90" ca="1">IFERROR(VLOOKUP("*" &amp; B90  &amp; "*" &amp; (MID(CELL("filename",A89),FIND("]",CELL("filename",A89))+1,31)) &amp; "*",CHOOSE({1,2}, Super_CBSA!$B$2:$B$1917, Super_CBSA!$A$2:$A$1917), 2,FALSE), IFERROR(VLOOKUP(B90  &amp; " city",CHOOSE({1,2}, Super_CBSA!$E$2:$E$1917, Super_CBSA!$A$2:$A$1917), 2,FALSE), ""))</f>
        <v>24100</v>
      </c>
    </row>
    <row r="91" spans="1:7" ht="17">
      <c r="A91" s="1" t="s">
        <v>3834</v>
      </c>
      <c r="B91" s="2" t="s">
        <v>3777</v>
      </c>
      <c r="C91" s="2">
        <v>134</v>
      </c>
      <c r="D91" s="3">
        <v>7529</v>
      </c>
      <c r="E91" s="3">
        <v>35541</v>
      </c>
      <c r="F91" s="4">
        <v>225302</v>
      </c>
      <c r="G91" s="11" t="str" cm="1">
        <f t="array" aca="1" ref="G91" ca="1">IFERROR(VLOOKUP("*" &amp; B91  &amp; "*" &amp; (MID(CELL("filename",A90),FIND("]",CELL("filename",A90))+1,31)) &amp; "*",CHOOSE({1,2}, Super_CBSA!$B$2:$B$1917, Super_CBSA!$A$2:$A$1917), 2,FALSE), IFERROR(VLOOKUP(B91  &amp; " city",CHOOSE({1,2}, Super_CBSA!$E$2:$E$1917, Super_CBSA!$A$2:$A$1917), 2,FALSE), ""))</f>
        <v/>
      </c>
    </row>
    <row r="92" spans="1:7" ht="17">
      <c r="A92" s="1" t="s">
        <v>3835</v>
      </c>
      <c r="B92" s="2" t="s">
        <v>3775</v>
      </c>
      <c r="C92" s="2">
        <v>0</v>
      </c>
      <c r="D92" s="2">
        <v>0</v>
      </c>
      <c r="E92" s="2">
        <v>0</v>
      </c>
      <c r="F92" s="4">
        <v>0</v>
      </c>
      <c r="G92" s="11" cm="1">
        <f t="array" aca="1" ref="G92" ca="1">IFERROR(VLOOKUP("*" &amp; B92  &amp; "*" &amp; (MID(CELL("filename",A91),FIND("]",CELL("filename",A91))+1,31)) &amp; "*",CHOOSE({1,2}, Super_CBSA!$B$2:$B$1917, Super_CBSA!$A$2:$A$1917), 2,FALSE), IFERROR(VLOOKUP(B92  &amp; " city",CHOOSE({1,2}, Super_CBSA!$E$2:$E$1917, Super_CBSA!$A$2:$A$1917), 2,FALSE), ""))</f>
        <v>35620</v>
      </c>
    </row>
    <row r="93" spans="1:7" ht="17">
      <c r="A93" s="1" t="s">
        <v>3836</v>
      </c>
      <c r="B93" s="2" t="s">
        <v>3775</v>
      </c>
      <c r="C93" s="3">
        <v>2650</v>
      </c>
      <c r="D93" s="3">
        <v>111301</v>
      </c>
      <c r="E93" s="3">
        <v>701074</v>
      </c>
      <c r="F93" s="4">
        <v>18677245</v>
      </c>
      <c r="G93" s="11" cm="1">
        <f t="array" aca="1" ref="G93" ca="1">IFERROR(VLOOKUP("*" &amp; B93  &amp; "*" &amp; (MID(CELL("filename",A92),FIND("]",CELL("filename",A92))+1,31)) &amp; "*",CHOOSE({1,2}, Super_CBSA!$B$2:$B$1917, Super_CBSA!$A$2:$A$1917), 2,FALSE), IFERROR(VLOOKUP(B93  &amp; " city",CHOOSE({1,2}, Super_CBSA!$E$2:$E$1917, Super_CBSA!$A$2:$A$1917), 2,FALSE), ""))</f>
        <v>35620</v>
      </c>
    </row>
    <row r="94" spans="1:7" ht="17">
      <c r="A94" s="1" t="s">
        <v>3837</v>
      </c>
      <c r="B94" s="2" t="s">
        <v>1147</v>
      </c>
      <c r="C94" s="2">
        <v>297</v>
      </c>
      <c r="D94" s="3">
        <v>5139</v>
      </c>
      <c r="E94" s="3">
        <v>19722</v>
      </c>
      <c r="F94" s="4">
        <v>285521</v>
      </c>
      <c r="G94" s="11" cm="1">
        <f t="array" aca="1" ref="G94" ca="1">IFERROR(VLOOKUP("*" &amp; B94  &amp; "*" &amp; (MID(CELL("filename",A93),FIND("]",CELL("filename",A93))+1,31)) &amp; "*",CHOOSE({1,2}, Super_CBSA!$B$2:$B$1917, Super_CBSA!$A$2:$A$1917), 2,FALSE), IFERROR(VLOOKUP(B94  &amp; " city",CHOOSE({1,2}, Super_CBSA!$E$2:$E$1917, Super_CBSA!$A$2:$A$1917), 2,FALSE), ""))</f>
        <v>35620</v>
      </c>
    </row>
    <row r="95" spans="1:7" ht="17">
      <c r="A95" s="1" t="s">
        <v>3838</v>
      </c>
      <c r="B95" s="2" t="s">
        <v>3755</v>
      </c>
      <c r="C95" s="2">
        <v>492</v>
      </c>
      <c r="D95" s="3">
        <v>31315</v>
      </c>
      <c r="E95" s="3">
        <v>162184</v>
      </c>
      <c r="F95" s="4">
        <v>2560661</v>
      </c>
      <c r="G95" s="11" t="str" cm="1">
        <f t="array" aca="1" ref="G95" ca="1">IFERROR(VLOOKUP("*" &amp; B95  &amp; "*" &amp; (MID(CELL("filename",A94),FIND("]",CELL("filename",A94))+1,31)) &amp; "*",CHOOSE({1,2}, Super_CBSA!$B$2:$B$1917, Super_CBSA!$A$2:$A$1917), 2,FALSE), IFERROR(VLOOKUP(B95  &amp; " city",CHOOSE({1,2}, Super_CBSA!$E$2:$E$1917, Super_CBSA!$A$2:$A$1917), 2,FALSE), ""))</f>
        <v/>
      </c>
    </row>
    <row r="96" spans="1:7" ht="17">
      <c r="A96" s="1" t="s">
        <v>3839</v>
      </c>
      <c r="B96" s="2" t="s">
        <v>3775</v>
      </c>
      <c r="C96" s="2">
        <v>0</v>
      </c>
      <c r="D96" s="2">
        <v>0</v>
      </c>
      <c r="E96" s="2">
        <v>0</v>
      </c>
      <c r="F96" s="4">
        <v>0</v>
      </c>
      <c r="G96" s="11" cm="1">
        <f t="array" aca="1" ref="G96" ca="1">IFERROR(VLOOKUP("*" &amp; B96  &amp; "*" &amp; (MID(CELL("filename",A95),FIND("]",CELL("filename",A95))+1,31)) &amp; "*",CHOOSE({1,2}, Super_CBSA!$B$2:$B$1917, Super_CBSA!$A$2:$A$1917), 2,FALSE), IFERROR(VLOOKUP(B96  &amp; " city",CHOOSE({1,2}, Super_CBSA!$E$2:$E$1917, Super_CBSA!$A$2:$A$1917), 2,FALSE), ""))</f>
        <v>35620</v>
      </c>
    </row>
    <row r="97" spans="1:7" ht="17">
      <c r="A97" s="1" t="s">
        <v>3840</v>
      </c>
      <c r="B97" s="2" t="s">
        <v>3777</v>
      </c>
      <c r="C97" s="2">
        <v>591</v>
      </c>
      <c r="D97" s="3">
        <v>32433</v>
      </c>
      <c r="E97" s="3">
        <v>172308</v>
      </c>
      <c r="F97" s="4">
        <v>2529630</v>
      </c>
      <c r="G97" s="11" t="str" cm="1">
        <f t="array" aca="1" ref="G97" ca="1">IFERROR(VLOOKUP("*" &amp; B97  &amp; "*" &amp; (MID(CELL("filename",A96),FIND("]",CELL("filename",A96))+1,31)) &amp; "*",CHOOSE({1,2}, Super_CBSA!$B$2:$B$1917, Super_CBSA!$A$2:$A$1917), 2,FALSE), IFERROR(VLOOKUP(B97  &amp; " city",CHOOSE({1,2}, Super_CBSA!$E$2:$E$1917, Super_CBSA!$A$2:$A$1917), 2,FALSE), ""))</f>
        <v/>
      </c>
    </row>
    <row r="98" spans="1:7" ht="17">
      <c r="A98" s="1" t="s">
        <v>3841</v>
      </c>
      <c r="B98" s="2" t="s">
        <v>3842</v>
      </c>
      <c r="C98" s="2">
        <v>128</v>
      </c>
      <c r="D98" s="3">
        <v>7827</v>
      </c>
      <c r="E98" s="3">
        <v>34124</v>
      </c>
      <c r="F98" s="4">
        <v>876832</v>
      </c>
      <c r="G98" s="11" t="str" cm="1">
        <f t="array" aca="1" ref="G98" ca="1">IFERROR(VLOOKUP("*" &amp; B98  &amp; "*" &amp; (MID(CELL("filename",A97),FIND("]",CELL("filename",A97))+1,31)) &amp; "*",CHOOSE({1,2}, Super_CBSA!$B$2:$B$1917, Super_CBSA!$A$2:$A$1917), 2,FALSE), IFERROR(VLOOKUP(B98  &amp; " city",CHOOSE({1,2}, Super_CBSA!$E$2:$E$1917, Super_CBSA!$A$2:$A$1917), 2,FALSE), ""))</f>
        <v/>
      </c>
    </row>
    <row r="99" spans="1:7" ht="17">
      <c r="A99" s="1" t="s">
        <v>3843</v>
      </c>
      <c r="B99" s="2" t="s">
        <v>3844</v>
      </c>
      <c r="C99" s="2">
        <v>208</v>
      </c>
      <c r="D99" s="3">
        <v>11173</v>
      </c>
      <c r="E99" s="3">
        <v>57530</v>
      </c>
      <c r="F99" s="4">
        <v>966891</v>
      </c>
      <c r="G99" s="11" t="str" cm="1">
        <f t="array" aca="1" ref="G99" ca="1">IFERROR(VLOOKUP("*" &amp; B99  &amp; "*" &amp; (MID(CELL("filename",A98),FIND("]",CELL("filename",A98))+1,31)) &amp; "*",CHOOSE({1,2}, Super_CBSA!$B$2:$B$1917, Super_CBSA!$A$2:$A$1917), 2,FALSE), IFERROR(VLOOKUP(B99  &amp; " city",CHOOSE({1,2}, Super_CBSA!$E$2:$E$1917, Super_CBSA!$A$2:$A$1917), 2,FALSE), ""))</f>
        <v/>
      </c>
    </row>
    <row r="100" spans="1:7" ht="17">
      <c r="A100" s="1" t="s">
        <v>3845</v>
      </c>
      <c r="B100" s="2" t="s">
        <v>3775</v>
      </c>
      <c r="C100" s="2">
        <v>132</v>
      </c>
      <c r="D100" s="3">
        <v>8655</v>
      </c>
      <c r="E100" s="3">
        <v>45964</v>
      </c>
      <c r="F100" s="4">
        <v>272967</v>
      </c>
      <c r="G100" s="11" cm="1">
        <f t="array" aca="1" ref="G100" ca="1">IFERROR(VLOOKUP("*" &amp; B100  &amp; "*" &amp; (MID(CELL("filename",A99),FIND("]",CELL("filename",A99))+1,31)) &amp; "*",CHOOSE({1,2}, Super_CBSA!$B$2:$B$1917, Super_CBSA!$A$2:$A$1917), 2,FALSE), IFERROR(VLOOKUP(B100  &amp; " city",CHOOSE({1,2}, Super_CBSA!$E$2:$E$1917, Super_CBSA!$A$2:$A$1917), 2,FALSE), ""))</f>
        <v>35620</v>
      </c>
    </row>
    <row r="101" spans="1:7" ht="17">
      <c r="A101" s="1" t="s">
        <v>3846</v>
      </c>
      <c r="B101" s="2" t="s">
        <v>3847</v>
      </c>
      <c r="C101" s="2">
        <v>133</v>
      </c>
      <c r="D101" s="3">
        <v>4578</v>
      </c>
      <c r="E101" s="3">
        <v>21777</v>
      </c>
      <c r="F101" s="4">
        <v>205572</v>
      </c>
      <c r="G101" s="11" t="str" cm="1">
        <f t="array" aca="1" ref="G101" ca="1">IFERROR(VLOOKUP("*" &amp; B101  &amp; "*" &amp; (MID(CELL("filename",A100),FIND("]",CELL("filename",A100))+1,31)) &amp; "*",CHOOSE({1,2}, Super_CBSA!$B$2:$B$1917, Super_CBSA!$A$2:$A$1917), 2,FALSE), IFERROR(VLOOKUP(B101  &amp; " city",CHOOSE({1,2}, Super_CBSA!$E$2:$E$1917, Super_CBSA!$A$2:$A$1917), 2,FALSE), ""))</f>
        <v/>
      </c>
    </row>
    <row r="102" spans="1:7" ht="17">
      <c r="A102" s="1" t="s">
        <v>3848</v>
      </c>
      <c r="B102" s="2" t="s">
        <v>3849</v>
      </c>
      <c r="C102" s="3">
        <v>1040</v>
      </c>
      <c r="D102" s="3">
        <v>48079</v>
      </c>
      <c r="E102" s="3">
        <v>283762</v>
      </c>
      <c r="F102" s="4">
        <v>7580414</v>
      </c>
      <c r="G102" s="11" t="str" cm="1">
        <f t="array" aca="1" ref="G102" ca="1">IFERROR(VLOOKUP("*" &amp; B102  &amp; "*" &amp; (MID(CELL("filename",A101),FIND("]",CELL("filename",A101))+1,31)) &amp; "*",CHOOSE({1,2}, Super_CBSA!$B$2:$B$1917, Super_CBSA!$A$2:$A$1917), 2,FALSE), IFERROR(VLOOKUP(B102  &amp; " city",CHOOSE({1,2}, Super_CBSA!$E$2:$E$1917, Super_CBSA!$A$2:$A$1917), 2,FALSE), ""))</f>
        <v/>
      </c>
    </row>
    <row r="103" spans="1:7" ht="17">
      <c r="A103" s="1" t="s">
        <v>3850</v>
      </c>
      <c r="B103" s="2" t="s">
        <v>3851</v>
      </c>
      <c r="C103" s="2">
        <v>84</v>
      </c>
      <c r="D103" s="3">
        <v>5089</v>
      </c>
      <c r="E103" s="3">
        <v>19269</v>
      </c>
      <c r="F103" s="4">
        <v>338632</v>
      </c>
      <c r="G103" s="11" t="str" cm="1">
        <f t="array" aca="1" ref="G103" ca="1">IFERROR(VLOOKUP("*" &amp; B103  &amp; "*" &amp; (MID(CELL("filename",A102),FIND("]",CELL("filename",A102))+1,31)) &amp; "*",CHOOSE({1,2}, Super_CBSA!$B$2:$B$1917, Super_CBSA!$A$2:$A$1917), 2,FALSE), IFERROR(VLOOKUP(B103  &amp; " city",CHOOSE({1,2}, Super_CBSA!$E$2:$E$1917, Super_CBSA!$A$2:$A$1917), 2,FALSE), ""))</f>
        <v/>
      </c>
    </row>
    <row r="104" spans="1:7" ht="17">
      <c r="A104" s="1" t="s">
        <v>3852</v>
      </c>
      <c r="B104" s="2" t="s">
        <v>3853</v>
      </c>
      <c r="C104" s="2">
        <v>195</v>
      </c>
      <c r="D104" s="3">
        <v>8581</v>
      </c>
      <c r="E104" s="3">
        <v>35790</v>
      </c>
      <c r="F104" s="4">
        <v>748940</v>
      </c>
      <c r="G104" s="11" t="str" cm="1">
        <f t="array" aca="1" ref="G104" ca="1">IFERROR(VLOOKUP("*" &amp; B104  &amp; "*" &amp; (MID(CELL("filename",A103),FIND("]",CELL("filename",A103))+1,31)) &amp; "*",CHOOSE({1,2}, Super_CBSA!$B$2:$B$1917, Super_CBSA!$A$2:$A$1917), 2,FALSE), IFERROR(VLOOKUP(B104  &amp; " city",CHOOSE({1,2}, Super_CBSA!$E$2:$E$1917, Super_CBSA!$A$2:$A$1917), 2,FALSE), ""))</f>
        <v/>
      </c>
    </row>
    <row r="105" spans="1:7" ht="17">
      <c r="A105" s="1" t="s">
        <v>3854</v>
      </c>
      <c r="B105" s="2" t="s">
        <v>3775</v>
      </c>
      <c r="C105" s="2">
        <v>912</v>
      </c>
      <c r="D105" s="3">
        <v>18999</v>
      </c>
      <c r="E105" s="3">
        <v>124012</v>
      </c>
      <c r="F105" s="4">
        <v>1558633</v>
      </c>
      <c r="G105" s="11" cm="1">
        <f t="array" aca="1" ref="G105" ca="1">IFERROR(VLOOKUP("*" &amp; B105  &amp; "*" &amp; (MID(CELL("filename",A104),FIND("]",CELL("filename",A104))+1,31)) &amp; "*",CHOOSE({1,2}, Super_CBSA!$B$2:$B$1917, Super_CBSA!$A$2:$A$1917), 2,FALSE), IFERROR(VLOOKUP(B105  &amp; " city",CHOOSE({1,2}, Super_CBSA!$E$2:$E$1917, Super_CBSA!$A$2:$A$1917), 2,FALSE), ""))</f>
        <v>35620</v>
      </c>
    </row>
    <row r="106" spans="1:7" ht="17">
      <c r="A106" s="1" t="s">
        <v>3855</v>
      </c>
      <c r="B106" s="2" t="s">
        <v>3777</v>
      </c>
      <c r="C106" s="2">
        <v>371</v>
      </c>
      <c r="D106" s="3">
        <v>13092</v>
      </c>
      <c r="E106" s="3">
        <v>85854</v>
      </c>
      <c r="F106" s="4">
        <v>973671</v>
      </c>
      <c r="G106" s="11" t="str" cm="1">
        <f t="array" aca="1" ref="G106" ca="1">IFERROR(VLOOKUP("*" &amp; B106  &amp; "*" &amp; (MID(CELL("filename",A105),FIND("]",CELL("filename",A105))+1,31)) &amp; "*",CHOOSE({1,2}, Super_CBSA!$B$2:$B$1917, Super_CBSA!$A$2:$A$1917), 2,FALSE), IFERROR(VLOOKUP(B106  &amp; " city",CHOOSE({1,2}, Super_CBSA!$E$2:$E$1917, Super_CBSA!$A$2:$A$1917), 2,FALSE), ""))</f>
        <v/>
      </c>
    </row>
    <row r="107" spans="1:7" ht="17">
      <c r="A107" s="1" t="s">
        <v>3856</v>
      </c>
      <c r="B107" s="2" t="s">
        <v>1870</v>
      </c>
      <c r="C107" s="2">
        <v>500</v>
      </c>
      <c r="D107" s="3">
        <v>17680</v>
      </c>
      <c r="E107" s="3">
        <v>107541</v>
      </c>
      <c r="F107" s="4">
        <v>1333424</v>
      </c>
      <c r="G107" s="11" t="str" cm="1">
        <f t="array" aca="1" ref="G107" ca="1">IFERROR(VLOOKUP("*" &amp; B107  &amp; "*" &amp; (MID(CELL("filename",A106),FIND("]",CELL("filename",A106))+1,31)) &amp; "*",CHOOSE({1,2}, Super_CBSA!$B$2:$B$1917, Super_CBSA!$A$2:$A$1917), 2,FALSE), IFERROR(VLOOKUP(B107  &amp; " city",CHOOSE({1,2}, Super_CBSA!$E$2:$E$1917, Super_CBSA!$A$2:$A$1917), 2,FALSE), ""))</f>
        <v/>
      </c>
    </row>
    <row r="108" spans="1:7" ht="17">
      <c r="A108" s="1" t="s">
        <v>3857</v>
      </c>
      <c r="B108" s="2" t="s">
        <v>3775</v>
      </c>
      <c r="C108" s="2">
        <v>282</v>
      </c>
      <c r="D108" s="3">
        <v>9651</v>
      </c>
      <c r="E108" s="3">
        <v>60833</v>
      </c>
      <c r="F108" s="4">
        <v>580051</v>
      </c>
      <c r="G108" s="11" cm="1">
        <f t="array" aca="1" ref="G108" ca="1">IFERROR(VLOOKUP("*" &amp; B108  &amp; "*" &amp; (MID(CELL("filename",A107),FIND("]",CELL("filename",A107))+1,31)) &amp; "*",CHOOSE({1,2}, Super_CBSA!$B$2:$B$1917, Super_CBSA!$A$2:$A$1917), 2,FALSE), IFERROR(VLOOKUP(B108  &amp; " city",CHOOSE({1,2}, Super_CBSA!$E$2:$E$1917, Super_CBSA!$A$2:$A$1917), 2,FALSE), ""))</f>
        <v>35620</v>
      </c>
    </row>
    <row r="109" spans="1:7" ht="17">
      <c r="A109" s="1" t="s">
        <v>3858</v>
      </c>
      <c r="B109" s="2" t="s">
        <v>3724</v>
      </c>
      <c r="C109" s="2">
        <v>439</v>
      </c>
      <c r="D109" s="3">
        <v>16900</v>
      </c>
      <c r="E109" s="3">
        <v>95634</v>
      </c>
      <c r="F109" s="4">
        <v>1037934</v>
      </c>
      <c r="G109" s="11" t="str" cm="1">
        <f t="array" aca="1" ref="G109" ca="1">IFERROR(VLOOKUP("*" &amp; B109  &amp; "*" &amp; (MID(CELL("filename",A108),FIND("]",CELL("filename",A108))+1,31)) &amp; "*",CHOOSE({1,2}, Super_CBSA!$B$2:$B$1917, Super_CBSA!$A$2:$A$1917), 2,FALSE), IFERROR(VLOOKUP(B109  &amp; " city",CHOOSE({1,2}, Super_CBSA!$E$2:$E$1917, Super_CBSA!$A$2:$A$1917), 2,FALSE), ""))</f>
        <v/>
      </c>
    </row>
    <row r="110" spans="1:7" ht="17">
      <c r="A110" s="1" t="s">
        <v>3859</v>
      </c>
      <c r="B110" s="2" t="s">
        <v>3777</v>
      </c>
      <c r="C110" s="2">
        <v>634</v>
      </c>
      <c r="D110" s="3">
        <v>16077</v>
      </c>
      <c r="E110" s="3">
        <v>101980</v>
      </c>
      <c r="F110" s="4">
        <v>1348496</v>
      </c>
      <c r="G110" s="11" t="str" cm="1">
        <f t="array" aca="1" ref="G110" ca="1">IFERROR(VLOOKUP("*" &amp; B110  &amp; "*" &amp; (MID(CELL("filename",A109),FIND("]",CELL("filename",A109))+1,31)) &amp; "*",CHOOSE({1,2}, Super_CBSA!$B$2:$B$1917, Super_CBSA!$A$2:$A$1917), 2,FALSE), IFERROR(VLOOKUP(B110  &amp; " city",CHOOSE({1,2}, Super_CBSA!$E$2:$E$1917, Super_CBSA!$A$2:$A$1917), 2,FALSE), ""))</f>
        <v/>
      </c>
    </row>
    <row r="111" spans="1:7" ht="17">
      <c r="A111" s="1" t="s">
        <v>3860</v>
      </c>
      <c r="B111" s="2" t="s">
        <v>3724</v>
      </c>
      <c r="C111" s="2">
        <v>347</v>
      </c>
      <c r="D111" s="3">
        <v>18730</v>
      </c>
      <c r="E111" s="3">
        <v>83863</v>
      </c>
      <c r="F111" s="4">
        <v>950933</v>
      </c>
      <c r="G111" s="11" t="str" cm="1">
        <f t="array" aca="1" ref="G111" ca="1">IFERROR(VLOOKUP("*" &amp; B111  &amp; "*" &amp; (MID(CELL("filename",A110),FIND("]",CELL("filename",A110))+1,31)) &amp; "*",CHOOSE({1,2}, Super_CBSA!$B$2:$B$1917, Super_CBSA!$A$2:$A$1917), 2,FALSE), IFERROR(VLOOKUP(B111  &amp; " city",CHOOSE({1,2}, Super_CBSA!$E$2:$E$1917, Super_CBSA!$A$2:$A$1917), 2,FALSE), ""))</f>
        <v/>
      </c>
    </row>
    <row r="112" spans="1:7" ht="17">
      <c r="A112" s="1" t="s">
        <v>3861</v>
      </c>
      <c r="B112" s="2" t="s">
        <v>3775</v>
      </c>
      <c r="C112" s="2">
        <v>338</v>
      </c>
      <c r="D112" s="3">
        <v>5600</v>
      </c>
      <c r="E112" s="3">
        <v>29732</v>
      </c>
      <c r="F112" s="4">
        <v>472104</v>
      </c>
      <c r="G112" s="11" cm="1">
        <f t="array" aca="1" ref="G112" ca="1">IFERROR(VLOOKUP("*" &amp; B112  &amp; "*" &amp; (MID(CELL("filename",A111),FIND("]",CELL("filename",A111))+1,31)) &amp; "*",CHOOSE({1,2}, Super_CBSA!$B$2:$B$1917, Super_CBSA!$A$2:$A$1917), 2,FALSE), IFERROR(VLOOKUP(B112  &amp; " city",CHOOSE({1,2}, Super_CBSA!$E$2:$E$1917, Super_CBSA!$A$2:$A$1917), 2,FALSE), ""))</f>
        <v>35620</v>
      </c>
    </row>
    <row r="113" spans="1:7" ht="17">
      <c r="A113" s="1" t="s">
        <v>3862</v>
      </c>
      <c r="B113" s="2" t="s">
        <v>3724</v>
      </c>
      <c r="C113" s="2">
        <v>200</v>
      </c>
      <c r="D113" s="3">
        <v>5312</v>
      </c>
      <c r="E113" s="3">
        <v>23651</v>
      </c>
      <c r="F113" s="4">
        <v>335938</v>
      </c>
      <c r="G113" s="11" t="str" cm="1">
        <f t="array" aca="1" ref="G113" ca="1">IFERROR(VLOOKUP("*" &amp; B113  &amp; "*" &amp; (MID(CELL("filename",A112),FIND("]",CELL("filename",A112))+1,31)) &amp; "*",CHOOSE({1,2}, Super_CBSA!$B$2:$B$1917, Super_CBSA!$A$2:$A$1917), 2,FALSE), IFERROR(VLOOKUP(B113  &amp; " city",CHOOSE({1,2}, Super_CBSA!$E$2:$E$1917, Super_CBSA!$A$2:$A$1917), 2,FALSE), ""))</f>
        <v/>
      </c>
    </row>
    <row r="114" spans="1:7" ht="17">
      <c r="A114" s="1" t="s">
        <v>3863</v>
      </c>
      <c r="B114" s="2" t="s">
        <v>3781</v>
      </c>
      <c r="C114" s="2">
        <v>253</v>
      </c>
      <c r="D114" s="3">
        <v>11885</v>
      </c>
      <c r="E114" s="3">
        <v>59287</v>
      </c>
      <c r="F114" s="4">
        <v>988391</v>
      </c>
      <c r="G114" s="11" t="str" cm="1">
        <f t="array" aca="1" ref="G114" ca="1">IFERROR(VLOOKUP("*" &amp; B114  &amp; "*" &amp; (MID(CELL("filename",A113),FIND("]",CELL("filename",A113))+1,31)) &amp; "*",CHOOSE({1,2}, Super_CBSA!$B$2:$B$1917, Super_CBSA!$A$2:$A$1917), 2,FALSE), IFERROR(VLOOKUP(B114  &amp; " city",CHOOSE({1,2}, Super_CBSA!$E$2:$E$1917, Super_CBSA!$A$2:$A$1917), 2,FALSE), ""))</f>
        <v/>
      </c>
    </row>
    <row r="115" spans="1:7" ht="17">
      <c r="A115" s="1" t="s">
        <v>3864</v>
      </c>
      <c r="B115" s="2" t="s">
        <v>3777</v>
      </c>
      <c r="C115" s="2">
        <v>371</v>
      </c>
      <c r="D115" s="3">
        <v>9091</v>
      </c>
      <c r="E115" s="3">
        <v>49210</v>
      </c>
      <c r="F115" s="4">
        <v>739791</v>
      </c>
      <c r="G115" s="11" t="str" cm="1">
        <f t="array" aca="1" ref="G115" ca="1">IFERROR(VLOOKUP("*" &amp; B115  &amp; "*" &amp; (MID(CELL("filename",A114),FIND("]",CELL("filename",A114))+1,31)) &amp; "*",CHOOSE({1,2}, Super_CBSA!$B$2:$B$1917, Super_CBSA!$A$2:$A$1917), 2,FALSE), IFERROR(VLOOKUP(B115  &amp; " city",CHOOSE({1,2}, Super_CBSA!$E$2:$E$1917, Super_CBSA!$A$2:$A$1917), 2,FALSE), ""))</f>
        <v/>
      </c>
    </row>
    <row r="116" spans="1:7" ht="17">
      <c r="A116" s="1" t="s">
        <v>3865</v>
      </c>
      <c r="B116" s="2" t="s">
        <v>3777</v>
      </c>
      <c r="C116" s="2">
        <v>388</v>
      </c>
      <c r="D116" s="3">
        <v>23168</v>
      </c>
      <c r="E116" s="3">
        <v>104926</v>
      </c>
      <c r="F116" s="4">
        <v>2577087</v>
      </c>
      <c r="G116" s="11" t="str" cm="1">
        <f t="array" aca="1" ref="G116" ca="1">IFERROR(VLOOKUP("*" &amp; B116  &amp; "*" &amp; (MID(CELL("filename",A115),FIND("]",CELL("filename",A115))+1,31)) &amp; "*",CHOOSE({1,2}, Super_CBSA!$B$2:$B$1917, Super_CBSA!$A$2:$A$1917), 2,FALSE), IFERROR(VLOOKUP(B116  &amp; " city",CHOOSE({1,2}, Super_CBSA!$E$2:$E$1917, Super_CBSA!$A$2:$A$1917), 2,FALSE), ""))</f>
        <v/>
      </c>
    </row>
    <row r="117" spans="1:7" ht="17">
      <c r="A117" s="1" t="s">
        <v>3866</v>
      </c>
      <c r="B117" s="2" t="s">
        <v>3775</v>
      </c>
      <c r="C117" s="2">
        <v>160</v>
      </c>
      <c r="D117" s="3">
        <v>5443</v>
      </c>
      <c r="E117" s="3">
        <v>23915</v>
      </c>
      <c r="F117" s="4">
        <v>325774</v>
      </c>
      <c r="G117" s="11" cm="1">
        <f t="array" aca="1" ref="G117" ca="1">IFERROR(VLOOKUP("*" &amp; B117  &amp; "*" &amp; (MID(CELL("filename",A116),FIND("]",CELL("filename",A116))+1,31)) &amp; "*",CHOOSE({1,2}, Super_CBSA!$B$2:$B$1917, Super_CBSA!$A$2:$A$1917), 2,FALSE), IFERROR(VLOOKUP(B117  &amp; " city",CHOOSE({1,2}, Super_CBSA!$E$2:$E$1917, Super_CBSA!$A$2:$A$1917), 2,FALSE), ""))</f>
        <v>35620</v>
      </c>
    </row>
    <row r="118" spans="1:7" ht="17">
      <c r="A118" s="1" t="s">
        <v>3867</v>
      </c>
      <c r="B118" s="2" t="s">
        <v>3775</v>
      </c>
      <c r="C118" s="3">
        <v>1629</v>
      </c>
      <c r="D118" s="3">
        <v>65273</v>
      </c>
      <c r="E118" s="3">
        <v>311369</v>
      </c>
      <c r="F118" s="4">
        <v>21841094</v>
      </c>
      <c r="G118" s="11" cm="1">
        <f t="array" aca="1" ref="G118" ca="1">IFERROR(VLOOKUP("*" &amp; B118  &amp; "*" &amp; (MID(CELL("filename",A117),FIND("]",CELL("filename",A117))+1,31)) &amp; "*",CHOOSE({1,2}, Super_CBSA!$B$2:$B$1917, Super_CBSA!$A$2:$A$1917), 2,FALSE), IFERROR(VLOOKUP(B118  &amp; " city",CHOOSE({1,2}, Super_CBSA!$E$2:$E$1917, Super_CBSA!$A$2:$A$1917), 2,FALSE), ""))</f>
        <v>35620</v>
      </c>
    </row>
    <row r="119" spans="1:7" ht="17">
      <c r="A119" s="1" t="s">
        <v>3868</v>
      </c>
      <c r="B119" s="2" t="s">
        <v>3869</v>
      </c>
      <c r="C119" s="2">
        <v>511</v>
      </c>
      <c r="D119" s="3">
        <v>35113</v>
      </c>
      <c r="E119" s="3">
        <v>172926</v>
      </c>
      <c r="F119" s="4">
        <v>8921535</v>
      </c>
      <c r="G119" s="11" t="str" cm="1">
        <f t="array" aca="1" ref="G119" ca="1">IFERROR(VLOOKUP("*" &amp; B119  &amp; "*" &amp; (MID(CELL("filename",A118),FIND("]",CELL("filename",A118))+1,31)) &amp; "*",CHOOSE({1,2}, Super_CBSA!$B$2:$B$1917, Super_CBSA!$A$2:$A$1917), 2,FALSE), IFERROR(VLOOKUP(B119  &amp; " city",CHOOSE({1,2}, Super_CBSA!$E$2:$E$1917, Super_CBSA!$A$2:$A$1917), 2,FALSE), ""))</f>
        <v/>
      </c>
    </row>
    <row r="120" spans="1:7" ht="17">
      <c r="A120" s="1" t="s">
        <v>3870</v>
      </c>
      <c r="B120" s="2" t="s">
        <v>3871</v>
      </c>
      <c r="C120" s="2">
        <v>567</v>
      </c>
      <c r="D120" s="3">
        <v>7889</v>
      </c>
      <c r="E120" s="3">
        <v>36689</v>
      </c>
      <c r="F120" s="4">
        <v>423222</v>
      </c>
      <c r="G120" s="11" cm="1">
        <f t="array" aca="1" ref="G120" ca="1">IFERROR(VLOOKUP("*" &amp; B120  &amp; "*" &amp; (MID(CELL("filename",A119),FIND("]",CELL("filename",A119))+1,31)) &amp; "*",CHOOSE({1,2}, Super_CBSA!$B$2:$B$1917, Super_CBSA!$A$2:$A$1917), 2,FALSE), IFERROR(VLOOKUP(B120  &amp; " city",CHOOSE({1,2}, Super_CBSA!$E$2:$E$1917, Super_CBSA!$A$2:$A$1917), 2,FALSE), ""))</f>
        <v>36460</v>
      </c>
    </row>
    <row r="121" spans="1:7" ht="17">
      <c r="A121" s="1" t="s">
        <v>3872</v>
      </c>
      <c r="B121" s="2" t="s">
        <v>3873</v>
      </c>
      <c r="C121" s="2">
        <v>261</v>
      </c>
      <c r="D121" s="3">
        <v>2520</v>
      </c>
      <c r="E121" s="3">
        <v>10000</v>
      </c>
      <c r="F121" s="4">
        <v>243570</v>
      </c>
      <c r="G121" s="11" t="str" cm="1">
        <f t="array" aca="1" ref="G121" ca="1">IFERROR(VLOOKUP("*" &amp; B121  &amp; "*" &amp; (MID(CELL("filename",A120),FIND("]",CELL("filename",A120))+1,31)) &amp; "*",CHOOSE({1,2}, Super_CBSA!$B$2:$B$1917, Super_CBSA!$A$2:$A$1917), 2,FALSE), IFERROR(VLOOKUP(B121  &amp; " city",CHOOSE({1,2}, Super_CBSA!$E$2:$E$1917, Super_CBSA!$A$2:$A$1917), 2,FALSE), ""))</f>
        <v/>
      </c>
    </row>
    <row r="122" spans="1:7" ht="17">
      <c r="A122" s="1" t="s">
        <v>3874</v>
      </c>
      <c r="B122" s="2" t="s">
        <v>3875</v>
      </c>
      <c r="C122" s="2">
        <v>164</v>
      </c>
      <c r="D122" s="3">
        <v>3358</v>
      </c>
      <c r="E122" s="3">
        <v>13960</v>
      </c>
      <c r="F122" s="4">
        <v>241875</v>
      </c>
      <c r="G122" s="11" t="str" cm="1">
        <f t="array" aca="1" ref="G122" ca="1">IFERROR(VLOOKUP("*" &amp; B122  &amp; "*" &amp; (MID(CELL("filename",A121),FIND("]",CELL("filename",A121))+1,31)) &amp; "*",CHOOSE({1,2}, Super_CBSA!$B$2:$B$1917, Super_CBSA!$A$2:$A$1917), 2,FALSE), IFERROR(VLOOKUP(B122  &amp; " city",CHOOSE({1,2}, Super_CBSA!$E$2:$E$1917, Super_CBSA!$A$2:$A$1917), 2,FALSE), ""))</f>
        <v/>
      </c>
    </row>
    <row r="123" spans="1:7" ht="17">
      <c r="A123" s="1" t="s">
        <v>3876</v>
      </c>
      <c r="B123" s="2" t="s">
        <v>3877</v>
      </c>
      <c r="C123" s="2">
        <v>161</v>
      </c>
      <c r="D123" s="3">
        <v>9534</v>
      </c>
      <c r="E123" s="3">
        <v>42091</v>
      </c>
      <c r="F123" s="4">
        <v>1046549</v>
      </c>
      <c r="G123" s="11" cm="1">
        <f t="array" aca="1" ref="G123" ca="1">IFERROR(VLOOKUP("*" &amp; B123  &amp; "*" &amp; (MID(CELL("filename",A122),FIND("]",CELL("filename",A122))+1,31)) &amp; "*",CHOOSE({1,2}, Super_CBSA!$B$2:$B$1917, Super_CBSA!$A$2:$A$1917), 2,FALSE), IFERROR(VLOOKUP(B123  &amp; " city",CHOOSE({1,2}, Super_CBSA!$E$2:$E$1917, Super_CBSA!$A$2:$A$1917), 2,FALSE), ""))</f>
        <v>13780</v>
      </c>
    </row>
    <row r="124" spans="1:7" ht="17">
      <c r="A124" s="1" t="s">
        <v>3878</v>
      </c>
      <c r="B124" s="2" t="s">
        <v>3879</v>
      </c>
      <c r="C124" s="2">
        <v>184</v>
      </c>
      <c r="D124" s="3">
        <v>8541</v>
      </c>
      <c r="E124" s="3">
        <v>36611</v>
      </c>
      <c r="F124" s="4">
        <v>735927</v>
      </c>
      <c r="G124" s="11" t="str" cm="1">
        <f t="array" aca="1" ref="G124" ca="1">IFERROR(VLOOKUP("*" &amp; B124  &amp; "*" &amp; (MID(CELL("filename",A123),FIND("]",CELL("filename",A123))+1,31)) &amp; "*",CHOOSE({1,2}, Super_CBSA!$B$2:$B$1917, Super_CBSA!$A$2:$A$1917), 2,FALSE), IFERROR(VLOOKUP(B124  &amp; " city",CHOOSE({1,2}, Super_CBSA!$E$2:$E$1917, Super_CBSA!$A$2:$A$1917), 2,FALSE), ""))</f>
        <v/>
      </c>
    </row>
    <row r="125" spans="1:7" ht="17">
      <c r="A125" s="1" t="s">
        <v>3880</v>
      </c>
      <c r="B125" s="2" t="s">
        <v>3881</v>
      </c>
      <c r="C125" s="2">
        <v>220</v>
      </c>
      <c r="D125" s="3">
        <v>6388</v>
      </c>
      <c r="E125" s="3">
        <v>38481</v>
      </c>
      <c r="F125" s="4">
        <v>1015807</v>
      </c>
      <c r="G125" s="11" t="str" cm="1">
        <f t="array" aca="1" ref="G125" ca="1">IFERROR(VLOOKUP("*" &amp; B125  &amp; "*" &amp; (MID(CELL("filename",A124),FIND("]",CELL("filename",A124))+1,31)) &amp; "*",CHOOSE({1,2}, Super_CBSA!$B$2:$B$1917, Super_CBSA!$A$2:$A$1917), 2,FALSE), IFERROR(VLOOKUP(B125  &amp; " city",CHOOSE({1,2}, Super_CBSA!$E$2:$E$1917, Super_CBSA!$A$2:$A$1917), 2,FALSE), ""))</f>
        <v/>
      </c>
    </row>
    <row r="126" spans="1:7" ht="17">
      <c r="A126" s="1" t="s">
        <v>3882</v>
      </c>
      <c r="B126" s="2" t="s">
        <v>3883</v>
      </c>
      <c r="C126" s="2">
        <v>156</v>
      </c>
      <c r="D126" s="3">
        <v>8179</v>
      </c>
      <c r="E126" s="3">
        <v>39100</v>
      </c>
      <c r="F126" s="4">
        <v>690559</v>
      </c>
      <c r="G126" s="11" t="str" cm="1">
        <f t="array" aca="1" ref="G126" ca="1">IFERROR(VLOOKUP("*" &amp; B126  &amp; "*" &amp; (MID(CELL("filename",A125),FIND("]",CELL("filename",A125))+1,31)) &amp; "*",CHOOSE({1,2}, Super_CBSA!$B$2:$B$1917, Super_CBSA!$A$2:$A$1917), 2,FALSE), IFERROR(VLOOKUP(B126  &amp; " city",CHOOSE({1,2}, Super_CBSA!$E$2:$E$1917, Super_CBSA!$A$2:$A$1917), 2,FALSE), ""))</f>
        <v/>
      </c>
    </row>
    <row r="127" spans="1:7" ht="17">
      <c r="A127" s="1" t="s">
        <v>3884</v>
      </c>
      <c r="B127" s="2" t="s">
        <v>2020</v>
      </c>
      <c r="C127" s="2">
        <v>140</v>
      </c>
      <c r="D127" s="3">
        <v>4896</v>
      </c>
      <c r="E127" s="3">
        <v>17619</v>
      </c>
      <c r="F127" s="4">
        <v>433702</v>
      </c>
      <c r="G127" s="11" t="str" cm="1">
        <f t="array" aca="1" ref="G127" ca="1">IFERROR(VLOOKUP("*" &amp; B127  &amp; "*" &amp; (MID(CELL("filename",A126),FIND("]",CELL("filename",A126))+1,31)) &amp; "*",CHOOSE({1,2}, Super_CBSA!$B$2:$B$1917, Super_CBSA!$A$2:$A$1917), 2,FALSE), IFERROR(VLOOKUP(B127  &amp; " city",CHOOSE({1,2}, Super_CBSA!$E$2:$E$1917, Super_CBSA!$A$2:$A$1917), 2,FALSE), ""))</f>
        <v/>
      </c>
    </row>
    <row r="128" spans="1:7" ht="17">
      <c r="A128" s="1" t="s">
        <v>3885</v>
      </c>
      <c r="B128" s="2" t="s">
        <v>3886</v>
      </c>
      <c r="C128" s="2">
        <v>300</v>
      </c>
      <c r="D128" s="3">
        <v>11943</v>
      </c>
      <c r="E128" s="3">
        <v>63447</v>
      </c>
      <c r="F128" s="4">
        <v>1003629</v>
      </c>
      <c r="G128" s="11" t="str" cm="1">
        <f t="array" aca="1" ref="G128" ca="1">IFERROR(VLOOKUP("*" &amp; B128  &amp; "*" &amp; (MID(CELL("filename",A127),FIND("]",CELL("filename",A127))+1,31)) &amp; "*",CHOOSE({1,2}, Super_CBSA!$B$2:$B$1917, Super_CBSA!$A$2:$A$1917), 2,FALSE), IFERROR(VLOOKUP(B128  &amp; " city",CHOOSE({1,2}, Super_CBSA!$E$2:$E$1917, Super_CBSA!$A$2:$A$1917), 2,FALSE), ""))</f>
        <v/>
      </c>
    </row>
    <row r="129" spans="1:7" ht="17">
      <c r="A129" s="1" t="s">
        <v>3887</v>
      </c>
      <c r="B129" s="2" t="s">
        <v>2753</v>
      </c>
      <c r="C129" s="2">
        <v>516</v>
      </c>
      <c r="D129" s="3">
        <v>30137</v>
      </c>
      <c r="E129" s="3">
        <v>150969</v>
      </c>
      <c r="F129" s="4">
        <v>2404954</v>
      </c>
      <c r="G129" s="11" cm="1">
        <f t="array" aca="1" ref="G129" ca="1">IFERROR(VLOOKUP("*" &amp; B129  &amp; "*" &amp; (MID(CELL("filename",A128),FIND("]",CELL("filename",A128))+1,31)) &amp; "*",CHOOSE({1,2}, Super_CBSA!$B$2:$B$1917, Super_CBSA!$A$2:$A$1917), 2,FALSE), IFERROR(VLOOKUP(B129  &amp; " city",CHOOSE({1,2}, Super_CBSA!$E$2:$E$1917, Super_CBSA!$A$2:$A$1917), 2,FALSE), ""))</f>
        <v>40380</v>
      </c>
    </row>
    <row r="130" spans="1:7" ht="17">
      <c r="A130" s="1" t="s">
        <v>3888</v>
      </c>
      <c r="B130" s="2" t="s">
        <v>3775</v>
      </c>
      <c r="C130" s="2">
        <v>0</v>
      </c>
      <c r="D130" s="2">
        <v>0</v>
      </c>
      <c r="E130" s="2">
        <v>0</v>
      </c>
      <c r="F130" s="4">
        <v>0</v>
      </c>
      <c r="G130" s="11" cm="1">
        <f t="array" aca="1" ref="G130" ca="1">IFERROR(VLOOKUP("*" &amp; B130  &amp; "*" &amp; (MID(CELL("filename",A129),FIND("]",CELL("filename",A129))+1,31)) &amp; "*",CHOOSE({1,2}, Super_CBSA!$B$2:$B$1917, Super_CBSA!$A$2:$A$1917), 2,FALSE), IFERROR(VLOOKUP(B130  &amp; " city",CHOOSE({1,2}, Super_CBSA!$E$2:$E$1917, Super_CBSA!$A$2:$A$1917), 2,FALSE), ""))</f>
        <v>35620</v>
      </c>
    </row>
    <row r="131" spans="1:7" ht="17">
      <c r="A131" s="1" t="s">
        <v>3889</v>
      </c>
      <c r="B131" s="2" t="s">
        <v>1562</v>
      </c>
      <c r="C131" s="2">
        <v>171</v>
      </c>
      <c r="D131" s="3">
        <v>2879</v>
      </c>
      <c r="E131" s="3">
        <v>11893</v>
      </c>
      <c r="F131" s="4">
        <v>292397</v>
      </c>
      <c r="G131" s="11" cm="1">
        <f t="array" aca="1" ref="G131" ca="1">IFERROR(VLOOKUP("*" &amp; B131  &amp; "*" &amp; (MID(CELL("filename",A130),FIND("]",CELL("filename",A130))+1,31)) &amp; "*",CHOOSE({1,2}, Super_CBSA!$B$2:$B$1917, Super_CBSA!$A$2:$A$1917), 2,FALSE), IFERROR(VLOOKUP(B131  &amp; " city",CHOOSE({1,2}, Super_CBSA!$E$2:$E$1917, Super_CBSA!$A$2:$A$1917), 2,FALSE), ""))</f>
        <v>46540</v>
      </c>
    </row>
    <row r="132" spans="1:7" ht="17">
      <c r="A132" s="1" t="s">
        <v>3890</v>
      </c>
      <c r="B132" s="2" t="s">
        <v>2911</v>
      </c>
      <c r="C132" s="2">
        <v>133</v>
      </c>
      <c r="D132" s="3">
        <v>5307</v>
      </c>
      <c r="E132" s="3">
        <v>40867</v>
      </c>
      <c r="F132" s="4">
        <v>1622622</v>
      </c>
      <c r="G132" s="11" cm="1">
        <f t="array" aca="1" ref="G132" ca="1">IFERROR(VLOOKUP("*" &amp; B132  &amp; "*" &amp; (MID(CELL("filename",A131),FIND("]",CELL("filename",A131))+1,31)) &amp; "*",CHOOSE({1,2}, Super_CBSA!$B$2:$B$1917, Super_CBSA!$A$2:$A$1917), 2,FALSE), IFERROR(VLOOKUP(B132  &amp; " city",CHOOSE({1,2}, Super_CBSA!$E$2:$E$1917, Super_CBSA!$A$2:$A$1917), 2,FALSE), ""))</f>
        <v>15380</v>
      </c>
    </row>
    <row r="133" spans="1:7" ht="17">
      <c r="A133" s="1" t="s">
        <v>3891</v>
      </c>
      <c r="B133" s="2" t="s">
        <v>3892</v>
      </c>
      <c r="C133" s="2">
        <v>60</v>
      </c>
      <c r="D133" s="3">
        <v>1975</v>
      </c>
      <c r="E133" s="3">
        <v>7746</v>
      </c>
      <c r="F133" s="4">
        <v>430151</v>
      </c>
      <c r="G133" s="11" t="str" cm="1">
        <f t="array" aca="1" ref="G133" ca="1">IFERROR(VLOOKUP("*" &amp; B133  &amp; "*" &amp; (MID(CELL("filename",A132),FIND("]",CELL("filename",A132))+1,31)) &amp; "*",CHOOSE({1,2}, Super_CBSA!$B$2:$B$1917, Super_CBSA!$A$2:$A$1917), 2,FALSE), IFERROR(VLOOKUP(B133  &amp; " city",CHOOSE({1,2}, Super_CBSA!$E$2:$E$1917, Super_CBSA!$A$2:$A$1917), 2,FALSE), ""))</f>
        <v/>
      </c>
    </row>
    <row r="134" spans="1:7" ht="17">
      <c r="A134" s="1" t="s">
        <v>3893</v>
      </c>
      <c r="B134" s="2" t="s">
        <v>3724</v>
      </c>
      <c r="C134" s="2">
        <v>332</v>
      </c>
      <c r="D134" s="3">
        <v>13301</v>
      </c>
      <c r="E134" s="3">
        <v>63398</v>
      </c>
      <c r="F134" s="4">
        <v>899974</v>
      </c>
      <c r="G134" s="11" t="str" cm="1">
        <f t="array" aca="1" ref="G134" ca="1">IFERROR(VLOOKUP("*" &amp; B134  &amp; "*" &amp; (MID(CELL("filename",A133),FIND("]",CELL("filename",A133))+1,31)) &amp; "*",CHOOSE({1,2}, Super_CBSA!$B$2:$B$1917, Super_CBSA!$A$2:$A$1917), 2,FALSE), IFERROR(VLOOKUP(B134  &amp; " city",CHOOSE({1,2}, Super_CBSA!$E$2:$E$1917, Super_CBSA!$A$2:$A$1917), 2,FALSE), ""))</f>
        <v/>
      </c>
    </row>
    <row r="135" spans="1:7" ht="17">
      <c r="A135" s="1" t="s">
        <v>3894</v>
      </c>
      <c r="B135" s="2" t="s">
        <v>3895</v>
      </c>
      <c r="C135" s="2">
        <v>546</v>
      </c>
      <c r="D135" s="3">
        <v>10527</v>
      </c>
      <c r="E135" s="3">
        <v>50371</v>
      </c>
      <c r="F135" s="4">
        <v>1048852</v>
      </c>
      <c r="G135" s="11" t="str" cm="1">
        <f t="array" aca="1" ref="G135" ca="1">IFERROR(VLOOKUP("*" &amp; B135  &amp; "*" &amp; (MID(CELL("filename",A134),FIND("]",CELL("filename",A134))+1,31)) &amp; "*",CHOOSE({1,2}, Super_CBSA!$B$2:$B$1917, Super_CBSA!$A$2:$A$1917), 2,FALSE), IFERROR(VLOOKUP(B135  &amp; " city",CHOOSE({1,2}, Super_CBSA!$E$2:$E$1917, Super_CBSA!$A$2:$A$1917), 2,FALSE), ""))</f>
        <v/>
      </c>
    </row>
    <row r="136" spans="1:7" ht="17">
      <c r="A136" s="1" t="s">
        <v>3896</v>
      </c>
      <c r="B136" s="2" t="s">
        <v>3784</v>
      </c>
      <c r="C136" s="2">
        <v>243</v>
      </c>
      <c r="D136" s="3">
        <v>9315</v>
      </c>
      <c r="E136" s="3">
        <v>50089</v>
      </c>
      <c r="F136" s="4">
        <v>908830</v>
      </c>
      <c r="G136" s="11" t="str" cm="1">
        <f t="array" aca="1" ref="G136" ca="1">IFERROR(VLOOKUP("*" &amp; B136  &amp; "*" &amp; (MID(CELL("filename",A135),FIND("]",CELL("filename",A135))+1,31)) &amp; "*",CHOOSE({1,2}, Super_CBSA!$B$2:$B$1917, Super_CBSA!$A$2:$A$1917), 2,FALSE), IFERROR(VLOOKUP(B136  &amp; " city",CHOOSE({1,2}, Super_CBSA!$E$2:$E$1917, Super_CBSA!$A$2:$A$1917), 2,FALSE), ""))</f>
        <v/>
      </c>
    </row>
    <row r="137" spans="1:7" ht="17">
      <c r="A137" s="1" t="s">
        <v>3897</v>
      </c>
      <c r="B137" s="2" t="s">
        <v>3898</v>
      </c>
      <c r="C137" s="2">
        <v>364</v>
      </c>
      <c r="D137" s="3">
        <v>18518</v>
      </c>
      <c r="E137" s="3">
        <v>97198</v>
      </c>
      <c r="F137" s="4">
        <v>3346599</v>
      </c>
      <c r="G137" s="11" t="str" cm="1">
        <f t="array" aca="1" ref="G137" ca="1">IFERROR(VLOOKUP("*" &amp; B137  &amp; "*" &amp; (MID(CELL("filename",A136),FIND("]",CELL("filename",A136))+1,31)) &amp; "*",CHOOSE({1,2}, Super_CBSA!$B$2:$B$1917, Super_CBSA!$A$2:$A$1917), 2,FALSE), IFERROR(VLOOKUP(B137  &amp; " city",CHOOSE({1,2}, Super_CBSA!$E$2:$E$1917, Super_CBSA!$A$2:$A$1917), 2,FALSE), ""))</f>
        <v/>
      </c>
    </row>
    <row r="138" spans="1:7" ht="17">
      <c r="A138" s="1" t="s">
        <v>3899</v>
      </c>
      <c r="B138" s="2" t="s">
        <v>3900</v>
      </c>
      <c r="C138" s="2">
        <v>15</v>
      </c>
      <c r="D138" s="2">
        <v>848</v>
      </c>
      <c r="E138" s="3">
        <v>2857</v>
      </c>
      <c r="F138" s="4">
        <v>69350</v>
      </c>
      <c r="G138" s="11" t="str" cm="1">
        <f t="array" aca="1" ref="G138" ca="1">IFERROR(VLOOKUP("*" &amp; B138  &amp; "*" &amp; (MID(CELL("filename",A137),FIND("]",CELL("filename",A137))+1,31)) &amp; "*",CHOOSE({1,2}, Super_CBSA!$B$2:$B$1917, Super_CBSA!$A$2:$A$1917), 2,FALSE), IFERROR(VLOOKUP(B138  &amp; " city",CHOOSE({1,2}, Super_CBSA!$E$2:$E$1917, Super_CBSA!$A$2:$A$1917), 2,FALSE), ""))</f>
        <v/>
      </c>
    </row>
    <row r="139" spans="1:7" ht="17">
      <c r="A139" s="1" t="s">
        <v>3901</v>
      </c>
      <c r="B139" s="2" t="s">
        <v>3902</v>
      </c>
      <c r="C139" s="2">
        <v>209</v>
      </c>
      <c r="D139" s="3">
        <v>6813</v>
      </c>
      <c r="E139" s="3">
        <v>46059</v>
      </c>
      <c r="F139" s="4">
        <v>678596</v>
      </c>
      <c r="G139" s="11" t="str" cm="1">
        <f t="array" aca="1" ref="G139" ca="1">IFERROR(VLOOKUP("*" &amp; B139  &amp; "*" &amp; (MID(CELL("filename",A138),FIND("]",CELL("filename",A138))+1,31)) &amp; "*",CHOOSE({1,2}, Super_CBSA!$B$2:$B$1917, Super_CBSA!$A$2:$A$1917), 2,FALSE), IFERROR(VLOOKUP(B139  &amp; " city",CHOOSE({1,2}, Super_CBSA!$E$2:$E$1917, Super_CBSA!$A$2:$A$1917), 2,FALSE), ""))</f>
        <v/>
      </c>
    </row>
    <row r="140" spans="1:7" ht="17">
      <c r="A140" s="1" t="s">
        <v>3903</v>
      </c>
      <c r="B140" s="2" t="s">
        <v>3904</v>
      </c>
      <c r="C140" s="2">
        <v>321</v>
      </c>
      <c r="D140" s="3">
        <v>17069</v>
      </c>
      <c r="E140" s="3">
        <v>94151</v>
      </c>
      <c r="F140" s="4">
        <v>825058</v>
      </c>
      <c r="G140" s="11" t="str" cm="1">
        <f t="array" aca="1" ref="G140" ca="1">IFERROR(VLOOKUP("*" &amp; B140  &amp; "*" &amp; (MID(CELL("filename",A139),FIND("]",CELL("filename",A139))+1,31)) &amp; "*",CHOOSE({1,2}, Super_CBSA!$B$2:$B$1917, Super_CBSA!$A$2:$A$1917), 2,FALSE), IFERROR(VLOOKUP(B140  &amp; " city",CHOOSE({1,2}, Super_CBSA!$E$2:$E$1917, Super_CBSA!$A$2:$A$1917), 2,FALSE), ""))</f>
        <v/>
      </c>
    </row>
    <row r="141" spans="1:7" ht="17">
      <c r="A141" s="1" t="s">
        <v>3905</v>
      </c>
      <c r="B141" s="2" t="s">
        <v>3906</v>
      </c>
      <c r="C141" s="2">
        <v>50</v>
      </c>
      <c r="D141" s="3">
        <v>1837</v>
      </c>
      <c r="E141" s="3">
        <v>8893</v>
      </c>
      <c r="F141" s="4">
        <v>78006</v>
      </c>
      <c r="G141" s="11" t="str" cm="1">
        <f t="array" aca="1" ref="G141" ca="1">IFERROR(VLOOKUP("*" &amp; B141  &amp; "*" &amp; (MID(CELL("filename",A140),FIND("]",CELL("filename",A140))+1,31)) &amp; "*",CHOOSE({1,2}, Super_CBSA!$B$2:$B$1917, Super_CBSA!$A$2:$A$1917), 2,FALSE), IFERROR(VLOOKUP(B141  &amp; " city",CHOOSE({1,2}, Super_CBSA!$E$2:$E$1917, Super_CBSA!$A$2:$A$1917), 2,FALSE), ""))</f>
        <v/>
      </c>
    </row>
    <row r="142" spans="1:7" ht="17">
      <c r="A142" s="1" t="s">
        <v>393</v>
      </c>
      <c r="B142" s="2" t="s">
        <v>3709</v>
      </c>
      <c r="C142" s="2">
        <v>176</v>
      </c>
      <c r="D142" s="2">
        <v>303</v>
      </c>
      <c r="E142" s="3">
        <v>6279</v>
      </c>
      <c r="F142" s="4">
        <v>104892</v>
      </c>
      <c r="G142" s="11" cm="1">
        <f t="array" aca="1" ref="G142" ca="1">IFERROR(VLOOKUP("*" &amp; B142  &amp; "*" &amp; (MID(CELL("filename",A141),FIND("]",CELL("filename",A141))+1,31)) &amp; "*",CHOOSE({1,2}, Super_CBSA!$B$2:$B$1917, Super_CBSA!$A$2:$A$1917), 2,FALSE), IFERROR(VLOOKUP(B142  &amp; " city",CHOOSE({1,2}, Super_CBSA!$E$2:$E$1917, Super_CBSA!$A$2:$A$1917), 2,FALSE), ""))</f>
        <v>21300</v>
      </c>
    </row>
    <row r="143" spans="1:7" ht="17">
      <c r="A143" s="1" t="s">
        <v>3907</v>
      </c>
      <c r="B143" s="2" t="s">
        <v>3747</v>
      </c>
      <c r="C143" s="2">
        <v>435</v>
      </c>
      <c r="D143" s="3">
        <v>25614</v>
      </c>
      <c r="E143" s="3">
        <v>116850</v>
      </c>
      <c r="F143" s="4">
        <v>1485600</v>
      </c>
      <c r="G143" s="11" cm="1">
        <f t="array" aca="1" ref="G143" ca="1">IFERROR(VLOOKUP("*" &amp; B143  &amp; "*" &amp; (MID(CELL("filename",A142),FIND("]",CELL("filename",A142))+1,31)) &amp; "*",CHOOSE({1,2}, Super_CBSA!$B$2:$B$1917, Super_CBSA!$A$2:$A$1917), 2,FALSE), IFERROR(VLOOKUP(B143  &amp; " city",CHOOSE({1,2}, Super_CBSA!$E$2:$E$1917, Super_CBSA!$A$2:$A$1917), 2,FALSE), ""))</f>
        <v>45060</v>
      </c>
    </row>
    <row r="144" spans="1:7" ht="17">
      <c r="A144" s="1" t="s">
        <v>828</v>
      </c>
      <c r="B144" s="2" t="s">
        <v>3904</v>
      </c>
      <c r="C144" s="2">
        <v>271</v>
      </c>
      <c r="D144" s="3">
        <v>4216</v>
      </c>
      <c r="E144" s="3">
        <v>29340</v>
      </c>
      <c r="F144" s="4">
        <v>349383</v>
      </c>
      <c r="G144" s="11" t="str" cm="1">
        <f t="array" aca="1" ref="G144" ca="1">IFERROR(VLOOKUP("*" &amp; B144  &amp; "*" &amp; (MID(CELL("filename",A143),FIND("]",CELL("filename",A143))+1,31)) &amp; "*",CHOOSE({1,2}, Super_CBSA!$B$2:$B$1917, Super_CBSA!$A$2:$A$1917), 2,FALSE), IFERROR(VLOOKUP(B144  &amp; " city",CHOOSE({1,2}, Super_CBSA!$E$2:$E$1917, Super_CBSA!$A$2:$A$1917), 2,FALSE), ""))</f>
        <v/>
      </c>
    </row>
    <row r="145" spans="1:7" ht="17">
      <c r="A145" s="1" t="s">
        <v>3908</v>
      </c>
      <c r="B145" s="2" t="s">
        <v>3909</v>
      </c>
      <c r="C145" s="2">
        <v>290</v>
      </c>
      <c r="D145" s="3">
        <v>4513</v>
      </c>
      <c r="E145" s="3">
        <v>23553</v>
      </c>
      <c r="F145" s="4">
        <v>489530</v>
      </c>
      <c r="G145" s="11" cm="1">
        <f t="array" aca="1" ref="G145" ca="1">IFERROR(VLOOKUP("*" &amp; B145  &amp; "*" &amp; (MID(CELL("filename",A144),FIND("]",CELL("filename",A144))+1,31)) &amp; "*",CHOOSE({1,2}, Super_CBSA!$B$2:$B$1917, Super_CBSA!$A$2:$A$1917), 2,FALSE), IFERROR(VLOOKUP(B145  &amp; " city",CHOOSE({1,2}, Super_CBSA!$E$2:$E$1917, Super_CBSA!$A$2:$A$1917), 2,FALSE), ""))</f>
        <v>11220</v>
      </c>
    </row>
    <row r="146" spans="1:7" ht="17">
      <c r="A146" s="1" t="s">
        <v>3910</v>
      </c>
      <c r="B146" s="2" t="s">
        <v>1605</v>
      </c>
      <c r="C146" s="2">
        <v>482</v>
      </c>
      <c r="D146" s="3">
        <v>27097</v>
      </c>
      <c r="E146" s="3">
        <v>139256</v>
      </c>
      <c r="F146" s="4">
        <v>2078525</v>
      </c>
      <c r="G146" s="11" cm="1">
        <f t="array" aca="1" ref="G146" ca="1">IFERROR(VLOOKUP("*" &amp; B146  &amp; "*" &amp; (MID(CELL("filename",A145),FIND("]",CELL("filename",A145))+1,31)) &amp; "*",CHOOSE({1,2}, Super_CBSA!$B$2:$B$1917, Super_CBSA!$A$2:$A$1917), 2,FALSE), IFERROR(VLOOKUP(B146  &amp; " city",CHOOSE({1,2}, Super_CBSA!$E$2:$E$1917, Super_CBSA!$A$2:$A$1917), 2,FALSE), ""))</f>
        <v>10580</v>
      </c>
    </row>
    <row r="147" spans="1:7" ht="17">
      <c r="A147" s="1" t="s">
        <v>3911</v>
      </c>
      <c r="B147" s="2" t="s">
        <v>224</v>
      </c>
      <c r="C147" s="2">
        <v>257</v>
      </c>
      <c r="D147" s="3">
        <v>8882</v>
      </c>
      <c r="E147" s="3">
        <v>46146</v>
      </c>
      <c r="F147" s="4">
        <v>797809</v>
      </c>
      <c r="G147" s="11" cm="1">
        <f t="array" aca="1" ref="G147" ca="1">IFERROR(VLOOKUP("*" &amp; B147  &amp; "*" &amp; (MID(CELL("filename",A146),FIND("]",CELL("filename",A146))+1,31)) &amp; "*",CHOOSE({1,2}, Super_CBSA!$B$2:$B$1917, Super_CBSA!$A$2:$A$1917), 2,FALSE), IFERROR(VLOOKUP(B147  &amp; " city",CHOOSE({1,2}, Super_CBSA!$E$2:$E$1917, Super_CBSA!$A$2:$A$1917), 2,FALSE), ""))</f>
        <v>10580</v>
      </c>
    </row>
    <row r="148" spans="1:7" ht="17">
      <c r="A148" s="1" t="s">
        <v>3912</v>
      </c>
      <c r="B148" s="2" t="s">
        <v>1605</v>
      </c>
      <c r="C148" s="2">
        <v>73</v>
      </c>
      <c r="D148" s="3">
        <v>1714</v>
      </c>
      <c r="E148" s="3">
        <v>6488</v>
      </c>
      <c r="F148" s="4">
        <v>323293</v>
      </c>
      <c r="G148" s="11" cm="1">
        <f t="array" aca="1" ref="G148" ca="1">IFERROR(VLOOKUP("*" &amp; B148  &amp; "*" &amp; (MID(CELL("filename",A147),FIND("]",CELL("filename",A147))+1,31)) &amp; "*",CHOOSE({1,2}, Super_CBSA!$B$2:$B$1917, Super_CBSA!$A$2:$A$1917), 2,FALSE), IFERROR(VLOOKUP(B148  &amp; " city",CHOOSE({1,2}, Super_CBSA!$E$2:$E$1917, Super_CBSA!$A$2:$A$1917), 2,FALSE), ""))</f>
        <v>10580</v>
      </c>
    </row>
    <row r="149" spans="1:7" ht="17">
      <c r="A149" s="1" t="s">
        <v>3913</v>
      </c>
      <c r="B149" s="2" t="s">
        <v>3914</v>
      </c>
      <c r="C149" s="2">
        <v>286</v>
      </c>
      <c r="D149" s="3">
        <v>7160</v>
      </c>
      <c r="E149" s="3">
        <v>38154</v>
      </c>
      <c r="F149" s="4">
        <v>643533</v>
      </c>
      <c r="G149" s="11" cm="1">
        <f t="array" aca="1" ref="G149" ca="1">IFERROR(VLOOKUP("*" &amp; B149  &amp; "*" &amp; (MID(CELL("filename",A148),FIND("]",CELL("filename",A148))+1,31)) &amp; "*",CHOOSE({1,2}, Super_CBSA!$B$2:$B$1917, Super_CBSA!$A$2:$A$1917), 2,FALSE), IFERROR(VLOOKUP(B149  &amp; " city",CHOOSE({1,2}, Super_CBSA!$E$2:$E$1917, Super_CBSA!$A$2:$A$1917), 2,FALSE), ""))</f>
        <v>48060</v>
      </c>
    </row>
    <row r="150" spans="1:7" ht="17">
      <c r="A150" s="1" t="s">
        <v>3915</v>
      </c>
      <c r="B150" s="2" t="s">
        <v>3916</v>
      </c>
      <c r="C150" s="2">
        <v>171</v>
      </c>
      <c r="D150" s="3">
        <v>10276</v>
      </c>
      <c r="E150" s="3">
        <v>52025</v>
      </c>
      <c r="F150" s="4">
        <v>1284432</v>
      </c>
      <c r="G150" s="11" t="str" cm="1">
        <f t="array" aca="1" ref="G150" ca="1">IFERROR(VLOOKUP("*" &amp; B150  &amp; "*" &amp; (MID(CELL("filename",A149),FIND("]",CELL("filename",A149))+1,31)) &amp; "*",CHOOSE({1,2}, Super_CBSA!$B$2:$B$1917, Super_CBSA!$A$2:$A$1917), 2,FALSE), IFERROR(VLOOKUP(B150  &amp; " city",CHOOSE({1,2}, Super_CBSA!$E$2:$E$1917, Super_CBSA!$A$2:$A$1917), 2,FALSE), ""))</f>
        <v/>
      </c>
    </row>
    <row r="151" spans="1:7" ht="17">
      <c r="A151" s="1" t="s">
        <v>3917</v>
      </c>
      <c r="B151" s="2" t="s">
        <v>2911</v>
      </c>
      <c r="C151" s="2">
        <v>466</v>
      </c>
      <c r="D151" s="3">
        <v>15135</v>
      </c>
      <c r="E151" s="3">
        <v>78523</v>
      </c>
      <c r="F151" s="4">
        <v>753650</v>
      </c>
      <c r="G151" s="11" cm="1">
        <f t="array" aca="1" ref="G151" ca="1">IFERROR(VLOOKUP("*" &amp; B151  &amp; "*" &amp; (MID(CELL("filename",A150),FIND("]",CELL("filename",A150))+1,31)) &amp; "*",CHOOSE({1,2}, Super_CBSA!$B$2:$B$1917, Super_CBSA!$A$2:$A$1917), 2,FALSE), IFERROR(VLOOKUP(B151  &amp; " city",CHOOSE({1,2}, Super_CBSA!$E$2:$E$1917, Super_CBSA!$A$2:$A$1917), 2,FALSE), ""))</f>
        <v>15380</v>
      </c>
    </row>
    <row r="152" spans="1:7" ht="17">
      <c r="A152" s="1" t="s">
        <v>3918</v>
      </c>
      <c r="B152" s="2" t="s">
        <v>2911</v>
      </c>
      <c r="C152" s="2">
        <v>119</v>
      </c>
      <c r="D152" s="3">
        <v>6318</v>
      </c>
      <c r="E152" s="3">
        <v>36997</v>
      </c>
      <c r="F152" s="4">
        <v>189421</v>
      </c>
      <c r="G152" s="11" cm="1">
        <f t="array" aca="1" ref="G152" ca="1">IFERROR(VLOOKUP("*" &amp; B152  &amp; "*" &amp; (MID(CELL("filename",A151),FIND("]",CELL("filename",A151))+1,31)) &amp; "*",CHOOSE({1,2}, Super_CBSA!$B$2:$B$1917, Super_CBSA!$A$2:$A$1917), 2,FALSE), IFERROR(VLOOKUP(B152  &amp; " city",CHOOSE({1,2}, Super_CBSA!$E$2:$E$1917, Super_CBSA!$A$2:$A$1917), 2,FALSE), ""))</f>
        <v>15380</v>
      </c>
    </row>
    <row r="153" spans="1:7" ht="17">
      <c r="A153" s="1" t="s">
        <v>3919</v>
      </c>
      <c r="B153" s="2" t="s">
        <v>3920</v>
      </c>
      <c r="C153" s="2">
        <v>278</v>
      </c>
      <c r="D153" s="3">
        <v>21093</v>
      </c>
      <c r="E153" s="3">
        <v>97176</v>
      </c>
      <c r="F153" s="4">
        <v>1892582</v>
      </c>
      <c r="G153" s="11" t="str" cm="1">
        <f t="array" aca="1" ref="G153" ca="1">IFERROR(VLOOKUP("*" &amp; B153  &amp; "*" &amp; (MID(CELL("filename",A152),FIND("]",CELL("filename",A152))+1,31)) &amp; "*",CHOOSE({1,2}, Super_CBSA!$B$2:$B$1917, Super_CBSA!$A$2:$A$1917), 2,FALSE), IFERROR(VLOOKUP(B153  &amp; " city",CHOOSE({1,2}, Super_CBSA!$E$2:$E$1917, Super_CBSA!$A$2:$A$1917), 2,FALSE), ""))</f>
        <v/>
      </c>
    </row>
    <row r="154" spans="1:7" ht="17">
      <c r="A154" s="1" t="s">
        <v>3921</v>
      </c>
      <c r="B154" s="2" t="s">
        <v>3904</v>
      </c>
      <c r="C154" s="2">
        <v>190</v>
      </c>
      <c r="D154" s="3">
        <v>4981</v>
      </c>
      <c r="E154" s="3">
        <v>37019</v>
      </c>
      <c r="F154" s="4">
        <v>51098</v>
      </c>
      <c r="G154" s="11" t="str" cm="1">
        <f t="array" aca="1" ref="G154" ca="1">IFERROR(VLOOKUP("*" &amp; B154  &amp; "*" &amp; (MID(CELL("filename",A153),FIND("]",CELL("filename",A153))+1,31)) &amp; "*",CHOOSE({1,2}, Super_CBSA!$B$2:$B$1917, Super_CBSA!$A$2:$A$1917), 2,FALSE), IFERROR(VLOOKUP(B154  &amp; " city",CHOOSE({1,2}, Super_CBSA!$E$2:$E$1917, Super_CBSA!$A$2:$A$1917), 2,FALSE), ""))</f>
        <v/>
      </c>
    </row>
    <row r="155" spans="1:7" ht="17">
      <c r="A155" s="1" t="s">
        <v>3922</v>
      </c>
      <c r="B155" s="2" t="s">
        <v>3923</v>
      </c>
      <c r="C155" s="2">
        <v>203</v>
      </c>
      <c r="D155" s="3">
        <v>6152</v>
      </c>
      <c r="E155" s="3">
        <v>29720</v>
      </c>
      <c r="F155" s="4">
        <v>599629</v>
      </c>
      <c r="G155" s="11" t="str" cm="1">
        <f t="array" aca="1" ref="G155" ca="1">IFERROR(VLOOKUP("*" &amp; B155  &amp; "*" &amp; (MID(CELL("filename",A154),FIND("]",CELL("filename",A154))+1,31)) &amp; "*",CHOOSE({1,2}, Super_CBSA!$B$2:$B$1917, Super_CBSA!$A$2:$A$1917), 2,FALSE), IFERROR(VLOOKUP(B155  &amp; " city",CHOOSE({1,2}, Super_CBSA!$E$2:$E$1917, Super_CBSA!$A$2:$A$1917), 2,FALSE), ""))</f>
        <v/>
      </c>
    </row>
    <row r="156" spans="1:7" ht="17">
      <c r="A156" s="1" t="s">
        <v>3924</v>
      </c>
      <c r="B156" s="2" t="s">
        <v>3886</v>
      </c>
      <c r="C156" s="2">
        <v>627</v>
      </c>
      <c r="D156" s="3">
        <v>36635</v>
      </c>
      <c r="E156" s="3">
        <v>189814</v>
      </c>
      <c r="F156" s="4">
        <v>3266742</v>
      </c>
      <c r="G156" s="11" t="str" cm="1">
        <f t="array" aca="1" ref="G156" ca="1">IFERROR(VLOOKUP("*" &amp; B156  &amp; "*" &amp; (MID(CELL("filename",A155),FIND("]",CELL("filename",A155))+1,31)) &amp; "*",CHOOSE({1,2}, Super_CBSA!$B$2:$B$1917, Super_CBSA!$A$2:$A$1917), 2,FALSE), IFERROR(VLOOKUP(B156  &amp; " city",CHOOSE({1,2}, Super_CBSA!$E$2:$E$1917, Super_CBSA!$A$2:$A$1917), 2,FALSE), ""))</f>
        <v/>
      </c>
    </row>
    <row r="157" spans="1:7" ht="17">
      <c r="A157" s="1" t="s">
        <v>3925</v>
      </c>
      <c r="B157" s="2" t="s">
        <v>3926</v>
      </c>
      <c r="C157" s="2">
        <v>90</v>
      </c>
      <c r="D157" s="3">
        <v>2058</v>
      </c>
      <c r="E157" s="3">
        <v>12179</v>
      </c>
      <c r="F157" s="4">
        <v>181550</v>
      </c>
      <c r="G157" s="11" t="str" cm="1">
        <f t="array" aca="1" ref="G157" ca="1">IFERROR(VLOOKUP("*" &amp; B157  &amp; "*" &amp; (MID(CELL("filename",A156),FIND("]",CELL("filename",A156))+1,31)) &amp; "*",CHOOSE({1,2}, Super_CBSA!$B$2:$B$1917, Super_CBSA!$A$2:$A$1917), 2,FALSE), IFERROR(VLOOKUP(B157  &amp; " city",CHOOSE({1,2}, Super_CBSA!$E$2:$E$1917, Super_CBSA!$A$2:$A$1917), 2,FALSE), ""))</f>
        <v/>
      </c>
    </row>
    <row r="158" spans="1:7" ht="17">
      <c r="A158" s="1" t="s">
        <v>3927</v>
      </c>
      <c r="B158" s="2" t="s">
        <v>3928</v>
      </c>
      <c r="C158" s="2">
        <v>94</v>
      </c>
      <c r="D158" s="3">
        <v>4318</v>
      </c>
      <c r="E158" s="3">
        <v>17668</v>
      </c>
      <c r="F158" s="4">
        <v>571254</v>
      </c>
      <c r="G158" s="11" t="str" cm="1">
        <f t="array" aca="1" ref="G158" ca="1">IFERROR(VLOOKUP("*" &amp; B158  &amp; "*" &amp; (MID(CELL("filename",A157),FIND("]",CELL("filename",A157))+1,31)) &amp; "*",CHOOSE({1,2}, Super_CBSA!$B$2:$B$1917, Super_CBSA!$A$2:$A$1917), 2,FALSE), IFERROR(VLOOKUP(B158  &amp; " city",CHOOSE({1,2}, Super_CBSA!$E$2:$E$1917, Super_CBSA!$A$2:$A$1917), 2,FALSE), ""))</f>
        <v/>
      </c>
    </row>
    <row r="159" spans="1:7" ht="17">
      <c r="A159" s="1" t="s">
        <v>3929</v>
      </c>
      <c r="B159" s="2" t="s">
        <v>3930</v>
      </c>
      <c r="C159" s="2">
        <v>695</v>
      </c>
      <c r="D159" s="3">
        <v>35811</v>
      </c>
      <c r="E159" s="3">
        <v>206843</v>
      </c>
      <c r="F159" s="4">
        <v>4678106</v>
      </c>
      <c r="G159" s="11" t="str" cm="1">
        <f t="array" aca="1" ref="G159" ca="1">IFERROR(VLOOKUP("*" &amp; B159  &amp; "*" &amp; (MID(CELL("filename",A158),FIND("]",CELL("filename",A158))+1,31)) &amp; "*",CHOOSE({1,2}, Super_CBSA!$B$2:$B$1917, Super_CBSA!$A$2:$A$1917), 2,FALSE), IFERROR(VLOOKUP(B159  &amp; " city",CHOOSE({1,2}, Super_CBSA!$E$2:$E$1917, Super_CBSA!$A$2:$A$1917), 2,FALSE), ""))</f>
        <v/>
      </c>
    </row>
    <row r="160" spans="1:7" ht="17">
      <c r="A160" s="1" t="s">
        <v>3931</v>
      </c>
      <c r="B160" s="2" t="s">
        <v>2753</v>
      </c>
      <c r="C160" s="2">
        <v>852</v>
      </c>
      <c r="D160" s="3">
        <v>38002</v>
      </c>
      <c r="E160" s="3">
        <v>266201</v>
      </c>
      <c r="F160" s="4">
        <v>4742013</v>
      </c>
      <c r="G160" s="11" cm="1">
        <f t="array" aca="1" ref="G160" ca="1">IFERROR(VLOOKUP("*" &amp; B160  &amp; "*" &amp; (MID(CELL("filename",A159),FIND("]",CELL("filename",A159))+1,31)) &amp; "*",CHOOSE({1,2}, Super_CBSA!$B$2:$B$1917, Super_CBSA!$A$2:$A$1917), 2,FALSE), IFERROR(VLOOKUP(B160  &amp; " city",CHOOSE({1,2}, Super_CBSA!$E$2:$E$1917, Super_CBSA!$A$2:$A$1917), 2,FALSE), ""))</f>
        <v>40380</v>
      </c>
    </row>
    <row r="161" spans="1:7" ht="17">
      <c r="A161" s="1" t="s">
        <v>3932</v>
      </c>
      <c r="B161" s="2" t="s">
        <v>3751</v>
      </c>
      <c r="C161" s="2">
        <v>115</v>
      </c>
      <c r="D161" s="2">
        <v>450</v>
      </c>
      <c r="E161" s="3">
        <v>3846</v>
      </c>
      <c r="F161" s="4">
        <v>121065</v>
      </c>
      <c r="G161" s="11" cm="1">
        <f t="array" aca="1" ref="G161" ca="1">IFERROR(VLOOKUP("*" &amp; B161  &amp; "*" &amp; (MID(CELL("filename",A160),FIND("]",CELL("filename",A160))+1,31)) &amp; "*",CHOOSE({1,2}, Super_CBSA!$B$2:$B$1917, Super_CBSA!$A$2:$A$1917), 2,FALSE), IFERROR(VLOOKUP(B161  &amp; " city",CHOOSE({1,2}, Super_CBSA!$E$2:$E$1917, Super_CBSA!$A$2:$A$1917), 2,FALSE), ""))</f>
        <v>10580</v>
      </c>
    </row>
    <row r="162" spans="1:7" ht="17">
      <c r="A162" s="1" t="s">
        <v>3933</v>
      </c>
      <c r="B162" s="2" t="s">
        <v>3934</v>
      </c>
      <c r="C162" s="2">
        <v>74</v>
      </c>
      <c r="D162" s="3">
        <v>1952</v>
      </c>
      <c r="E162" s="3">
        <v>4688</v>
      </c>
      <c r="F162" s="4">
        <v>52333</v>
      </c>
      <c r="G162" s="11" t="str" cm="1">
        <f t="array" aca="1" ref="G162" ca="1">IFERROR(VLOOKUP("*" &amp; B162  &amp; "*" &amp; (MID(CELL("filename",A161),FIND("]",CELL("filename",A161))+1,31)) &amp; "*",CHOOSE({1,2}, Super_CBSA!$B$2:$B$1917, Super_CBSA!$A$2:$A$1917), 2,FALSE), IFERROR(VLOOKUP(B162  &amp; " city",CHOOSE({1,2}, Super_CBSA!$E$2:$E$1917, Super_CBSA!$A$2:$A$1917), 2,FALSE), ""))</f>
        <v/>
      </c>
    </row>
    <row r="163" spans="1:7" ht="17">
      <c r="A163" s="1" t="s">
        <v>3935</v>
      </c>
      <c r="B163" s="2" t="s">
        <v>3747</v>
      </c>
      <c r="C163" s="2">
        <v>0</v>
      </c>
      <c r="D163" s="2">
        <v>0</v>
      </c>
      <c r="E163" s="2">
        <v>0</v>
      </c>
      <c r="F163" s="4">
        <v>0</v>
      </c>
      <c r="G163" s="11" cm="1">
        <f t="array" aca="1" ref="G163" ca="1">IFERROR(VLOOKUP("*" &amp; B163  &amp; "*" &amp; (MID(CELL("filename",A162),FIND("]",CELL("filename",A162))+1,31)) &amp; "*",CHOOSE({1,2}, Super_CBSA!$B$2:$B$1917, Super_CBSA!$A$2:$A$1917), 2,FALSE), IFERROR(VLOOKUP(B163  &amp; " city",CHOOSE({1,2}, Super_CBSA!$E$2:$E$1917, Super_CBSA!$A$2:$A$1917), 2,FALSE), ""))</f>
        <v>45060</v>
      </c>
    </row>
    <row r="164" spans="1:7" ht="17">
      <c r="A164" s="1" t="s">
        <v>3936</v>
      </c>
      <c r="B164" s="2" t="s">
        <v>3777</v>
      </c>
      <c r="C164" s="2">
        <v>797</v>
      </c>
      <c r="D164" s="3">
        <v>12154</v>
      </c>
      <c r="E164" s="3">
        <v>71367</v>
      </c>
      <c r="F164" s="4">
        <v>948197</v>
      </c>
      <c r="G164" s="11" t="str" cm="1">
        <f t="array" aca="1" ref="G164" ca="1">IFERROR(VLOOKUP("*" &amp; B164  &amp; "*" &amp; (MID(CELL("filename",A163),FIND("]",CELL("filename",A163))+1,31)) &amp; "*",CHOOSE({1,2}, Super_CBSA!$B$2:$B$1917, Super_CBSA!$A$2:$A$1917), 2,FALSE), IFERROR(VLOOKUP(B164  &amp; " city",CHOOSE({1,2}, Super_CBSA!$E$2:$E$1917, Super_CBSA!$A$2:$A$1917), 2,FALSE), ""))</f>
        <v/>
      </c>
    </row>
    <row r="165" spans="1:7" ht="17">
      <c r="A165" s="1" t="s">
        <v>3937</v>
      </c>
      <c r="B165" s="2" t="s">
        <v>3777</v>
      </c>
      <c r="C165" s="2">
        <v>282</v>
      </c>
      <c r="D165" s="3">
        <v>14786</v>
      </c>
      <c r="E165" s="3">
        <v>85684</v>
      </c>
      <c r="F165" s="4">
        <v>1617965</v>
      </c>
      <c r="G165" s="11" t="str" cm="1">
        <f t="array" aca="1" ref="G165" ca="1">IFERROR(VLOOKUP("*" &amp; B165  &amp; "*" &amp; (MID(CELL("filename",A164),FIND("]",CELL("filename",A164))+1,31)) &amp; "*",CHOOSE({1,2}, Super_CBSA!$B$2:$B$1917, Super_CBSA!$A$2:$A$1917), 2,FALSE), IFERROR(VLOOKUP(B165  &amp; " city",CHOOSE({1,2}, Super_CBSA!$E$2:$E$1917, Super_CBSA!$A$2:$A$1917), 2,FALSE), ""))</f>
        <v/>
      </c>
    </row>
    <row r="166" spans="1:7" ht="17">
      <c r="A166" s="1" t="s">
        <v>3938</v>
      </c>
      <c r="B166" s="2" t="s">
        <v>3775</v>
      </c>
      <c r="C166" s="3">
        <v>1161</v>
      </c>
      <c r="D166" s="3">
        <v>55420</v>
      </c>
      <c r="E166" s="3">
        <v>361731</v>
      </c>
      <c r="F166" s="4">
        <v>7907731</v>
      </c>
      <c r="G166" s="11" cm="1">
        <f t="array" aca="1" ref="G166" ca="1">IFERROR(VLOOKUP("*" &amp; B166  &amp; "*" &amp; (MID(CELL("filename",A165),FIND("]",CELL("filename",A165))+1,31)) &amp; "*",CHOOSE({1,2}, Super_CBSA!$B$2:$B$1917, Super_CBSA!$A$2:$A$1917), 2,FALSE), IFERROR(VLOOKUP(B166  &amp; " city",CHOOSE({1,2}, Super_CBSA!$E$2:$E$1917, Super_CBSA!$A$2:$A$1917), 2,FALSE), ""))</f>
        <v>35620</v>
      </c>
    </row>
    <row r="167" spans="1:7" ht="17">
      <c r="A167" s="1" t="s">
        <v>3939</v>
      </c>
      <c r="B167" s="2" t="s">
        <v>3775</v>
      </c>
      <c r="C167" s="2">
        <v>16</v>
      </c>
      <c r="D167" s="2">
        <v>322</v>
      </c>
      <c r="E167" s="2">
        <v>842</v>
      </c>
      <c r="F167" s="4">
        <v>373927</v>
      </c>
      <c r="G167" s="11" cm="1">
        <f t="array" aca="1" ref="G167" ca="1">IFERROR(VLOOKUP("*" &amp; B167  &amp; "*" &amp; (MID(CELL("filename",A166),FIND("]",CELL("filename",A166))+1,31)) &amp; "*",CHOOSE({1,2}, Super_CBSA!$B$2:$B$1917, Super_CBSA!$A$2:$A$1917), 2,FALSE), IFERROR(VLOOKUP(B167  &amp; " city",CHOOSE({1,2}, Super_CBSA!$E$2:$E$1917, Super_CBSA!$A$2:$A$1917), 2,FALSE), ""))</f>
        <v>35620</v>
      </c>
    </row>
    <row r="168" spans="1:7" ht="17">
      <c r="A168" s="1" t="s">
        <v>3940</v>
      </c>
      <c r="B168" s="2" t="s">
        <v>3941</v>
      </c>
      <c r="C168" s="2">
        <v>354</v>
      </c>
      <c r="D168" s="3">
        <v>9754</v>
      </c>
      <c r="E168" s="3">
        <v>49604</v>
      </c>
      <c r="F168" s="4">
        <v>338957</v>
      </c>
      <c r="G168" s="11" cm="1">
        <f t="array" aca="1" ref="G168" ca="1">IFERROR(VLOOKUP("*" &amp; B168  &amp; "*" &amp; (MID(CELL("filename",A167),FIND("]",CELL("filename",A167))+1,31)) &amp; "*",CHOOSE({1,2}, Super_CBSA!$B$2:$B$1917, Super_CBSA!$A$2:$A$1917), 2,FALSE), IFERROR(VLOOKUP(B168  &amp; " city",CHOOSE({1,2}, Super_CBSA!$E$2:$E$1917, Super_CBSA!$A$2:$A$1917), 2,FALSE), ""))</f>
        <v>38460</v>
      </c>
    </row>
    <row r="169" spans="1:7" ht="17">
      <c r="A169" s="1" t="s">
        <v>3942</v>
      </c>
      <c r="B169" s="2" t="s">
        <v>3877</v>
      </c>
      <c r="C169" s="2">
        <v>474</v>
      </c>
      <c r="D169" s="3">
        <v>15405</v>
      </c>
      <c r="E169" s="3">
        <v>81619</v>
      </c>
      <c r="F169" s="4">
        <v>1561736</v>
      </c>
      <c r="G169" s="11" cm="1">
        <f t="array" aca="1" ref="G169" ca="1">IFERROR(VLOOKUP("*" &amp; B169  &amp; "*" &amp; (MID(CELL("filename",A168),FIND("]",CELL("filename",A168))+1,31)) &amp; "*",CHOOSE({1,2}, Super_CBSA!$B$2:$B$1917, Super_CBSA!$A$2:$A$1917), 2,FALSE), IFERROR(VLOOKUP(B169  &amp; " city",CHOOSE({1,2}, Super_CBSA!$E$2:$E$1917, Super_CBSA!$A$2:$A$1917), 2,FALSE), ""))</f>
        <v>13780</v>
      </c>
    </row>
    <row r="170" spans="1:7" ht="17">
      <c r="A170" s="1" t="s">
        <v>3943</v>
      </c>
      <c r="B170" s="2" t="s">
        <v>1072</v>
      </c>
      <c r="C170" s="2">
        <v>138</v>
      </c>
      <c r="D170" s="3">
        <v>1184</v>
      </c>
      <c r="E170" s="3">
        <v>4211</v>
      </c>
      <c r="F170" s="4">
        <v>184342</v>
      </c>
      <c r="G170" s="11" t="str" cm="1">
        <f t="array" aca="1" ref="G170" ca="1">IFERROR(VLOOKUP("*" &amp; B170  &amp; "*" &amp; (MID(CELL("filename",A169),FIND("]",CELL("filename",A169))+1,31)) &amp; "*",CHOOSE({1,2}, Super_CBSA!$B$2:$B$1917, Super_CBSA!$A$2:$A$1917), 2,FALSE), IFERROR(VLOOKUP(B170  &amp; " city",CHOOSE({1,2}, Super_CBSA!$E$2:$E$1917, Super_CBSA!$A$2:$A$1917), 2,FALSE), ""))</f>
        <v/>
      </c>
    </row>
    <row r="171" spans="1:7" ht="17">
      <c r="A171" s="1" t="s">
        <v>3944</v>
      </c>
      <c r="B171" s="2" t="s">
        <v>3945</v>
      </c>
      <c r="C171" s="2">
        <v>0</v>
      </c>
      <c r="D171" s="2">
        <v>0</v>
      </c>
      <c r="E171" s="2">
        <v>0</v>
      </c>
      <c r="F171" s="4">
        <v>0</v>
      </c>
      <c r="G171" s="11" t="str" cm="1">
        <f t="array" aca="1" ref="G171" ca="1">IFERROR(VLOOKUP("*" &amp; B171  &amp; "*" &amp; (MID(CELL("filename",A170),FIND("]",CELL("filename",A170))+1,31)) &amp; "*",CHOOSE({1,2}, Super_CBSA!$B$2:$B$1917, Super_CBSA!$A$2:$A$1917), 2,FALSE), IFERROR(VLOOKUP(B171  &amp; " city",CHOOSE({1,2}, Super_CBSA!$E$2:$E$1917, Super_CBSA!$A$2:$A$1917), 2,FALSE), ""))</f>
        <v/>
      </c>
    </row>
    <row r="172" spans="1:7" ht="17">
      <c r="A172" s="1" t="s">
        <v>3946</v>
      </c>
      <c r="B172" s="2" t="s">
        <v>3714</v>
      </c>
      <c r="C172" s="2">
        <v>133</v>
      </c>
      <c r="D172" s="3">
        <v>4362</v>
      </c>
      <c r="E172" s="3">
        <v>19239</v>
      </c>
      <c r="F172" s="4">
        <v>283370</v>
      </c>
      <c r="G172" s="11" cm="1">
        <f t="array" aca="1" ref="G172" ca="1">IFERROR(VLOOKUP("*" &amp; B172  &amp; "*" &amp; (MID(CELL("filename",A171),FIND("]",CELL("filename",A171))+1,31)) &amp; "*",CHOOSE({1,2}, Super_CBSA!$B$2:$B$1917, Super_CBSA!$A$2:$A$1917), 2,FALSE), IFERROR(VLOOKUP(B172  &amp; " city",CHOOSE({1,2}, Super_CBSA!$E$2:$E$1917, Super_CBSA!$A$2:$A$1917), 2,FALSE), ""))</f>
        <v>12860</v>
      </c>
    </row>
    <row r="173" spans="1:7" ht="17">
      <c r="A173" s="1" t="s">
        <v>3947</v>
      </c>
      <c r="B173" s="2" t="s">
        <v>2753</v>
      </c>
      <c r="C173" s="2">
        <v>468</v>
      </c>
      <c r="D173" s="3">
        <v>17663</v>
      </c>
      <c r="E173" s="3">
        <v>99573</v>
      </c>
      <c r="F173" s="4">
        <v>1022478</v>
      </c>
      <c r="G173" s="11" cm="1">
        <f t="array" aca="1" ref="G173" ca="1">IFERROR(VLOOKUP("*" &amp; B173  &amp; "*" &amp; (MID(CELL("filename",A172),FIND("]",CELL("filename",A172))+1,31)) &amp; "*",CHOOSE({1,2}, Super_CBSA!$B$2:$B$1917, Super_CBSA!$A$2:$A$1917), 2,FALSE), IFERROR(VLOOKUP(B173  &amp; " city",CHOOSE({1,2}, Super_CBSA!$E$2:$E$1917, Super_CBSA!$A$2:$A$1917), 2,FALSE), ""))</f>
        <v>40380</v>
      </c>
    </row>
    <row r="174" spans="1:7" ht="17">
      <c r="A174" s="1" t="s">
        <v>3948</v>
      </c>
      <c r="B174" s="2" t="s">
        <v>3777</v>
      </c>
      <c r="C174" s="2">
        <v>323</v>
      </c>
      <c r="D174" s="3">
        <v>10599</v>
      </c>
      <c r="E174" s="3">
        <v>68972</v>
      </c>
      <c r="F174" s="4">
        <v>997255</v>
      </c>
      <c r="G174" s="11" t="str" cm="1">
        <f t="array" aca="1" ref="G174" ca="1">IFERROR(VLOOKUP("*" &amp; B174  &amp; "*" &amp; (MID(CELL("filename",A173),FIND("]",CELL("filename",A173))+1,31)) &amp; "*",CHOOSE({1,2}, Super_CBSA!$B$2:$B$1917, Super_CBSA!$A$2:$A$1917), 2,FALSE), IFERROR(VLOOKUP(B174  &amp; " city",CHOOSE({1,2}, Super_CBSA!$E$2:$E$1917, Super_CBSA!$A$2:$A$1917), 2,FALSE), ""))</f>
        <v/>
      </c>
    </row>
    <row r="175" spans="1:7" ht="17">
      <c r="A175" s="1" t="s">
        <v>3949</v>
      </c>
      <c r="B175" s="2" t="s">
        <v>3950</v>
      </c>
      <c r="C175" s="2">
        <v>199</v>
      </c>
      <c r="D175" s="3">
        <v>5555</v>
      </c>
      <c r="E175" s="3">
        <v>27609</v>
      </c>
      <c r="F175" s="4">
        <v>225890</v>
      </c>
      <c r="G175" s="11" cm="1">
        <f t="array" aca="1" ref="G175" ca="1">IFERROR(VLOOKUP("*" &amp; B175  &amp; "*" &amp; (MID(CELL("filename",A174),FIND("]",CELL("filename",A174))+1,31)) &amp; "*",CHOOSE({1,2}, Super_CBSA!$B$2:$B$1917, Super_CBSA!$A$2:$A$1917), 2,FALSE), IFERROR(VLOOKUP(B175  &amp; " city",CHOOSE({1,2}, Super_CBSA!$E$2:$E$1917, Super_CBSA!$A$2:$A$1917), 2,FALSE), ""))</f>
        <v>27460</v>
      </c>
    </row>
    <row r="176" spans="1:7" ht="17">
      <c r="A176" s="1" t="s">
        <v>3951</v>
      </c>
      <c r="B176" s="2" t="s">
        <v>3747</v>
      </c>
      <c r="C176" s="2">
        <v>735</v>
      </c>
      <c r="D176" s="3">
        <v>31023</v>
      </c>
      <c r="E176" s="3">
        <v>162541</v>
      </c>
      <c r="F176" s="4">
        <v>3425801</v>
      </c>
      <c r="G176" s="11" cm="1">
        <f t="array" aca="1" ref="G176" ca="1">IFERROR(VLOOKUP("*" &amp; B176  &amp; "*" &amp; (MID(CELL("filename",A175),FIND("]",CELL("filename",A175))+1,31)) &amp; "*",CHOOSE({1,2}, Super_CBSA!$B$2:$B$1917, Super_CBSA!$A$2:$A$1917), 2,FALSE), IFERROR(VLOOKUP(B176  &amp; " city",CHOOSE({1,2}, Super_CBSA!$E$2:$E$1917, Super_CBSA!$A$2:$A$1917), 2,FALSE), ""))</f>
        <v>45060</v>
      </c>
    </row>
    <row r="177" spans="1:7" ht="17">
      <c r="A177" s="1" t="s">
        <v>3952</v>
      </c>
      <c r="B177" s="2" t="s">
        <v>3747</v>
      </c>
      <c r="C177" s="2">
        <v>306</v>
      </c>
      <c r="D177" s="3">
        <v>6931</v>
      </c>
      <c r="E177" s="3">
        <v>38644</v>
      </c>
      <c r="F177" s="4">
        <v>237430</v>
      </c>
      <c r="G177" s="11" cm="1">
        <f t="array" aca="1" ref="G177" ca="1">IFERROR(VLOOKUP("*" &amp; B177  &amp; "*" &amp; (MID(CELL("filename",A176),FIND("]",CELL("filename",A176))+1,31)) &amp; "*",CHOOSE({1,2}, Super_CBSA!$B$2:$B$1917, Super_CBSA!$A$2:$A$1917), 2,FALSE), IFERROR(VLOOKUP(B177  &amp; " city",CHOOSE({1,2}, Super_CBSA!$E$2:$E$1917, Super_CBSA!$A$2:$A$1917), 2,FALSE), ""))</f>
        <v>45060</v>
      </c>
    </row>
    <row r="178" spans="1:7" ht="17">
      <c r="A178" s="1" t="s">
        <v>3953</v>
      </c>
      <c r="B178" s="2" t="s">
        <v>3954</v>
      </c>
      <c r="C178" s="2">
        <v>67</v>
      </c>
      <c r="D178" s="3">
        <v>2351</v>
      </c>
      <c r="E178" s="3">
        <v>8204</v>
      </c>
      <c r="F178" s="4">
        <v>156558</v>
      </c>
      <c r="G178" s="11" t="str" cm="1">
        <f t="array" aca="1" ref="G178" ca="1">IFERROR(VLOOKUP("*" &amp; B178  &amp; "*" &amp; (MID(CELL("filename",A177),FIND("]",CELL("filename",A177))+1,31)) &amp; "*",CHOOSE({1,2}, Super_CBSA!$B$2:$B$1917, Super_CBSA!$A$2:$A$1917), 2,FALSE), IFERROR(VLOOKUP(B178  &amp; " city",CHOOSE({1,2}, Super_CBSA!$E$2:$E$1917, Super_CBSA!$A$2:$A$1917), 2,FALSE), ""))</f>
        <v/>
      </c>
    </row>
    <row r="179" spans="1:7" ht="17">
      <c r="A179" s="1" t="s">
        <v>3955</v>
      </c>
      <c r="B179" s="2" t="s">
        <v>1017</v>
      </c>
      <c r="C179" s="2">
        <v>0</v>
      </c>
      <c r="D179" s="2">
        <v>0</v>
      </c>
      <c r="E179" s="2">
        <v>0</v>
      </c>
      <c r="F179" s="4">
        <v>0</v>
      </c>
      <c r="G179" s="11" t="str" cm="1">
        <f t="array" aca="1" ref="G179" ca="1">IFERROR(VLOOKUP("*" &amp; B179  &amp; "*" &amp; (MID(CELL("filename",A178),FIND("]",CELL("filename",A178))+1,31)) &amp; "*",CHOOSE({1,2}, Super_CBSA!$B$2:$B$1917, Super_CBSA!$A$2:$A$1917), 2,FALSE), IFERROR(VLOOKUP(B179  &amp; " city",CHOOSE({1,2}, Super_CBSA!$E$2:$E$1917, Super_CBSA!$A$2:$A$1917), 2,FALSE), ""))</f>
        <v/>
      </c>
    </row>
    <row r="180" spans="1:7" ht="17">
      <c r="A180" s="1" t="s">
        <v>3956</v>
      </c>
      <c r="B180" s="2" t="s">
        <v>3777</v>
      </c>
      <c r="C180" s="2">
        <v>0</v>
      </c>
      <c r="D180" s="2">
        <v>0</v>
      </c>
      <c r="E180" s="2">
        <v>0</v>
      </c>
      <c r="F180" s="4">
        <v>0</v>
      </c>
      <c r="G180" s="11" t="str" cm="1">
        <f t="array" aca="1" ref="G180" ca="1">IFERROR(VLOOKUP("*" &amp; B180  &amp; "*" &amp; (MID(CELL("filename",A179),FIND("]",CELL("filename",A179))+1,31)) &amp; "*",CHOOSE({1,2}, Super_CBSA!$B$2:$B$1917, Super_CBSA!$A$2:$A$1917), 2,FALSE), IFERROR(VLOOKUP(B180  &amp; " city",CHOOSE({1,2}, Super_CBSA!$E$2:$E$1917, Super_CBSA!$A$2:$A$1917), 2,FALSE), ""))</f>
        <v/>
      </c>
    </row>
    <row r="181" spans="1:7" ht="17">
      <c r="A181" s="1" t="s">
        <v>3957</v>
      </c>
      <c r="B181" s="2" t="s">
        <v>3775</v>
      </c>
      <c r="C181" s="2">
        <v>0</v>
      </c>
      <c r="D181" s="2">
        <v>0</v>
      </c>
      <c r="E181" s="2">
        <v>0</v>
      </c>
      <c r="F181" s="4">
        <v>0</v>
      </c>
      <c r="G181" s="11" cm="1">
        <f t="array" aca="1" ref="G181" ca="1">IFERROR(VLOOKUP("*" &amp; B181  &amp; "*" &amp; (MID(CELL("filename",A180),FIND("]",CELL("filename",A180))+1,31)) &amp; "*",CHOOSE({1,2}, Super_CBSA!$B$2:$B$1917, Super_CBSA!$A$2:$A$1917), 2,FALSE), IFERROR(VLOOKUP(B181  &amp; " city",CHOOSE({1,2}, Super_CBSA!$E$2:$E$1917, Super_CBSA!$A$2:$A$1917), 2,FALSE), ""))</f>
        <v>35620</v>
      </c>
    </row>
    <row r="182" spans="1:7" ht="17">
      <c r="A182" s="1" t="s">
        <v>3958</v>
      </c>
      <c r="B182" s="2" t="s">
        <v>3805</v>
      </c>
      <c r="C182" s="2">
        <v>365</v>
      </c>
      <c r="D182" s="3">
        <v>21274</v>
      </c>
      <c r="E182" s="3">
        <v>103814</v>
      </c>
      <c r="F182" s="4">
        <v>1852256</v>
      </c>
      <c r="G182" s="11" cm="1">
        <f t="array" aca="1" ref="G182" ca="1">IFERROR(VLOOKUP("*" &amp; B182  &amp; "*" &amp; (MID(CELL("filename",A181),FIND("]",CELL("filename",A181))+1,31)) &amp; "*",CHOOSE({1,2}, Super_CBSA!$B$2:$B$1917, Super_CBSA!$A$2:$A$1917), 2,FALSE), IFERROR(VLOOKUP(B182  &amp; " city",CHOOSE({1,2}, Super_CBSA!$E$2:$E$1917, Super_CBSA!$A$2:$A$1917), 2,FALSE), ""))</f>
        <v>39100</v>
      </c>
    </row>
    <row r="183" spans="1:7" ht="17">
      <c r="A183" s="1" t="s">
        <v>3959</v>
      </c>
      <c r="B183" s="2" t="s">
        <v>3960</v>
      </c>
      <c r="C183" s="2">
        <v>885</v>
      </c>
      <c r="D183" s="3">
        <v>23283</v>
      </c>
      <c r="E183" s="3">
        <v>195543</v>
      </c>
      <c r="F183" s="4">
        <v>6525425</v>
      </c>
      <c r="G183" s="11" t="str" cm="1">
        <f t="array" aca="1" ref="G183" ca="1">IFERROR(VLOOKUP("*" &amp; B183  &amp; "*" &amp; (MID(CELL("filename",A182),FIND("]",CELL("filename",A182))+1,31)) &amp; "*",CHOOSE({1,2}, Super_CBSA!$B$2:$B$1917, Super_CBSA!$A$2:$A$1917), 2,FALSE), IFERROR(VLOOKUP(B183  &amp; " city",CHOOSE({1,2}, Super_CBSA!$E$2:$E$1917, Super_CBSA!$A$2:$A$1917), 2,FALSE), ""))</f>
        <v/>
      </c>
    </row>
    <row r="184" spans="1:7" ht="17">
      <c r="A184" s="1" t="s">
        <v>3961</v>
      </c>
      <c r="B184" s="2" t="s">
        <v>2136</v>
      </c>
      <c r="C184" s="2">
        <v>4</v>
      </c>
      <c r="D184" s="2">
        <v>11</v>
      </c>
      <c r="E184" s="2">
        <v>41</v>
      </c>
      <c r="F184" s="4">
        <v>25306</v>
      </c>
      <c r="G184" s="11" t="str" cm="1">
        <f t="array" aca="1" ref="G184" ca="1">IFERROR(VLOOKUP("*" &amp; B184  &amp; "*" &amp; (MID(CELL("filename",A183),FIND("]",CELL("filename",A183))+1,31)) &amp; "*",CHOOSE({1,2}, Super_CBSA!$B$2:$B$1917, Super_CBSA!$A$2:$A$1917), 2,FALSE), IFERROR(VLOOKUP(B184  &amp; " city",CHOOSE({1,2}, Super_CBSA!$E$2:$E$1917, Super_CBSA!$A$2:$A$1917), 2,FALSE), ""))</f>
        <v/>
      </c>
    </row>
    <row r="185" spans="1:7" ht="17">
      <c r="A185" s="1" t="s">
        <v>3962</v>
      </c>
      <c r="B185" s="2" t="s">
        <v>3963</v>
      </c>
      <c r="C185" s="2">
        <v>292</v>
      </c>
      <c r="D185" s="3">
        <v>18845</v>
      </c>
      <c r="E185" s="3">
        <v>87237</v>
      </c>
      <c r="F185" s="4">
        <v>1990134</v>
      </c>
      <c r="G185" s="11" t="str" cm="1">
        <f t="array" aca="1" ref="G185" ca="1">IFERROR(VLOOKUP("*" &amp; B185  &amp; "*" &amp; (MID(CELL("filename",A184),FIND("]",CELL("filename",A184))+1,31)) &amp; "*",CHOOSE({1,2}, Super_CBSA!$B$2:$B$1917, Super_CBSA!$A$2:$A$1917), 2,FALSE), IFERROR(VLOOKUP(B185  &amp; " city",CHOOSE({1,2}, Super_CBSA!$E$2:$E$1917, Super_CBSA!$A$2:$A$1917), 2,FALSE), ""))</f>
        <v/>
      </c>
    </row>
    <row r="186" spans="1:7" ht="17">
      <c r="A186" s="1" t="s">
        <v>3964</v>
      </c>
      <c r="B186" s="2" t="s">
        <v>3777</v>
      </c>
      <c r="C186" s="2">
        <v>257</v>
      </c>
      <c r="D186" s="3">
        <v>12936</v>
      </c>
      <c r="E186" s="3">
        <v>58856</v>
      </c>
      <c r="F186" s="4">
        <v>724370</v>
      </c>
      <c r="G186" s="11" t="str" cm="1">
        <f t="array" aca="1" ref="G186" ca="1">IFERROR(VLOOKUP("*" &amp; B186  &amp; "*" &amp; (MID(CELL("filename",A185),FIND("]",CELL("filename",A185))+1,31)) &amp; "*",CHOOSE({1,2}, Super_CBSA!$B$2:$B$1917, Super_CBSA!$A$2:$A$1917), 2,FALSE), IFERROR(VLOOKUP(B186  &amp; " city",CHOOSE({1,2}, Super_CBSA!$E$2:$E$1917, Super_CBSA!$A$2:$A$1917), 2,FALSE), ""))</f>
        <v/>
      </c>
    </row>
    <row r="187" spans="1:7" ht="17">
      <c r="A187" s="1" t="s">
        <v>3965</v>
      </c>
      <c r="B187" s="2" t="s">
        <v>2095</v>
      </c>
      <c r="C187" s="2">
        <v>200</v>
      </c>
      <c r="D187" s="3">
        <v>1455</v>
      </c>
      <c r="E187" s="3">
        <v>5314</v>
      </c>
      <c r="F187" s="4">
        <v>81340</v>
      </c>
      <c r="G187" s="11" t="str" cm="1">
        <f t="array" aca="1" ref="G187" ca="1">IFERROR(VLOOKUP("*" &amp; B187  &amp; "*" &amp; (MID(CELL("filename",A186),FIND("]",CELL("filename",A186))+1,31)) &amp; "*",CHOOSE({1,2}, Super_CBSA!$B$2:$B$1917, Super_CBSA!$A$2:$A$1917), 2,FALSE), IFERROR(VLOOKUP(B187  &amp; " city",CHOOSE({1,2}, Super_CBSA!$E$2:$E$1917, Super_CBSA!$A$2:$A$1917), 2,FALSE), ""))</f>
        <v/>
      </c>
    </row>
    <row r="188" spans="1:7" ht="17">
      <c r="A188" s="2" t="s">
        <v>56</v>
      </c>
      <c r="B188" s="2"/>
      <c r="C188" s="3">
        <v>57268</v>
      </c>
      <c r="D188" s="3">
        <v>2199556</v>
      </c>
      <c r="E188" s="3">
        <v>11795909</v>
      </c>
      <c r="F188" s="4">
        <v>249537940</v>
      </c>
    </row>
  </sheetData>
  <hyperlinks>
    <hyperlink ref="A2" r:id="rId1" display="https://www.ahd.com/free_profile/330141/_Long_Island_Community_Hospital/Patchogue/New_York/" xr:uid="{54FC27CE-EDC3-124C-80AF-0C3B02489AB1}"/>
    <hyperlink ref="A3" r:id="rId2" display="https://www.ahd.com/free_profile/330085/AO_Fox_Hospital/Oneonta/New_York/" xr:uid="{4B7F5085-9006-DB4E-B677-76D8352FBEE6}"/>
    <hyperlink ref="A4" r:id="rId3" display="https://www.ahd.com/free_profile/330079/Adirondack_Medical_Center_at_Saranac_Lake/Saranac_Lake/New_York/" xr:uid="{CE04139E-CD9C-2C46-8491-D41A619B5EB0}"/>
    <hyperlink ref="A5" r:id="rId4" display="https://www.ahd.com/free_profile/330013/Albany_Medical_Center_Hospital/Albany/New_York/" xr:uid="{A977701D-5EA7-E942-9BBA-8888734B8BD3}"/>
    <hyperlink ref="A6" r:id="rId5" display="https://www.ahd.com/free_profile/33009F/Albany_Stratton_VA_Medical_Center/Albany/New_York/" xr:uid="{8A9A7BD2-ECC2-8141-ABA4-954020D1C243}"/>
    <hyperlink ref="A7" r:id="rId6" display="https://www.ahd.com/free_profile/330084/Alice_Hyde_Medical_Center/Malone/New_York/" xr:uid="{5CD49F20-E0C3-5B40-AC61-4FCB5FFC7B35}"/>
    <hyperlink ref="A8" r:id="rId7" display="https://www.ahd.com/free_profile/330090/Arnot_Ogden_Medical_Center/Elmira/New_York/" xr:uid="{BFC6B000-A2C2-CC46-B95F-4A1851C9FF9B}"/>
    <hyperlink ref="A9" r:id="rId8" display="https://www.ahd.com/free_profile/330235/Auburn_Community_Hospital/Auburn/New_York/" xr:uid="{0BEC11A6-DF14-6C49-B069-E7EE17CDC249}"/>
    <hyperlink ref="A10" r:id="rId9" display="https://www.ahd.com/free_profile/330136/Bassett_Medical_Center/Cooperstown/New_York/" xr:uid="{8E893CA1-A319-B940-ACD8-B8AB795EB877}"/>
    <hyperlink ref="A11" r:id="rId10" display="https://www.ahd.com/free_profile/33010F/Batavia_VA_Medical_Center/Batavia/New_York/" xr:uid="{B86E67E0-52E7-D24C-9938-DA9804DB95D1}"/>
    <hyperlink ref="A12" r:id="rId11" display="https://www.ahd.com/free_profile/33011F/Bath_VA_Medical_Center/Bath/New_York/" xr:uid="{ACAFAD4B-A0CA-5C48-9B8B-D0F349980445}"/>
    <hyperlink ref="A13" r:id="rId12" display="https://www.ahd.com/free_profile/330339/Bellevue_Woman%27s_Center/Niskayuna/New_York/" xr:uid="{E826717C-D46A-F94F-976D-AB1D786063E3}"/>
    <hyperlink ref="A14" r:id="rId13" display="https://www.ahd.com/free_profile/330111/Bertrand_Chaffee_Hospital/Springville/New_York/" xr:uid="{39AA8690-2727-A449-9B16-E2F2DC1296DB}"/>
    <hyperlink ref="A15" r:id="rId14" display="https://www.ahd.com/free_profile/330135/Bon_Secours_Community_Hospital/Port_Jervis/New_York/" xr:uid="{8BB6FA19-559B-E44E-9677-E51D676313D8}"/>
    <hyperlink ref="A16" r:id="rId15" display="https://www.ahd.com/free_profile/330009/BronxCare_Dr_Martin_Luther_King%2C_Jr_Health_Center/Bronx/New_York/" xr:uid="{8AB6F8F1-E0A7-7449-9C7B-599CC7A2C2F1}"/>
    <hyperlink ref="A17" r:id="rId16" display="https://www.ahd.com/free_profile/I08014/BronxCare_Special_Care_Center/Bronx/New_York/" xr:uid="{CFEACE39-A9BF-1343-8646-4F9FC2FF9B2F}"/>
    <hyperlink ref="A18" r:id="rId17" display="https://www.ahd.com/free_profile/330229/Brooks_Memorial_Hospital/Dunkirk/New_York/" xr:uid="{1ED4C817-83CF-1C45-B0FF-8C3F6E5E7477}"/>
    <hyperlink ref="A19" r:id="rId18" display="https://www.ahd.com/free_profile/330005/Buffalo_General_Medical_Center/Buffalo/New_York/" xr:uid="{B7558FA1-3076-B74F-BD55-DE61D439AD7C}"/>
    <hyperlink ref="A20" r:id="rId19" display="https://www.ahd.com/free_profile/33012F/Buffalo_VA_Medical_Center/Buffalo/New_York/" xr:uid="{46F3B4D1-B86E-ED4C-ACB1-CD634533E493}"/>
    <hyperlink ref="A21" r:id="rId20" display="https://www.ahd.com/free_profile/330409/Burdett_Birth_Center/Troy/New_York/" xr:uid="{E4070CA4-F149-6E43-83E3-3F614B61F920}"/>
    <hyperlink ref="A22" r:id="rId21" display="https://www.ahd.com/free_profile/33013F/Canandaigua_VA_Medical_Center/Canandaigua/New_York/" xr:uid="{DAE7EFCB-3800-2543-A9A4-40EB9F2F18EE}"/>
    <hyperlink ref="A23" r:id="rId22" display="https://www.ahd.com/free_profile/330197/Canton-Potsdam_Hospital/Potsdam/New_York/" xr:uid="{4F8F3934-2968-554B-8BCF-02FB398D0B4F}"/>
    <hyperlink ref="A24" r:id="rId23" display="https://www.ahd.com/free_profile/330386/Catskill_Regional_Medical_Center_-_Harris_Campus/Harris/New_York/" xr:uid="{A2580C48-3A35-224B-A991-3BDCAB53E121}"/>
    <hyperlink ref="A25" r:id="rId24" display="https://www.ahd.com/free_profile/330307/Cayuga_Medical_Center_at_Ithaca/Ithaca/New_York/" xr:uid="{E17D3DAB-2B3A-0844-A19B-0D4D701B603E}"/>
    <hyperlink ref="A26" r:id="rId25" display="https://www.ahd.com/free_profile/330211/Claxton-Hepburn_Medical_Center/Ogdensburg/New_York/" xr:uid="{7585774D-B017-8B4F-95A7-5D02D0B51857}"/>
    <hyperlink ref="A27" r:id="rId26" display="https://www.ahd.com/free_profile/330265/Clifton_Springs_Hospital_and_Clinic/Clifton_Springs/New_York/" xr:uid="{1ED34121-C33B-B442-91EA-67323EFAF03D}"/>
    <hyperlink ref="A28" r:id="rId27" display="https://www.ahd.com/free_profile/330094/Columbia_Memorial_Hospital/Hudson/New_York/" xr:uid="{71AD4CC7-BDC1-BC4E-A4C7-6C217EEA79FA}"/>
    <hyperlink ref="A29" r:id="rId28" display="https://www.ahd.com/free_profile/330281/Cornerstone_of_Fresh_Meadows/Fresh_Meadows/New_York/" xr:uid="{BB37F76B-12DC-0849-AB02-4325A7B1AA45}"/>
    <hyperlink ref="A30" r:id="rId29" display="https://www.ahd.com/free_profile/330203/Crouse_Hospital/Syracuse/New_York/" xr:uid="{4C010F4A-DD94-8D4C-863C-81F5A2C7C526}"/>
    <hyperlink ref="A31" r:id="rId30" display="https://www.ahd.com/free_profile/330163/Eastern_Niagara_Hospital-Lockport/Lockport/New_York/" xr:uid="{822F2AF1-B30F-8142-A09A-D8CB618AA9B6}"/>
    <hyperlink ref="A32" r:id="rId31" display="https://www.ahd.com/free_profile/330153/Ellis_Hospital/Schenectady/New_York/" xr:uid="{56E8CB1E-20D9-F34A-8EE2-5B25BC24C098}"/>
    <hyperlink ref="A33" r:id="rId32" display="https://www.ahd.com/free_profile/330219/Erie_County_Medical_Center/Buffalo/New_York/" xr:uid="{81F0BDA1-13CA-894C-82E5-52C4579A2CA0}"/>
    <hyperlink ref="A34" r:id="rId33" display="https://www.ahd.com/free_profile/330074/FF_Thompson_Hospital/Canandaigua/New_York/" xr:uid="{AA12CE97-D311-114F-BD29-B81011FB96E9}"/>
    <hyperlink ref="A35" r:id="rId34" display="https://www.ahd.com/free_profile/330193/Flushing_Hospital_Medical_Center/Flushing/New_York/" xr:uid="{A69C9AA8-13CE-764E-AC05-BA694A7CAEA1}"/>
    <hyperlink ref="A36" r:id="rId35" display="https://www.ahd.com/free_profile/330126/Garnet_Health_Medical_Center/Middletown/New_York/" xr:uid="{32F4DB86-BC4C-3D42-91C9-72D20810F55C}"/>
    <hyperlink ref="A37" r:id="rId36" display="https://www.ahd.com/free_profile/330058/Geneva_General_Hospital/Geneva/New_York/" xr:uid="{9916F4DD-37C3-6C4B-BEE4-385E8E3240C8}"/>
    <hyperlink ref="A38" r:id="rId37" display="https://www.ahd.com/free_profile/330181/Glen_Cove_Hospital/Glen_Cove/New_York/" xr:uid="{E5C97C16-7DB0-504A-B9A8-1A9D0555938B}"/>
    <hyperlink ref="A39" r:id="rId38" display="https://www.ahd.com/free_profile/330191/Glens_Falls_Hospital/Glens_Falls/New_York/" xr:uid="{CC82F236-AB73-C84B-9CE0-8E20CD585094}"/>
    <hyperlink ref="A40" r:id="rId39" display="https://www.ahd.com/free_profile/330158/Good_Samaritan_Hospital__/Suffern/New_York/" xr:uid="{7C5A816B-596E-8943-ACEA-CE97B8D15A40}"/>
    <hyperlink ref="A41" r:id="rId40" display="https://www.ahd.com/free_profile/330286/Good_Samaritan_Hospital_Medical_Center/West_Islip/New_York/" xr:uid="{D9094FE7-8496-354F-8A59-9792E0E18B53}"/>
    <hyperlink ref="A42" r:id="rId41" display="https://www.ahd.com/free_profile/330277/Guthrie_Corning_Hospital/Corning/New_York/" xr:uid="{112D2EB4-99B3-A244-84F2-13495BC20C47}"/>
    <hyperlink ref="A43" r:id="rId42" display="https://www.ahd.com/free_profile/330175/Guthrie_Cortland_Regional_Medical_Center/Cortland/New_York/" xr:uid="{4F7AB7C7-8186-0D44-B9E6-EBE0B1D5C44B}"/>
    <hyperlink ref="A44" r:id="rId43" display="https://www.ahd.com/free_profile/330004/HealthAlliance_Hospital_-_Broadway_Campus/Kingston/New_York/" xr:uid="{279DFE40-811A-DE45-AB0C-FD7D88609CF1}"/>
    <hyperlink ref="A45" r:id="rId44" display="https://www.ahd.com/free_profile/330224/HealthAlliance_Hospital_Mary%27s_Avenue_Campus/Kingston/New_York/" xr:uid="{44D25632-7A15-DB4C-AABC-1BBB73AFC2D0}"/>
    <hyperlink ref="A46" r:id="rId45" display="https://www.ahd.com/free_profile/330405/Helen_Hayes_Hospital/West_Haverstraw/New_York/" xr:uid="{34E5E963-D6F2-8B45-BBFB-8D0BA92C2A9B}"/>
    <hyperlink ref="A47" r:id="rId46" display="https://www.ahd.com/free_profile/330164/Highland_Hospital/Rochester/New_York/" xr:uid="{E3C4815C-66A1-2D42-8047-04B2B80B0ED1}"/>
    <hyperlink ref="A48" r:id="rId47" display="https://www.ahd.com/free_profile/330270/Hospital_for_Special_Surgery/New_York/New_York/" xr:uid="{92A2E255-4CC5-754F-AC88-2D923715082D}"/>
    <hyperlink ref="A49" r:id="rId48" display="https://www.ahd.com/free_profile/330045/Huntington_Hospital/Huntington/New_York/" xr:uid="{31295883-2021-D64A-9A6B-9D222805F14D}"/>
    <hyperlink ref="A50" r:id="rId49" display="https://www.ahd.com/free_profile/330397/Interfaith_Medical_Center/Brooklyn/New_York/" xr:uid="{C15CDC6E-D611-FF44-9695-98635DFA6917}"/>
    <hyperlink ref="A51" r:id="rId50" display="https://www.ahd.com/free_profile/330144/Ira_Davenport_Memorial_Hospital/Bath/New_York/" xr:uid="{3142B727-AD90-754A-BA7C-B1CBC6E3011F}"/>
    <hyperlink ref="A52" r:id="rId51" display="https://www.ahd.com/free_profile/I07233/Jack_D_Weiler_Hospital_/Bronx/New_York/" xr:uid="{910BF37F-CE4C-5A40-B045-8B2634FE67B8}"/>
    <hyperlink ref="A53" r:id="rId52" display="https://www.ahd.com/free_profile/330014/Jamaica_Hospital_Medical_Center/Jamaica/New_York/" xr:uid="{A7674DFD-A6F4-C547-94B3-8FAB88B257E8}"/>
    <hyperlink ref="A54" r:id="rId53" display="https://www.ahd.com/free_profile/33016F/James_J_Peters_VA_Medical_Center/Bronx/New_York/" xr:uid="{98384FE4-6487-5347-85F0-1A4514FD88CA}"/>
    <hyperlink ref="A55" r:id="rId54" display="https://www.ahd.com/free_profile/330185/John_T_Mather_Memorial_Hospital/Port_Jefferson/New_York/" xr:uid="{06E77C5E-41D1-2B4A-B35C-6EB69F47EEE0}"/>
    <hyperlink ref="A56" r:id="rId55" display="https://www.ahd.com/free_profile/330096/Jones_Memorial_Hospital/Wellsville/New_York/" xr:uid="{7BD72D60-547E-7444-82AA-B9A3C67A3BCF}"/>
    <hyperlink ref="A57" r:id="rId56" display="https://www.ahd.com/free_profile/33025F/Keller_Army_Community_Hospital/West_Point/New_York/" xr:uid="{CF791F52-A546-0E49-804F-6584F61E3735}"/>
    <hyperlink ref="A58" r:id="rId57" display="https://www.ahd.com/free_profile/330102/Kenmore_Mercy_Hospital/Kenmore/New_York/" xr:uid="{648040EE-24F8-8C4F-9549-9ECB2ABA573B}"/>
    <hyperlink ref="A59" r:id="rId58" display="https://www.ahd.com/free_profile/330201/Kingsbrook_Jewish_Medical_Center/Brooklyn/New_York/" xr:uid="{32A7FE1E-3DBC-E24B-9CE1-283D1CB569D3}"/>
    <hyperlink ref="A60" r:id="rId59" display="https://www.ahd.com/free_profile/330119/Lenox_Hill_Hospital/New_York/New_York/" xr:uid="{08CACD6A-76A1-4540-8084-BDAA12BFAE41}"/>
    <hyperlink ref="A61" r:id="rId60" display="https://www.ahd.com/free_profile/330353/Long_Island_Jewish_Forest_Hills_Hospital/Forest_Hills/New_York/" xr:uid="{F0E8DE9D-96F8-334D-BA40-3C14AE7C2C66}"/>
    <hyperlink ref="A62" r:id="rId61" display="https://www.ahd.com/free_profile/330195/Long_Island_Jewish_Medical_Center/New_Hyde_Park/New_York/" xr:uid="{03E9F0DB-4A86-7140-A65A-31544BBD612C}"/>
    <hyperlink ref="A63" r:id="rId62" display="https://www.ahd.com/free_profile/330372/Long_Island_Jewish_Valley_Stream/Valley_Stream/New_York/" xr:uid="{B8ED64E7-7CCC-A845-B1EA-DB6A61CFAED6}"/>
    <hyperlink ref="A64" r:id="rId63" display="https://www.ahd.com/free_profile/330194/Maimonides_Medical_Center/Brooklyn/New_York/" xr:uid="{0E66DC40-B2D1-BC41-85F3-ABEC324D6AE1}"/>
    <hyperlink ref="A65" r:id="rId64" display="https://www.ahd.com/free_profile/330223/Massena_Hospital/Massena/New_York/" xr:uid="{0972F029-4EA5-B540-92C0-944C4D43763D}"/>
    <hyperlink ref="A66" r:id="rId65" display="https://www.ahd.com/free_profile/330154/Memorial_Sloan-Kettering_Cancer_Center/New_York/New_York/" xr:uid="{6699637D-04EA-284A-A701-23FD64986324}"/>
    <hyperlink ref="A67" r:id="rId66" display="https://www.ahd.com/free_profile/330279/Mercy_Hospital_of_Buffalo/Buffalo/New_York/" xr:uid="{247A27E6-6ECA-934B-B15A-92C63FF06225}"/>
    <hyperlink ref="A68" r:id="rId67" display="https://www.ahd.com/free_profile/330259/Mercy_Medical_Center/Rockville_Centre/New_York/" xr:uid="{BA0CBEE5-B765-2146-B5CE-C14DD84174CF}"/>
    <hyperlink ref="A69" r:id="rId68" display="https://www.ahd.com/free_profile/330067/Midhudson_Regional_Hospital_of_Westchester_Medical_Center/Poughkeepsie/New_York/" xr:uid="{2F6D0B87-4EFF-8340-88F4-00E6DC2498C5}"/>
    <hyperlink ref="A70" r:id="rId69" display="https://www.ahd.com/free_profile/I08198/Millard_Fillmore_Suburban_Hospital/Williamsville/New_York/" xr:uid="{C834A3A4-8F35-AC48-B378-C28DD78EA27D}"/>
    <hyperlink ref="A71" r:id="rId70" display="https://www.ahd.com/free_profile/330403/Monroe_Community_Hospital/Rochester/New_York/" xr:uid="{3DCC6EA1-7274-0345-8D87-0502EF61C6C9}"/>
    <hyperlink ref="A72" r:id="rId71" display="https://www.ahd.com/free_profile/330059/Montefiore_Hospital-_Moses_Campus/Bronx/New_York/" xr:uid="{1134D919-3012-D441-B321-1808BB9392C6}"/>
    <hyperlink ref="A73" r:id="rId72" display="https://www.ahd.com/free_profile/330086/Montefiore_Mount_Vernon_Hospital/Mount_Vernon/New_York/" xr:uid="{7A843453-554C-7A4C-ACEE-77B8431BE371}"/>
    <hyperlink ref="A74" r:id="rId73" display="https://www.ahd.com/free_profile/330184/Montefiore_New_Rochelle_Hospital/New_Rochelle/New_York/" xr:uid="{5C02B450-209A-F545-A251-7907421C7578}"/>
    <hyperlink ref="A75" r:id="rId74" display="https://www.ahd.com/free_profile/330104/Montefiore_Nyack_Hospital/Nyack/New_York/" xr:uid="{350B87D9-AC29-1C41-BF5D-4BCB940E5EC6}"/>
    <hyperlink ref="A76" r:id="rId75" display="https://www.ahd.com/free_profile/330264/Montefiore_St_Lukes_Cornwall/Newburgh/New_York/" xr:uid="{955DDCAA-0D3E-AA44-AAF9-4F9C056BD709}"/>
    <hyperlink ref="A77" r:id="rId76" display="https://www.ahd.com/free_profile/330072/Montefiore_Wakefield_Campus/Bronx/New_York/" xr:uid="{912393A9-1A45-F64D-819E-4BC9D083FF37}"/>
    <hyperlink ref="A78" r:id="rId77" display="https://www.ahd.com/free_profile/330316/Montefiore_Westchester_Square_Campus/Bronx/New_York/" xr:uid="{A1E05CA4-CB17-4C4F-91DA-8BF5C5144A65}"/>
    <hyperlink ref="A79" r:id="rId78" display="https://www.ahd.com/free_profile/330188/Mount_Saint_Mary%27s_Hospital/Lewiston/New_York/" xr:uid="{F513E0CA-A471-8347-81FB-19F1BF24E226}"/>
    <hyperlink ref="A80" r:id="rId79" display="https://www.ahd.com/free_profile/I41266/Mount_Sinai__Brooklyn/Brooklyn/New_York/" xr:uid="{72B12B3F-BF75-3E47-A8B8-D9E6E97FBC1A}"/>
    <hyperlink ref="A81" r:id="rId80" display="https://www.ahd.com/free_profile/330258/Mount_Sinai__Queens/Astoria/New_York/" xr:uid="{57C677D2-1FAB-EC4A-83FB-73CB4A8DB501}"/>
    <hyperlink ref="A82" r:id="rId81" display="https://www.ahd.com/free_profile/330169/Mount_Sinai_Beth_Israel_Medical_Center_/New_York/New_York/" xr:uid="{E2620331-EA21-6B45-9574-64BE5807449A}"/>
    <hyperlink ref="A83" r:id="rId82" display="https://www.ahd.com/free_profile/330046/Mount_Sinai_Morningside/New_York/New_York/" xr:uid="{93B01EF9-C210-4141-A11B-12D8152A830C}"/>
    <hyperlink ref="A84" r:id="rId83" display="https://www.ahd.com/free_profile/330198/Mount_Sinai_South_Nassau/Oceanside/New_York/" xr:uid="{5995E134-17D0-B24A-8526-CBEF37268A7E}"/>
    <hyperlink ref="A85" r:id="rId84" display="https://www.ahd.com/free_profile/I07956/Mount_Sinai_West/New_York/New_York/" xr:uid="{64A925DE-FFEA-CC4B-9B59-4C72210F0C17}"/>
    <hyperlink ref="A86" r:id="rId85" display="https://www.ahd.com/free_profile/330044/MVHS_-__St_Luke%27s_Campus/Utica/New_York/" xr:uid="{321D938E-7672-4C49-BD02-7C0DB7C732A9}"/>
    <hyperlink ref="A87" r:id="rId86" display="https://www.ahd.com/free_profile/I41223/MVHS_-_Faxton_Campus/Utica/New_York/" xr:uid="{41F3AB26-5CA4-F248-BFEF-2F0C42931869}"/>
    <hyperlink ref="A88" r:id="rId87" display="https://www.ahd.com/free_profile/330245/MVHS_-_St_Elizabeth_Campus/Utica/New_York/" xr:uid="{AF007388-8BE2-504B-B28E-10CB5951E270}"/>
    <hyperlink ref="A89" r:id="rId88" display="https://www.ahd.com/free_profile/330027/Nassau_University_Medical_Center/East_Meadow/New_York/" xr:uid="{F215EBFF-AE4C-9A47-BE02-7392768F7F95}"/>
    <hyperlink ref="A90" r:id="rId89" display="https://www.ahd.com/free_profile/330276/Nathan_Littauer_Hospital_/Gloversville/New_York/" xr:uid="{CFC954C8-6AD8-D643-A892-32FC9B6F7724}"/>
    <hyperlink ref="A91" r:id="rId90" display="https://www.ahd.com/free_profile/330019/New_York_Community_Hospital_/Brooklyn/New_York/" xr:uid="{E580B2E0-2A74-DB4A-83D4-C391FD2AAC62}"/>
    <hyperlink ref="A92" r:id="rId91" display="https://www.ahd.com/free_profile/I41137/New_York_Presbyterian%2FColumbia_University_Irving_Medical_Center/New_York/New_York/" xr:uid="{02397114-47AD-1C41-8C42-CEA6472A2D61}"/>
    <hyperlink ref="A93" r:id="rId92" display="https://www.ahd.com/free_profile/330101/New_York_Presbyterian%2FWeill_Cornell_Medical_Center/New_York/New_York/" xr:uid="{F446DEF4-F693-7D4E-9AD5-429A568AE765}"/>
    <hyperlink ref="A94" r:id="rId93" display="https://www.ahd.com/free_profile/330030/Newark-Wayne_Community_Hospital/Newark/New_York/" xr:uid="{3C8D51D5-E97A-D24A-9D69-79A45906A3E7}"/>
    <hyperlink ref="A95" r:id="rId94" display="https://www.ahd.com/free_profile/330055/NewYork-Presbyterian__Queens_Hospital/Flushing/New_York/" xr:uid="{6B59890E-315A-ED4F-9579-8A8DAFDB5D61}"/>
    <hyperlink ref="A96" r:id="rId95" display="https://www.ahd.com/free_profile/I42054/NewYork-Presbyterian_Allen_Hospital_/New_York/New_York/" xr:uid="{BA2ADDCF-1AE4-0F4E-8548-E4BA800F085B}"/>
    <hyperlink ref="A97" r:id="rId96" display="https://www.ahd.com/free_profile/330236/NewYork-Presbyterian_Brooklyn_Methodist_Hospital/Brooklyn/New_York/" xr:uid="{627DA86E-49CC-7D4B-8920-29D4A6B5DBFB}"/>
    <hyperlink ref="A98" r:id="rId97" display="https://www.ahd.com/free_profile/330267/NewYork-Presbyterian_Hudson_Valley_Hospital/Cortlandt_Manor/New_York/" xr:uid="{2D702676-2EEC-6046-B439-7632846EC75D}"/>
    <hyperlink ref="A99" r:id="rId98" display="https://www.ahd.com/free_profile/330061/NewYork-Presbyterian_Lawrence_Hospital_/Bronxville/New_York/" xr:uid="{0A2E119E-D7B5-AE4F-91EA-3AAE97062B2D}"/>
    <hyperlink ref="A100" r:id="rId99" display="https://www.ahd.com/free_profile/330064/NewYork-Presbyterian%2C_Lower_Manhattan_Hospital/New_York/New_York/" xr:uid="{F52E779D-ED43-7C4C-B536-B523D3BF23EA}"/>
    <hyperlink ref="A101" r:id="rId100" display="https://www.ahd.com/free_profile/330065/Niagara_Falls_Memorial_Medical_Center/Niagara_Falls/New_York/" xr:uid="{C29BEF00-2813-F546-8708-71F510664105}"/>
    <hyperlink ref="A102" r:id="rId101" display="https://www.ahd.com/free_profile/330106/North_Shore_University_Hospital/Manhasset/New_York/" xr:uid="{B297C299-0A7E-5C45-AE84-5A6382B38998}"/>
    <hyperlink ref="A103" r:id="rId102" display="https://www.ahd.com/free_profile/330049/Northern_Dutchess_Hospital/Rhinebeck/New_York/" xr:uid="{229D9E84-2E1B-604F-95DB-E7886F857CFB}"/>
    <hyperlink ref="A104" r:id="rId103" display="https://www.ahd.com/free_profile/330162/Northern_Westchester_Hospital/Mount_Kisco/New_York/" xr:uid="{EFE72F9D-9214-8C4B-AF0E-766EE3D9A12A}"/>
    <hyperlink ref="A105" r:id="rId104" display="https://www.ahd.com/free_profile/330204/NYC_Health_%2B_Hospitals_Bellevue/New_York/New_York/" xr:uid="{DBD96AEC-34B7-0646-9891-232C2D454E5C}"/>
    <hyperlink ref="A106" r:id="rId105" display="https://www.ahd.com/free_profile/330196/NYC_Health_%2B_Hospitals_Coney_Island_/Brooklyn/New_York/" xr:uid="{0E59D01E-9F2E-0041-BFAF-A7E9893D49C7}"/>
    <hyperlink ref="A107" r:id="rId106" display="https://www.ahd.com/free_profile/330128/NYC_Health_%2B_Hospitals_Elmhurst_/Elmhurst/New_York/" xr:uid="{7A97D62C-7562-6E41-8049-ACFEAC2A9376}"/>
    <hyperlink ref="A108" r:id="rId107" display="https://www.ahd.com/free_profile/330240/NYC_Health_%2B_Hospitals_Harlem_/New_York/New_York/" xr:uid="{0AA89934-756B-E345-A6AA-388F56383279}"/>
    <hyperlink ref="A109" r:id="rId108" display="https://www.ahd.com/free_profile/330127/NYC_Health_%2B_Hospitals_Jacobi_/Bronx/New_York/" xr:uid="{9B7265B5-C4D0-F64E-AA58-4EF8B4CA5DA9}"/>
    <hyperlink ref="A110" r:id="rId109" display="https://www.ahd.com/free_profile/330202/NYC_Health_%2B_Hospitals_Kings_County_/Brooklyn/New_York/" xr:uid="{E7296E91-529A-EE40-B355-9EC331CD39B7}"/>
    <hyperlink ref="A111" r:id="rId110" display="https://www.ahd.com/free_profile/330080/NYC_Health_%2B_Hospitals_Lincoln/Bronx/New_York/" xr:uid="{CB128171-DF11-E44E-9181-84450B913CCA}"/>
    <hyperlink ref="A112" r:id="rId111" display="https://www.ahd.com/free_profile/330199/NYC_Health_%2B_Hospitals_Metropolitan/New_York/New_York/" xr:uid="{591C14C5-5EC4-314C-BB31-EE71C49237E0}"/>
    <hyperlink ref="A113" r:id="rId112" display="https://www.ahd.com/free_profile/330385/NYC_Health_%2B_Hospitals_North_Central_Bronx_/Bronx/New_York/" xr:uid="{37DA916E-EDEB-BA4C-98F1-57EFDB20FF06}"/>
    <hyperlink ref="A114" r:id="rId113" display="https://www.ahd.com/free_profile/330231/NYC_Health_%2B_Hospitals_Queens/Jamaica/New_York/" xr:uid="{59F1A940-04E2-7C42-84DD-33F6F95A9A3C}"/>
    <hyperlink ref="A115" r:id="rId114" display="https://www.ahd.com/free_profile/330396/NYC_Health_%2B_Hospitals_Woodhull_/Brooklyn/New_York/" xr:uid="{7EDC61A2-E9ED-5E41-A8F8-A540DF50F7C8}"/>
    <hyperlink ref="A116" r:id="rId115" display="https://www.ahd.com/free_profile/330306/NYU_Langone_Hospital_-_Brooklyn/Brooklyn/New_York/" xr:uid="{76FC4208-97F2-7643-A7DA-4B44D9CC4F53}"/>
    <hyperlink ref="A117" r:id="rId116" display="https://www.ahd.com/free_profile/330389/NYU_Langone_Orthopedic_Hospital/New_York/New_York/" xr:uid="{479655AA-34E9-ED41-97C9-79A8F43AC1C4}"/>
    <hyperlink ref="A118" r:id="rId117" display="https://www.ahd.com/free_profile/330214/NYU_Langone_Tisch_Hospital/New_York/New_York/" xr:uid="{CF5786FA-C1F2-E74E-8048-C3382F21C734}"/>
    <hyperlink ref="A119" r:id="rId118" display="https://www.ahd.com/free_profile/330167/NYU_Winthrop_Hospital_/Mineola/New_York/" xr:uid="{B5F17F21-3875-4C49-890A-EC8BCB970A6C}"/>
    <hyperlink ref="A120" r:id="rId119" display="https://www.ahd.com/free_profile/330103/Olean_General_Hospital/Olean/New_York/" xr:uid="{A40B373A-D070-9243-9456-4D4803C556AC}"/>
    <hyperlink ref="A121" r:id="rId120" display="https://www.ahd.com/free_profile/330115/Oneida_Healthcare_Center/Oneida/New_York/" xr:uid="{C34DBCDE-D878-2A4D-BCC0-0B6E92D3DABB}"/>
    <hyperlink ref="A122" r:id="rId121" display="https://www.ahd.com/free_profile/330218/Oswego_Hospital/Oswego/New_York/" xr:uid="{329F4F1E-7E07-F346-A347-6BC0782E243B}"/>
    <hyperlink ref="A123" r:id="rId122" display="https://www.ahd.com/free_profile/330011/Our_Lady_of_Lourdes_Memorial_Hospital/Binghamton/New_York/" xr:uid="{1D6D64D5-D0A5-1647-A1E2-9719542F1571}"/>
    <hyperlink ref="A124" r:id="rId123" display="https://www.ahd.com/free_profile/330107/Peconic_Bay_Medical_Center/Riverhead/New_York/" xr:uid="{4D8746A0-2157-A047-A0A2-4428DFECE4D0}"/>
    <hyperlink ref="A125" r:id="rId124" display="https://www.ahd.com/free_profile/330261/Phelps_Hospital/Sleepy_Hollow/New_York/" xr:uid="{8B9A3E48-383A-414E-A46A-FD46A07FBB5F}"/>
    <hyperlink ref="A126" r:id="rId125" display="https://www.ahd.com/free_profile/330331/Plainview_Hospital/Plainview/New_York/" xr:uid="{48D002F6-625F-8C4D-AC87-A6BADB860A3B}"/>
    <hyperlink ref="A127" r:id="rId126" display="https://www.ahd.com/free_profile/330273/Putnam_Hospital_Center/Carmel/New_York/" xr:uid="{3F03FE8C-5383-8341-B7F2-EBB304E6211C}"/>
    <hyperlink ref="A128" r:id="rId127" display="https://www.ahd.com/free_profile/330028/Richmond_University_Medical_Center/Staten_Island/New_York/" xr:uid="{D6EE88D7-DCA5-D640-BBC2-1E827CA5464E}"/>
    <hyperlink ref="A129" r:id="rId128" display="https://www.ahd.com/free_profile/330125/Rochester_General_Hospital/Rochester/New_York/" xr:uid="{5B88013A-A156-0445-AC53-FF6FB43748AD}"/>
    <hyperlink ref="A130" r:id="rId129" display="https://www.ahd.com/free_profile/330387/Rockefeller_University_Hospital/New_York/New_York/" xr:uid="{40834297-1A0F-8E46-B9F6-D6055AFDD7E3}"/>
    <hyperlink ref="A131" r:id="rId130" display="https://www.ahd.com/free_profile/330215/Rome_Memorial_Hospital/Rome/New_York/" xr:uid="{EC22143C-E286-3D4E-99FF-B97CDD026A0E}"/>
    <hyperlink ref="A132" r:id="rId131" display="https://www.ahd.com/free_profile/330354/Roswell_Park_Cancer_Institute/Buffalo/New_York/" xr:uid="{3432F4F4-D1B8-7348-8D7F-F2F9FFBEB0F2}"/>
    <hyperlink ref="A133" r:id="rId132" display="https://www.ahd.com/free_profile/330205/Saint_Anthony_Community_Hospital/Warwick/New_York/" xr:uid="{3140174A-D0A1-7947-A594-C12E62612F6A}"/>
    <hyperlink ref="A134" r:id="rId133" display="https://www.ahd.com/free_profile/330399/Saint_Barnabas_Hospital/Bronx/New_York/" xr:uid="{719BF8CD-E892-C542-BBFC-3E3FCC6DCBC2}"/>
    <hyperlink ref="A135" r:id="rId134" display="https://www.ahd.com/free_profile/330401/Saint_Catherine_of_Siena_Medical_Center/Smithtown/New_York/" xr:uid="{FEF43FB0-82D5-CD48-ACE5-21CCAB5D1498}"/>
    <hyperlink ref="A136" r:id="rId135" display="https://www.ahd.com/free_profile/330246/Saint_Charles_Hospital/Port_Jefferson/New_York/" xr:uid="{823C3F77-F56E-1E45-B6D7-C948D7FCF7A9}"/>
    <hyperlink ref="A137" r:id="rId136" display="https://www.ahd.com/free_profile/330182/Saint_Francis_Hospital_The_Heart_Center/Roslyn/New_York/" xr:uid="{415D2E0B-1D46-C141-9FAC-4DB1FA8A8C7A}"/>
    <hyperlink ref="A138" r:id="rId137" display="https://www.ahd.com/free_profile/330151/Saint_James_Hospital/Hornell/New_York/" xr:uid="{83F63893-8D19-8A4C-BB09-4472476C4370}"/>
    <hyperlink ref="A139" r:id="rId138" display="https://www.ahd.com/free_profile/330395/Saint_John%27s_Episcopal_Hospital/Far_Rockaway/New_York/" xr:uid="{7B437782-E737-5A45-B203-91A56393BD0F}"/>
    <hyperlink ref="A140" r:id="rId139" display="https://www.ahd.com/free_profile/330208/Saint_John%27s_Riverside_Hospital_-_Andrus_Pavilion/Yonkers/New_York/" xr:uid="{525FC432-9073-3848-BF2B-139790E28174}"/>
    <hyperlink ref="A141" r:id="rId140" display="https://www.ahd.com/free_profile/330036/Saint_John%27s_Riverside_Hospital_-_Dobbs_Ferry_Pavilion/Dobbs_Ferry/New_York/" xr:uid="{36DB8DFB-112F-2949-9248-3AD72D48FE4C}"/>
    <hyperlink ref="A142" r:id="rId141" display="https://www.ahd.com/free_profile/330108/Saint_Joseph%27s_Hospital/Elmira/New_York/" xr:uid="{9B09D52C-D7A6-964D-8A4B-4DC6C0ED8898}"/>
    <hyperlink ref="A143" r:id="rId142" display="https://www.ahd.com/free_profile/330140/Saint_Joseph%27s_Hospital_Health_Center/Syracuse/New_York/" xr:uid="{F2AB034D-13B0-FB46-A912-31B646CF4F91}"/>
    <hyperlink ref="A144" r:id="rId143" display="https://www.ahd.com/free_profile/330006/Saint_Joseph%27s_Medical_Center/Yonkers/New_York/" xr:uid="{617CA77B-1747-AB47-8BEF-CCFA340CC94D}"/>
    <hyperlink ref="A145" r:id="rId144" display="https://www.ahd.com/free_profile/330047/Saint_Mary%27s_Hospital_at_Amsterdam/Amsterdam/New_York/" xr:uid="{6B251929-E619-8E4B-A514-AC57B957CBA2}"/>
    <hyperlink ref="A146" r:id="rId145" display="https://www.ahd.com/free_profile/330057/Saint_Peter%27s_Hospital/Albany/New_York/" xr:uid="{FD90DAEE-B115-3D43-836B-633695FCAA85}"/>
    <hyperlink ref="A147" r:id="rId146" display="https://www.ahd.com/free_profile/330180/Samaritan_Hospital_-_Main_Campus/Troy/New_York/" xr:uid="{068B5B8E-A23E-D441-9F6C-E3E6073EB4BA}"/>
    <hyperlink ref="A148" r:id="rId147" display="https://www.ahd.com/free_profile/330003/Samaritan_Hospital-Albany_Memorial_Campus/Albany/New_York/" xr:uid="{4030B25B-ED6F-E145-90D2-7937B5B5E9BE}"/>
    <hyperlink ref="A149" r:id="rId148" display="https://www.ahd.com/free_profile/330157/Samaritan_Medical_Center/Watertown/New_York/" xr:uid="{C4E82910-7761-F64A-8607-3AC413E5CE9A}"/>
    <hyperlink ref="A150" r:id="rId149" display="https://www.ahd.com/free_profile/330222/Saratoga__Hospital/Saratoga_Springs/New_York/" xr:uid="{9C56037F-5955-8F46-9E9E-FD91A19F95BA}"/>
    <hyperlink ref="A151" r:id="rId150" display="https://www.ahd.com/free_profile/330078/Sisters_of_Charity_Hospital/Buffalo/New_York/" xr:uid="{F64748C0-6460-6448-A597-81A3D641A47D}"/>
    <hyperlink ref="A152" r:id="rId151" display="https://www.ahd.com/free_profile/330091/Sisters_of_Charity_Hospital_-_Saint_Joseph_Campus/Buffalo/New_York/" xr:uid="{91F65D1A-11CE-1748-ACC3-4A3F333CBA0D}"/>
    <hyperlink ref="A153" r:id="rId152" display="https://www.ahd.com/free_profile/330043/Southside_Hospital/Bay_Shore/New_York/" xr:uid="{DCD60F7D-C640-9E49-BACB-5182922D7F38}"/>
    <hyperlink ref="A154" r:id="rId153" display="https://www.ahd.com/free_profile/330122/St_John%27s_Riverside_Hospital_ParkCare_Pavilion/Yonkers/New_York/" xr:uid="{4A304789-8323-4047-A577-566B7CD2E3ED}"/>
    <hyperlink ref="A155" r:id="rId154" display="https://www.ahd.com/free_profile/330332/St_Joseph_Hospital/Bethpage/New_York/" xr:uid="{26F1CC90-779B-C04E-AD31-09E6BEBE7E0C}"/>
    <hyperlink ref="A156" r:id="rId155" display="https://www.ahd.com/free_profile/330160/Staten_Island_University_Hospital_/Staten_Island/New_York/" xr:uid="{C1C8FD89-366E-4641-8C4D-20691A6D4663}"/>
    <hyperlink ref="A157" r:id="rId156" display="https://www.ahd.com/free_profile/330088/Stony_Brook_Eastern_Long_Island_Hospital/Greenport/New_York/" xr:uid="{E4815342-30F5-5E47-A051-81A080646703}"/>
    <hyperlink ref="A158" r:id="rId157" display="https://www.ahd.com/free_profile/330340/Stony_Brook_Southampton_Hospital/Southampton/New_York/" xr:uid="{378D149B-0A82-FC46-9D3B-AEE02914C41A}"/>
    <hyperlink ref="A159" r:id="rId158" display="https://www.ahd.com/free_profile/330393/Stony_Brook_University_Hospital/Stony_Brook/New_York/" xr:uid="{9999CFFA-67DA-5146-8B00-099DA900DCFD}"/>
    <hyperlink ref="A160" r:id="rId159" display="https://www.ahd.com/free_profile/330285/Strong_Memorial_Hospital/Rochester/New_York/" xr:uid="{CACC1DE4-2975-CD49-8740-02BFDA5D2B75}"/>
    <hyperlink ref="A161" r:id="rId160" display="https://www.ahd.com/free_profile/330406/Sunnyview_Rehabilitation_Hospital/Schenectady/New_York/" xr:uid="{C47065E3-14C2-A94C-8508-0C5386119915}"/>
    <hyperlink ref="A162" r:id="rId161" display="https://www.ahd.com/free_profile/330398/Syosset_Hospital/Syosset/New_York/" xr:uid="{04744028-8BE1-564B-9DFF-A087E1CE236A}"/>
    <hyperlink ref="A163" r:id="rId162" display="https://www.ahd.com/free_profile/33024F/Syracuse_VA_Medical_Center/Syracuse/New_York/" xr:uid="{58F326E3-0331-1B47-A2C9-F256F8AA0511}"/>
    <hyperlink ref="A164" r:id="rId163" display="https://www.ahd.com/free_profile/330233/The_Brookdale_University_Hospital_and_Medical_Center/Brooklyn/New_York/" xr:uid="{80BCC4FF-33F5-384A-8353-7E456AEEF350}"/>
    <hyperlink ref="A165" r:id="rId164" display="https://www.ahd.com/free_profile/330056/The_Brooklyn_Hospital_Center/Brooklyn/New_York/" xr:uid="{5822C6ED-C6E5-6642-85A7-8B5917EFFA78}"/>
    <hyperlink ref="A166" r:id="rId165" display="https://www.ahd.com/free_profile/330024/The_Mount_Sinai_Hospital/New_York/New_York/" xr:uid="{1DBF3038-B296-9E4C-9C45-D08CAA692F86}"/>
    <hyperlink ref="A167" r:id="rId166" display="https://www.ahd.com/free_profile/330100/The_New_York_Eye_and_Ear_Infirmary/New_York/New_York/" xr:uid="{90E6448C-72FB-2B4B-9CBE-F4B8B316AD8C}"/>
    <hyperlink ref="A168" r:id="rId167" display="https://www.ahd.com/free_profile/330250/The_University_of_Vermont_Health_Network_Champlain_Valley_Physicians_Hospital_/Plattsburgh/New_York/" xr:uid="{B0781AE4-CA89-024B-ACB6-961AE7A08341}"/>
    <hyperlink ref="A169" r:id="rId168" display="https://www.ahd.com/free_profile/330394/UHS_Binghamton_General_Hospital/Binghamton/New_York/" xr:uid="{097A86A3-8A11-0B4B-9F4B-4E9422B08D21}"/>
    <hyperlink ref="A170" r:id="rId169" display="https://www.ahd.com/free_profile/330033/UHS_Chenango_Memorial_Hospital/Norwich/New_York/" xr:uid="{1ADCA9F9-48B6-814A-88B5-8DDBBBB1530E}"/>
    <hyperlink ref="A171" r:id="rId170" display="https://www.ahd.com/free_profile/I41010/UHS_Wilson_Medical_Center/Johnson_City/New_York/" xr:uid="{5DF3AEBC-2A85-8B4C-A9D8-E18089269EFD}"/>
    <hyperlink ref="A172" r:id="rId171" display="https://www.ahd.com/free_profile/330073/United_Memorial_Medical_Center/Batavia/New_York/" xr:uid="{8873A1FA-8AFF-AA4C-9F9D-4A898CC10253}"/>
    <hyperlink ref="A173" r:id="rId172" display="https://www.ahd.com/free_profile/330226/Unity_Hospital/Rochester/New_York/" xr:uid="{76E91005-D5C1-B247-9DC8-28DF76F82277}"/>
    <hyperlink ref="A174" r:id="rId173" display="https://www.ahd.com/free_profile/330350/University_Hospital_of_Brooklyn/Brooklyn/New_York/" xr:uid="{7A36AB3A-E3DE-F14D-80F4-8770533D2773}"/>
    <hyperlink ref="A175" r:id="rId174" display="https://www.ahd.com/free_profile/330239/UPMC_Chautauqua_/Jamestown/New_York/" xr:uid="{A476EB30-D5F3-D34B-B4AD-A8127D4633E2}"/>
    <hyperlink ref="A176" r:id="rId175" display="https://www.ahd.com/free_profile/330241/Upstate_University_Hospital/Syracuse/New_York/" xr:uid="{C921AB1E-6356-E04C-8126-3E4631898D48}"/>
    <hyperlink ref="A177" r:id="rId176" display="https://www.ahd.com/free_profile/330159/Upstate_University_Hospital_-_Community_Campus/Syracuse/New_York/" xr:uid="{508B2A20-C2F1-A642-8F2B-0A2B020AF150}"/>
    <hyperlink ref="A178" r:id="rId177" display="https://www.ahd.com/free_profile/330238/UR_Medicine_Noyes_Health_/Dansville/New_York/" xr:uid="{5D57248B-AF85-7F4B-9FC5-291F02A86C76}"/>
    <hyperlink ref="A179" r:id="rId178" display="https://www.ahd.com/free_profile/33015F/VA_Hudson_Valley_Health_Care_System_-_Montrose_Campus/Montrose/New_York/" xr:uid="{52075192-999E-8847-803F-50B7EC6978E7}"/>
    <hyperlink ref="A180" r:id="rId179" display="https://www.ahd.com/free_profile/33020F/VA_New_York_Harbor_Healthcare_System_-_Brooklyn_Campus/Brooklyn/New_York/" xr:uid="{D16DD844-512E-1040-A21E-C6EDFDD83F96}"/>
    <hyperlink ref="A181" r:id="rId180" display="https://www.ahd.com/free_profile/33017F/VA_New_York_Harbor_Healthcare_System_-_Manhattan_Campus/New_York/New_York/" xr:uid="{9BE483E8-DDEB-6D43-8DD4-10D43472528D}"/>
    <hyperlink ref="A182" r:id="rId181" display="https://www.ahd.com/free_profile/330023/Vassar_Brothers_Medical_Center/Poughkeepsie/New_York/" xr:uid="{5404C534-12C1-1E45-8D90-7F6FF835B150}"/>
    <hyperlink ref="A183" r:id="rId182" display="https://www.ahd.com/free_profile/330234/Westchester_Medical_Center/Valhalla/New_York/" xr:uid="{96D60476-1D5E-FD4E-BE09-B56B8F7F6760}"/>
    <hyperlink ref="A184" r:id="rId183" display="https://www.ahd.com/free_profile/330166/Westfield_Memorial_Hospital/Westfield/New_York/" xr:uid="{D8ECD8FE-3969-F844-9CEC-6E316D58891B}"/>
    <hyperlink ref="A185" r:id="rId184" display="https://www.ahd.com/free_profile/330304/White_Plains_Hospital/White_Plains/New_York/" xr:uid="{FC26CF44-D508-8E44-A5C9-D0E577E5E167}"/>
    <hyperlink ref="A186" r:id="rId185" display="https://www.ahd.com/free_profile/330221/Wyckoff_Heights_Medical_Center/Brooklyn/New_York/" xr:uid="{6AFC921E-8655-C94C-8B68-B10DBAC523F7}"/>
    <hyperlink ref="A187" r:id="rId186" display="https://www.ahd.com/free_profile/330008/Wyoming_County_Community_Health_System/Warsaw/New_York/" xr:uid="{FACD7E8E-9CF4-CE43-89AE-53B2537B9BA9}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1C567-8823-994A-8947-36BD7B4CA249}">
  <sheetPr codeName="Sheet37"/>
  <dimension ref="A1:G148"/>
  <sheetViews>
    <sheetView topLeftCell="A134" workbookViewId="0">
      <selection activeCell="G147" sqref="G2:G147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3966</v>
      </c>
      <c r="B2" s="2" t="s">
        <v>3967</v>
      </c>
      <c r="C2" s="2">
        <v>282</v>
      </c>
      <c r="D2" s="3">
        <v>12950</v>
      </c>
      <c r="E2" s="3">
        <v>53227</v>
      </c>
      <c r="F2" s="4">
        <v>992035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 city",CHOOSE({1,2}, Super_CBSA!$E$2:$E$1917, Super_CBSA!$A$2:$A$1917), 2,FALSE), ""))</f>
        <v>17140</v>
      </c>
    </row>
    <row r="3" spans="1:7" ht="17">
      <c r="A3" s="1" t="s">
        <v>3968</v>
      </c>
      <c r="B3" s="2" t="s">
        <v>3969</v>
      </c>
      <c r="C3" s="2">
        <v>0</v>
      </c>
      <c r="D3" s="2">
        <v>0</v>
      </c>
      <c r="E3" s="2">
        <v>0</v>
      </c>
      <c r="F3" s="4">
        <v>0</v>
      </c>
      <c r="G3" s="11" t="str" cm="1">
        <f t="array" aca="1" ref="G3" ca="1">IFERROR(VLOOKUP("*" &amp; B3  &amp; "*" &amp; (MID(CELL("filename",A2),FIND("]",CELL("filename",A2))+1,31)) &amp; "*",CHOOSE({1,2}, Super_CBSA!$B$2:$B$1917, Super_CBSA!$A$2:$A$1917), 2,FALSE), IFERROR(VLOOKUP(B3  &amp; " city",CHOOSE({1,2}, Super_CBSA!$E$2:$E$1917, Super_CBSA!$A$2:$A$1917), 2,FALSE), ""))</f>
        <v/>
      </c>
    </row>
    <row r="4" spans="1:7" ht="17">
      <c r="A4" s="1" t="s">
        <v>3970</v>
      </c>
      <c r="B4" s="2" t="s">
        <v>3971</v>
      </c>
      <c r="C4" s="2">
        <v>189</v>
      </c>
      <c r="D4" s="3">
        <v>10231</v>
      </c>
      <c r="E4" s="3">
        <v>41191</v>
      </c>
      <c r="F4" s="4">
        <v>1278036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 city",CHOOSE({1,2}, Super_CBSA!$E$2:$E$1917, Super_CBSA!$A$2:$A$1917), 2,FALSE), ""))</f>
        <v>17060</v>
      </c>
    </row>
    <row r="5" spans="1:7" ht="17">
      <c r="A5" s="1" t="s">
        <v>3972</v>
      </c>
      <c r="B5" s="2" t="s">
        <v>3973</v>
      </c>
      <c r="C5" s="2">
        <v>145</v>
      </c>
      <c r="D5" s="3">
        <v>1836</v>
      </c>
      <c r="E5" s="3">
        <v>5702</v>
      </c>
      <c r="F5" s="4">
        <v>193150</v>
      </c>
      <c r="G5" s="11" t="str" cm="1">
        <f t="array" aca="1" ref="G5" ca="1">IFERROR(VLOOKUP("*" &amp; B5  &amp; "*" &amp; (MID(CELL("filename",A4),FIND("]",CELL("filename",A4))+1,31)) &amp; "*",CHOOSE({1,2}, Super_CBSA!$B$2:$B$1917, Super_CBSA!$A$2:$A$1917), 2,FALSE), IFERROR(VLOOKUP(B5  &amp; " city",CHOOSE({1,2}, Super_CBSA!$E$2:$E$1917, Super_CBSA!$A$2:$A$1917), 2,FALSE), ""))</f>
        <v/>
      </c>
    </row>
    <row r="6" spans="1:7" ht="17">
      <c r="A6" s="1" t="s">
        <v>3974</v>
      </c>
      <c r="B6" s="2" t="s">
        <v>3975</v>
      </c>
      <c r="C6" s="2">
        <v>137</v>
      </c>
      <c r="D6" s="3">
        <v>4113</v>
      </c>
      <c r="E6" s="3">
        <v>17614</v>
      </c>
      <c r="F6" s="4">
        <v>449886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 city",CHOOSE({1,2}, Super_CBSA!$E$2:$E$1917, Super_CBSA!$A$2:$A$1917), 2,FALSE), ""))</f>
        <v>11780</v>
      </c>
    </row>
    <row r="7" spans="1:7" ht="17">
      <c r="A7" s="1" t="s">
        <v>3976</v>
      </c>
      <c r="B7" s="2" t="s">
        <v>1100</v>
      </c>
      <c r="C7" s="2">
        <v>267</v>
      </c>
      <c r="D7" s="3">
        <v>7653</v>
      </c>
      <c r="E7" s="3">
        <v>31738</v>
      </c>
      <c r="F7" s="4">
        <v>916010</v>
      </c>
      <c r="G7" s="11" t="str" cm="1">
        <f t="array" aca="1" ref="G7" ca="1">IFERROR(VLOOKUP("*" &amp; B7  &amp; "*" &amp; (MID(CELL("filename",A6),FIND("]",CELL("filename",A6))+1,31)) &amp; "*",CHOOSE({1,2}, Super_CBSA!$B$2:$B$1917, Super_CBSA!$A$2:$A$1917), 2,FALSE), IFERROR(VLOOKUP(B7  &amp; " city",CHOOSE({1,2}, Super_CBSA!$E$2:$E$1917, Super_CBSA!$A$2:$A$1917), 2,FALSE), ""))</f>
        <v/>
      </c>
    </row>
    <row r="8" spans="1:7" ht="17">
      <c r="A8" s="1" t="s">
        <v>3977</v>
      </c>
      <c r="B8" s="2" t="s">
        <v>1596</v>
      </c>
      <c r="C8" s="2">
        <v>512</v>
      </c>
      <c r="D8" s="3">
        <v>21083</v>
      </c>
      <c r="E8" s="3">
        <v>98608</v>
      </c>
      <c r="F8" s="4">
        <v>1127012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 city",CHOOSE({1,2}, Super_CBSA!$E$2:$E$1917, Super_CBSA!$A$2:$A$1917), 2,FALSE), ""))</f>
        <v>15940</v>
      </c>
    </row>
    <row r="9" spans="1:7" ht="17">
      <c r="A9" s="1" t="s">
        <v>3978</v>
      </c>
      <c r="B9" s="2" t="s">
        <v>748</v>
      </c>
      <c r="C9" s="2">
        <v>26</v>
      </c>
      <c r="D9" s="3">
        <v>1432</v>
      </c>
      <c r="E9" s="3">
        <v>4032</v>
      </c>
      <c r="F9" s="4">
        <v>204488</v>
      </c>
      <c r="G9" s="11" t="str" cm="1">
        <f t="array" aca="1" ref="G9" ca="1">IFERROR(VLOOKUP("*" &amp; B9  &amp; "*" &amp; (MID(CELL("filename",A8),FIND("]",CELL("filename",A8))+1,31)) &amp; "*",CHOOSE({1,2}, Super_CBSA!$B$2:$B$1917, Super_CBSA!$A$2:$A$1917), 2,FALSE), IFERROR(VLOOKUP(B9  &amp; " city",CHOOSE({1,2}, Super_CBSA!$E$2:$E$1917, Super_CBSA!$A$2:$A$1917), 2,FALSE), ""))</f>
        <v/>
      </c>
    </row>
    <row r="10" spans="1:7" ht="17">
      <c r="A10" s="1" t="s">
        <v>3979</v>
      </c>
      <c r="B10" s="2" t="s">
        <v>3980</v>
      </c>
      <c r="C10" s="2">
        <v>0</v>
      </c>
      <c r="D10" s="2">
        <v>0</v>
      </c>
      <c r="E10" s="2">
        <v>0</v>
      </c>
      <c r="F10" s="4">
        <v>0</v>
      </c>
      <c r="G10" s="11" t="str" cm="1">
        <f t="array" aca="1" ref="G10" ca="1">IFERROR(VLOOKUP("*" &amp; B10  &amp; "*" &amp; (MID(CELL("filename",A9),FIND("]",CELL("filename",A9))+1,31)) &amp; "*",CHOOSE({1,2}, Super_CBSA!$B$2:$B$1917, Super_CBSA!$A$2:$A$1917), 2,FALSE), IFERROR(VLOOKUP(B10  &amp; " city",CHOOSE({1,2}, Super_CBSA!$E$2:$E$1917, Super_CBSA!$A$2:$A$1917), 2,FALSE), ""))</f>
        <v/>
      </c>
    </row>
    <row r="11" spans="1:7" ht="17">
      <c r="A11" s="1" t="s">
        <v>3981</v>
      </c>
      <c r="B11" s="2" t="s">
        <v>3982</v>
      </c>
      <c r="C11" s="2">
        <v>83</v>
      </c>
      <c r="D11" s="3">
        <v>1792</v>
      </c>
      <c r="E11" s="3">
        <v>5534</v>
      </c>
      <c r="F11" s="4">
        <v>208586</v>
      </c>
      <c r="G11" s="11" t="str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 city",CHOOSE({1,2}, Super_CBSA!$E$2:$E$1917, Super_CBSA!$A$2:$A$1917), 2,FALSE), ""))</f>
        <v/>
      </c>
    </row>
    <row r="12" spans="1:7" ht="17">
      <c r="A12" s="1" t="s">
        <v>3983</v>
      </c>
      <c r="B12" s="2" t="s">
        <v>190</v>
      </c>
      <c r="C12" s="2">
        <v>10</v>
      </c>
      <c r="D12" s="2">
        <v>209</v>
      </c>
      <c r="E12" s="2">
        <v>376</v>
      </c>
      <c r="F12" s="4">
        <v>59350</v>
      </c>
      <c r="G12" s="11" t="str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 city",CHOOSE({1,2}, Super_CBSA!$E$2:$E$1917, Super_CBSA!$A$2:$A$1917), 2,FALSE), ""))</f>
        <v/>
      </c>
    </row>
    <row r="13" spans="1:7" ht="17">
      <c r="A13" s="1" t="s">
        <v>3984</v>
      </c>
      <c r="B13" s="2" t="s">
        <v>3967</v>
      </c>
      <c r="C13" s="2">
        <v>365</v>
      </c>
      <c r="D13" s="3">
        <v>23457</v>
      </c>
      <c r="E13" s="3">
        <v>105699</v>
      </c>
      <c r="F13" s="4">
        <v>2224396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 city",CHOOSE({1,2}, Super_CBSA!$E$2:$E$1917, Super_CBSA!$A$2:$A$1917), 2,FALSE), ""))</f>
        <v>17140</v>
      </c>
    </row>
    <row r="14" spans="1:7" ht="17">
      <c r="A14" s="1" t="s">
        <v>3985</v>
      </c>
      <c r="B14" s="2" t="s">
        <v>3986</v>
      </c>
      <c r="C14" s="2">
        <v>150</v>
      </c>
      <c r="D14" s="3">
        <v>6824</v>
      </c>
      <c r="E14" s="3">
        <v>26932</v>
      </c>
      <c r="F14" s="4">
        <v>504559</v>
      </c>
      <c r="G14" s="11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 city",CHOOSE({1,2}, Super_CBSA!$E$2:$E$1917, Super_CBSA!$A$2:$A$1917), 2,FALSE), ""))</f>
        <v>22300</v>
      </c>
    </row>
    <row r="15" spans="1:7" ht="17">
      <c r="A15" s="1" t="s">
        <v>3987</v>
      </c>
      <c r="B15" s="2" t="s">
        <v>3988</v>
      </c>
      <c r="C15" s="2">
        <v>75</v>
      </c>
      <c r="D15" s="3">
        <v>1997</v>
      </c>
      <c r="E15" s="3">
        <v>6041</v>
      </c>
      <c r="F15" s="4">
        <v>138550</v>
      </c>
      <c r="G15" s="11" t="str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 city",CHOOSE({1,2}, Super_CBSA!$E$2:$E$1917, Super_CBSA!$A$2:$A$1917), 2,FALSE), ""))</f>
        <v/>
      </c>
    </row>
    <row r="16" spans="1:7" ht="17">
      <c r="A16" s="1" t="s">
        <v>3989</v>
      </c>
      <c r="B16" s="2" t="s">
        <v>3971</v>
      </c>
      <c r="C16" s="2">
        <v>0</v>
      </c>
      <c r="D16" s="2">
        <v>0</v>
      </c>
      <c r="E16" s="2">
        <v>0</v>
      </c>
      <c r="F16" s="4">
        <v>0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 city",CHOOSE({1,2}, Super_CBSA!$E$2:$E$1917, Super_CBSA!$A$2:$A$1917), 2,FALSE), ""))</f>
        <v>17060</v>
      </c>
    </row>
    <row r="17" spans="1:7" ht="17">
      <c r="A17" s="1" t="s">
        <v>3990</v>
      </c>
      <c r="B17" s="2" t="s">
        <v>3967</v>
      </c>
      <c r="C17" s="2">
        <v>0</v>
      </c>
      <c r="D17" s="2">
        <v>0</v>
      </c>
      <c r="E17" s="2">
        <v>0</v>
      </c>
      <c r="F17" s="4">
        <v>0</v>
      </c>
      <c r="G17" s="11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 city",CHOOSE({1,2}, Super_CBSA!$E$2:$E$1917, Super_CBSA!$A$2:$A$1917), 2,FALSE), ""))</f>
        <v>17140</v>
      </c>
    </row>
    <row r="18" spans="1:7" ht="17">
      <c r="A18" s="1" t="s">
        <v>3991</v>
      </c>
      <c r="B18" s="2" t="s">
        <v>3992</v>
      </c>
      <c r="C18" s="2">
        <v>436</v>
      </c>
      <c r="D18" s="3">
        <v>24183</v>
      </c>
      <c r="E18" s="3">
        <v>103222</v>
      </c>
      <c r="F18" s="4">
        <v>2533828</v>
      </c>
      <c r="G18" s="11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 city",CHOOSE({1,2}, Super_CBSA!$E$2:$E$1917, Super_CBSA!$A$2:$A$1917), 2,FALSE), ""))</f>
        <v>10420</v>
      </c>
    </row>
    <row r="19" spans="1:7" ht="17">
      <c r="A19" s="1" t="s">
        <v>3993</v>
      </c>
      <c r="B19" s="2" t="s">
        <v>2028</v>
      </c>
      <c r="C19" s="2">
        <v>126</v>
      </c>
      <c r="D19" s="3">
        <v>6483</v>
      </c>
      <c r="E19" s="3">
        <v>23511</v>
      </c>
      <c r="F19" s="4">
        <v>463987</v>
      </c>
      <c r="G19" s="11" t="str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 city",CHOOSE({1,2}, Super_CBSA!$E$2:$E$1917, Super_CBSA!$A$2:$A$1917), 2,FALSE), ""))</f>
        <v/>
      </c>
    </row>
    <row r="20" spans="1:7" ht="17">
      <c r="A20" s="1" t="s">
        <v>3994</v>
      </c>
      <c r="B20" s="2" t="s">
        <v>3130</v>
      </c>
      <c r="C20" s="2">
        <v>201</v>
      </c>
      <c r="D20" s="3">
        <v>4531</v>
      </c>
      <c r="E20" s="3">
        <v>15419</v>
      </c>
      <c r="F20" s="4">
        <v>394743</v>
      </c>
      <c r="G20" s="11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 city",CHOOSE({1,2}, Super_CBSA!$E$2:$E$1917, Super_CBSA!$A$2:$A$1917), 2,FALSE), ""))</f>
        <v>17460</v>
      </c>
    </row>
    <row r="21" spans="1:7" ht="17">
      <c r="A21" s="1" t="s">
        <v>3995</v>
      </c>
      <c r="B21" s="2" t="s">
        <v>3996</v>
      </c>
      <c r="C21" s="2">
        <v>130</v>
      </c>
      <c r="D21" s="3">
        <v>6290</v>
      </c>
      <c r="E21" s="3">
        <v>26119</v>
      </c>
      <c r="F21" s="4">
        <v>395609</v>
      </c>
      <c r="G21" s="11" t="str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 city",CHOOSE({1,2}, Super_CBSA!$E$2:$E$1917, Super_CBSA!$A$2:$A$1917), 2,FALSE), ""))</f>
        <v/>
      </c>
    </row>
    <row r="22" spans="1:7" ht="17">
      <c r="A22" s="1" t="s">
        <v>3997</v>
      </c>
      <c r="B22" s="2" t="s">
        <v>3998</v>
      </c>
      <c r="C22" s="2">
        <v>0</v>
      </c>
      <c r="D22" s="2">
        <v>0</v>
      </c>
      <c r="E22" s="2">
        <v>0</v>
      </c>
      <c r="F22" s="4">
        <v>0</v>
      </c>
      <c r="G22" s="11" t="str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 city",CHOOSE({1,2}, Super_CBSA!$E$2:$E$1917, Super_CBSA!$A$2:$A$1917), 2,FALSE), ""))</f>
        <v/>
      </c>
    </row>
    <row r="23" spans="1:7" ht="17">
      <c r="A23" s="1" t="s">
        <v>3999</v>
      </c>
      <c r="B23" s="2" t="s">
        <v>1142</v>
      </c>
      <c r="C23" s="2">
        <v>138</v>
      </c>
      <c r="D23" s="3">
        <v>4033</v>
      </c>
      <c r="E23" s="3">
        <v>15377</v>
      </c>
      <c r="F23" s="4">
        <v>247043</v>
      </c>
      <c r="G23" s="11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 city",CHOOSE({1,2}, Super_CBSA!$E$2:$E$1917, Super_CBSA!$A$2:$A$1917), 2,FALSE), ""))</f>
        <v>35420</v>
      </c>
    </row>
    <row r="24" spans="1:7" ht="17">
      <c r="A24" s="1" t="s">
        <v>4000</v>
      </c>
      <c r="B24" s="2" t="s">
        <v>3130</v>
      </c>
      <c r="C24" s="2">
        <v>0</v>
      </c>
      <c r="D24" s="2">
        <v>0</v>
      </c>
      <c r="E24" s="2">
        <v>0</v>
      </c>
      <c r="F24" s="4">
        <v>0</v>
      </c>
      <c r="G24" s="11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 city",CHOOSE({1,2}, Super_CBSA!$E$2:$E$1917, Super_CBSA!$A$2:$A$1917), 2,FALSE), ""))</f>
        <v>17460</v>
      </c>
    </row>
    <row r="25" spans="1:7" ht="17">
      <c r="A25" s="1" t="s">
        <v>4001</v>
      </c>
      <c r="B25" s="2" t="s">
        <v>1151</v>
      </c>
      <c r="C25" s="2">
        <v>75</v>
      </c>
      <c r="D25" s="3">
        <v>3071</v>
      </c>
      <c r="E25" s="3">
        <v>10579</v>
      </c>
      <c r="F25" s="4">
        <v>248898</v>
      </c>
      <c r="G25" s="11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 city",CHOOSE({1,2}, Super_CBSA!$E$2:$E$1917, Super_CBSA!$A$2:$A$1917), 2,FALSE), ""))</f>
        <v>48940</v>
      </c>
    </row>
    <row r="26" spans="1:7" ht="17">
      <c r="A26" s="1" t="s">
        <v>4002</v>
      </c>
      <c r="B26" s="2" t="s">
        <v>4003</v>
      </c>
      <c r="C26" s="2">
        <v>56</v>
      </c>
      <c r="D26" s="3">
        <v>1828</v>
      </c>
      <c r="E26" s="3">
        <v>6451</v>
      </c>
      <c r="F26" s="4">
        <v>198973</v>
      </c>
      <c r="G26" s="11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 city",CHOOSE({1,2}, Super_CBSA!$E$2:$E$1917, Super_CBSA!$A$2:$A$1917), 2,FALSE), ""))</f>
        <v>18740</v>
      </c>
    </row>
    <row r="27" spans="1:7" ht="17">
      <c r="A27" s="1" t="s">
        <v>4004</v>
      </c>
      <c r="B27" s="2" t="s">
        <v>3992</v>
      </c>
      <c r="C27" s="2">
        <v>59</v>
      </c>
      <c r="D27" s="3">
        <v>4086</v>
      </c>
      <c r="E27" s="3">
        <v>9283</v>
      </c>
      <c r="F27" s="4">
        <v>520763</v>
      </c>
      <c r="G27" s="11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 city",CHOOSE({1,2}, Super_CBSA!$E$2:$E$1917, Super_CBSA!$A$2:$A$1917), 2,FALSE), ""))</f>
        <v>10420</v>
      </c>
    </row>
    <row r="28" spans="1:7" ht="17">
      <c r="A28" s="1" t="s">
        <v>4005</v>
      </c>
      <c r="B28" s="2" t="s">
        <v>4006</v>
      </c>
      <c r="C28" s="2">
        <v>0</v>
      </c>
      <c r="D28" s="2">
        <v>0</v>
      </c>
      <c r="E28" s="2">
        <v>0</v>
      </c>
      <c r="F28" s="4">
        <v>0</v>
      </c>
      <c r="G28" s="11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 city",CHOOSE({1,2}, Super_CBSA!$E$2:$E$1917, Super_CBSA!$A$2:$A$1917), 2,FALSE), ""))</f>
        <v>19430</v>
      </c>
    </row>
    <row r="29" spans="1:7" ht="17">
      <c r="A29" s="1" t="s">
        <v>4007</v>
      </c>
      <c r="B29" s="2" t="s">
        <v>4008</v>
      </c>
      <c r="C29" s="2">
        <v>10</v>
      </c>
      <c r="D29" s="2">
        <v>247</v>
      </c>
      <c r="E29" s="2">
        <v>570</v>
      </c>
      <c r="F29" s="4">
        <v>87028</v>
      </c>
      <c r="G29" s="11" t="str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 city",CHOOSE({1,2}, Super_CBSA!$E$2:$E$1917, Super_CBSA!$A$2:$A$1917), 2,FALSE), ""))</f>
        <v/>
      </c>
    </row>
    <row r="30" spans="1:7" ht="17">
      <c r="A30" s="1" t="s">
        <v>4009</v>
      </c>
      <c r="B30" s="2" t="s">
        <v>4010</v>
      </c>
      <c r="C30" s="2">
        <v>152</v>
      </c>
      <c r="D30" s="3">
        <v>5780</v>
      </c>
      <c r="E30" s="3">
        <v>17567</v>
      </c>
      <c r="F30" s="4">
        <v>291583</v>
      </c>
      <c r="G30" s="11" t="str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 city",CHOOSE({1,2}, Super_CBSA!$E$2:$E$1917, Super_CBSA!$A$2:$A$1917), 2,FALSE), ""))</f>
        <v/>
      </c>
    </row>
    <row r="31" spans="1:7" ht="17">
      <c r="A31" s="1" t="s">
        <v>4011</v>
      </c>
      <c r="B31" s="2" t="s">
        <v>4012</v>
      </c>
      <c r="C31" s="2">
        <v>165</v>
      </c>
      <c r="D31" s="3">
        <v>5236</v>
      </c>
      <c r="E31" s="3">
        <v>17743</v>
      </c>
      <c r="F31" s="4">
        <v>384311</v>
      </c>
      <c r="G31" s="11" t="str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 city",CHOOSE({1,2}, Super_CBSA!$E$2:$E$1917, Super_CBSA!$A$2:$A$1917), 2,FALSE), ""))</f>
        <v/>
      </c>
    </row>
    <row r="32" spans="1:7" ht="17">
      <c r="A32" s="1" t="s">
        <v>4013</v>
      </c>
      <c r="B32" s="2" t="s">
        <v>483</v>
      </c>
      <c r="C32" s="2">
        <v>213</v>
      </c>
      <c r="D32" s="3">
        <v>12174</v>
      </c>
      <c r="E32" s="3">
        <v>44103</v>
      </c>
      <c r="F32" s="4">
        <v>774464</v>
      </c>
      <c r="G32" s="11" t="str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 city",CHOOSE({1,2}, Super_CBSA!$E$2:$E$1917, Super_CBSA!$A$2:$A$1917), 2,FALSE), ""))</f>
        <v/>
      </c>
    </row>
    <row r="33" spans="1:7" ht="17">
      <c r="A33" s="1" t="s">
        <v>4014</v>
      </c>
      <c r="B33" s="2" t="s">
        <v>3130</v>
      </c>
      <c r="C33" s="2">
        <v>435</v>
      </c>
      <c r="D33" s="3">
        <v>24474</v>
      </c>
      <c r="E33" s="3">
        <v>114092</v>
      </c>
      <c r="F33" s="4">
        <v>1605058</v>
      </c>
      <c r="G33" s="11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 city",CHOOSE({1,2}, Super_CBSA!$E$2:$E$1917, Super_CBSA!$A$2:$A$1917), 2,FALSE), ""))</f>
        <v>17460</v>
      </c>
    </row>
    <row r="34" spans="1:7" ht="17">
      <c r="A34" s="1" t="s">
        <v>4015</v>
      </c>
      <c r="B34" s="2" t="s">
        <v>4016</v>
      </c>
      <c r="C34" s="2">
        <v>0</v>
      </c>
      <c r="D34" s="2">
        <v>0</v>
      </c>
      <c r="E34" s="2">
        <v>0</v>
      </c>
      <c r="F34" s="4">
        <v>0</v>
      </c>
      <c r="G34" s="11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 city",CHOOSE({1,2}, Super_CBSA!$E$2:$E$1917, Super_CBSA!$A$2:$A$1917), 2,FALSE), ""))</f>
        <v>41780</v>
      </c>
    </row>
    <row r="35" spans="1:7" ht="17">
      <c r="A35" s="1" t="s">
        <v>4017</v>
      </c>
      <c r="B35" s="2" t="s">
        <v>4016</v>
      </c>
      <c r="C35" s="2">
        <v>217</v>
      </c>
      <c r="D35" s="3">
        <v>8583</v>
      </c>
      <c r="E35" s="3">
        <v>38138</v>
      </c>
      <c r="F35" s="4">
        <v>623637</v>
      </c>
      <c r="G35" s="11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 city",CHOOSE({1,2}, Super_CBSA!$E$2:$E$1917, Super_CBSA!$A$2:$A$1917), 2,FALSE), ""))</f>
        <v>41780</v>
      </c>
    </row>
    <row r="36" spans="1:7" ht="17">
      <c r="A36" s="1" t="s">
        <v>4018</v>
      </c>
      <c r="B36" s="2" t="s">
        <v>520</v>
      </c>
      <c r="C36" s="2">
        <v>147</v>
      </c>
      <c r="D36" s="3">
        <v>3456</v>
      </c>
      <c r="E36" s="3">
        <v>10310</v>
      </c>
      <c r="F36" s="4">
        <v>295585</v>
      </c>
      <c r="G36" s="11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 city",CHOOSE({1,2}, Super_CBSA!$E$2:$E$1917, Super_CBSA!$A$2:$A$1917), 2,FALSE), ""))</f>
        <v>35940</v>
      </c>
    </row>
    <row r="37" spans="1:7" ht="17">
      <c r="A37" s="1" t="s">
        <v>4019</v>
      </c>
      <c r="B37" s="2" t="s">
        <v>190</v>
      </c>
      <c r="C37" s="2">
        <v>158</v>
      </c>
      <c r="D37" s="3">
        <v>6355</v>
      </c>
      <c r="E37" s="3">
        <v>27259</v>
      </c>
      <c r="F37" s="4">
        <v>703050</v>
      </c>
      <c r="G37" s="11" t="str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 city",CHOOSE({1,2}, Super_CBSA!$E$2:$E$1917, Super_CBSA!$A$2:$A$1917), 2,FALSE), ""))</f>
        <v/>
      </c>
    </row>
    <row r="38" spans="1:7" ht="17">
      <c r="A38" s="1" t="s">
        <v>4020</v>
      </c>
      <c r="B38" s="2" t="s">
        <v>4021</v>
      </c>
      <c r="C38" s="2">
        <v>282</v>
      </c>
      <c r="D38" s="3">
        <v>13909</v>
      </c>
      <c r="E38" s="3">
        <v>55879</v>
      </c>
      <c r="F38" s="4">
        <v>1237021</v>
      </c>
      <c r="G38" s="11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 city",CHOOSE({1,2}, Super_CBSA!$E$2:$E$1917, Super_CBSA!$A$2:$A$1917), 2,FALSE), ""))</f>
        <v>49780</v>
      </c>
    </row>
    <row r="39" spans="1:7" ht="17">
      <c r="A39" s="1" t="s">
        <v>605</v>
      </c>
      <c r="B39" s="2" t="s">
        <v>3967</v>
      </c>
      <c r="C39" s="2">
        <v>392</v>
      </c>
      <c r="D39" s="3">
        <v>19306</v>
      </c>
      <c r="E39" s="3">
        <v>102100</v>
      </c>
      <c r="F39" s="4">
        <v>2088690</v>
      </c>
      <c r="G39" s="11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 city",CHOOSE({1,2}, Super_CBSA!$E$2:$E$1917, Super_CBSA!$A$2:$A$1917), 2,FALSE), ""))</f>
        <v>17140</v>
      </c>
    </row>
    <row r="40" spans="1:7" ht="17">
      <c r="A40" s="1" t="s">
        <v>140</v>
      </c>
      <c r="B40" s="2" t="s">
        <v>4006</v>
      </c>
      <c r="C40" s="2">
        <v>304</v>
      </c>
      <c r="D40" s="3">
        <v>13319</v>
      </c>
      <c r="E40" s="3">
        <v>60559</v>
      </c>
      <c r="F40" s="4">
        <v>2769695</v>
      </c>
      <c r="G40" s="11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 city",CHOOSE({1,2}, Super_CBSA!$E$2:$E$1917, Super_CBSA!$A$2:$A$1917), 2,FALSE), ""))</f>
        <v>19430</v>
      </c>
    </row>
    <row r="41" spans="1:7" ht="17">
      <c r="A41" s="1" t="s">
        <v>4022</v>
      </c>
      <c r="B41" s="2" t="s">
        <v>4023</v>
      </c>
      <c r="C41" s="2">
        <v>49</v>
      </c>
      <c r="D41" s="3">
        <v>2289</v>
      </c>
      <c r="E41" s="3">
        <v>9198</v>
      </c>
      <c r="F41" s="4">
        <v>316575</v>
      </c>
      <c r="G41" s="11" t="str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 city",CHOOSE({1,2}, Super_CBSA!$E$2:$E$1917, Super_CBSA!$A$2:$A$1917), 2,FALSE), ""))</f>
        <v/>
      </c>
    </row>
    <row r="42" spans="1:7" ht="17">
      <c r="A42" s="1" t="s">
        <v>4024</v>
      </c>
      <c r="B42" s="2" t="s">
        <v>4025</v>
      </c>
      <c r="C42" s="2">
        <v>0</v>
      </c>
      <c r="D42" s="2">
        <v>0</v>
      </c>
      <c r="E42" s="2">
        <v>0</v>
      </c>
      <c r="F42" s="4">
        <v>0</v>
      </c>
      <c r="G42" s="11" t="str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 city",CHOOSE({1,2}, Super_CBSA!$E$2:$E$1917, Super_CBSA!$A$2:$A$1917), 2,FALSE), ""))</f>
        <v/>
      </c>
    </row>
    <row r="43" spans="1:7" ht="17">
      <c r="A43" s="1" t="s">
        <v>4026</v>
      </c>
      <c r="B43" s="2" t="s">
        <v>4027</v>
      </c>
      <c r="C43" s="2">
        <v>385</v>
      </c>
      <c r="D43" s="3">
        <v>26556</v>
      </c>
      <c r="E43" s="3">
        <v>113614</v>
      </c>
      <c r="F43" s="4">
        <v>1511842</v>
      </c>
      <c r="G43" s="11" t="str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 city",CHOOSE({1,2}, Super_CBSA!$E$2:$E$1917, Super_CBSA!$A$2:$A$1917), 2,FALSE), ""))</f>
        <v/>
      </c>
    </row>
    <row r="44" spans="1:7" ht="17">
      <c r="A44" s="1" t="s">
        <v>4028</v>
      </c>
      <c r="B44" s="2" t="s">
        <v>4029</v>
      </c>
      <c r="C44" s="2">
        <v>197</v>
      </c>
      <c r="D44" s="3">
        <v>3940</v>
      </c>
      <c r="E44" s="3">
        <v>15603</v>
      </c>
      <c r="F44" s="4">
        <v>518871</v>
      </c>
      <c r="G44" s="11" t="str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 city",CHOOSE({1,2}, Super_CBSA!$E$2:$E$1917, Super_CBSA!$A$2:$A$1917), 2,FALSE), ""))</f>
        <v/>
      </c>
    </row>
    <row r="45" spans="1:7" ht="17">
      <c r="A45" s="1" t="s">
        <v>4030</v>
      </c>
      <c r="B45" s="2" t="s">
        <v>4031</v>
      </c>
      <c r="C45" s="2">
        <v>12</v>
      </c>
      <c r="D45" s="2">
        <v>960</v>
      </c>
      <c r="E45" s="3">
        <v>1824</v>
      </c>
      <c r="F45" s="4">
        <v>150448</v>
      </c>
      <c r="G45" s="11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 city",CHOOSE({1,2}, Super_CBSA!$E$2:$E$1917, Super_CBSA!$A$2:$A$1917), 2,FALSE), ""))</f>
        <v>30620</v>
      </c>
    </row>
    <row r="46" spans="1:7" ht="17">
      <c r="A46" s="1" t="s">
        <v>4032</v>
      </c>
      <c r="B46" s="2" t="s">
        <v>1635</v>
      </c>
      <c r="C46" s="2">
        <v>67</v>
      </c>
      <c r="D46" s="3">
        <v>1732</v>
      </c>
      <c r="E46" s="3">
        <v>5670</v>
      </c>
      <c r="F46" s="4">
        <v>167426</v>
      </c>
      <c r="G46" s="11" t="str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 city",CHOOSE({1,2}, Super_CBSA!$E$2:$E$1917, Super_CBSA!$A$2:$A$1917), 2,FALSE), ""))</f>
        <v/>
      </c>
    </row>
    <row r="47" spans="1:7" ht="17">
      <c r="A47" s="1" t="s">
        <v>4033</v>
      </c>
      <c r="B47" s="2" t="s">
        <v>4034</v>
      </c>
      <c r="C47" s="2">
        <v>410</v>
      </c>
      <c r="D47" s="3">
        <v>22443</v>
      </c>
      <c r="E47" s="3">
        <v>96130</v>
      </c>
      <c r="F47" s="4">
        <v>2873171</v>
      </c>
      <c r="G47" s="11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 city",CHOOSE({1,2}, Super_CBSA!$E$2:$E$1917, Super_CBSA!$A$2:$A$1917), 2,FALSE), ""))</f>
        <v>19430</v>
      </c>
    </row>
    <row r="48" spans="1:7" ht="17">
      <c r="A48" s="1" t="s">
        <v>4035</v>
      </c>
      <c r="B48" s="2" t="s">
        <v>3477</v>
      </c>
      <c r="C48" s="2">
        <v>10</v>
      </c>
      <c r="D48" s="2">
        <v>176</v>
      </c>
      <c r="E48" s="2">
        <v>321</v>
      </c>
      <c r="F48" s="4">
        <v>88819</v>
      </c>
      <c r="G48" s="11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 city",CHOOSE({1,2}, Super_CBSA!$E$2:$E$1917, Super_CBSA!$A$2:$A$1917), 2,FALSE), ""))</f>
        <v>39020</v>
      </c>
    </row>
    <row r="49" spans="1:7" ht="17">
      <c r="A49" s="1" t="s">
        <v>4036</v>
      </c>
      <c r="B49" s="2" t="s">
        <v>1863</v>
      </c>
      <c r="C49" s="2">
        <v>65</v>
      </c>
      <c r="D49" s="3">
        <v>3553</v>
      </c>
      <c r="E49" s="3">
        <v>12539</v>
      </c>
      <c r="F49" s="4">
        <v>433604</v>
      </c>
      <c r="G49" s="11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 city",CHOOSE({1,2}, Super_CBSA!$E$2:$E$1917, Super_CBSA!$A$2:$A$1917), 2,FALSE), ""))</f>
        <v>34540</v>
      </c>
    </row>
    <row r="50" spans="1:7" ht="17">
      <c r="A50" s="1" t="s">
        <v>4037</v>
      </c>
      <c r="B50" s="2" t="s">
        <v>1147</v>
      </c>
      <c r="C50" s="2">
        <v>227</v>
      </c>
      <c r="D50" s="3">
        <v>8700</v>
      </c>
      <c r="E50" s="3">
        <v>28923</v>
      </c>
      <c r="F50" s="4">
        <v>620520</v>
      </c>
      <c r="G50" s="11" t="str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 city",CHOOSE({1,2}, Super_CBSA!$E$2:$E$1917, Super_CBSA!$A$2:$A$1917), 2,FALSE), ""))</f>
        <v/>
      </c>
    </row>
    <row r="51" spans="1:7" ht="17">
      <c r="A51" s="1" t="s">
        <v>4038</v>
      </c>
      <c r="B51" s="2" t="s">
        <v>4031</v>
      </c>
      <c r="C51" s="2">
        <v>112</v>
      </c>
      <c r="D51" s="3">
        <v>5640</v>
      </c>
      <c r="E51" s="3">
        <v>21774</v>
      </c>
      <c r="F51" s="4">
        <v>641884</v>
      </c>
      <c r="G51" s="11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 city",CHOOSE({1,2}, Super_CBSA!$E$2:$E$1917, Super_CBSA!$A$2:$A$1917), 2,FALSE), ""))</f>
        <v>30620</v>
      </c>
    </row>
    <row r="52" spans="1:7" ht="17">
      <c r="A52" s="1" t="s">
        <v>4039</v>
      </c>
      <c r="B52" s="2" t="s">
        <v>2266</v>
      </c>
      <c r="C52" s="2">
        <v>45</v>
      </c>
      <c r="D52" s="3">
        <v>1589</v>
      </c>
      <c r="E52" s="3">
        <v>4500</v>
      </c>
      <c r="F52" s="4">
        <v>133084</v>
      </c>
      <c r="G52" s="11" t="str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 city",CHOOSE({1,2}, Super_CBSA!$E$2:$E$1917, Super_CBSA!$A$2:$A$1917), 2,FALSE), ""))</f>
        <v/>
      </c>
    </row>
    <row r="53" spans="1:7" ht="17">
      <c r="A53" s="1" t="s">
        <v>4040</v>
      </c>
      <c r="B53" s="2" t="s">
        <v>1672</v>
      </c>
      <c r="C53" s="2">
        <v>205</v>
      </c>
      <c r="D53" s="3">
        <v>11186</v>
      </c>
      <c r="E53" s="3">
        <v>41886</v>
      </c>
      <c r="F53" s="4">
        <v>1374166</v>
      </c>
      <c r="G53" s="11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 city",CHOOSE({1,2}, Super_CBSA!$E$2:$E$1917, Super_CBSA!$A$2:$A$1917), 2,FALSE), ""))</f>
        <v>31930</v>
      </c>
    </row>
    <row r="54" spans="1:7" ht="17">
      <c r="A54" s="1" t="s">
        <v>4041</v>
      </c>
      <c r="B54" s="2" t="s">
        <v>4042</v>
      </c>
      <c r="C54" s="2">
        <v>39</v>
      </c>
      <c r="D54" s="3">
        <v>1389</v>
      </c>
      <c r="E54" s="3">
        <v>4266</v>
      </c>
      <c r="F54" s="4">
        <v>231412</v>
      </c>
      <c r="G54" s="11" cm="1">
        <f t="array" aca="1" ref="G54" ca="1">IFERROR(VLOOKUP("*" &amp; B54  &amp; "*" &amp; (MID(CELL("filename",A53),FIND("]",CELL("filename",A53))+1,31)) &amp; "*",CHOOSE({1,2}, Super_CBSA!$B$2:$B$1917, Super_CBSA!$A$2:$A$1917), 2,FALSE), IFERROR(VLOOKUP(B54  &amp; " city",CHOOSE({1,2}, Super_CBSA!$E$2:$E$1917, Super_CBSA!$A$2:$A$1917), 2,FALSE), ""))</f>
        <v>13340</v>
      </c>
    </row>
    <row r="55" spans="1:7" ht="17">
      <c r="A55" s="1" t="s">
        <v>4043</v>
      </c>
      <c r="B55" s="2" t="s">
        <v>4044</v>
      </c>
      <c r="C55" s="2">
        <v>288</v>
      </c>
      <c r="D55" s="3">
        <v>6634</v>
      </c>
      <c r="E55" s="3">
        <v>30266</v>
      </c>
      <c r="F55" s="4">
        <v>540107</v>
      </c>
      <c r="G55" s="11" t="str" cm="1">
        <f t="array" aca="1" ref="G55" ca="1">IFERROR(VLOOKUP("*" &amp; B55  &amp; "*" &amp; (MID(CELL("filename",A54),FIND("]",CELL("filename",A54))+1,31)) &amp; "*",CHOOSE({1,2}, Super_CBSA!$B$2:$B$1917, Super_CBSA!$A$2:$A$1917), 2,FALSE), IFERROR(VLOOKUP(B55  &amp; " city",CHOOSE({1,2}, Super_CBSA!$E$2:$E$1917, Super_CBSA!$A$2:$A$1917), 2,FALSE), ""))</f>
        <v/>
      </c>
    </row>
    <row r="56" spans="1:7" ht="17">
      <c r="A56" s="1" t="s">
        <v>4045</v>
      </c>
      <c r="B56" s="2" t="s">
        <v>3126</v>
      </c>
      <c r="C56" s="2">
        <v>45</v>
      </c>
      <c r="D56" s="3">
        <v>2094</v>
      </c>
      <c r="E56" s="3">
        <v>6985</v>
      </c>
      <c r="F56" s="4">
        <v>158789</v>
      </c>
      <c r="G56" s="11" t="str" cm="1">
        <f t="array" aca="1" ref="G56" ca="1">IFERROR(VLOOKUP("*" &amp; B56  &amp; "*" &amp; (MID(CELL("filename",A55),FIND("]",CELL("filename",A55))+1,31)) &amp; "*",CHOOSE({1,2}, Super_CBSA!$B$2:$B$1917, Super_CBSA!$A$2:$A$1917), 2,FALSE), IFERROR(VLOOKUP(B56  &amp; " city",CHOOSE({1,2}, Super_CBSA!$E$2:$E$1917, Super_CBSA!$A$2:$A$1917), 2,FALSE), ""))</f>
        <v/>
      </c>
    </row>
    <row r="57" spans="1:7" ht="17">
      <c r="A57" s="1" t="s">
        <v>1371</v>
      </c>
      <c r="B57" s="2" t="s">
        <v>446</v>
      </c>
      <c r="C57" s="2">
        <v>60</v>
      </c>
      <c r="D57" s="3">
        <v>1967</v>
      </c>
      <c r="E57" s="3">
        <v>6378</v>
      </c>
      <c r="F57" s="4">
        <v>271921</v>
      </c>
      <c r="G57" s="11" t="str" cm="1">
        <f t="array" aca="1" ref="G57" ca="1">IFERROR(VLOOKUP("*" &amp; B57  &amp; "*" &amp; (MID(CELL("filename",A56),FIND("]",CELL("filename",A56))+1,31)) &amp; "*",CHOOSE({1,2}, Super_CBSA!$B$2:$B$1917, Super_CBSA!$A$2:$A$1917), 2,FALSE), IFERROR(VLOOKUP(B57  &amp; " city",CHOOSE({1,2}, Super_CBSA!$E$2:$E$1917, Super_CBSA!$A$2:$A$1917), 2,FALSE), ""))</f>
        <v/>
      </c>
    </row>
    <row r="58" spans="1:7" ht="17">
      <c r="A58" s="1" t="s">
        <v>4046</v>
      </c>
      <c r="B58" s="2" t="s">
        <v>2871</v>
      </c>
      <c r="C58" s="2">
        <v>42</v>
      </c>
      <c r="D58" s="3">
        <v>2266</v>
      </c>
      <c r="E58" s="3">
        <v>6281</v>
      </c>
      <c r="F58" s="4">
        <v>121685</v>
      </c>
      <c r="G58" s="11" t="str" cm="1">
        <f t="array" aca="1" ref="G58" ca="1">IFERROR(VLOOKUP("*" &amp; B58  &amp; "*" &amp; (MID(CELL("filename",A57),FIND("]",CELL("filename",A57))+1,31)) &amp; "*",CHOOSE({1,2}, Super_CBSA!$B$2:$B$1917, Super_CBSA!$A$2:$A$1917), 2,FALSE), IFERROR(VLOOKUP(B58  &amp; " city",CHOOSE({1,2}, Super_CBSA!$E$2:$E$1917, Super_CBSA!$A$2:$A$1917), 2,FALSE), ""))</f>
        <v/>
      </c>
    </row>
    <row r="59" spans="1:7" ht="17">
      <c r="A59" s="1" t="s">
        <v>4047</v>
      </c>
      <c r="B59" s="2" t="s">
        <v>3714</v>
      </c>
      <c r="C59" s="2">
        <v>147</v>
      </c>
      <c r="D59" s="3">
        <v>7250</v>
      </c>
      <c r="E59" s="3">
        <v>28064</v>
      </c>
      <c r="F59" s="4">
        <v>548603</v>
      </c>
      <c r="G59" s="11" t="str" cm="1">
        <f t="array" aca="1" ref="G59" ca="1">IFERROR(VLOOKUP("*" &amp; B59  &amp; "*" &amp; (MID(CELL("filename",A58),FIND("]",CELL("filename",A58))+1,31)) &amp; "*",CHOOSE({1,2}, Super_CBSA!$B$2:$B$1917, Super_CBSA!$A$2:$A$1917), 2,FALSE), IFERROR(VLOOKUP(B59  &amp; " city",CHOOSE({1,2}, Super_CBSA!$E$2:$E$1917, Super_CBSA!$A$2:$A$1917), 2,FALSE), ""))</f>
        <v/>
      </c>
    </row>
    <row r="60" spans="1:7" ht="17">
      <c r="A60" s="1" t="s">
        <v>4048</v>
      </c>
      <c r="B60" s="2" t="s">
        <v>4049</v>
      </c>
      <c r="C60" s="2">
        <v>23</v>
      </c>
      <c r="D60" s="3">
        <v>1109</v>
      </c>
      <c r="E60" s="3">
        <v>2974</v>
      </c>
      <c r="F60" s="4">
        <v>114691</v>
      </c>
      <c r="G60" s="11" cm="1">
        <f t="array" aca="1" ref="G60" ca="1">IFERROR(VLOOKUP("*" &amp; B60  &amp; "*" &amp; (MID(CELL("filename",A59),FIND("]",CELL("filename",A59))+1,31)) &amp; "*",CHOOSE({1,2}, Super_CBSA!$B$2:$B$1917, Super_CBSA!$A$2:$A$1917), 2,FALSE), IFERROR(VLOOKUP(B60  &amp; " city",CHOOSE({1,2}, Super_CBSA!$E$2:$E$1917, Super_CBSA!$A$2:$A$1917), 2,FALSE), ""))</f>
        <v>19580</v>
      </c>
    </row>
    <row r="61" spans="1:7" ht="17">
      <c r="A61" s="1" t="s">
        <v>4050</v>
      </c>
      <c r="B61" s="2" t="s">
        <v>4051</v>
      </c>
      <c r="C61" s="2">
        <v>123</v>
      </c>
      <c r="D61" s="3">
        <v>5959</v>
      </c>
      <c r="E61" s="3">
        <v>21122</v>
      </c>
      <c r="F61" s="4">
        <v>863163</v>
      </c>
      <c r="G61" s="11" cm="1">
        <f t="array" aca="1" ref="G61" ca="1">IFERROR(VLOOKUP("*" &amp; B61  &amp; "*" &amp; (MID(CELL("filename",A60),FIND("]",CELL("filename",A60))+1,31)) &amp; "*",CHOOSE({1,2}, Super_CBSA!$B$2:$B$1917, Super_CBSA!$A$2:$A$1917), 2,FALSE), IFERROR(VLOOKUP(B61  &amp; " city",CHOOSE({1,2}, Super_CBSA!$E$2:$E$1917, Super_CBSA!$A$2:$A$1917), 2,FALSE), ""))</f>
        <v>45780</v>
      </c>
    </row>
    <row r="62" spans="1:7" ht="17">
      <c r="A62" s="1" t="s">
        <v>4052</v>
      </c>
      <c r="B62" s="2" t="s">
        <v>4053</v>
      </c>
      <c r="C62" s="2">
        <v>235</v>
      </c>
      <c r="D62" s="3">
        <v>6662</v>
      </c>
      <c r="E62" s="3">
        <v>22584</v>
      </c>
      <c r="F62" s="4">
        <v>808717</v>
      </c>
      <c r="G62" s="11" t="str" cm="1">
        <f t="array" aca="1" ref="G62" ca="1">IFERROR(VLOOKUP("*" &amp; B62  &amp; "*" &amp; (MID(CELL("filename",A61),FIND("]",CELL("filename",A61))+1,31)) &amp; "*",CHOOSE({1,2}, Super_CBSA!$B$2:$B$1917, Super_CBSA!$A$2:$A$1917), 2,FALSE), IFERROR(VLOOKUP(B62  &amp; " city",CHOOSE({1,2}, Super_CBSA!$E$2:$E$1917, Super_CBSA!$A$2:$A$1917), 2,FALSE), ""))</f>
        <v/>
      </c>
    </row>
    <row r="63" spans="1:7" ht="17">
      <c r="A63" s="1" t="s">
        <v>4054</v>
      </c>
      <c r="B63" s="2" t="s">
        <v>4055</v>
      </c>
      <c r="C63" s="2">
        <v>364</v>
      </c>
      <c r="D63" s="3">
        <v>16804</v>
      </c>
      <c r="E63" s="3">
        <v>76657</v>
      </c>
      <c r="F63" s="4">
        <v>1673188</v>
      </c>
      <c r="G63" s="11" cm="1">
        <f t="array" aca="1" ref="G63" ca="1">IFERROR(VLOOKUP("*" &amp; B63  &amp; "*" &amp; (MID(CELL("filename",A62),FIND("]",CELL("filename",A62))+1,31)) &amp; "*",CHOOSE({1,2}, Super_CBSA!$B$2:$B$1917, Super_CBSA!$A$2:$A$1917), 2,FALSE), IFERROR(VLOOKUP(B63  &amp; " city",CHOOSE({1,2}, Super_CBSA!$E$2:$E$1917, Super_CBSA!$A$2:$A$1917), 2,FALSE), ""))</f>
        <v>49660</v>
      </c>
    </row>
    <row r="64" spans="1:7" ht="17">
      <c r="A64" s="1" t="s">
        <v>4056</v>
      </c>
      <c r="B64" s="2" t="s">
        <v>2745</v>
      </c>
      <c r="C64" s="2">
        <v>127</v>
      </c>
      <c r="D64" s="3">
        <v>9617</v>
      </c>
      <c r="E64" s="3">
        <v>34331</v>
      </c>
      <c r="F64" s="4">
        <v>799088</v>
      </c>
      <c r="G64" s="11" cm="1">
        <f t="array" aca="1" ref="G64" ca="1">IFERROR(VLOOKUP("*" &amp; B64  &amp; "*" &amp; (MID(CELL("filename",A63),FIND("]",CELL("filename",A63))+1,31)) &amp; "*",CHOOSE({1,2}, Super_CBSA!$B$2:$B$1917, Super_CBSA!$A$2:$A$1917), 2,FALSE), IFERROR(VLOOKUP(B64  &amp; " city",CHOOSE({1,2}, Super_CBSA!$E$2:$E$1917, Super_CBSA!$A$2:$A$1917), 2,FALSE), ""))</f>
        <v>49660</v>
      </c>
    </row>
    <row r="65" spans="1:7" ht="17">
      <c r="A65" s="1" t="s">
        <v>4057</v>
      </c>
      <c r="B65" s="2" t="s">
        <v>4031</v>
      </c>
      <c r="C65" s="2">
        <v>347</v>
      </c>
      <c r="D65" s="3">
        <v>17155</v>
      </c>
      <c r="E65" s="3">
        <v>70602</v>
      </c>
      <c r="F65" s="4">
        <v>1956012</v>
      </c>
      <c r="G65" s="11" cm="1">
        <f t="array" aca="1" ref="G65" ca="1">IFERROR(VLOOKUP("*" &amp; B65  &amp; "*" &amp; (MID(CELL("filename",A64),FIND("]",CELL("filename",A64))+1,31)) &amp; "*",CHOOSE({1,2}, Super_CBSA!$B$2:$B$1917, Super_CBSA!$A$2:$A$1917), 2,FALSE), IFERROR(VLOOKUP(B65  &amp; " city",CHOOSE({1,2}, Super_CBSA!$E$2:$E$1917, Super_CBSA!$A$2:$A$1917), 2,FALSE), ""))</f>
        <v>30620</v>
      </c>
    </row>
    <row r="66" spans="1:7" ht="17">
      <c r="A66" s="1" t="s">
        <v>4058</v>
      </c>
      <c r="B66" s="2" t="s">
        <v>1901</v>
      </c>
      <c r="C66" s="2">
        <v>254</v>
      </c>
      <c r="D66" s="3">
        <v>14070</v>
      </c>
      <c r="E66" s="3">
        <v>53673</v>
      </c>
      <c r="F66" s="4">
        <v>1114197</v>
      </c>
      <c r="G66" s="11" cm="1">
        <f t="array" aca="1" ref="G66" ca="1">IFERROR(VLOOKUP("*" &amp; B66  &amp; "*" &amp; (MID(CELL("filename",A65),FIND("]",CELL("filename",A65))+1,31)) &amp; "*",CHOOSE({1,2}, Super_CBSA!$B$2:$B$1917, Super_CBSA!$A$2:$A$1917), 2,FALSE), IFERROR(VLOOKUP(B66  &amp; " city",CHOOSE({1,2}, Super_CBSA!$E$2:$E$1917, Super_CBSA!$A$2:$A$1917), 2,FALSE), ""))</f>
        <v>44220</v>
      </c>
    </row>
    <row r="67" spans="1:7" ht="17">
      <c r="A67" s="1" t="s">
        <v>4059</v>
      </c>
      <c r="B67" s="2" t="s">
        <v>3967</v>
      </c>
      <c r="C67" s="2">
        <v>221</v>
      </c>
      <c r="D67" s="3">
        <v>12948</v>
      </c>
      <c r="E67" s="3">
        <v>53692</v>
      </c>
      <c r="F67" s="4">
        <v>1137454</v>
      </c>
      <c r="G67" s="11" cm="1">
        <f t="array" aca="1" ref="G67" ca="1">IFERROR(VLOOKUP("*" &amp; B67  &amp; "*" &amp; (MID(CELL("filename",A66),FIND("]",CELL("filename",A66))+1,31)) &amp; "*",CHOOSE({1,2}, Super_CBSA!$B$2:$B$1917, Super_CBSA!$A$2:$A$1917), 2,FALSE), IFERROR(VLOOKUP(B67  &amp; " city",CHOOSE({1,2}, Super_CBSA!$E$2:$E$1917, Super_CBSA!$A$2:$A$1917), 2,FALSE), ""))</f>
        <v>17140</v>
      </c>
    </row>
    <row r="68" spans="1:7" ht="17">
      <c r="A68" s="1" t="s">
        <v>4060</v>
      </c>
      <c r="B68" s="2" t="s">
        <v>4051</v>
      </c>
      <c r="C68" s="2">
        <v>0</v>
      </c>
      <c r="D68" s="2">
        <v>0</v>
      </c>
      <c r="E68" s="2">
        <v>0</v>
      </c>
      <c r="F68" s="4">
        <v>0</v>
      </c>
      <c r="G68" s="11" cm="1">
        <f t="array" aca="1" ref="G68" ca="1">IFERROR(VLOOKUP("*" &amp; B68  &amp; "*" &amp; (MID(CELL("filename",A67),FIND("]",CELL("filename",A67))+1,31)) &amp; "*",CHOOSE({1,2}, Super_CBSA!$B$2:$B$1917, Super_CBSA!$A$2:$A$1917), 2,FALSE), IFERROR(VLOOKUP(B68  &amp; " city",CHOOSE({1,2}, Super_CBSA!$E$2:$E$1917, Super_CBSA!$A$2:$A$1917), 2,FALSE), ""))</f>
        <v>45780</v>
      </c>
    </row>
    <row r="69" spans="1:7" ht="17">
      <c r="A69" s="1" t="s">
        <v>4061</v>
      </c>
      <c r="B69" s="2" t="s">
        <v>733</v>
      </c>
      <c r="C69" s="2">
        <v>214</v>
      </c>
      <c r="D69" s="3">
        <v>12981</v>
      </c>
      <c r="E69" s="3">
        <v>52665</v>
      </c>
      <c r="F69" s="4">
        <v>1163060</v>
      </c>
      <c r="G69" s="11" t="str" cm="1">
        <f t="array" aca="1" ref="G69" ca="1">IFERROR(VLOOKUP("*" &amp; B69  &amp; "*" &amp; (MID(CELL("filename",A68),FIND("]",CELL("filename",A68))+1,31)) &amp; "*",CHOOSE({1,2}, Super_CBSA!$B$2:$B$1917, Super_CBSA!$A$2:$A$1917), 2,FALSE), IFERROR(VLOOKUP(B69  &amp; " city",CHOOSE({1,2}, Super_CBSA!$E$2:$E$1917, Super_CBSA!$A$2:$A$1917), 2,FALSE), ""))</f>
        <v/>
      </c>
    </row>
    <row r="70" spans="1:7" ht="17">
      <c r="A70" s="1" t="s">
        <v>4062</v>
      </c>
      <c r="B70" s="2" t="s">
        <v>4051</v>
      </c>
      <c r="C70" s="2">
        <v>313</v>
      </c>
      <c r="D70" s="3">
        <v>18555</v>
      </c>
      <c r="E70" s="3">
        <v>74183</v>
      </c>
      <c r="F70" s="4">
        <v>2859120</v>
      </c>
      <c r="G70" s="11" cm="1">
        <f t="array" aca="1" ref="G70" ca="1">IFERROR(VLOOKUP("*" &amp; B70  &amp; "*" &amp; (MID(CELL("filename",A69),FIND("]",CELL("filename",A69))+1,31)) &amp; "*",CHOOSE({1,2}, Super_CBSA!$B$2:$B$1917, Super_CBSA!$A$2:$A$1917), 2,FALSE), IFERROR(VLOOKUP(B70  &amp; " city",CHOOSE({1,2}, Super_CBSA!$E$2:$E$1917, Super_CBSA!$A$2:$A$1917), 2,FALSE), ""))</f>
        <v>45780</v>
      </c>
    </row>
    <row r="71" spans="1:7" ht="17">
      <c r="A71" s="1" t="s">
        <v>4063</v>
      </c>
      <c r="B71" s="2" t="s">
        <v>4064</v>
      </c>
      <c r="C71" s="2">
        <v>226</v>
      </c>
      <c r="D71" s="3">
        <v>9870</v>
      </c>
      <c r="E71" s="3">
        <v>33821</v>
      </c>
      <c r="F71" s="4">
        <v>941390</v>
      </c>
      <c r="G71" s="11" t="str" cm="1">
        <f t="array" aca="1" ref="G71" ca="1">IFERROR(VLOOKUP("*" &amp; B71  &amp; "*" &amp; (MID(CELL("filename",A70),FIND("]",CELL("filename",A70))+1,31)) &amp; "*",CHOOSE({1,2}, Super_CBSA!$B$2:$B$1917, Super_CBSA!$A$2:$A$1917), 2,FALSE), IFERROR(VLOOKUP(B71  &amp; " city",CHOOSE({1,2}, Super_CBSA!$E$2:$E$1917, Super_CBSA!$A$2:$A$1917), 2,FALSE), ""))</f>
        <v/>
      </c>
    </row>
    <row r="72" spans="1:7" ht="17">
      <c r="A72" s="1" t="s">
        <v>4065</v>
      </c>
      <c r="B72" s="2" t="s">
        <v>4066</v>
      </c>
      <c r="C72" s="2">
        <v>0</v>
      </c>
      <c r="D72" s="2">
        <v>0</v>
      </c>
      <c r="E72" s="2">
        <v>0</v>
      </c>
      <c r="F72" s="4">
        <v>0</v>
      </c>
      <c r="G72" s="11" t="str" cm="1">
        <f t="array" aca="1" ref="G72" ca="1">IFERROR(VLOOKUP("*" &amp; B72  &amp; "*" &amp; (MID(CELL("filename",A71),FIND("]",CELL("filename",A71))+1,31)) &amp; "*",CHOOSE({1,2}, Super_CBSA!$B$2:$B$1917, Super_CBSA!$A$2:$A$1917), 2,FALSE), IFERROR(VLOOKUP(B72  &amp; " city",CHOOSE({1,2}, Super_CBSA!$E$2:$E$1917, Super_CBSA!$A$2:$A$1917), 2,FALSE), ""))</f>
        <v/>
      </c>
    </row>
    <row r="73" spans="1:7" ht="17">
      <c r="A73" s="1" t="s">
        <v>4067</v>
      </c>
      <c r="B73" s="2" t="s">
        <v>4068</v>
      </c>
      <c r="C73" s="2">
        <v>206</v>
      </c>
      <c r="D73" s="3">
        <v>13694</v>
      </c>
      <c r="E73" s="3">
        <v>54576</v>
      </c>
      <c r="F73" s="4">
        <v>872929</v>
      </c>
      <c r="G73" s="11" cm="1">
        <f t="array" aca="1" ref="G73" ca="1">IFERROR(VLOOKUP("*" &amp; B73  &amp; "*" &amp; (MID(CELL("filename",A72),FIND("]",CELL("filename",A72))+1,31)) &amp; "*",CHOOSE({1,2}, Super_CBSA!$B$2:$B$1917, Super_CBSA!$A$2:$A$1917), 2,FALSE), IFERROR(VLOOKUP(B73  &amp; " city",CHOOSE({1,2}, Super_CBSA!$E$2:$E$1917, Super_CBSA!$A$2:$A$1917), 2,FALSE), ""))</f>
        <v>49660</v>
      </c>
    </row>
    <row r="74" spans="1:7" ht="17">
      <c r="A74" s="1" t="s">
        <v>4069</v>
      </c>
      <c r="B74" s="2" t="s">
        <v>4070</v>
      </c>
      <c r="C74" s="2">
        <v>45</v>
      </c>
      <c r="D74" s="3">
        <v>2348</v>
      </c>
      <c r="E74" s="3">
        <v>6628</v>
      </c>
      <c r="F74" s="4">
        <v>213375</v>
      </c>
      <c r="G74" s="11" cm="1">
        <f t="array" aca="1" ref="G74" ca="1">IFERROR(VLOOKUP("*" &amp; B74  &amp; "*" &amp; (MID(CELL("filename",A73),FIND("]",CELL("filename",A73))+1,31)) &amp; "*",CHOOSE({1,2}, Super_CBSA!$B$2:$B$1917, Super_CBSA!$A$2:$A$1917), 2,FALSE), IFERROR(VLOOKUP(B74  &amp; " city",CHOOSE({1,2}, Super_CBSA!$E$2:$E$1917, Super_CBSA!$A$2:$A$1917), 2,FALSE), ""))</f>
        <v>45660</v>
      </c>
    </row>
    <row r="75" spans="1:7" ht="17">
      <c r="A75" s="1" t="s">
        <v>702</v>
      </c>
      <c r="B75" s="2" t="s">
        <v>1596</v>
      </c>
      <c r="C75" s="2">
        <v>338</v>
      </c>
      <c r="D75" s="3">
        <v>15665</v>
      </c>
      <c r="E75" s="3">
        <v>68900</v>
      </c>
      <c r="F75" s="4">
        <v>883183</v>
      </c>
      <c r="G75" s="11" cm="1">
        <f t="array" aca="1" ref="G75" ca="1">IFERROR(VLOOKUP("*" &amp; B75  &amp; "*" &amp; (MID(CELL("filename",A74),FIND("]",CELL("filename",A74))+1,31)) &amp; "*",CHOOSE({1,2}, Super_CBSA!$B$2:$B$1917, Super_CBSA!$A$2:$A$1917), 2,FALSE), IFERROR(VLOOKUP(B75  &amp; " city",CHOOSE({1,2}, Super_CBSA!$E$2:$E$1917, Super_CBSA!$A$2:$A$1917), 2,FALSE), ""))</f>
        <v>15940</v>
      </c>
    </row>
    <row r="76" spans="1:7" ht="17">
      <c r="A76" s="1" t="s">
        <v>4071</v>
      </c>
      <c r="B76" s="2" t="s">
        <v>3130</v>
      </c>
      <c r="C76" s="2">
        <v>619</v>
      </c>
      <c r="D76" s="3">
        <v>20738</v>
      </c>
      <c r="E76" s="3">
        <v>115294</v>
      </c>
      <c r="F76" s="4">
        <v>3385869</v>
      </c>
      <c r="G76" s="11" cm="1">
        <f t="array" aca="1" ref="G76" ca="1">IFERROR(VLOOKUP("*" &amp; B76  &amp; "*" &amp; (MID(CELL("filename",A75),FIND("]",CELL("filename",A75))+1,31)) &amp; "*",CHOOSE({1,2}, Super_CBSA!$B$2:$B$1917, Super_CBSA!$A$2:$A$1917), 2,FALSE), IFERROR(VLOOKUP(B76  &amp; " city",CHOOSE({1,2}, Super_CBSA!$E$2:$E$1917, Super_CBSA!$A$2:$A$1917), 2,FALSE), ""))</f>
        <v>17460</v>
      </c>
    </row>
    <row r="77" spans="1:7" ht="17">
      <c r="A77" s="1" t="s">
        <v>4072</v>
      </c>
      <c r="B77" s="2" t="s">
        <v>4006</v>
      </c>
      <c r="C77" s="2">
        <v>825</v>
      </c>
      <c r="D77" s="3">
        <v>34557</v>
      </c>
      <c r="E77" s="3">
        <v>169191</v>
      </c>
      <c r="F77" s="4">
        <v>3866706</v>
      </c>
      <c r="G77" s="11" cm="1">
        <f t="array" aca="1" ref="G77" ca="1">IFERROR(VLOOKUP("*" &amp; B77  &amp; "*" &amp; (MID(CELL("filename",A76),FIND("]",CELL("filename",A76))+1,31)) &amp; "*",CHOOSE({1,2}, Super_CBSA!$B$2:$B$1917, Super_CBSA!$A$2:$A$1917), 2,FALSE), IFERROR(VLOOKUP(B77  &amp; " city",CHOOSE({1,2}, Super_CBSA!$E$2:$E$1917, Super_CBSA!$A$2:$A$1917), 2,FALSE), ""))</f>
        <v>19430</v>
      </c>
    </row>
    <row r="78" spans="1:7" ht="17">
      <c r="A78" s="1" t="s">
        <v>4073</v>
      </c>
      <c r="B78" s="2" t="s">
        <v>1050</v>
      </c>
      <c r="C78" s="2">
        <v>0</v>
      </c>
      <c r="D78" s="2">
        <v>0</v>
      </c>
      <c r="E78" s="2">
        <v>0</v>
      </c>
      <c r="F78" s="4">
        <v>0</v>
      </c>
      <c r="G78" s="11" t="str" cm="1">
        <f t="array" aca="1" ref="G78" ca="1">IFERROR(VLOOKUP("*" &amp; B78  &amp; "*" &amp; (MID(CELL("filename",A77),FIND("]",CELL("filename",A77))+1,31)) &amp; "*",CHOOSE({1,2}, Super_CBSA!$B$2:$B$1917, Super_CBSA!$A$2:$A$1917), 2,FALSE), IFERROR(VLOOKUP(B78  &amp; " city",CHOOSE({1,2}, Super_CBSA!$E$2:$E$1917, Super_CBSA!$A$2:$A$1917), 2,FALSE), ""))</f>
        <v/>
      </c>
    </row>
    <row r="79" spans="1:7" ht="17">
      <c r="A79" s="1" t="s">
        <v>4074</v>
      </c>
      <c r="B79" s="2" t="s">
        <v>4075</v>
      </c>
      <c r="C79" s="2">
        <v>0</v>
      </c>
      <c r="D79" s="2">
        <v>0</v>
      </c>
      <c r="E79" s="2">
        <v>0</v>
      </c>
      <c r="F79" s="4">
        <v>0</v>
      </c>
      <c r="G79" s="11" t="str" cm="1">
        <f t="array" aca="1" ref="G79" ca="1">IFERROR(VLOOKUP("*" &amp; B79  &amp; "*" &amp; (MID(CELL("filename",A78),FIND("]",CELL("filename",A78))+1,31)) &amp; "*",CHOOSE({1,2}, Super_CBSA!$B$2:$B$1917, Super_CBSA!$A$2:$A$1917), 2,FALSE), IFERROR(VLOOKUP(B79  &amp; " city",CHOOSE({1,2}, Super_CBSA!$E$2:$E$1917, Super_CBSA!$A$2:$A$1917), 2,FALSE), ""))</f>
        <v/>
      </c>
    </row>
    <row r="80" spans="1:7" ht="17">
      <c r="A80" s="1" t="s">
        <v>4076</v>
      </c>
      <c r="B80" s="2" t="s">
        <v>1612</v>
      </c>
      <c r="C80" s="2">
        <v>0</v>
      </c>
      <c r="D80" s="2">
        <v>0</v>
      </c>
      <c r="E80" s="2">
        <v>0</v>
      </c>
      <c r="F80" s="4">
        <v>0</v>
      </c>
      <c r="G80" s="11" cm="1">
        <f t="array" aca="1" ref="G80" ca="1">IFERROR(VLOOKUP("*" &amp; B80  &amp; "*" &amp; (MID(CELL("filename",A79),FIND("]",CELL("filename",A79))+1,31)) &amp; "*",CHOOSE({1,2}, Super_CBSA!$B$2:$B$1917, Super_CBSA!$A$2:$A$1917), 2,FALSE), IFERROR(VLOOKUP(B80  &amp; " city",CHOOSE({1,2}, Super_CBSA!$E$2:$E$1917, Super_CBSA!$A$2:$A$1917), 2,FALSE), ""))</f>
        <v>18140</v>
      </c>
    </row>
    <row r="81" spans="1:7" ht="17">
      <c r="A81" s="1" t="s">
        <v>4077</v>
      </c>
      <c r="B81" s="2" t="s">
        <v>4025</v>
      </c>
      <c r="C81" s="2">
        <v>0</v>
      </c>
      <c r="D81" s="2">
        <v>0</v>
      </c>
      <c r="E81" s="2">
        <v>0</v>
      </c>
      <c r="F81" s="4">
        <v>0</v>
      </c>
      <c r="G81" s="11" t="str" cm="1">
        <f t="array" aca="1" ref="G81" ca="1">IFERROR(VLOOKUP("*" &amp; B81  &amp; "*" &amp; (MID(CELL("filename",A80),FIND("]",CELL("filename",A80))+1,31)) &amp; "*",CHOOSE({1,2}, Super_CBSA!$B$2:$B$1917, Super_CBSA!$A$2:$A$1917), 2,FALSE), IFERROR(VLOOKUP(B81  &amp; " city",CHOOSE({1,2}, Super_CBSA!$E$2:$E$1917, Super_CBSA!$A$2:$A$1917), 2,FALSE), ""))</f>
        <v/>
      </c>
    </row>
    <row r="82" spans="1:7" ht="17">
      <c r="A82" s="1" t="s">
        <v>4078</v>
      </c>
      <c r="B82" s="2" t="s">
        <v>2032</v>
      </c>
      <c r="C82" s="2">
        <v>60</v>
      </c>
      <c r="D82" s="3">
        <v>3679</v>
      </c>
      <c r="E82" s="3">
        <v>5851</v>
      </c>
      <c r="F82" s="4">
        <v>318474</v>
      </c>
      <c r="G82" s="11" t="str" cm="1">
        <f t="array" aca="1" ref="G82" ca="1">IFERROR(VLOOKUP("*" &amp; B82  &amp; "*" &amp; (MID(CELL("filename",A81),FIND("]",CELL("filename",A81))+1,31)) &amp; "*",CHOOSE({1,2}, Super_CBSA!$B$2:$B$1917, Super_CBSA!$A$2:$A$1917), 2,FALSE), IFERROR(VLOOKUP(B82  &amp; " city",CHOOSE({1,2}, Super_CBSA!$E$2:$E$1917, Super_CBSA!$A$2:$A$1917), 2,FALSE), ""))</f>
        <v/>
      </c>
    </row>
    <row r="83" spans="1:7" ht="17">
      <c r="A83" s="1" t="s">
        <v>4079</v>
      </c>
      <c r="B83" s="2" t="s">
        <v>4080</v>
      </c>
      <c r="C83" s="2">
        <v>284</v>
      </c>
      <c r="D83" s="3">
        <v>17344</v>
      </c>
      <c r="E83" s="3">
        <v>70640</v>
      </c>
      <c r="F83" s="4">
        <v>1158546</v>
      </c>
      <c r="G83" s="11" t="str" cm="1">
        <f t="array" aca="1" ref="G83" ca="1">IFERROR(VLOOKUP("*" &amp; B83  &amp; "*" &amp; (MID(CELL("filename",A82),FIND("]",CELL("filename",A82))+1,31)) &amp; "*",CHOOSE({1,2}, Super_CBSA!$B$2:$B$1917, Super_CBSA!$A$2:$A$1917), 2,FALSE), IFERROR(VLOOKUP(B83  &amp; " city",CHOOSE({1,2}, Super_CBSA!$E$2:$E$1917, Super_CBSA!$A$2:$A$1917), 2,FALSE), ""))</f>
        <v/>
      </c>
    </row>
    <row r="84" spans="1:7" ht="17">
      <c r="A84" s="1" t="s">
        <v>4081</v>
      </c>
      <c r="B84" s="2" t="s">
        <v>1612</v>
      </c>
      <c r="C84" s="2">
        <v>344</v>
      </c>
      <c r="D84" s="3">
        <v>15193</v>
      </c>
      <c r="E84" s="3">
        <v>105989</v>
      </c>
      <c r="F84" s="4">
        <v>4151579</v>
      </c>
      <c r="G84" s="11" cm="1">
        <f t="array" aca="1" ref="G84" ca="1">IFERROR(VLOOKUP("*" &amp; B84  &amp; "*" &amp; (MID(CELL("filename",A83),FIND("]",CELL("filename",A83))+1,31)) &amp; "*",CHOOSE({1,2}, Super_CBSA!$B$2:$B$1917, Super_CBSA!$A$2:$A$1917), 2,FALSE), IFERROR(VLOOKUP(B84  &amp; " city",CHOOSE({1,2}, Super_CBSA!$E$2:$E$1917, Super_CBSA!$A$2:$A$1917), 2,FALSE), ""))</f>
        <v>18140</v>
      </c>
    </row>
    <row r="85" spans="1:7" ht="17">
      <c r="A85" s="1" t="s">
        <v>4082</v>
      </c>
      <c r="B85" s="2" t="s">
        <v>1612</v>
      </c>
      <c r="C85" s="2">
        <v>174</v>
      </c>
      <c r="D85" s="3">
        <v>10295</v>
      </c>
      <c r="E85" s="3">
        <v>50659</v>
      </c>
      <c r="F85" s="4">
        <v>566324</v>
      </c>
      <c r="G85" s="11" cm="1">
        <f t="array" aca="1" ref="G85" ca="1">IFERROR(VLOOKUP("*" &amp; B85  &amp; "*" &amp; (MID(CELL("filename",A84),FIND("]",CELL("filename",A84))+1,31)) &amp; "*",CHOOSE({1,2}, Super_CBSA!$B$2:$B$1917, Super_CBSA!$A$2:$A$1917), 2,FALSE), IFERROR(VLOOKUP(B85  &amp; " city",CHOOSE({1,2}, Super_CBSA!$E$2:$E$1917, Super_CBSA!$A$2:$A$1917), 2,FALSE), ""))</f>
        <v>18140</v>
      </c>
    </row>
    <row r="86" spans="1:7" ht="17">
      <c r="A86" s="1" t="s">
        <v>4083</v>
      </c>
      <c r="B86" s="2" t="s">
        <v>1612</v>
      </c>
      <c r="C86" s="3">
        <v>1133</v>
      </c>
      <c r="D86" s="3">
        <v>49765</v>
      </c>
      <c r="E86" s="3">
        <v>286599</v>
      </c>
      <c r="F86" s="4">
        <v>6526411</v>
      </c>
      <c r="G86" s="11" cm="1">
        <f t="array" aca="1" ref="G86" ca="1">IFERROR(VLOOKUP("*" &amp; B86  &amp; "*" &amp; (MID(CELL("filename",A85),FIND("]",CELL("filename",A85))+1,31)) &amp; "*",CHOOSE({1,2}, Super_CBSA!$B$2:$B$1917, Super_CBSA!$A$2:$A$1917), 2,FALSE), IFERROR(VLOOKUP(B86  &amp; " city",CHOOSE({1,2}, Super_CBSA!$E$2:$E$1917, Super_CBSA!$A$2:$A$1917), 2,FALSE), ""))</f>
        <v>18140</v>
      </c>
    </row>
    <row r="87" spans="1:7" ht="17">
      <c r="A87" s="1" t="s">
        <v>4084</v>
      </c>
      <c r="B87" s="2" t="s">
        <v>1901</v>
      </c>
      <c r="C87" s="2">
        <v>24</v>
      </c>
      <c r="D87" s="2">
        <v>608</v>
      </c>
      <c r="E87" s="3">
        <v>1386</v>
      </c>
      <c r="F87" s="4">
        <v>139996</v>
      </c>
      <c r="G87" s="11" cm="1">
        <f t="array" aca="1" ref="G87" ca="1">IFERROR(VLOOKUP("*" &amp; B87  &amp; "*" &amp; (MID(CELL("filename",A86),FIND("]",CELL("filename",A86))+1,31)) &amp; "*",CHOOSE({1,2}, Super_CBSA!$B$2:$B$1917, Super_CBSA!$A$2:$A$1917), 2,FALSE), IFERROR(VLOOKUP(B87  &amp; " city",CHOOSE({1,2}, Super_CBSA!$E$2:$E$1917, Super_CBSA!$A$2:$A$1917), 2,FALSE), ""))</f>
        <v>44220</v>
      </c>
    </row>
    <row r="88" spans="1:7" ht="17">
      <c r="A88" s="1" t="s">
        <v>4085</v>
      </c>
      <c r="B88" s="2" t="s">
        <v>1612</v>
      </c>
      <c r="C88" s="2">
        <v>172</v>
      </c>
      <c r="D88" s="3">
        <v>8388</v>
      </c>
      <c r="E88" s="3">
        <v>36641</v>
      </c>
      <c r="F88" s="4">
        <v>941105</v>
      </c>
      <c r="G88" s="11" cm="1">
        <f t="array" aca="1" ref="G88" ca="1">IFERROR(VLOOKUP("*" &amp; B88  &amp; "*" &amp; (MID(CELL("filename",A87),FIND("]",CELL("filename",A87))+1,31)) &amp; "*",CHOOSE({1,2}, Super_CBSA!$B$2:$B$1917, Super_CBSA!$A$2:$A$1917), 2,FALSE), IFERROR(VLOOKUP(B88  &amp; " city",CHOOSE({1,2}, Super_CBSA!$E$2:$E$1917, Super_CBSA!$A$2:$A$1917), 2,FALSE), ""))</f>
        <v>18140</v>
      </c>
    </row>
    <row r="89" spans="1:7" ht="17">
      <c r="A89" s="1" t="s">
        <v>4086</v>
      </c>
      <c r="B89" s="2" t="s">
        <v>1534</v>
      </c>
      <c r="C89" s="2">
        <v>102</v>
      </c>
      <c r="D89" s="3">
        <v>6471</v>
      </c>
      <c r="E89" s="3">
        <v>21155</v>
      </c>
      <c r="F89" s="4">
        <v>641531</v>
      </c>
      <c r="G89" s="11" t="str" cm="1">
        <f t="array" aca="1" ref="G89" ca="1">IFERROR(VLOOKUP("*" &amp; B89  &amp; "*" &amp; (MID(CELL("filename",A88),FIND("]",CELL("filename",A88))+1,31)) &amp; "*",CHOOSE({1,2}, Super_CBSA!$B$2:$B$1917, Super_CBSA!$A$2:$A$1917), 2,FALSE), IFERROR(VLOOKUP(B89  &amp; " city",CHOOSE({1,2}, Super_CBSA!$E$2:$E$1917, Super_CBSA!$A$2:$A$1917), 2,FALSE), ""))</f>
        <v/>
      </c>
    </row>
    <row r="90" spans="1:7" ht="17">
      <c r="A90" s="1" t="s">
        <v>4087</v>
      </c>
      <c r="B90" s="2" t="s">
        <v>4088</v>
      </c>
      <c r="C90" s="2">
        <v>64</v>
      </c>
      <c r="D90" s="3">
        <v>1876</v>
      </c>
      <c r="E90" s="3">
        <v>6097</v>
      </c>
      <c r="F90" s="4">
        <v>288596</v>
      </c>
      <c r="G90" s="11" t="str" cm="1">
        <f t="array" aca="1" ref="G90" ca="1">IFERROR(VLOOKUP("*" &amp; B90  &amp; "*" &amp; (MID(CELL("filename",A89),FIND("]",CELL("filename",A89))+1,31)) &amp; "*",CHOOSE({1,2}, Super_CBSA!$B$2:$B$1917, Super_CBSA!$A$2:$A$1917), 2,FALSE), IFERROR(VLOOKUP(B90  &amp; " city",CHOOSE({1,2}, Super_CBSA!$E$2:$E$1917, Super_CBSA!$A$2:$A$1917), 2,FALSE), ""))</f>
        <v/>
      </c>
    </row>
    <row r="91" spans="1:7" ht="17">
      <c r="A91" s="1" t="s">
        <v>4089</v>
      </c>
      <c r="B91" s="2" t="s">
        <v>1612</v>
      </c>
      <c r="C91" s="2">
        <v>434</v>
      </c>
      <c r="D91" s="3">
        <v>19091</v>
      </c>
      <c r="E91" s="3">
        <v>101742</v>
      </c>
      <c r="F91" s="4">
        <v>2937700</v>
      </c>
      <c r="G91" s="11" cm="1">
        <f t="array" aca="1" ref="G91" ca="1">IFERROR(VLOOKUP("*" &amp; B91  &amp; "*" &amp; (MID(CELL("filename",A90),FIND("]",CELL("filename",A90))+1,31)) &amp; "*",CHOOSE({1,2}, Super_CBSA!$B$2:$B$1917, Super_CBSA!$A$2:$A$1917), 2,FALSE), IFERROR(VLOOKUP(B91  &amp; " city",CHOOSE({1,2}, Super_CBSA!$E$2:$E$1917, Super_CBSA!$A$2:$A$1917), 2,FALSE), ""))</f>
        <v>18140</v>
      </c>
    </row>
    <row r="92" spans="1:7" ht="17">
      <c r="A92" s="1" t="s">
        <v>4090</v>
      </c>
      <c r="B92" s="2" t="s">
        <v>2396</v>
      </c>
      <c r="C92" s="2">
        <v>237</v>
      </c>
      <c r="D92" s="3">
        <v>10588</v>
      </c>
      <c r="E92" s="3">
        <v>51862</v>
      </c>
      <c r="F92" s="4">
        <v>914625</v>
      </c>
      <c r="G92" s="11" cm="1">
        <f t="array" aca="1" ref="G92" ca="1">IFERROR(VLOOKUP("*" &amp; B92  &amp; "*" &amp; (MID(CELL("filename",A91),FIND("]",CELL("filename",A91))+1,31)) &amp; "*",CHOOSE({1,2}, Super_CBSA!$B$2:$B$1917, Super_CBSA!$A$2:$A$1917), 2,FALSE), IFERROR(VLOOKUP(B92  &amp; " city",CHOOSE({1,2}, Super_CBSA!$E$2:$E$1917, Super_CBSA!$A$2:$A$1917), 2,FALSE), ""))</f>
        <v>31900</v>
      </c>
    </row>
    <row r="93" spans="1:7" ht="17">
      <c r="A93" s="1" t="s">
        <v>4091</v>
      </c>
      <c r="B93" s="2" t="s">
        <v>1888</v>
      </c>
      <c r="C93" s="2">
        <v>198</v>
      </c>
      <c r="D93" s="3">
        <v>6479</v>
      </c>
      <c r="E93" s="3">
        <v>24828</v>
      </c>
      <c r="F93" s="4">
        <v>662927</v>
      </c>
      <c r="G93" s="11" cm="1">
        <f t="array" aca="1" ref="G93" ca="1">IFERROR(VLOOKUP("*" &amp; B93  &amp; "*" &amp; (MID(CELL("filename",A92),FIND("]",CELL("filename",A92))+1,31)) &amp; "*",CHOOSE({1,2}, Super_CBSA!$B$2:$B$1917, Super_CBSA!$A$2:$A$1917), 2,FALSE), IFERROR(VLOOKUP(B93  &amp; " city",CHOOSE({1,2}, Super_CBSA!$E$2:$E$1917, Super_CBSA!$A$2:$A$1917), 2,FALSE), ""))</f>
        <v>32020</v>
      </c>
    </row>
    <row r="94" spans="1:7" ht="17">
      <c r="A94" s="1" t="s">
        <v>4092</v>
      </c>
      <c r="B94" s="2" t="s">
        <v>83</v>
      </c>
      <c r="C94" s="2">
        <v>64</v>
      </c>
      <c r="D94" s="3">
        <v>2098</v>
      </c>
      <c r="E94" s="3">
        <v>4168</v>
      </c>
      <c r="F94" s="4">
        <v>289356</v>
      </c>
      <c r="G94" s="11" cm="1">
        <f t="array" aca="1" ref="G94" ca="1">IFERROR(VLOOKUP("*" &amp; B94  &amp; "*" &amp; (MID(CELL("filename",A93),FIND("]",CELL("filename",A93))+1,31)) &amp; "*",CHOOSE({1,2}, Super_CBSA!$B$2:$B$1917, Super_CBSA!$A$2:$A$1917), 2,FALSE), IFERROR(VLOOKUP(B94  &amp; " city",CHOOSE({1,2}, Super_CBSA!$E$2:$E$1917, Super_CBSA!$A$2:$A$1917), 2,FALSE), ""))</f>
        <v>11900</v>
      </c>
    </row>
    <row r="95" spans="1:7" ht="17">
      <c r="A95" s="1" t="s">
        <v>4093</v>
      </c>
      <c r="B95" s="2" t="s">
        <v>1612</v>
      </c>
      <c r="C95" s="2">
        <v>734</v>
      </c>
      <c r="D95" s="3">
        <v>41759</v>
      </c>
      <c r="E95" s="3">
        <v>205179</v>
      </c>
      <c r="F95" s="4">
        <v>4813102</v>
      </c>
      <c r="G95" s="11" cm="1">
        <f t="array" aca="1" ref="G95" ca="1">IFERROR(VLOOKUP("*" &amp; B95  &amp; "*" &amp; (MID(CELL("filename",A94),FIND("]",CELL("filename",A94))+1,31)) &amp; "*",CHOOSE({1,2}, Super_CBSA!$B$2:$B$1917, Super_CBSA!$A$2:$A$1917), 2,FALSE), IFERROR(VLOOKUP(B95  &amp; " city",CHOOSE({1,2}, Super_CBSA!$E$2:$E$1917, Super_CBSA!$A$2:$A$1917), 2,FALSE), ""))</f>
        <v>18140</v>
      </c>
    </row>
    <row r="96" spans="1:7" ht="17">
      <c r="A96" s="1" t="s">
        <v>4094</v>
      </c>
      <c r="B96" s="2" t="s">
        <v>4095</v>
      </c>
      <c r="C96" s="2">
        <v>41</v>
      </c>
      <c r="D96" s="3">
        <v>1521</v>
      </c>
      <c r="E96" s="3">
        <v>4521</v>
      </c>
      <c r="F96" s="4">
        <v>71372</v>
      </c>
      <c r="G96" s="11" t="str" cm="1">
        <f t="array" aca="1" ref="G96" ca="1">IFERROR(VLOOKUP("*" &amp; B96  &amp; "*" &amp; (MID(CELL("filename",A95),FIND("]",CELL("filename",A95))+1,31)) &amp; "*",CHOOSE({1,2}, Super_CBSA!$B$2:$B$1917, Super_CBSA!$A$2:$A$1917), 2,FALSE), IFERROR(VLOOKUP(B96  &amp; " city",CHOOSE({1,2}, Super_CBSA!$E$2:$E$1917, Super_CBSA!$A$2:$A$1917), 2,FALSE), ""))</f>
        <v/>
      </c>
    </row>
    <row r="97" spans="1:7" ht="17">
      <c r="A97" s="1" t="s">
        <v>4096</v>
      </c>
      <c r="B97" s="2" t="s">
        <v>4053</v>
      </c>
      <c r="C97" s="2">
        <v>77</v>
      </c>
      <c r="D97" s="3">
        <v>3187</v>
      </c>
      <c r="E97" s="3">
        <v>11833</v>
      </c>
      <c r="F97" s="4">
        <v>396143</v>
      </c>
      <c r="G97" s="11" t="str" cm="1">
        <f t="array" aca="1" ref="G97" ca="1">IFERROR(VLOOKUP("*" &amp; B97  &amp; "*" &amp; (MID(CELL("filename",A96),FIND("]",CELL("filename",A96))+1,31)) &amp; "*",CHOOSE({1,2}, Super_CBSA!$B$2:$B$1917, Super_CBSA!$A$2:$A$1917), 2,FALSE), IFERROR(VLOOKUP(B97  &amp; " city",CHOOSE({1,2}, Super_CBSA!$E$2:$E$1917, Super_CBSA!$A$2:$A$1917), 2,FALSE), ""))</f>
        <v/>
      </c>
    </row>
    <row r="98" spans="1:7" ht="17">
      <c r="A98" s="1" t="s">
        <v>4097</v>
      </c>
      <c r="B98" s="2" t="s">
        <v>4098</v>
      </c>
      <c r="C98" s="2">
        <v>232</v>
      </c>
      <c r="D98" s="3">
        <v>5741</v>
      </c>
      <c r="E98" s="3">
        <v>25844</v>
      </c>
      <c r="F98" s="4">
        <v>1054079</v>
      </c>
      <c r="G98" s="11" t="str" cm="1">
        <f t="array" aca="1" ref="G98" ca="1">IFERROR(VLOOKUP("*" &amp; B98  &amp; "*" &amp; (MID(CELL("filename",A97),FIND("]",CELL("filename",A97))+1,31)) &amp; "*",CHOOSE({1,2}, Super_CBSA!$B$2:$B$1917, Super_CBSA!$A$2:$A$1917), 2,FALSE), IFERROR(VLOOKUP(B98  &amp; " city",CHOOSE({1,2}, Super_CBSA!$E$2:$E$1917, Super_CBSA!$A$2:$A$1917), 2,FALSE), ""))</f>
        <v/>
      </c>
    </row>
    <row r="99" spans="1:7" ht="17">
      <c r="A99" s="1" t="s">
        <v>4099</v>
      </c>
      <c r="B99" s="2" t="s">
        <v>635</v>
      </c>
      <c r="C99" s="2">
        <v>102</v>
      </c>
      <c r="D99" s="3">
        <v>1095</v>
      </c>
      <c r="E99" s="3">
        <v>3337</v>
      </c>
      <c r="F99" s="4">
        <v>204224</v>
      </c>
      <c r="G99" s="11" cm="1">
        <f t="array" aca="1" ref="G99" ca="1">IFERROR(VLOOKUP("*" &amp; B99  &amp; "*" &amp; (MID(CELL("filename",A98),FIND("]",CELL("filename",A98))+1,31)) &amp; "*",CHOOSE({1,2}, Super_CBSA!$B$2:$B$1917, Super_CBSA!$A$2:$A$1917), 2,FALSE), IFERROR(VLOOKUP(B99  &amp; " city",CHOOSE({1,2}, Super_CBSA!$E$2:$E$1917, Super_CBSA!$A$2:$A$1917), 2,FALSE), ""))</f>
        <v>23380</v>
      </c>
    </row>
    <row r="100" spans="1:7" ht="17">
      <c r="A100" s="1" t="s">
        <v>4100</v>
      </c>
      <c r="B100" s="2" t="s">
        <v>4051</v>
      </c>
      <c r="C100" s="2">
        <v>859</v>
      </c>
      <c r="D100" s="3">
        <v>29429</v>
      </c>
      <c r="E100" s="3">
        <v>156455</v>
      </c>
      <c r="F100" s="4">
        <v>4033906</v>
      </c>
      <c r="G100" s="11" cm="1">
        <f t="array" aca="1" ref="G100" ca="1">IFERROR(VLOOKUP("*" &amp; B100  &amp; "*" &amp; (MID(CELL("filename",A99),FIND("]",CELL("filename",A99))+1,31)) &amp; "*",CHOOSE({1,2}, Super_CBSA!$B$2:$B$1917, Super_CBSA!$A$2:$A$1917), 2,FALSE), IFERROR(VLOOKUP(B100  &amp; " city",CHOOSE({1,2}, Super_CBSA!$E$2:$E$1917, Super_CBSA!$A$2:$A$1917), 2,FALSE), ""))</f>
        <v>45780</v>
      </c>
    </row>
    <row r="101" spans="1:7" ht="17">
      <c r="A101" s="1" t="s">
        <v>1749</v>
      </c>
      <c r="B101" s="2" t="s">
        <v>4101</v>
      </c>
      <c r="C101" s="2">
        <v>166</v>
      </c>
      <c r="D101" s="3">
        <v>9785</v>
      </c>
      <c r="E101" s="3">
        <v>39977</v>
      </c>
      <c r="F101" s="4">
        <v>629683</v>
      </c>
      <c r="G101" s="11" t="str" cm="1">
        <f t="array" aca="1" ref="G101" ca="1">IFERROR(VLOOKUP("*" &amp; B101  &amp; "*" &amp; (MID(CELL("filename",A100),FIND("]",CELL("filename",A100))+1,31)) &amp; "*",CHOOSE({1,2}, Super_CBSA!$B$2:$B$1917, Super_CBSA!$A$2:$A$1917), 2,FALSE), IFERROR(VLOOKUP(B101  &amp; " city",CHOOSE({1,2}, Super_CBSA!$E$2:$E$1917, Super_CBSA!$A$2:$A$1917), 2,FALSE), ""))</f>
        <v/>
      </c>
    </row>
    <row r="102" spans="1:7" ht="17">
      <c r="A102" s="1" t="s">
        <v>4102</v>
      </c>
      <c r="B102" s="2" t="s">
        <v>3130</v>
      </c>
      <c r="C102" s="2">
        <v>197</v>
      </c>
      <c r="D102" s="3">
        <v>5937</v>
      </c>
      <c r="E102" s="3">
        <v>21827</v>
      </c>
      <c r="F102" s="4">
        <v>472220</v>
      </c>
      <c r="G102" s="11" cm="1">
        <f t="array" aca="1" ref="G102" ca="1">IFERROR(VLOOKUP("*" &amp; B102  &amp; "*" &amp; (MID(CELL("filename",A101),FIND("]",CELL("filename",A101))+1,31)) &amp; "*",CHOOSE({1,2}, Super_CBSA!$B$2:$B$1917, Super_CBSA!$A$2:$A$1917), 2,FALSE), IFERROR(VLOOKUP(B102  &amp; " city",CHOOSE({1,2}, Super_CBSA!$E$2:$E$1917, Super_CBSA!$A$2:$A$1917), 2,FALSE), ""))</f>
        <v>17460</v>
      </c>
    </row>
    <row r="103" spans="1:7" ht="17">
      <c r="A103" s="1" t="s">
        <v>4103</v>
      </c>
      <c r="B103" s="2" t="s">
        <v>2601</v>
      </c>
      <c r="C103" s="2">
        <v>102</v>
      </c>
      <c r="D103" s="3">
        <v>3461</v>
      </c>
      <c r="E103" s="3">
        <v>14569</v>
      </c>
      <c r="F103" s="4">
        <v>282080</v>
      </c>
      <c r="G103" s="11" cm="1">
        <f t="array" aca="1" ref="G103" ca="1">IFERROR(VLOOKUP("*" &amp; B103  &amp; "*" &amp; (MID(CELL("filename",A102),FIND("]",CELL("filename",A102))+1,31)) &amp; "*",CHOOSE({1,2}, Super_CBSA!$B$2:$B$1917, Super_CBSA!$A$2:$A$1917), 2,FALSE), IFERROR(VLOOKUP(B103  &amp; " city",CHOOSE({1,2}, Super_CBSA!$E$2:$E$1917, Super_CBSA!$A$2:$A$1917), 2,FALSE), ""))</f>
        <v>41400</v>
      </c>
    </row>
    <row r="104" spans="1:7" ht="17">
      <c r="A104" s="1" t="s">
        <v>4104</v>
      </c>
      <c r="B104" s="2" t="s">
        <v>4105</v>
      </c>
      <c r="C104" s="2">
        <v>129</v>
      </c>
      <c r="D104" s="3">
        <v>7317</v>
      </c>
      <c r="E104" s="3">
        <v>28039</v>
      </c>
      <c r="F104" s="4">
        <v>885903</v>
      </c>
      <c r="G104" s="11" t="str" cm="1">
        <f t="array" aca="1" ref="G104" ca="1">IFERROR(VLOOKUP("*" &amp; B104  &amp; "*" &amp; (MID(CELL("filename",A103),FIND("]",CELL("filename",A103))+1,31)) &amp; "*",CHOOSE({1,2}, Super_CBSA!$B$2:$B$1917, Super_CBSA!$A$2:$A$1917), 2,FALSE), IFERROR(VLOOKUP(B104  &amp; " city",CHOOSE({1,2}, Super_CBSA!$E$2:$E$1917, Super_CBSA!$A$2:$A$1917), 2,FALSE), ""))</f>
        <v/>
      </c>
    </row>
    <row r="105" spans="1:7" ht="17">
      <c r="A105" s="1" t="s">
        <v>4106</v>
      </c>
      <c r="B105" s="2" t="s">
        <v>4107</v>
      </c>
      <c r="C105" s="2">
        <v>131</v>
      </c>
      <c r="D105" s="3">
        <v>6583</v>
      </c>
      <c r="E105" s="3">
        <v>30555</v>
      </c>
      <c r="F105" s="4">
        <v>445522</v>
      </c>
      <c r="G105" s="11" t="str" cm="1">
        <f t="array" aca="1" ref="G105" ca="1">IFERROR(VLOOKUP("*" &amp; B105  &amp; "*" &amp; (MID(CELL("filename",A104),FIND("]",CELL("filename",A104))+1,31)) &amp; "*",CHOOSE({1,2}, Super_CBSA!$B$2:$B$1917, Super_CBSA!$A$2:$A$1917), 2,FALSE), IFERROR(VLOOKUP(B105  &amp; " city",CHOOSE({1,2}, Super_CBSA!$E$2:$E$1917, Super_CBSA!$A$2:$A$1917), 2,FALSE), ""))</f>
        <v/>
      </c>
    </row>
    <row r="106" spans="1:7" ht="17">
      <c r="A106" s="1" t="s">
        <v>4108</v>
      </c>
      <c r="B106" s="2" t="s">
        <v>2546</v>
      </c>
      <c r="C106" s="2">
        <v>90</v>
      </c>
      <c r="D106" s="3">
        <v>3195</v>
      </c>
      <c r="E106" s="3">
        <v>11393</v>
      </c>
      <c r="F106" s="4">
        <v>231708</v>
      </c>
      <c r="G106" s="11" cm="1">
        <f t="array" aca="1" ref="G106" ca="1">IFERROR(VLOOKUP("*" &amp; B106  &amp; "*" &amp; (MID(CELL("filename",A105),FIND("]",CELL("filename",A105))+1,31)) &amp; "*",CHOOSE({1,2}, Super_CBSA!$B$2:$B$1917, Super_CBSA!$A$2:$A$1917), 2,FALSE), IFERROR(VLOOKUP(B106  &amp; " city",CHOOSE({1,2}, Super_CBSA!$E$2:$E$1917, Super_CBSA!$A$2:$A$1917), 2,FALSE), ""))</f>
        <v>15740</v>
      </c>
    </row>
    <row r="107" spans="1:7" ht="17">
      <c r="A107" s="1" t="s">
        <v>4109</v>
      </c>
      <c r="B107" s="2" t="s">
        <v>3477</v>
      </c>
      <c r="C107" s="2">
        <v>213</v>
      </c>
      <c r="D107" s="3">
        <v>10857</v>
      </c>
      <c r="E107" s="3">
        <v>44078</v>
      </c>
      <c r="F107" s="4">
        <v>1113484</v>
      </c>
      <c r="G107" s="11" cm="1">
        <f t="array" aca="1" ref="G107" ca="1">IFERROR(VLOOKUP("*" &amp; B107  &amp; "*" &amp; (MID(CELL("filename",A106),FIND("]",CELL("filename",A106))+1,31)) &amp; "*",CHOOSE({1,2}, Super_CBSA!$B$2:$B$1917, Super_CBSA!$A$2:$A$1917), 2,FALSE), IFERROR(VLOOKUP(B107  &amp; " city",CHOOSE({1,2}, Super_CBSA!$E$2:$E$1917, Super_CBSA!$A$2:$A$1917), 2,FALSE), ""))</f>
        <v>39020</v>
      </c>
    </row>
    <row r="108" spans="1:7" ht="17">
      <c r="A108" s="1" t="s">
        <v>4110</v>
      </c>
      <c r="B108" s="2" t="s">
        <v>4075</v>
      </c>
      <c r="C108" s="2">
        <v>0</v>
      </c>
      <c r="D108" s="2">
        <v>0</v>
      </c>
      <c r="E108" s="2">
        <v>0</v>
      </c>
      <c r="F108" s="4">
        <v>0</v>
      </c>
      <c r="G108" s="11" t="str" cm="1">
        <f t="array" aca="1" ref="G108" ca="1">IFERROR(VLOOKUP("*" &amp; B108  &amp; "*" &amp; (MID(CELL("filename",A107),FIND("]",CELL("filename",A107))+1,31)) &amp; "*",CHOOSE({1,2}, Super_CBSA!$B$2:$B$1917, Super_CBSA!$A$2:$A$1917), 2,FALSE), IFERROR(VLOOKUP(B108  &amp; " city",CHOOSE({1,2}, Super_CBSA!$E$2:$E$1917, Super_CBSA!$A$2:$A$1917), 2,FALSE), ""))</f>
        <v/>
      </c>
    </row>
    <row r="109" spans="1:7" ht="17">
      <c r="A109" s="1" t="s">
        <v>4111</v>
      </c>
      <c r="B109" s="2" t="s">
        <v>4112</v>
      </c>
      <c r="C109" s="2">
        <v>248</v>
      </c>
      <c r="D109" s="3">
        <v>14506</v>
      </c>
      <c r="E109" s="3">
        <v>51367</v>
      </c>
      <c r="F109" s="4">
        <v>1361794</v>
      </c>
      <c r="G109" s="11" t="str" cm="1">
        <f t="array" aca="1" ref="G109" ca="1">IFERROR(VLOOKUP("*" &amp; B109  &amp; "*" &amp; (MID(CELL("filename",A108),FIND("]",CELL("filename",A108))+1,31)) &amp; "*",CHOOSE({1,2}, Super_CBSA!$B$2:$B$1917, Super_CBSA!$A$2:$A$1917), 2,FALSE), IFERROR(VLOOKUP(B109  &amp; " city",CHOOSE({1,2}, Super_CBSA!$E$2:$E$1917, Super_CBSA!$A$2:$A$1917), 2,FALSE), ""))</f>
        <v/>
      </c>
    </row>
    <row r="110" spans="1:7" ht="17">
      <c r="A110" s="1" t="s">
        <v>4113</v>
      </c>
      <c r="B110" s="2" t="s">
        <v>3992</v>
      </c>
      <c r="C110" s="2">
        <v>653</v>
      </c>
      <c r="D110" s="3">
        <v>26395</v>
      </c>
      <c r="E110" s="3">
        <v>127079</v>
      </c>
      <c r="F110" s="4">
        <v>5110569</v>
      </c>
      <c r="G110" s="11" cm="1">
        <f t="array" aca="1" ref="G110" ca="1">IFERROR(VLOOKUP("*" &amp; B110  &amp; "*" &amp; (MID(CELL("filename",A109),FIND("]",CELL("filename",A109))+1,31)) &amp; "*",CHOOSE({1,2}, Super_CBSA!$B$2:$B$1917, Super_CBSA!$A$2:$A$1917), 2,FALSE), IFERROR(VLOOKUP(B110  &amp; " city",CHOOSE({1,2}, Super_CBSA!$E$2:$E$1917, Super_CBSA!$A$2:$A$1917), 2,FALSE), ""))</f>
        <v>10420</v>
      </c>
    </row>
    <row r="111" spans="1:7" ht="17">
      <c r="A111" s="1" t="s">
        <v>4114</v>
      </c>
      <c r="B111" s="2" t="s">
        <v>4115</v>
      </c>
      <c r="C111" s="2">
        <v>178</v>
      </c>
      <c r="D111" s="3">
        <v>8020</v>
      </c>
      <c r="E111" s="3">
        <v>37016</v>
      </c>
      <c r="F111" s="4">
        <v>1115954</v>
      </c>
      <c r="G111" s="11" t="str" cm="1">
        <f t="array" aca="1" ref="G111" ca="1">IFERROR(VLOOKUP("*" &amp; B111  &amp; "*" &amp; (MID(CELL("filename",A110),FIND("]",CELL("filename",A110))+1,31)) &amp; "*",CHOOSE({1,2}, Super_CBSA!$B$2:$B$1917, Super_CBSA!$A$2:$A$1917), 2,FALSE), IFERROR(VLOOKUP(B111  &amp; " city",CHOOSE({1,2}, Super_CBSA!$E$2:$E$1917, Super_CBSA!$A$2:$A$1917), 2,FALSE), ""))</f>
        <v/>
      </c>
    </row>
    <row r="112" spans="1:7" ht="17">
      <c r="A112" s="1" t="s">
        <v>4116</v>
      </c>
      <c r="B112" s="2" t="s">
        <v>3992</v>
      </c>
      <c r="C112" s="2">
        <v>0</v>
      </c>
      <c r="D112" s="2">
        <v>0</v>
      </c>
      <c r="E112" s="2">
        <v>0</v>
      </c>
      <c r="F112" s="4">
        <v>0</v>
      </c>
      <c r="G112" s="11" cm="1">
        <f t="array" aca="1" ref="G112" ca="1">IFERROR(VLOOKUP("*" &amp; B112  &amp; "*" &amp; (MID(CELL("filename",A111),FIND("]",CELL("filename",A111))+1,31)) &amp; "*",CHOOSE({1,2}, Super_CBSA!$B$2:$B$1917, Super_CBSA!$A$2:$A$1917), 2,FALSE), IFERROR(VLOOKUP(B112  &amp; " city",CHOOSE({1,2}, Super_CBSA!$E$2:$E$1917, Super_CBSA!$A$2:$A$1917), 2,FALSE), ""))</f>
        <v>10420</v>
      </c>
    </row>
    <row r="113" spans="1:7" ht="17">
      <c r="A113" s="1" t="s">
        <v>4117</v>
      </c>
      <c r="B113" s="2" t="s">
        <v>4118</v>
      </c>
      <c r="C113" s="2">
        <v>168</v>
      </c>
      <c r="D113" s="3">
        <v>9194</v>
      </c>
      <c r="E113" s="3">
        <v>35550</v>
      </c>
      <c r="F113" s="4">
        <v>857805</v>
      </c>
      <c r="G113" s="11" t="str" cm="1">
        <f t="array" aca="1" ref="G113" ca="1">IFERROR(VLOOKUP("*" &amp; B113  &amp; "*" &amp; (MID(CELL("filename",A112),FIND("]",CELL("filename",A112))+1,31)) &amp; "*",CHOOSE({1,2}, Super_CBSA!$B$2:$B$1917, Super_CBSA!$A$2:$A$1917), 2,FALSE), IFERROR(VLOOKUP(B113  &amp; " city",CHOOSE({1,2}, Super_CBSA!$E$2:$E$1917, Super_CBSA!$A$2:$A$1917), 2,FALSE), ""))</f>
        <v/>
      </c>
    </row>
    <row r="114" spans="1:7" ht="17">
      <c r="A114" s="1" t="s">
        <v>4119</v>
      </c>
      <c r="B114" s="2" t="s">
        <v>3455</v>
      </c>
      <c r="C114" s="2">
        <v>50</v>
      </c>
      <c r="D114" s="3">
        <v>1427</v>
      </c>
      <c r="E114" s="3">
        <v>4911</v>
      </c>
      <c r="F114" s="4">
        <v>147399</v>
      </c>
      <c r="G114" s="11" t="str" cm="1">
        <f t="array" aca="1" ref="G114" ca="1">IFERROR(VLOOKUP("*" &amp; B114  &amp; "*" &amp; (MID(CELL("filename",A113),FIND("]",CELL("filename",A113))+1,31)) &amp; "*",CHOOSE({1,2}, Super_CBSA!$B$2:$B$1917, Super_CBSA!$A$2:$A$1917), 2,FALSE), IFERROR(VLOOKUP(B114  &amp; " city",CHOOSE({1,2}, Super_CBSA!$E$2:$E$1917, Super_CBSA!$A$2:$A$1917), 2,FALSE), ""))</f>
        <v/>
      </c>
    </row>
    <row r="115" spans="1:7" ht="17">
      <c r="A115" s="1" t="s">
        <v>4120</v>
      </c>
      <c r="B115" s="2" t="s">
        <v>3967</v>
      </c>
      <c r="C115" s="2">
        <v>538</v>
      </c>
      <c r="D115" s="3">
        <v>22185</v>
      </c>
      <c r="E115" s="3">
        <v>99702</v>
      </c>
      <c r="F115" s="4">
        <v>2782272</v>
      </c>
      <c r="G115" s="11" cm="1">
        <f t="array" aca="1" ref="G115" ca="1">IFERROR(VLOOKUP("*" &amp; B115  &amp; "*" &amp; (MID(CELL("filename",A114),FIND("]",CELL("filename",A114))+1,31)) &amp; "*",CHOOSE({1,2}, Super_CBSA!$B$2:$B$1917, Super_CBSA!$A$2:$A$1917), 2,FALSE), IFERROR(VLOOKUP(B115  &amp; " city",CHOOSE({1,2}, Super_CBSA!$E$2:$E$1917, Super_CBSA!$A$2:$A$1917), 2,FALSE), ""))</f>
        <v>17140</v>
      </c>
    </row>
    <row r="116" spans="1:7" ht="17">
      <c r="A116" s="1" t="s">
        <v>4121</v>
      </c>
      <c r="B116" s="2" t="s">
        <v>3130</v>
      </c>
      <c r="C116" s="3">
        <v>1285</v>
      </c>
      <c r="D116" s="3">
        <v>51373</v>
      </c>
      <c r="E116" s="3">
        <v>371194</v>
      </c>
      <c r="F116" s="4">
        <v>17017369</v>
      </c>
      <c r="G116" s="11" cm="1">
        <f t="array" aca="1" ref="G116" ca="1">IFERROR(VLOOKUP("*" &amp; B116  &amp; "*" &amp; (MID(CELL("filename",A115),FIND("]",CELL("filename",A115))+1,31)) &amp; "*",CHOOSE({1,2}, Super_CBSA!$B$2:$B$1917, Super_CBSA!$A$2:$A$1917), 2,FALSE), IFERROR(VLOOKUP(B116  &amp; " city",CHOOSE({1,2}, Super_CBSA!$E$2:$E$1917, Super_CBSA!$A$2:$A$1917), 2,FALSE), ""))</f>
        <v>17460</v>
      </c>
    </row>
    <row r="117" spans="1:7" ht="17">
      <c r="A117" s="1" t="s">
        <v>4122</v>
      </c>
      <c r="B117" s="2" t="s">
        <v>3967</v>
      </c>
      <c r="C117" s="2">
        <v>186</v>
      </c>
      <c r="D117" s="3">
        <v>12170</v>
      </c>
      <c r="E117" s="3">
        <v>49718</v>
      </c>
      <c r="F117" s="4">
        <v>1126968</v>
      </c>
      <c r="G117" s="11" cm="1">
        <f t="array" aca="1" ref="G117" ca="1">IFERROR(VLOOKUP("*" &amp; B117  &amp; "*" &amp; (MID(CELL("filename",A116),FIND("]",CELL("filename",A116))+1,31)) &amp; "*",CHOOSE({1,2}, Super_CBSA!$B$2:$B$1917, Super_CBSA!$A$2:$A$1917), 2,FALSE), IFERROR(VLOOKUP(B117  &amp; " city",CHOOSE({1,2}, Super_CBSA!$E$2:$E$1917, Super_CBSA!$A$2:$A$1917), 2,FALSE), ""))</f>
        <v>17140</v>
      </c>
    </row>
    <row r="118" spans="1:7" ht="17">
      <c r="A118" s="1" t="s">
        <v>4123</v>
      </c>
      <c r="B118" s="2" t="s">
        <v>4068</v>
      </c>
      <c r="C118" s="2">
        <v>24</v>
      </c>
      <c r="D118" s="3">
        <v>1083</v>
      </c>
      <c r="E118" s="3">
        <v>2285</v>
      </c>
      <c r="F118" s="4">
        <v>306569</v>
      </c>
      <c r="G118" s="11" cm="1">
        <f t="array" aca="1" ref="G118" ca="1">IFERROR(VLOOKUP("*" &amp; B118  &amp; "*" &amp; (MID(CELL("filename",A117),FIND("]",CELL("filename",A117))+1,31)) &amp; "*",CHOOSE({1,2}, Super_CBSA!$B$2:$B$1917, Super_CBSA!$A$2:$A$1917), 2,FALSE), IFERROR(VLOOKUP(B118  &amp; " city",CHOOSE({1,2}, Super_CBSA!$E$2:$E$1917, Super_CBSA!$A$2:$A$1917), 2,FALSE), ""))</f>
        <v>49660</v>
      </c>
    </row>
    <row r="119" spans="1:7" ht="17">
      <c r="A119" s="1" t="s">
        <v>4124</v>
      </c>
      <c r="B119" s="2" t="s">
        <v>4051</v>
      </c>
      <c r="C119" s="2">
        <v>246</v>
      </c>
      <c r="D119" s="3">
        <v>10533</v>
      </c>
      <c r="E119" s="3">
        <v>44438</v>
      </c>
      <c r="F119" s="4">
        <v>1239479</v>
      </c>
      <c r="G119" s="11" cm="1">
        <f t="array" aca="1" ref="G119" ca="1">IFERROR(VLOOKUP("*" &amp; B119  &amp; "*" &amp; (MID(CELL("filename",A118),FIND("]",CELL("filename",A118))+1,31)) &amp; "*",CHOOSE({1,2}, Super_CBSA!$B$2:$B$1917, Super_CBSA!$A$2:$A$1917), 2,FALSE), IFERROR(VLOOKUP(B119  &amp; " city",CHOOSE({1,2}, Super_CBSA!$E$2:$E$1917, Super_CBSA!$A$2:$A$1917), 2,FALSE), ""))</f>
        <v>45780</v>
      </c>
    </row>
    <row r="120" spans="1:7" ht="17">
      <c r="A120" s="1" t="s">
        <v>4125</v>
      </c>
      <c r="B120" s="2" t="s">
        <v>4126</v>
      </c>
      <c r="C120" s="2">
        <v>50</v>
      </c>
      <c r="D120" s="3">
        <v>1519</v>
      </c>
      <c r="E120" s="3">
        <v>3340</v>
      </c>
      <c r="F120" s="4">
        <v>23299</v>
      </c>
      <c r="G120" s="11" t="str" cm="1">
        <f t="array" aca="1" ref="G120" ca="1">IFERROR(VLOOKUP("*" &amp; B120  &amp; "*" &amp; (MID(CELL("filename",A119),FIND("]",CELL("filename",A119))+1,31)) &amp; "*",CHOOSE({1,2}, Super_CBSA!$B$2:$B$1917, Super_CBSA!$A$2:$A$1917), 2,FALSE), IFERROR(VLOOKUP(B120  &amp; " city",CHOOSE({1,2}, Super_CBSA!$E$2:$E$1917, Super_CBSA!$A$2:$A$1917), 2,FALSE), ""))</f>
        <v/>
      </c>
    </row>
    <row r="121" spans="1:7" ht="17">
      <c r="A121" s="1" t="s">
        <v>4127</v>
      </c>
      <c r="B121" s="2" t="s">
        <v>4128</v>
      </c>
      <c r="C121" s="2">
        <v>8</v>
      </c>
      <c r="D121" s="2">
        <v>74</v>
      </c>
      <c r="E121" s="2">
        <v>75</v>
      </c>
      <c r="F121" s="4">
        <v>45003</v>
      </c>
      <c r="G121" s="11" t="str" cm="1">
        <f t="array" aca="1" ref="G121" ca="1">IFERROR(VLOOKUP("*" &amp; B121  &amp; "*" &amp; (MID(CELL("filename",A120),FIND("]",CELL("filename",A120))+1,31)) &amp; "*",CHOOSE({1,2}, Super_CBSA!$B$2:$B$1917, Super_CBSA!$A$2:$A$1917), 2,FALSE), IFERROR(VLOOKUP(B121  &amp; " city",CHOOSE({1,2}, Super_CBSA!$E$2:$E$1917, Super_CBSA!$A$2:$A$1917), 2,FALSE), ""))</f>
        <v/>
      </c>
    </row>
    <row r="122" spans="1:7" ht="17">
      <c r="A122" s="1" t="s">
        <v>4129</v>
      </c>
      <c r="B122" s="2" t="s">
        <v>4130</v>
      </c>
      <c r="C122" s="2">
        <v>29</v>
      </c>
      <c r="D122" s="2">
        <v>650</v>
      </c>
      <c r="E122" s="2">
        <v>737</v>
      </c>
      <c r="F122" s="4">
        <v>213517</v>
      </c>
      <c r="G122" s="11" t="str" cm="1">
        <f t="array" aca="1" ref="G122" ca="1">IFERROR(VLOOKUP("*" &amp; B122  &amp; "*" &amp; (MID(CELL("filename",A121),FIND("]",CELL("filename",A121))+1,31)) &amp; "*",CHOOSE({1,2}, Super_CBSA!$B$2:$B$1917, Super_CBSA!$A$2:$A$1917), 2,FALSE), IFERROR(VLOOKUP(B122  &amp; " city",CHOOSE({1,2}, Super_CBSA!$E$2:$E$1917, Super_CBSA!$A$2:$A$1917), 2,FALSE), ""))</f>
        <v/>
      </c>
    </row>
    <row r="123" spans="1:7" ht="17">
      <c r="A123" s="1" t="s">
        <v>4131</v>
      </c>
      <c r="B123" s="2" t="s">
        <v>4132</v>
      </c>
      <c r="C123" s="2">
        <v>261</v>
      </c>
      <c r="D123" s="3">
        <v>7479</v>
      </c>
      <c r="E123" s="3">
        <v>31194</v>
      </c>
      <c r="F123" s="4">
        <v>719726</v>
      </c>
      <c r="G123" s="11" cm="1">
        <f t="array" aca="1" ref="G123" ca="1">IFERROR(VLOOKUP("*" &amp; B123  &amp; "*" &amp; (MID(CELL("filename",A122),FIND("]",CELL("filename",A122))+1,31)) &amp; "*",CHOOSE({1,2}, Super_CBSA!$B$2:$B$1917, Super_CBSA!$A$2:$A$1917), 2,FALSE), IFERROR(VLOOKUP(B123  &amp; " city",CHOOSE({1,2}, Super_CBSA!$E$2:$E$1917, Super_CBSA!$A$2:$A$1917), 2,FALSE), ""))</f>
        <v>48260</v>
      </c>
    </row>
    <row r="124" spans="1:7" ht="17">
      <c r="A124" s="1" t="s">
        <v>4133</v>
      </c>
      <c r="B124" s="2" t="s">
        <v>4132</v>
      </c>
      <c r="C124" s="2">
        <v>0</v>
      </c>
      <c r="D124" s="2">
        <v>0</v>
      </c>
      <c r="E124" s="2">
        <v>0</v>
      </c>
      <c r="F124" s="4">
        <v>0</v>
      </c>
      <c r="G124" s="11" cm="1">
        <f t="array" aca="1" ref="G124" ca="1">IFERROR(VLOOKUP("*" &amp; B124  &amp; "*" &amp; (MID(CELL("filename",A123),FIND("]",CELL("filename",A123))+1,31)) &amp; "*",CHOOSE({1,2}, Super_CBSA!$B$2:$B$1917, Super_CBSA!$A$2:$A$1917), 2,FALSE), IFERROR(VLOOKUP(B124  &amp; " city",CHOOSE({1,2}, Super_CBSA!$E$2:$E$1917, Super_CBSA!$A$2:$A$1917), 2,FALSE), ""))</f>
        <v>48260</v>
      </c>
    </row>
    <row r="125" spans="1:7" ht="17">
      <c r="A125" s="1" t="s">
        <v>4134</v>
      </c>
      <c r="B125" s="2" t="s">
        <v>539</v>
      </c>
      <c r="C125" s="2">
        <v>344</v>
      </c>
      <c r="D125" s="3">
        <v>14972</v>
      </c>
      <c r="E125" s="3">
        <v>60147</v>
      </c>
      <c r="F125" s="4">
        <v>1419150</v>
      </c>
      <c r="G125" s="11" t="str" cm="1">
        <f t="array" aca="1" ref="G125" ca="1">IFERROR(VLOOKUP("*" &amp; B125  &amp; "*" &amp; (MID(CELL("filename",A124),FIND("]",CELL("filename",A124))+1,31)) &amp; "*",CHOOSE({1,2}, Super_CBSA!$B$2:$B$1917, Super_CBSA!$A$2:$A$1917), 2,FALSE), IFERROR(VLOOKUP(B125  &amp; " city",CHOOSE({1,2}, Super_CBSA!$E$2:$E$1917, Super_CBSA!$A$2:$A$1917), 2,FALSE), ""))</f>
        <v/>
      </c>
    </row>
    <row r="126" spans="1:7" ht="17">
      <c r="A126" s="1" t="s">
        <v>4135</v>
      </c>
      <c r="B126" s="2" t="s">
        <v>224</v>
      </c>
      <c r="C126" s="2">
        <v>0</v>
      </c>
      <c r="D126" s="2">
        <v>0</v>
      </c>
      <c r="E126" s="2">
        <v>0</v>
      </c>
      <c r="F126" s="4">
        <v>0</v>
      </c>
      <c r="G126" s="11" t="str" cm="1">
        <f t="array" aca="1" ref="G126" ca="1">IFERROR(VLOOKUP("*" &amp; B126  &amp; "*" &amp; (MID(CELL("filename",A125),FIND("]",CELL("filename",A125))+1,31)) &amp; "*",CHOOSE({1,2}, Super_CBSA!$B$2:$B$1917, Super_CBSA!$A$2:$A$1917), 2,FALSE), IFERROR(VLOOKUP(B126  &amp; " city",CHOOSE({1,2}, Super_CBSA!$E$2:$E$1917, Super_CBSA!$A$2:$A$1917), 2,FALSE), ""))</f>
        <v/>
      </c>
    </row>
    <row r="127" spans="1:7" ht="17">
      <c r="A127" s="1" t="s">
        <v>4136</v>
      </c>
      <c r="B127" s="2" t="s">
        <v>2745</v>
      </c>
      <c r="C127" s="2">
        <v>219</v>
      </c>
      <c r="D127" s="3">
        <v>7946</v>
      </c>
      <c r="E127" s="3">
        <v>37529</v>
      </c>
      <c r="F127" s="4">
        <v>875965</v>
      </c>
      <c r="G127" s="11" cm="1">
        <f t="array" aca="1" ref="G127" ca="1">IFERROR(VLOOKUP("*" &amp; B127  &amp; "*" &amp; (MID(CELL("filename",A126),FIND("]",CELL("filename",A126))+1,31)) &amp; "*",CHOOSE({1,2}, Super_CBSA!$B$2:$B$1917, Super_CBSA!$A$2:$A$1917), 2,FALSE), IFERROR(VLOOKUP(B127  &amp; " city",CHOOSE({1,2}, Super_CBSA!$E$2:$E$1917, Super_CBSA!$A$2:$A$1917), 2,FALSE), ""))</f>
        <v>49660</v>
      </c>
    </row>
    <row r="128" spans="1:7" ht="17">
      <c r="A128" s="1" t="s">
        <v>4137</v>
      </c>
      <c r="B128" s="2" t="s">
        <v>3980</v>
      </c>
      <c r="C128" s="2">
        <v>137</v>
      </c>
      <c r="D128" s="3">
        <v>8709</v>
      </c>
      <c r="E128" s="3">
        <v>34069</v>
      </c>
      <c r="F128" s="4">
        <v>821732</v>
      </c>
      <c r="G128" s="11" t="str" cm="1">
        <f t="array" aca="1" ref="G128" ca="1">IFERROR(VLOOKUP("*" &amp; B128  &amp; "*" &amp; (MID(CELL("filename",A127),FIND("]",CELL("filename",A127))+1,31)) &amp; "*",CHOOSE({1,2}, Super_CBSA!$B$2:$B$1917, Super_CBSA!$A$2:$A$1917), 2,FALSE), IFERROR(VLOOKUP(B128  &amp; " city",CHOOSE({1,2}, Super_CBSA!$E$2:$E$1917, Super_CBSA!$A$2:$A$1917), 2,FALSE), ""))</f>
        <v/>
      </c>
    </row>
    <row r="129" spans="1:7" ht="17">
      <c r="A129" s="1" t="s">
        <v>4138</v>
      </c>
      <c r="B129" s="2" t="s">
        <v>2557</v>
      </c>
      <c r="C129" s="2">
        <v>77</v>
      </c>
      <c r="D129" s="3">
        <v>3489</v>
      </c>
      <c r="E129" s="3">
        <v>15740</v>
      </c>
      <c r="F129" s="4">
        <v>175886</v>
      </c>
      <c r="G129" s="11" t="str" cm="1">
        <f t="array" aca="1" ref="G129" ca="1">IFERROR(VLOOKUP("*" &amp; B129  &amp; "*" &amp; (MID(CELL("filename",A128),FIND("]",CELL("filename",A128))+1,31)) &amp; "*",CHOOSE({1,2}, Super_CBSA!$B$2:$B$1917, Super_CBSA!$A$2:$A$1917), 2,FALSE), IFERROR(VLOOKUP(B129  &amp; " city",CHOOSE({1,2}, Super_CBSA!$E$2:$E$1917, Super_CBSA!$A$2:$A$1917), 2,FALSE), ""))</f>
        <v/>
      </c>
    </row>
    <row r="130" spans="1:7" ht="17">
      <c r="A130" s="1" t="s">
        <v>4139</v>
      </c>
      <c r="B130" s="2" t="s">
        <v>3130</v>
      </c>
      <c r="C130" s="2">
        <v>691</v>
      </c>
      <c r="D130" s="3">
        <v>30066</v>
      </c>
      <c r="E130" s="3">
        <v>167492</v>
      </c>
      <c r="F130" s="4">
        <v>5844468</v>
      </c>
      <c r="G130" s="11" cm="1">
        <f t="array" aca="1" ref="G130" ca="1">IFERROR(VLOOKUP("*" &amp; B130  &amp; "*" &amp; (MID(CELL("filename",A129),FIND("]",CELL("filename",A129))+1,31)) &amp; "*",CHOOSE({1,2}, Super_CBSA!$B$2:$B$1917, Super_CBSA!$A$2:$A$1917), 2,FALSE), IFERROR(VLOOKUP(B130  &amp; " city",CHOOSE({1,2}, Super_CBSA!$E$2:$E$1917, Super_CBSA!$A$2:$A$1917), 2,FALSE), ""))</f>
        <v>17460</v>
      </c>
    </row>
    <row r="131" spans="1:7" ht="17">
      <c r="A131" s="1" t="s">
        <v>4140</v>
      </c>
      <c r="B131" s="2" t="s">
        <v>4141</v>
      </c>
      <c r="C131" s="2">
        <v>206</v>
      </c>
      <c r="D131" s="3">
        <v>9793</v>
      </c>
      <c r="E131" s="3">
        <v>40654</v>
      </c>
      <c r="F131" s="4">
        <v>792212</v>
      </c>
      <c r="G131" s="11" cm="1">
        <f t="array" aca="1" ref="G131" ca="1">IFERROR(VLOOKUP("*" &amp; B131  &amp; "*" &amp; (MID(CELL("filename",A130),FIND("]",CELL("filename",A130))+1,31)) &amp; "*",CHOOSE({1,2}, Super_CBSA!$B$2:$B$1917, Super_CBSA!$A$2:$A$1917), 2,FALSE), IFERROR(VLOOKUP(B131  &amp; " city",CHOOSE({1,2}, Super_CBSA!$E$2:$E$1917, Super_CBSA!$A$2:$A$1917), 2,FALSE), ""))</f>
        <v>17460</v>
      </c>
    </row>
    <row r="132" spans="1:7" ht="17">
      <c r="A132" s="1" t="s">
        <v>4142</v>
      </c>
      <c r="B132" s="2" t="s">
        <v>4143</v>
      </c>
      <c r="C132" s="2">
        <v>142</v>
      </c>
      <c r="D132" s="3">
        <v>7102</v>
      </c>
      <c r="E132" s="3">
        <v>26572</v>
      </c>
      <c r="F132" s="4">
        <v>700782</v>
      </c>
      <c r="G132" s="11" t="str" cm="1">
        <f t="array" aca="1" ref="G132" ca="1">IFERROR(VLOOKUP("*" &amp; B132  &amp; "*" &amp; (MID(CELL("filename",A131),FIND("]",CELL("filename",A131))+1,31)) &amp; "*",CHOOSE({1,2}, Super_CBSA!$B$2:$B$1917, Super_CBSA!$A$2:$A$1917), 2,FALSE), IFERROR(VLOOKUP(B132  &amp; " city",CHOOSE({1,2}, Super_CBSA!$E$2:$E$1917, Super_CBSA!$A$2:$A$1917), 2,FALSE), ""))</f>
        <v/>
      </c>
    </row>
    <row r="133" spans="1:7" ht="17">
      <c r="A133" s="1" t="s">
        <v>4144</v>
      </c>
      <c r="B133" s="2" t="s">
        <v>4145</v>
      </c>
      <c r="C133" s="2">
        <v>273</v>
      </c>
      <c r="D133" s="3">
        <v>9006</v>
      </c>
      <c r="E133" s="3">
        <v>35194</v>
      </c>
      <c r="F133" s="4">
        <v>677451</v>
      </c>
      <c r="G133" s="11" t="str" cm="1">
        <f t="array" aca="1" ref="G133" ca="1">IFERROR(VLOOKUP("*" &amp; B133  &amp; "*" &amp; (MID(CELL("filename",A132),FIND("]",CELL("filename",A132))+1,31)) &amp; "*",CHOOSE({1,2}, Super_CBSA!$B$2:$B$1917, Super_CBSA!$A$2:$A$1917), 2,FALSE), IFERROR(VLOOKUP(B133  &amp; " city",CHOOSE({1,2}, Super_CBSA!$E$2:$E$1917, Super_CBSA!$A$2:$A$1917), 2,FALSE), ""))</f>
        <v/>
      </c>
    </row>
    <row r="134" spans="1:7" ht="17">
      <c r="A134" s="1" t="s">
        <v>4146</v>
      </c>
      <c r="B134" s="2" t="s">
        <v>4147</v>
      </c>
      <c r="C134" s="2">
        <v>191</v>
      </c>
      <c r="D134" s="3">
        <v>6915</v>
      </c>
      <c r="E134" s="3">
        <v>28626</v>
      </c>
      <c r="F134" s="4">
        <v>667067</v>
      </c>
      <c r="G134" s="11" t="str" cm="1">
        <f t="array" aca="1" ref="G134" ca="1">IFERROR(VLOOKUP("*" &amp; B134  &amp; "*" &amp; (MID(CELL("filename",A133),FIND("]",CELL("filename",A133))+1,31)) &amp; "*",CHOOSE({1,2}, Super_CBSA!$B$2:$B$1917, Super_CBSA!$A$2:$A$1917), 2,FALSE), IFERROR(VLOOKUP(B134  &amp; " city",CHOOSE({1,2}, Super_CBSA!$E$2:$E$1917, Super_CBSA!$A$2:$A$1917), 2,FALSE), ""))</f>
        <v/>
      </c>
    </row>
    <row r="135" spans="1:7" ht="17">
      <c r="A135" s="1" t="s">
        <v>4148</v>
      </c>
      <c r="B135" s="2" t="s">
        <v>4149</v>
      </c>
      <c r="C135" s="2">
        <v>101</v>
      </c>
      <c r="D135" s="3">
        <v>4533</v>
      </c>
      <c r="E135" s="3">
        <v>17012</v>
      </c>
      <c r="F135" s="4">
        <v>414566</v>
      </c>
      <c r="G135" s="11" t="str" cm="1">
        <f t="array" aca="1" ref="G135" ca="1">IFERROR(VLOOKUP("*" &amp; B135  &amp; "*" &amp; (MID(CELL("filename",A134),FIND("]",CELL("filename",A134))+1,31)) &amp; "*",CHOOSE({1,2}, Super_CBSA!$B$2:$B$1917, Super_CBSA!$A$2:$A$1917), 2,FALSE), IFERROR(VLOOKUP(B135  &amp; " city",CHOOSE({1,2}, Super_CBSA!$E$2:$E$1917, Super_CBSA!$A$2:$A$1917), 2,FALSE), ""))</f>
        <v/>
      </c>
    </row>
    <row r="136" spans="1:7" ht="17">
      <c r="A136" s="1" t="s">
        <v>4150</v>
      </c>
      <c r="B136" s="2" t="s">
        <v>4151</v>
      </c>
      <c r="C136" s="2">
        <v>170</v>
      </c>
      <c r="D136" s="3">
        <v>9356</v>
      </c>
      <c r="E136" s="3">
        <v>31640</v>
      </c>
      <c r="F136" s="4">
        <v>618451</v>
      </c>
      <c r="G136" s="11" t="str" cm="1">
        <f t="array" aca="1" ref="G136" ca="1">IFERROR(VLOOKUP("*" &amp; B136  &amp; "*" &amp; (MID(CELL("filename",A135),FIND("]",CELL("filename",A135))+1,31)) &amp; "*",CHOOSE({1,2}, Super_CBSA!$B$2:$B$1917, Super_CBSA!$A$2:$A$1917), 2,FALSE), IFERROR(VLOOKUP(B136  &amp; " city",CHOOSE({1,2}, Super_CBSA!$E$2:$E$1917, Super_CBSA!$A$2:$A$1917), 2,FALSE), ""))</f>
        <v/>
      </c>
    </row>
    <row r="137" spans="1:7" ht="17">
      <c r="A137" s="1" t="s">
        <v>4152</v>
      </c>
      <c r="B137" s="2" t="s">
        <v>104</v>
      </c>
      <c r="C137" s="2">
        <v>39</v>
      </c>
      <c r="D137" s="3">
        <v>2448</v>
      </c>
      <c r="E137" s="3">
        <v>8132</v>
      </c>
      <c r="F137" s="4">
        <v>184764</v>
      </c>
      <c r="G137" s="11" cm="1">
        <f t="array" aca="1" ref="G137" ca="1">IFERROR(VLOOKUP("*" &amp; B137  &amp; "*" &amp; (MID(CELL("filename",A136),FIND("]",CELL("filename",A136))+1,31)) &amp; "*",CHOOSE({1,2}, Super_CBSA!$B$2:$B$1917, Super_CBSA!$A$2:$A$1917), 2,FALSE), IFERROR(VLOOKUP(B137  &amp; " city",CHOOSE({1,2}, Super_CBSA!$E$2:$E$1917, Super_CBSA!$A$2:$A$1917), 2,FALSE), ""))</f>
        <v>11740</v>
      </c>
    </row>
    <row r="138" spans="1:7" ht="17">
      <c r="A138" s="1" t="s">
        <v>4153</v>
      </c>
      <c r="B138" s="2" t="s">
        <v>3967</v>
      </c>
      <c r="C138" s="2">
        <v>555</v>
      </c>
      <c r="D138" s="3">
        <v>24131</v>
      </c>
      <c r="E138" s="3">
        <v>151997</v>
      </c>
      <c r="F138" s="4">
        <v>4163333</v>
      </c>
      <c r="G138" s="11" cm="1">
        <f t="array" aca="1" ref="G138" ca="1">IFERROR(VLOOKUP("*" &amp; B138  &amp; "*" &amp; (MID(CELL("filename",A137),FIND("]",CELL("filename",A137))+1,31)) &amp; "*",CHOOSE({1,2}, Super_CBSA!$B$2:$B$1917, Super_CBSA!$A$2:$A$1917), 2,FALSE), IFERROR(VLOOKUP(B138  &amp; " city",CHOOSE({1,2}, Super_CBSA!$E$2:$E$1917, Super_CBSA!$A$2:$A$1917), 2,FALSE), ""))</f>
        <v>17140</v>
      </c>
    </row>
    <row r="139" spans="1:7" ht="17">
      <c r="A139" s="1" t="s">
        <v>4154</v>
      </c>
      <c r="B139" s="2" t="s">
        <v>224</v>
      </c>
      <c r="C139" s="2">
        <v>151</v>
      </c>
      <c r="D139" s="3">
        <v>5267</v>
      </c>
      <c r="E139" s="3">
        <v>19261</v>
      </c>
      <c r="F139" s="4">
        <v>580246</v>
      </c>
      <c r="G139" s="11" t="str" cm="1">
        <f t="array" aca="1" ref="G139" ca="1">IFERROR(VLOOKUP("*" &amp; B139  &amp; "*" &amp; (MID(CELL("filename",A138),FIND("]",CELL("filename",A138))+1,31)) &amp; "*",CHOOSE({1,2}, Super_CBSA!$B$2:$B$1917, Super_CBSA!$A$2:$A$1917), 2,FALSE), IFERROR(VLOOKUP(B139  &amp; " city",CHOOSE({1,2}, Super_CBSA!$E$2:$E$1917, Super_CBSA!$A$2:$A$1917), 2,FALSE), ""))</f>
        <v/>
      </c>
    </row>
    <row r="140" spans="1:7" ht="17">
      <c r="A140" s="1" t="s">
        <v>4155</v>
      </c>
      <c r="B140" s="2" t="s">
        <v>4156</v>
      </c>
      <c r="C140" s="2">
        <v>61</v>
      </c>
      <c r="D140" s="3">
        <v>1023</v>
      </c>
      <c r="E140" s="3">
        <v>2893</v>
      </c>
      <c r="F140" s="4">
        <v>91545</v>
      </c>
      <c r="G140" s="11" cm="1">
        <f t="array" aca="1" ref="G140" ca="1">IFERROR(VLOOKUP("*" &amp; B140  &amp; "*" &amp; (MID(CELL("filename",A139),FIND("]",CELL("filename",A139))+1,31)) &amp; "*",CHOOSE({1,2}, Super_CBSA!$B$2:$B$1917, Super_CBSA!$A$2:$A$1917), 2,FALSE), IFERROR(VLOOKUP(B140  &amp; " city",CHOOSE({1,2}, Super_CBSA!$E$2:$E$1917, Super_CBSA!$A$2:$A$1917), 2,FALSE), ""))</f>
        <v>46780</v>
      </c>
    </row>
    <row r="141" spans="1:7" ht="17">
      <c r="A141" s="1" t="s">
        <v>4157</v>
      </c>
      <c r="B141" s="2" t="s">
        <v>200</v>
      </c>
      <c r="C141" s="2">
        <v>52</v>
      </c>
      <c r="D141" s="3">
        <v>1834</v>
      </c>
      <c r="E141" s="3">
        <v>4495</v>
      </c>
      <c r="F141" s="4">
        <v>153433</v>
      </c>
      <c r="G141" s="11" cm="1">
        <f t="array" aca="1" ref="G141" ca="1">IFERROR(VLOOKUP("*" &amp; B141  &amp; "*" &amp; (MID(CELL("filename",A140),FIND("]",CELL("filename",A140))+1,31)) &amp; "*",CHOOSE({1,2}, Super_CBSA!$B$2:$B$1917, Super_CBSA!$A$2:$A$1917), 2,FALSE), IFERROR(VLOOKUP(B141  &amp; " city",CHOOSE({1,2}, Super_CBSA!$E$2:$E$1917, Super_CBSA!$A$2:$A$1917), 2,FALSE), ""))</f>
        <v>24820</v>
      </c>
    </row>
    <row r="142" spans="1:7" ht="17">
      <c r="A142" s="1" t="s">
        <v>4158</v>
      </c>
      <c r="B142" s="2" t="s">
        <v>4159</v>
      </c>
      <c r="C142" s="2">
        <v>153</v>
      </c>
      <c r="D142" s="3">
        <v>9128</v>
      </c>
      <c r="E142" s="3">
        <v>36758</v>
      </c>
      <c r="F142" s="4">
        <v>1214146</v>
      </c>
      <c r="G142" s="11" t="str" cm="1">
        <f t="array" aca="1" ref="G142" ca="1">IFERROR(VLOOKUP("*" &amp; B142  &amp; "*" &amp; (MID(CELL("filename",A141),FIND("]",CELL("filename",A141))+1,31)) &amp; "*",CHOOSE({1,2}, Super_CBSA!$B$2:$B$1917, Super_CBSA!$A$2:$A$1917), 2,FALSE), IFERROR(VLOOKUP(B142  &amp; " city",CHOOSE({1,2}, Super_CBSA!$E$2:$E$1917, Super_CBSA!$A$2:$A$1917), 2,FALSE), ""))</f>
        <v/>
      </c>
    </row>
    <row r="143" spans="1:7" ht="17">
      <c r="A143" s="1" t="s">
        <v>4160</v>
      </c>
      <c r="B143" s="2" t="s">
        <v>4161</v>
      </c>
      <c r="C143" s="2">
        <v>0</v>
      </c>
      <c r="D143" s="2">
        <v>0</v>
      </c>
      <c r="E143" s="2">
        <v>0</v>
      </c>
      <c r="F143" s="4">
        <v>0</v>
      </c>
      <c r="G143" s="11" t="str" cm="1">
        <f t="array" aca="1" ref="G143" ca="1">IFERROR(VLOOKUP("*" &amp; B143  &amp; "*" &amp; (MID(CELL("filename",A142),FIND("]",CELL("filename",A142))+1,31)) &amp; "*",CHOOSE({1,2}, Super_CBSA!$B$2:$B$1917, Super_CBSA!$A$2:$A$1917), 2,FALSE), IFERROR(VLOOKUP(B143  &amp; " city",CHOOSE({1,2}, Super_CBSA!$E$2:$E$1917, Super_CBSA!$A$2:$A$1917), 2,FALSE), ""))</f>
        <v/>
      </c>
    </row>
    <row r="144" spans="1:7" ht="17">
      <c r="A144" s="1" t="s">
        <v>4162</v>
      </c>
      <c r="B144" s="2" t="s">
        <v>4163</v>
      </c>
      <c r="C144" s="2">
        <v>83</v>
      </c>
      <c r="D144" s="3">
        <v>3636</v>
      </c>
      <c r="E144" s="3">
        <v>13050</v>
      </c>
      <c r="F144" s="4">
        <v>834107</v>
      </c>
      <c r="G144" s="11" t="str" cm="1">
        <f t="array" aca="1" ref="G144" ca="1">IFERROR(VLOOKUP("*" &amp; B144  &amp; "*" &amp; (MID(CELL("filename",A143),FIND("]",CELL("filename",A143))+1,31)) &amp; "*",CHOOSE({1,2}, Super_CBSA!$B$2:$B$1917, Super_CBSA!$A$2:$A$1917), 2,FALSE), IFERROR(VLOOKUP(B144  &amp; " city",CHOOSE({1,2}, Super_CBSA!$E$2:$E$1917, Super_CBSA!$A$2:$A$1917), 2,FALSE), ""))</f>
        <v/>
      </c>
    </row>
    <row r="145" spans="1:7" ht="17">
      <c r="A145" s="1" t="s">
        <v>4164</v>
      </c>
      <c r="B145" s="2" t="s">
        <v>4165</v>
      </c>
      <c r="C145" s="2">
        <v>71</v>
      </c>
      <c r="D145" s="3">
        <v>2404</v>
      </c>
      <c r="E145" s="3">
        <v>7595</v>
      </c>
      <c r="F145" s="4">
        <v>249537</v>
      </c>
      <c r="G145" s="11" cm="1">
        <f t="array" aca="1" ref="G145" ca="1">IFERROR(VLOOKUP("*" &amp; B145  &amp; "*" &amp; (MID(CELL("filename",A144),FIND("]",CELL("filename",A144))+1,31)) &amp; "*",CHOOSE({1,2}, Super_CBSA!$B$2:$B$1917, Super_CBSA!$A$2:$A$1917), 2,FALSE), IFERROR(VLOOKUP(B145  &amp; " city",CHOOSE({1,2}, Super_CBSA!$E$2:$E$1917, Super_CBSA!$A$2:$A$1917), 2,FALSE), ""))</f>
        <v>43380</v>
      </c>
    </row>
    <row r="146" spans="1:7" ht="17">
      <c r="A146" s="1" t="s">
        <v>4166</v>
      </c>
      <c r="B146" s="2" t="s">
        <v>2344</v>
      </c>
      <c r="C146" s="2">
        <v>103</v>
      </c>
      <c r="D146" s="3">
        <v>2608</v>
      </c>
      <c r="E146" s="3">
        <v>8035</v>
      </c>
      <c r="F146" s="4">
        <v>216735</v>
      </c>
      <c r="G146" s="11" t="str" cm="1">
        <f t="array" aca="1" ref="G146" ca="1">IFERROR(VLOOKUP("*" &amp; B146  &amp; "*" &amp; (MID(CELL("filename",A145),FIND("]",CELL("filename",A145))+1,31)) &amp; "*",CHOOSE({1,2}, Super_CBSA!$B$2:$B$1917, Super_CBSA!$A$2:$A$1917), 2,FALSE), IFERROR(VLOOKUP(B146  &amp; " city",CHOOSE({1,2}, Super_CBSA!$E$2:$E$1917, Super_CBSA!$A$2:$A$1917), 2,FALSE), ""))</f>
        <v/>
      </c>
    </row>
    <row r="147" spans="1:7" ht="17">
      <c r="A147" s="1" t="s">
        <v>4167</v>
      </c>
      <c r="B147" s="2" t="s">
        <v>4168</v>
      </c>
      <c r="C147" s="2">
        <v>136</v>
      </c>
      <c r="D147" s="3">
        <v>5977</v>
      </c>
      <c r="E147" s="3">
        <v>18863</v>
      </c>
      <c r="F147" s="4">
        <v>293444</v>
      </c>
      <c r="G147" s="11" cm="1">
        <f t="array" aca="1" ref="G147" ca="1">IFERROR(VLOOKUP("*" &amp; B147  &amp; "*" &amp; (MID(CELL("filename",A146),FIND("]",CELL("filename",A146))+1,31)) &amp; "*",CHOOSE({1,2}, Super_CBSA!$B$2:$B$1917, Super_CBSA!$A$2:$A$1917), 2,FALSE), IFERROR(VLOOKUP(B147  &amp; " city",CHOOSE({1,2}, Super_CBSA!$E$2:$E$1917, Super_CBSA!$A$2:$A$1917), 2,FALSE), ""))</f>
        <v>49300</v>
      </c>
    </row>
    <row r="148" spans="1:7" ht="17">
      <c r="A148" s="2" t="s">
        <v>56</v>
      </c>
      <c r="B148" s="2"/>
      <c r="C148" s="3">
        <v>27064</v>
      </c>
      <c r="D148" s="3">
        <v>1202710</v>
      </c>
      <c r="E148" s="3">
        <v>5429674</v>
      </c>
      <c r="F148" s="4">
        <v>144742436</v>
      </c>
    </row>
  </sheetData>
  <hyperlinks>
    <hyperlink ref="A2" r:id="rId1" display="https://www.ahd.com/free_profile/360001/_Mercy_Health_-_Anderson_Hospital/Cincinnati/Ohio/" xr:uid="{63B65B98-3770-B840-9887-C92D36944C13}"/>
    <hyperlink ref="A3" r:id="rId2" display="https://www.ahd.com/free_profile/36042F/88th_Medical_Group_-_Wright-Patterson_Air_Force_Base_Medical_Center/Wright-Patterson_AirForce_Base/Ohio/" xr:uid="{69E243AC-6CD9-D447-B0D9-6D3052BA9132}"/>
    <hyperlink ref="A4" r:id="rId3" display="https://www.ahd.com/free_profile/360159/Adena_Regional_Medical_Center_/Chillicothe/Ohio/" xr:uid="{DD51573B-D90F-254D-8201-C470C0245D81}"/>
    <hyperlink ref="A5" r:id="rId4" display="https://www.ahd.com/free_profile/360131/Alliance_Community_Hospital/Alliance/Ohio/" xr:uid="{3B8B8DC8-8EEA-E24B-8D14-74A7800AED0B}"/>
    <hyperlink ref="A6" r:id="rId5" display="https://www.ahd.com/free_profile/360125/Ashtabula_County_Medical_Center/Ashtabula/Ohio/" xr:uid="{84DE17B1-A374-B641-BB42-21322FB7B698}"/>
    <hyperlink ref="A7" r:id="rId6" display="https://www.ahd.com/free_profile/360076/Atrium_Medical_Center/Middletown/Ohio/" xr:uid="{AD63CA9B-8B6C-924C-B331-186C7DFB7885}"/>
    <hyperlink ref="A8" r:id="rId7" display="https://www.ahd.com/free_profile/360084/Aultman_Hospital/Canton/Ohio/" xr:uid="{1B5E43D7-663C-A349-A040-FEF3BC451025}"/>
    <hyperlink ref="A9" r:id="rId8" display="https://www.ahd.com/free_profile/360365/Avita_Ontario_Hospital/Ontario/Ohio/" xr:uid="{44D5F3C5-4BCA-B34C-9EF9-A2D4ED67B9F1}"/>
    <hyperlink ref="A10" r:id="rId9" display="https://www.ahd.com/free_profile/I42308/Beachwood_Medical_Center/Beachwood/Ohio/" xr:uid="{EA3881B8-3B79-4244-AAD5-24A034CB1505}"/>
    <hyperlink ref="A11" r:id="rId10" display="https://www.ahd.com/free_profile/360170/Berger_Hospital/Circleville/Ohio/" xr:uid="{8A981F6B-78D6-5F4D-98FE-7341A9106C1D}"/>
    <hyperlink ref="A12" r:id="rId11" display="https://www.ahd.com/free_profile/360269/Bethesda_Butler_Hospital/Hamilton/Ohio/" xr:uid="{E7C2D798-82B8-6A45-9858-4CDD0F3AA5E4}"/>
    <hyperlink ref="A13" r:id="rId12" display="https://www.ahd.com/free_profile/360179/Bethesda_North_Hospital/Cincinnati/Ohio/" xr:uid="{E6687DD4-55AC-9442-B4F5-712974F72743}"/>
    <hyperlink ref="A14" r:id="rId13" display="https://www.ahd.com/free_profile/360095/Blanchard_Valley_Hospital/Findlay/Ohio/" xr:uid="{31FB9C99-B22C-1F42-8E48-F33E22E66629}"/>
    <hyperlink ref="A15" r:id="rId14" display="https://www.ahd.com/free_profile/360121/Bryan_Hospital/Bryan/Ohio/" xr:uid="{DFB589BB-ADBB-3943-AE5D-57C0E1D7982B}"/>
    <hyperlink ref="A16" r:id="rId15" display="https://www.ahd.com/free_profile/36008F/Chillicothe_VA_Medical_Center/Chillicothe/Ohio/" xr:uid="{59F010A1-7B93-2243-AB3B-D6F34A343081}"/>
    <hyperlink ref="A17" r:id="rId16" display="https://www.ahd.com/free_profile/36003F/Cincinnati_VA_Medical_Center/Cincinnati/Ohio/" xr:uid="{F329692C-9DDE-514F-9043-82332117CFD0}"/>
    <hyperlink ref="A18" r:id="rId17" display="https://www.ahd.com/free_profile/360027/Cleveland_Clinic_Akron_General/Akron/Ohio/" xr:uid="{530D087E-B90C-6C4A-8BCC-0BAC7F1A00A5}"/>
    <hyperlink ref="A19" r:id="rId18" display="https://www.ahd.com/free_profile/360364/Cleveland_Clinic_Avon_Hospital/Avon/Ohio/" xr:uid="{613C73C6-E715-7445-BCAC-977BF782E82E}"/>
    <hyperlink ref="A20" r:id="rId19" display="https://www.ahd.com/free_profile/360087/Cleveland_Clinic_Lutheran_Hospital/Cleveland/Ohio/" xr:uid="{339E015E-D733-F240-8268-966B89B5E25E}"/>
    <hyperlink ref="A21" r:id="rId20" display="https://www.ahd.com/free_profile/360091/Cleveland_Clinic_Medina_Hospital/Medina/Ohio/" xr:uid="{B7B3CA5E-8930-D547-AFDF-428AC8669085}"/>
    <hyperlink ref="A22" r:id="rId21" display="https://www.ahd.com/free_profile/360241/Cleveland_Clinic_Rehabilitation_Hospital_Edwin_Shaw/Copley/Ohio/" xr:uid="{54208776-AC4E-3F4D-82A4-6ABE30CA068A}"/>
    <hyperlink ref="A23" r:id="rId22" display="https://www.ahd.com/free_profile/360010/Cleveland_Clinic_Union_Hospital/Dover/Ohio/" xr:uid="{3028297A-9974-D647-A982-935B6ADF1FE1}"/>
    <hyperlink ref="A24" r:id="rId23" display="https://www.ahd.com/free_profile/36004F/Cleveland_VA_Medical_Center/Cleveland/Ohio/" xr:uid="{2934C427-2DA0-824F-B220-86597AA75F7F}"/>
    <hyperlink ref="A25" r:id="rId24" display="https://www.ahd.com/free_profile/360175/Clinton_Memorial_Hospital/Wilmington/Ohio/" xr:uid="{0944864C-3822-D44B-8AE1-668F8B45E785}"/>
    <hyperlink ref="A26" r:id="rId25" display="https://www.ahd.com/free_profile/360109/Coshocton_Regional_Medical_Center/Coshocton/Ohio/" xr:uid="{21C3C9A2-1FE2-4849-8EE8-93627153F7F4}"/>
    <hyperlink ref="A27" r:id="rId26" display="https://www.ahd.com/free_profile/360351/Crystal_Clinic_Orthopaedic_Center/Akron/Ohio/" xr:uid="{33CD1C85-2244-C444-9A56-0FB0543013E5}"/>
    <hyperlink ref="A28" r:id="rId27" display="https://www.ahd.com/free_profile/36007F/Dayton_VA_Medical_Center/Dayton/Ohio/" xr:uid="{4B2EA0B7-30C4-F241-A4F7-7B86DDDAAC00}"/>
    <hyperlink ref="A29" r:id="rId28" display="https://www.ahd.com/free_profile/360358/Diley_Ridge_Medical_Center/Canal_Winchester/Ohio/" xr:uid="{04E82CB6-1FB9-5748-80E5-F51E5CCCDBB7}"/>
    <hyperlink ref="A30" r:id="rId29" display="https://www.ahd.com/free_profile/360096/East_Liverpool_City_Hospital/East_Liverpool/Ohio/" xr:uid="{B23F98F1-CE6B-CA4D-B049-B20D8C37F288}"/>
    <hyperlink ref="A31" r:id="rId30" display="https://www.ahd.com/free_profile/360082/Euclid_Hospital/Euclid/Ohio/" xr:uid="{6699E88D-E17D-F345-94CB-B3DD5D7DAB2A}"/>
    <hyperlink ref="A32" r:id="rId31" display="https://www.ahd.com/free_profile/360072/Fairfield_Medical_Center/Lancaster/Ohio/" xr:uid="{4FAD6133-B070-FF4C-B0FC-FEB74FAA486F}"/>
    <hyperlink ref="A33" r:id="rId32" display="https://www.ahd.com/free_profile/360077/Fairview_Hospital/Cleveland/Ohio/" xr:uid="{EF546C35-8F5F-414F-B1EC-E4A9AA9203CE}"/>
    <hyperlink ref="A34" r:id="rId33" display="https://www.ahd.com/free_profile/I41193/Firelands_Regional_Medical_Center_-_South_Campus/Sandusky/Ohio/" xr:uid="{428629EA-5196-1B44-9039-192CFB4EB675}"/>
    <hyperlink ref="A35" r:id="rId34" display="https://www.ahd.com/free_profile/360025/Firelands_Regional_Medical_Center_Main_Campus/Sandusky/Ohio/" xr:uid="{9F34DE65-5526-6D4A-A513-A7068D8AEA64}"/>
    <hyperlink ref="A36" r:id="rId35" display="https://www.ahd.com/free_profile/360065/Fisher-Titus_Medical_Center/Norwalk/Ohio/" xr:uid="{61C95229-CB08-A649-AF90-208D110A9868}"/>
    <hyperlink ref="A37" r:id="rId36" display="https://www.ahd.com/free_profile/360132/Fort_Hamilton_Hospital/Hamilton/Ohio/" xr:uid="{7FDDCB20-DA45-CE47-A05F-E211F6C24255}"/>
    <hyperlink ref="A38" r:id="rId37" display="https://www.ahd.com/free_profile/360039/Genesis_Hospital/Zanesville/Ohio/" xr:uid="{D4F60B02-1861-E84F-B6E4-3E4C2EE07A1C}"/>
    <hyperlink ref="A39" r:id="rId38" display="https://www.ahd.com/free_profile/360134/Good_Samaritan_Hospital/Cincinnati/Ohio/" xr:uid="{50174ADB-2BA0-D542-95BB-A83A182BFAD9}"/>
    <hyperlink ref="A40" r:id="rId39" display="https://www.ahd.com/free_profile/360133/Grandview_Medical_Center/Dayton/Ohio/" xr:uid="{72ABFCAD-DFF7-3442-88D1-75839DB8CD44}"/>
    <hyperlink ref="A41" r:id="rId40" display="https://www.ahd.com/free_profile/360026/Greene_Memorial_Hospital/Xenia/Ohio/" xr:uid="{4EB7A1F0-D7E4-1C4F-829C-509E7558ACBD}"/>
    <hyperlink ref="A42" r:id="rId41" display="https://www.ahd.com/free_profile/I42287/Grove_City_Methodist_Hospital/Grove_City/Ohio/" xr:uid="{126EAE3B-885F-D144-AC8E-AA87E379DB30}"/>
    <hyperlink ref="A43" r:id="rId42" display="https://www.ahd.com/free_profile/360230/Hillcrest_Hospital/Mayfield_Heights/Ohio/" xr:uid="{9641D156-E45D-2945-98E3-EF82986C8333}"/>
    <hyperlink ref="A44" r:id="rId43" display="https://www.ahd.com/free_profile/360054/Holzer_Gallipolis_Medical_Center/Gallipolis/Ohio/" xr:uid="{16879182-9356-DA42-B2FD-B12DB7BF6FC7}"/>
    <hyperlink ref="A45" r:id="rId44" display="https://www.ahd.com/free_profile/360263/Institute_for_Orthopaedic_Surgery/Lima/Ohio/" xr:uid="{5F1D29DF-D411-ED4C-8221-803BD1FAF5AB}"/>
    <hyperlink ref="A46" r:id="rId45" display="https://www.ahd.com/free_profile/360032/Joint_Township_District_Memorial_Hospital/Saint_Marys/Ohio/" xr:uid="{CBF4E98D-D2BA-FC41-BAB2-91A9DC71A595}"/>
    <hyperlink ref="A47" r:id="rId46" display="https://www.ahd.com/free_profile/360079/Kettering_Medical_Center/Kettering/Ohio/" xr:uid="{4260E26F-B5D4-394C-96CA-2DBC47D93352}"/>
    <hyperlink ref="A48" r:id="rId47" display="https://www.ahd.com/free_profile/360361/King%27s_Daughters_Medical_Center_Ohio/Portsmouth/Ohio/" xr:uid="{D778D46E-9AE4-6D4B-B92C-31DCF5058F4B}"/>
    <hyperlink ref="A49" r:id="rId48" display="https://www.ahd.com/free_profile/360040/Knox_Community_Hospital/Mount_Vernon/Ohio/" xr:uid="{D88A5C93-6EEA-8545-B2C6-5267627A4DE7}"/>
    <hyperlink ref="A50" r:id="rId49" display="https://www.ahd.com/free_profile/360218/Licking_Memorial_Hospital/Newark/Ohio/" xr:uid="{0706BA33-8A43-E24A-BBF8-468113B486D5}"/>
    <hyperlink ref="A51" r:id="rId50" display="https://www.ahd.com/free_profile/360009/Lima_Memorial_Hospital/Lima/Ohio/" xr:uid="{EEC6DCD5-D4AD-CB48-9AA7-871905DDD0FB}"/>
    <hyperlink ref="A52" r:id="rId51" display="https://www.ahd.com/free_profile/360189/Madison_Health_/London/Ohio/" xr:uid="{52EFC23D-7D2D-624F-8BF0-EC0CB2BB9EDA}"/>
    <hyperlink ref="A53" r:id="rId52" display="https://www.ahd.com/free_profile/360147/Marietta_Memorial_Hospital/Marietta/Ohio/" xr:uid="{95E5A493-384E-8F44-9093-48040469064A}"/>
    <hyperlink ref="A54" r:id="rId53" display="https://www.ahd.com/free_profile/360197/Mary_Rutan_Hospital/Bellefontaine/Ohio/" xr:uid="{3FA2A3B8-AD96-B644-81B0-916E84C6656E}"/>
    <hyperlink ref="A55" r:id="rId54" display="https://www.ahd.com/free_profile/360143/Marymount_Hospital/Garfield_Heights/Ohio/" xr:uid="{EB458502-5712-9E49-8DA1-D4884FA2C1F6}"/>
    <hyperlink ref="A56" r:id="rId55" display="https://www.ahd.com/free_profile/360046/McCullough-Hyde_Memorial_Hospital_%28Oxford_Campus%29/Oxford/Ohio/" xr:uid="{38AB0923-D14B-8949-A8EC-6B0D822B23E6}"/>
    <hyperlink ref="A57" r:id="rId56" display="https://www.ahd.com/free_profile/360092/Memorial_Hospital/Marysville/Ohio/" xr:uid="{065DB251-8059-E54E-A434-1D3339CD514D}"/>
    <hyperlink ref="A58" r:id="rId57" display="https://www.ahd.com/free_profile/360058/Mercer_County_Community_Hospital/Coldwater/Ohio/" xr:uid="{C0231DEA-CC52-AE49-898A-C300A4193D62}"/>
    <hyperlink ref="A59" r:id="rId58" display="https://www.ahd.com/free_profile/360236/Mercy_Health_-_Clermont_Hospital/Batavia/Ohio/" xr:uid="{BFFDAC67-E421-8344-BC08-44C617ECC41F}"/>
    <hyperlink ref="A60" r:id="rId59" display="https://www.ahd.com/free_profile/360270/Mercy_Health_-_Defiance_Hospital/Defiance/Ohio/" xr:uid="{6AAF42C7-298D-5040-861D-A1CEA6BCA21D}"/>
    <hyperlink ref="A61" r:id="rId60" display="https://www.ahd.com/free_profile/360262/Mercy_Health_-_Saint__Anne_Hospital/Toledo/Ohio/" xr:uid="{D1A8C242-2E10-3546-8E80-77A35A1107B8}"/>
    <hyperlink ref="A62" r:id="rId61" display="https://www.ahd.com/free_profile/360081/Mercy_Health_-_Saint_Charles_Hospital_/Oregon/Ohio/" xr:uid="{42794538-341F-5148-BB4B-FC5B942D6E13}"/>
    <hyperlink ref="A63" r:id="rId62" display="https://www.ahd.com/free_profile/360064/Mercy_Health_-_Saint_Elizabeth_Youngstown_Hospital_/Youngstown/Ohio/" xr:uid="{ADF1119C-4E4E-F049-A65C-30BF14C557A7}"/>
    <hyperlink ref="A64" r:id="rId63" display="https://www.ahd.com/free_profile/360161/Mercy_Health_-_Saint_Joseph_Warren_Hospital_/Warren/Ohio/" xr:uid="{13FDC30C-1D44-754D-8263-D5BABC930D00}"/>
    <hyperlink ref="A65" r:id="rId64" display="https://www.ahd.com/free_profile/360066/Mercy_Health_-_Saint_Rita%27s_Medical_Center/Lima/Ohio/" xr:uid="{279EE9EB-9AE4-3244-9460-7758E2E18288}"/>
    <hyperlink ref="A66" r:id="rId65" display="https://www.ahd.com/free_profile/360086/Mercy_Health_-_Springfield_Regional_Medical_Center/Springfield/Ohio/" xr:uid="{799A1843-75EF-F54C-A646-87B6CE9BE849}"/>
    <hyperlink ref="A67" r:id="rId66" display="https://www.ahd.com/free_profile/360234/Mercy_Health_-_West_Hospital/Cincinnati/Ohio/" xr:uid="{7E1C6A49-330D-C94C-9867-8B8B007BBC98}"/>
    <hyperlink ref="A68" r:id="rId67" display="https://www.ahd.com/free_profile/I42098/Mercy_Health-_Children%27s_Hospital/Toledo/Ohio/" xr:uid="{A721447B-7078-B947-9659-494CC313565B}"/>
    <hyperlink ref="A69" r:id="rId68" display="https://www.ahd.com/free_profile/360056/Mercy_Health-_Fairfield_Hospital/Fairfield/Ohio/" xr:uid="{2F2CC75E-326F-BE4C-B6EF-51ADF84EB2EC}"/>
    <hyperlink ref="A70" r:id="rId69" display="https://www.ahd.com/free_profile/360112/Mercy_Health-_Saint_Vincent_Medical_Center/Toledo/Ohio/" xr:uid="{A01CF9B2-20E8-D444-96D3-EB7327E993B1}"/>
    <hyperlink ref="A71" r:id="rId70" display="https://www.ahd.com/free_profile/360172/Mercy_Health-Lorain_Hospital/Lorain/Ohio/" xr:uid="{D1EA271A-0469-0041-A531-337405253BC3}"/>
    <hyperlink ref="A72" r:id="rId71" display="https://www.ahd.com/free_profile/I42305/Mercy_Health-Perrysburg_Hospital/Perrysburg/Ohio/" xr:uid="{660F0247-7A6F-C946-A0B3-F6DCBC157E52}"/>
    <hyperlink ref="A73" r:id="rId72" display="https://www.ahd.com/free_profile/360276/Mercy_Health-Saint_Elizabeth_Boardman_Hospital/Boardman/Ohio/" xr:uid="{237F8B2A-1C7B-894E-8BC4-8EB08558C70E}"/>
    <hyperlink ref="A74" r:id="rId73" display="https://www.ahd.com/free_profile/360089/Mercy_Health-Tiffin_Hospital/Tiffin/Ohio/" xr:uid="{45736A02-3AC5-3B46-BE72-4379007945E8}"/>
    <hyperlink ref="A75" r:id="rId74" display="https://www.ahd.com/free_profile/360070/Mercy_Medical_Center/Canton/Ohio/" xr:uid="{0DC8C925-14EB-914D-869F-0E4338CCEE33}"/>
    <hyperlink ref="A76" r:id="rId75" display="https://www.ahd.com/free_profile/360059/MetroHealth_Medical_Center/Cleveland/Ohio/" xr:uid="{0762B7FD-F2B2-FD4C-B4AE-CC6645B0CE8F}"/>
    <hyperlink ref="A77" r:id="rId76" display="https://www.ahd.com/free_profile/360051/Miami_Valley_Hospital/Dayton/Ohio/" xr:uid="{2B322B82-92CA-0643-92AF-F6CE370D4F22}"/>
    <hyperlink ref="A78" r:id="rId77" display="https://www.ahd.com/free_profile/I42357/Miami_Valley_Hospital_North/Englewood/Ohio/" xr:uid="{091EBDB5-1BB4-3845-8782-659D479F5CCC}"/>
    <hyperlink ref="A79" r:id="rId78" display="https://www.ahd.com/free_profile/I42172/Miami_Valley_Hospital_South/_Centerville/Ohio/" xr:uid="{C7544CD9-3E11-3C49-AA86-7C9F4E82E60C}"/>
    <hyperlink ref="A80" r:id="rId79" display="https://www.ahd.com/free_profile/I41258/Mount_Carmel_East/Columbus/Ohio/" xr:uid="{A3C5FB0F-00C9-FF49-96A5-5AC21C2960C0}"/>
    <hyperlink ref="A81" r:id="rId80" display="https://www.ahd.com/free_profile/I42306/Mount_Carmel_Grove_City/Grove_City/Ohio/" xr:uid="{D859960E-CBF7-DF49-8BCF-D0106F997387}"/>
    <hyperlink ref="A82" r:id="rId81" display="https://www.ahd.com/free_profile/360266/Mount_Carmel_New_Albany/New_Albany/Ohio/" xr:uid="{CB88CBE8-E52F-0248-8371-196433B50623}"/>
    <hyperlink ref="A83" r:id="rId82" display="https://www.ahd.com/free_profile/360012/Mount_Carmel_Saint_Ann%27s/Westerville/Ohio/" xr:uid="{A3F381B5-286B-FA44-91C3-4C81D6164043}"/>
    <hyperlink ref="A84" r:id="rId83" display="https://www.ahd.com/free_profile/360242/Ohio_State_University_Comprehensive_Cancer_Center_-_Arthur_G_James_Cancer_Hospital/Columbus/Ohio/" xr:uid="{E42A90DB-AEA1-7948-B11E-396AB8DFCC99}"/>
    <hyperlink ref="A85" r:id="rId84" display="https://www.ahd.com/free_profile/360062/Ohio_State_University_Hospital_East/Columbus/Ohio/" xr:uid="{E3568ED2-0844-D34D-A4D7-ACBF51802C70}"/>
    <hyperlink ref="A86" r:id="rId85" display="https://www.ahd.com/free_profile/360085/Ohio_State_University_Wexner_Medical_Center/Columbus/Ohio/" xr:uid="{FA3A7673-7C01-4141-B96E-F6015D3EA107}"/>
    <hyperlink ref="A87" r:id="rId86" display="https://www.ahd.com/free_profile/360355/Ohio_Valley_Surgical_Hospital/Springfield/Ohio/" xr:uid="{5E54A393-DC80-A84B-9A2D-E25EA806E092}"/>
    <hyperlink ref="A88" r:id="rId87" display="https://www.ahd.com/free_profile/360152/OhioHealth_Doctors_Hospital_/Columbus/Ohio/" xr:uid="{E2EC2D4F-6027-104C-AB49-607A330AF4EC}"/>
    <hyperlink ref="A89" r:id="rId88" display="https://www.ahd.com/free_profile/360348/OhioHealth_Dublin_Methodist_Hospital/Dublin/Ohio/" xr:uid="{D8F4BA73-B919-AB45-8D4C-F74754620437}"/>
    <hyperlink ref="A90" r:id="rId89" display="https://www.ahd.com/free_profile/360210/OhioHealth_Grady_Memorial_Hospital/Delaware/Ohio/" xr:uid="{837FB7CD-3372-ED49-AEF3-0DF951F16ECF}"/>
    <hyperlink ref="A91" r:id="rId90" display="https://www.ahd.com/free_profile/360017/OhioHealth_Grant_Medical_Center/Columbus/Ohio/" xr:uid="{BE7EC8FB-11DE-9848-99E8-5D45F92A2823}"/>
    <hyperlink ref="A92" r:id="rId91" display="https://www.ahd.com/free_profile/360118/OhioHealth_Mansfield_Hospital/Mansfield/Ohio/" xr:uid="{FFF11266-ACB4-8F47-B13E-18DA4F0F5E1C}"/>
    <hyperlink ref="A93" r:id="rId92" display="https://www.ahd.com/free_profile/360011/OhioHealth_Marion_General_Hospital/Marion/Ohio/" xr:uid="{83785C2E-FB9D-3546-9AFF-99D5F5F88205}"/>
    <hyperlink ref="A94" r:id="rId93" display="https://www.ahd.com/free_profile/360014/OhioHealth_O%27Bleness_Hospital/Athens/Ohio/" xr:uid="{81ED0928-3C9E-C848-9F9E-D4A92096D1A1}"/>
    <hyperlink ref="A95" r:id="rId94" display="https://www.ahd.com/free_profile/360006/OhioHealth_Riverside_Methodist_Hospital/Columbus/Ohio/" xr:uid="{4DC9A38F-0AEA-234B-945E-C12923171557}"/>
    <hyperlink ref="A96" r:id="rId95" display="https://www.ahd.com/free_profile/360148/Pomerene_Hospital/Millersburg/Ohio/" xr:uid="{0E5785CC-53E7-174E-8FDE-FC6405BEFF53}"/>
    <hyperlink ref="A97" r:id="rId96" display="https://www.ahd.com/free_profile/360259/ProMedica_Bay_Park_Hospital/Oregon/Ohio/" xr:uid="{851710E2-99FB-BA43-B356-F33646C3A2BE}"/>
    <hyperlink ref="A98" r:id="rId97" display="https://www.ahd.com/free_profile/360074/ProMedica_Flower_Hospital/Sylvania/Ohio/" xr:uid="{341B993B-9706-6C4B-B50F-2C42C3AF5CD3}"/>
    <hyperlink ref="A99" r:id="rId98" display="https://www.ahd.com/free_profile/360156/ProMedica_Memorial_Hospital/Fremont/Ohio/" xr:uid="{EEA4417F-4135-0F49-A4A8-DD14E58B941C}"/>
    <hyperlink ref="A100" r:id="rId99" display="https://www.ahd.com/free_profile/360068/ProMedica_Toledo_Hospital/Toledo/Ohio/" xr:uid="{902C57F1-8E6D-A949-AABD-9ED40EB35637}"/>
    <hyperlink ref="A101" r:id="rId100" display="https://www.ahd.com/free_profile/360090/Saint_Luke%27s_Hospital/Maumee/Ohio/" xr:uid="{9AF883EE-80E4-FF45-9473-847BF5019F11}"/>
    <hyperlink ref="A102" r:id="rId101" display="https://www.ahd.com/free_profile/360037/Saint_Vincent_Charity_Medical_Center/Cleveland/Ohio/" xr:uid="{F6DA76A6-AE91-504F-87CB-0B81F85A54D1}"/>
    <hyperlink ref="A103" r:id="rId102" display="https://www.ahd.com/free_profile/360185/Salem_Regional_Medical_Center/Salem/Ohio/" xr:uid="{698E843A-4F6F-6149-9CB8-9AE7A615CE71}"/>
    <hyperlink ref="A104" r:id="rId103" display="https://www.ahd.com/free_profile/360360/Soin_Medical_Center/Beavercreek/Ohio/" xr:uid="{CBD5AE7D-8FD3-C54A-A173-453D181DD0B2}"/>
    <hyperlink ref="A105" r:id="rId104" display="https://www.ahd.com/free_profile/360144/South_Pointe_Hospital/Warrensville_Heights/Ohio/" xr:uid="{CF7F934E-D944-AB45-BE0A-E7A44721F954}"/>
    <hyperlink ref="A106" r:id="rId105" display="https://www.ahd.com/free_profile/360203/Southeastern_Ohio_Regional_Medical_Center/Cambridge/Ohio/" xr:uid="{1315B0F7-AC6A-6943-9B92-2AA7067DC924}"/>
    <hyperlink ref="A107" r:id="rId106" display="https://www.ahd.com/free_profile/360008/Southern_Ohio_Medical_Center/Portsmouth/Ohio/" xr:uid="{E1850540-ED43-ED42-858F-D218015B3D00}"/>
    <hyperlink ref="A108" r:id="rId107" display="https://www.ahd.com/free_profile/I41457/Southview_Medical_Center/Centerville/Ohio/" xr:uid="{87B79BA7-C007-E448-8809-A76CE3240BA2}"/>
    <hyperlink ref="A109" r:id="rId108" display="https://www.ahd.com/free_profile/360155/Southwest_General_Health_Center/Middleburg_Heights/Ohio/" xr:uid="{25A2258B-F816-B54A-A4B5-272F5C152072}"/>
    <hyperlink ref="A110" r:id="rId109" display="https://www.ahd.com/free_profile/360020/Summa_Health_System_-_Akron_Campus/Akron/Ohio/" xr:uid="{1AF56F5E-C579-9645-9B07-90E186A512DD}"/>
    <hyperlink ref="A111" r:id="rId110" display="https://www.ahd.com/free_profile/360019/Summa_Health_System-Barberton_Campus/Barberton/Ohio/" xr:uid="{0224BB5E-B7F3-954B-AB83-54E428144841}"/>
    <hyperlink ref="A112" r:id="rId111" display="https://www.ahd.com/free_profile/I41154/Summa_Health_System-St_Thomas_Campus/Akron/Ohio/" xr:uid="{F185C984-9C54-5E42-92FB-273467ACC296}"/>
    <hyperlink ref="A113" r:id="rId112" display="https://www.ahd.com/free_profile/360239/Sycamore_Medical_Center/Miamisburg/Ohio/" xr:uid="{1789C74A-E56A-5946-B478-676C678B15DE}"/>
    <hyperlink ref="A114" r:id="rId113" display="https://www.ahd.com/free_profile/360107/The_Bellevue_Hospital/Bellevue/Ohio/" xr:uid="{0BEF6576-8D01-0747-ADF4-CEA5C0FC2435}"/>
    <hyperlink ref="A115" r:id="rId114" display="https://www.ahd.com/free_profile/360163/The_Christ_Hospital_/Cincinnati/Ohio/" xr:uid="{304F5AA6-A3CB-BE41-84D4-712063535650}"/>
    <hyperlink ref="A116" r:id="rId115" display="https://www.ahd.com/free_profile/360180/The_Cleveland_Clinic/Cleveland/Ohio/" xr:uid="{08B5CFB1-FAD0-8A4D-BC9C-8A55BCE75F88}"/>
    <hyperlink ref="A117" r:id="rId116" display="https://www.ahd.com/free_profile/360016/The_Jewish_Hospital_-_Mercy_Health/Cincinnati/Ohio/" xr:uid="{74B8C7C5-6E4B-6F45-9FC8-179CCC05E826}"/>
    <hyperlink ref="A118" r:id="rId117" display="https://www.ahd.com/free_profile/360352/The_Surgical_Hospital_at_Southwoods/Boardman/Ohio/" xr:uid="{94DB27C9-289B-0E4D-AD8E-DB26161001CB}"/>
    <hyperlink ref="A119" r:id="rId118" display="https://www.ahd.com/free_profile/360048/The_University_of_Toledo_Medical_Center/Toledo/Ohio/" xr:uid="{45702256-88BD-A14F-876B-08F6B72B7CC0}"/>
    <hyperlink ref="A120" r:id="rId119" display="https://www.ahd.com/free_profile/360247/The_Woods_at_Parkside/Gahanna/Ohio/" xr:uid="{19AC8CBE-43B1-9A44-B22A-F5A965EA791B}"/>
    <hyperlink ref="A121" r:id="rId120" display="https://www.ahd.com/free_profile/360261/Three_Gables_Surgery_Center/Proctorville/Ohio/" xr:uid="{6660B0A7-5B60-5646-885A-4E336DB80D0D}"/>
    <hyperlink ref="A122" r:id="rId121" display="https://www.ahd.com/free_profile/360362/TriHealth_Evendale_Hospital/Evandale/Ohio/" xr:uid="{4999BBF3-5ADD-0C49-BD8B-3AEACE68AFD6}"/>
    <hyperlink ref="A123" r:id="rId122" display="https://www.ahd.com/free_profile/360211/Trinity_East/Steubenville/Ohio/" xr:uid="{B10025AF-7AC6-0343-8B77-3B996E988DA8}"/>
    <hyperlink ref="A124" r:id="rId123" display="https://www.ahd.com/free_profile/I41066/Trinity_West/Steubenville/Ohio/" xr:uid="{D725D0BB-6CB4-0244-9DAF-ED5ABDA15F73}"/>
    <hyperlink ref="A125" r:id="rId124" display="https://www.ahd.com/free_profile/360098/TriPoint_Medical_Center/Concord/Ohio/" xr:uid="{0AD80370-0A01-874E-85CD-D5D023048630}"/>
    <hyperlink ref="A126" r:id="rId125" display="https://www.ahd.com/free_profile/360368/Troy_Hospital/Troy/Ohio/" xr:uid="{76BCB6D5-FE2B-3B4C-B9D8-8291F8E3A1C4}"/>
    <hyperlink ref="A127" r:id="rId126" display="https://www.ahd.com/free_profile/360055/Trumbull_Regional_Medical_Center/Warren/Ohio/" xr:uid="{1E687821-2E4A-724E-A5AA-C64507B82FD7}"/>
    <hyperlink ref="A128" r:id="rId127" display="https://www.ahd.com/free_profile/360359/UH_Ahuja_Medical_Center/Beachwood/Ohio/" xr:uid="{1B65AA42-CE8B-2F40-8E31-59820AECB1B6}"/>
    <hyperlink ref="A129" r:id="rId128" display="https://www.ahd.com/free_profile/360115/UH_Bedford_Medical_Center/Bedford/Ohio/" xr:uid="{B2615E61-5706-324D-B5D5-DCD50B112FDD}"/>
    <hyperlink ref="A130" r:id="rId129" display="https://www.ahd.com/free_profile/360137/UH_Cleveland_Medical_Center/Cleveland/Ohio/" xr:uid="{44A53387-038D-5746-8749-941020C10B3F}"/>
    <hyperlink ref="A131" r:id="rId130" display="https://www.ahd.com/free_profile/360145/UH_Elyria_Medical_Center/Elyria/Ohio/" xr:uid="{59BAA599-32AB-404A-82BA-F1C2C1924BA5}"/>
    <hyperlink ref="A132" r:id="rId131" display="https://www.ahd.com/free_profile/360192/UH_Geauga_Medical_Center/Chardon/Ohio/" xr:uid="{43D35198-7A79-C744-B5D9-E3BEEC2F32EA}"/>
    <hyperlink ref="A133" r:id="rId132" display="https://www.ahd.com/free_profile/360041/UH_Parma_Medical_Center/Parma/Ohio/" xr:uid="{9DCCF286-411B-B04B-BF5D-B9F422F3B5E4}"/>
    <hyperlink ref="A134" r:id="rId133" display="https://www.ahd.com/free_profile/360078/UH_Portage_Medical_Center/Ravenna/Ohio/" xr:uid="{29801B5A-9D71-5F46-88E9-672B2D6A1493}"/>
    <hyperlink ref="A135" r:id="rId134" display="https://www.ahd.com/free_profile/360075/UH_Richmond_Medical_Center/Richmond_Heights/Ohio/" xr:uid="{C4993CCB-B849-024B-878C-9B7589D52C7B}"/>
    <hyperlink ref="A136" r:id="rId135" display="https://www.ahd.com/free_profile/360123/UH_Saint_John_Medical_Center/Westlake/Ohio/" xr:uid="{AC7AF3BA-4E3A-274B-BF96-35749945D167}"/>
    <hyperlink ref="A137" r:id="rId136" display="https://www.ahd.com/free_profile/360002/UH_Samaritan_Medical_Center/Ashland/Ohio/" xr:uid="{00146B23-C39D-854A-A254-9EBDA1193A7A}"/>
    <hyperlink ref="A138" r:id="rId137" display="https://www.ahd.com/free_profile/360003/University_of_Cincinnati_Medical_Center/Cincinnati/Ohio/" xr:uid="{D3FFA1DF-C837-E849-A17F-F38034C50F67}"/>
    <hyperlink ref="A139" r:id="rId138" display="https://www.ahd.com/free_profile/360174/Upper_Valley_Medical_Center/Troy/Ohio/" xr:uid="{A73217F4-1210-1642-8E1F-EE65DA596210}"/>
    <hyperlink ref="A140" r:id="rId139" display="https://www.ahd.com/free_profile/360071/Van_Wert_County_Hospital/Van_Wert/Ohio/" xr:uid="{0D236A42-B497-6E41-AB12-D39F3137DC97}"/>
    <hyperlink ref="A141" r:id="rId140" display="https://www.ahd.com/free_profile/360044/Wayne_Hospital/Greenville/Ohio/" xr:uid="{4EE222E8-F3C8-C443-B51E-B17B80E04008}"/>
    <hyperlink ref="A142" r:id="rId141" display="https://www.ahd.com/free_profile/360354/West_Chester_Medical_Center_/West_Chester/Ohio/" xr:uid="{7002FAD4-D0E5-2347-AA0B-D29EBD84016A}"/>
    <hyperlink ref="A143" r:id="rId142" display="https://www.ahd.com/free_profile/I08439/West_Medical_Center/Willoughby/Ohio/" xr:uid="{0ECB677D-0715-DF44-B571-E331E9FFA485}"/>
    <hyperlink ref="A144" r:id="rId143" display="https://www.ahd.com/free_profile/360150/Western_Reserve_Hospital/Cuyahoga_Falls/Ohio/" xr:uid="{A36D8784-86AA-334B-8A56-B15C6F8A3B77}"/>
    <hyperlink ref="A145" r:id="rId144" display="https://www.ahd.com/free_profile/360013/Wilson_Health_/Sidney/Ohio/" xr:uid="{537F1D84-70A8-D845-9663-ED9B3FAB59FC}"/>
    <hyperlink ref="A146" r:id="rId145" display="https://www.ahd.com/free_profile/360029/Wood_County_Hospital/Bowling_Green/Ohio/" xr:uid="{9BF090A6-E497-EE4B-8B03-CB6C17E917EB}"/>
    <hyperlink ref="A147" r:id="rId146" display="https://www.ahd.com/free_profile/360036/Wooster_Community_Hospital/Wooster/Ohio/" xr:uid="{7931C059-FEE2-D141-959D-1B983F4E811A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F30CF-7167-0345-9361-9B67FC8A53BD}">
  <sheetPr codeName="Sheet38"/>
  <dimension ref="A1:G92"/>
  <sheetViews>
    <sheetView topLeftCell="A78" workbookViewId="0">
      <selection activeCell="G91" sqref="G2:G91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4169</v>
      </c>
      <c r="B2" s="2" t="s">
        <v>1218</v>
      </c>
      <c r="C2" s="2">
        <v>114</v>
      </c>
      <c r="D2" s="3">
        <v>1754</v>
      </c>
      <c r="E2" s="3">
        <v>5554</v>
      </c>
      <c r="F2" s="4">
        <v>161606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 city",CHOOSE({1,2}, Super_CBSA!$E$2:$E$1917, Super_CBSA!$A$2:$A$1917), 2,FALSE), ""))</f>
        <v>33060</v>
      </c>
    </row>
    <row r="3" spans="1:7" ht="17">
      <c r="A3" s="1" t="s">
        <v>4170</v>
      </c>
      <c r="B3" s="2" t="s">
        <v>1729</v>
      </c>
      <c r="C3" s="2">
        <v>56</v>
      </c>
      <c r="D3" s="2">
        <v>888</v>
      </c>
      <c r="E3" s="3">
        <v>2631</v>
      </c>
      <c r="F3" s="4">
        <v>86730</v>
      </c>
      <c r="G3" s="11" t="str" cm="1">
        <f t="array" aca="1" ref="G3" ca="1">IFERROR(VLOOKUP("*" &amp; B3  &amp; "*" &amp; (MID(CELL("filename",A2),FIND("]",CELL("filename",A2))+1,31)) &amp; "*",CHOOSE({1,2}, Super_CBSA!$B$2:$B$1917, Super_CBSA!$A$2:$A$1917), 2,FALSE), IFERROR(VLOOKUP(B3  &amp; " city",CHOOSE({1,2}, Super_CBSA!$E$2:$E$1917, Super_CBSA!$A$2:$A$1917), 2,FALSE), ""))</f>
        <v/>
      </c>
    </row>
    <row r="4" spans="1:7" ht="17">
      <c r="A4" s="1" t="s">
        <v>4171</v>
      </c>
      <c r="B4" s="2" t="s">
        <v>4172</v>
      </c>
      <c r="C4" s="2">
        <v>140</v>
      </c>
      <c r="D4" s="3">
        <v>5606</v>
      </c>
      <c r="E4" s="3">
        <v>19055</v>
      </c>
      <c r="F4" s="4">
        <v>1031287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 city",CHOOSE({1,2}, Super_CBSA!$E$2:$E$1917, Super_CBSA!$A$2:$A$1917), 2,FALSE), ""))</f>
        <v>20460</v>
      </c>
    </row>
    <row r="5" spans="1:7" ht="17">
      <c r="A5" s="1" t="s">
        <v>4173</v>
      </c>
      <c r="B5" s="2" t="s">
        <v>4174</v>
      </c>
      <c r="C5" s="2">
        <v>255</v>
      </c>
      <c r="D5" s="3">
        <v>6612</v>
      </c>
      <c r="E5" s="3">
        <v>31089</v>
      </c>
      <c r="F5" s="4">
        <v>1192326</v>
      </c>
      <c r="G5" s="11" t="str" cm="1">
        <f t="array" aca="1" ref="G5" ca="1">IFERROR(VLOOKUP("*" &amp; B5  &amp; "*" &amp; (MID(CELL("filename",A4),FIND("]",CELL("filename",A4))+1,31)) &amp; "*",CHOOSE({1,2}, Super_CBSA!$B$2:$B$1917, Super_CBSA!$A$2:$A$1917), 2,FALSE), IFERROR(VLOOKUP(B5  &amp; " city",CHOOSE({1,2}, Super_CBSA!$E$2:$E$1917, Super_CBSA!$A$2:$A$1917), 2,FALSE), ""))</f>
        <v/>
      </c>
    </row>
    <row r="6" spans="1:7" ht="17">
      <c r="A6" s="1" t="s">
        <v>4175</v>
      </c>
      <c r="B6" s="2" t="s">
        <v>4176</v>
      </c>
      <c r="C6" s="2">
        <v>48</v>
      </c>
      <c r="D6" s="3">
        <v>2306</v>
      </c>
      <c r="E6" s="3">
        <v>8484</v>
      </c>
      <c r="F6" s="4">
        <v>298754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 city",CHOOSE({1,2}, Super_CBSA!$E$2:$E$1917, Super_CBSA!$A$2:$A$1917), 2,FALSE), ""))</f>
        <v>38620</v>
      </c>
    </row>
    <row r="7" spans="1:7" ht="17">
      <c r="A7" s="1" t="s">
        <v>4177</v>
      </c>
      <c r="B7" s="2" t="s">
        <v>4178</v>
      </c>
      <c r="C7" s="2">
        <v>32</v>
      </c>
      <c r="D7" s="2">
        <v>507</v>
      </c>
      <c r="E7" s="3">
        <v>1362</v>
      </c>
      <c r="F7" s="4">
        <v>68475</v>
      </c>
      <c r="G7" s="11" t="str" cm="1">
        <f t="array" aca="1" ref="G7" ca="1">IFERROR(VLOOKUP("*" &amp; B7  &amp; "*" &amp; (MID(CELL("filename",A6),FIND("]",CELL("filename",A6))+1,31)) &amp; "*",CHOOSE({1,2}, Super_CBSA!$B$2:$B$1917, Super_CBSA!$A$2:$A$1917), 2,FALSE), IFERROR(VLOOKUP(B7  &amp; " city",CHOOSE({1,2}, Super_CBSA!$E$2:$E$1917, Super_CBSA!$A$2:$A$1917), 2,FALSE), ""))</f>
        <v/>
      </c>
    </row>
    <row r="8" spans="1:7" ht="17">
      <c r="A8" s="1" t="s">
        <v>4179</v>
      </c>
      <c r="B8" s="2" t="s">
        <v>4180</v>
      </c>
      <c r="C8" s="2">
        <v>40</v>
      </c>
      <c r="D8" s="3">
        <v>1077</v>
      </c>
      <c r="E8" s="3">
        <v>2761</v>
      </c>
      <c r="F8" s="4">
        <v>212576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 city",CHOOSE({1,2}, Super_CBSA!$E$2:$E$1917, Super_CBSA!$A$2:$A$1917), 2,FALSE), ""))</f>
        <v>49260</v>
      </c>
    </row>
    <row r="9" spans="1:7" ht="17">
      <c r="A9" s="1" t="s">
        <v>4181</v>
      </c>
      <c r="B9" s="2" t="s">
        <v>4182</v>
      </c>
      <c r="C9" s="2">
        <v>114</v>
      </c>
      <c r="D9" s="3">
        <v>4206</v>
      </c>
      <c r="E9" s="3">
        <v>13490</v>
      </c>
      <c r="F9" s="4">
        <v>408145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 city",CHOOSE({1,2}, Super_CBSA!$E$2:$E$1917, Super_CBSA!$A$2:$A$1917), 2,FALSE), ""))</f>
        <v>12780</v>
      </c>
    </row>
    <row r="10" spans="1:7" ht="17">
      <c r="A10" s="1" t="s">
        <v>4183</v>
      </c>
      <c r="B10" s="2" t="s">
        <v>4184</v>
      </c>
      <c r="C10" s="2">
        <v>32</v>
      </c>
      <c r="D10" s="3">
        <v>1802</v>
      </c>
      <c r="E10" s="3">
        <v>4419</v>
      </c>
      <c r="F10" s="4">
        <v>128748</v>
      </c>
      <c r="G10" s="11" t="str" cm="1">
        <f t="array" aca="1" ref="G10" ca="1">IFERROR(VLOOKUP("*" &amp; B10  &amp; "*" &amp; (MID(CELL("filename",A9),FIND("]",CELL("filename",A9))+1,31)) &amp; "*",CHOOSE({1,2}, Super_CBSA!$B$2:$B$1917, Super_CBSA!$A$2:$A$1917), 2,FALSE), IFERROR(VLOOKUP(B10  &amp; " city",CHOOSE({1,2}, Super_CBSA!$E$2:$E$1917, Super_CBSA!$A$2:$A$1917), 2,FALSE), ""))</f>
        <v/>
      </c>
    </row>
    <row r="11" spans="1:7" ht="17">
      <c r="A11" s="1" t="s">
        <v>4185</v>
      </c>
      <c r="B11" s="2" t="s">
        <v>4184</v>
      </c>
      <c r="C11" s="2">
        <v>73</v>
      </c>
      <c r="D11" s="3">
        <v>1610</v>
      </c>
      <c r="E11" s="3">
        <v>3546</v>
      </c>
      <c r="F11" s="4">
        <v>232913</v>
      </c>
      <c r="G11" s="11" t="str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 city",CHOOSE({1,2}, Super_CBSA!$E$2:$E$1917, Super_CBSA!$A$2:$A$1917), 2,FALSE), ""))</f>
        <v/>
      </c>
    </row>
    <row r="12" spans="1:7" ht="17">
      <c r="A12" s="1" t="s">
        <v>4186</v>
      </c>
      <c r="B12" s="2" t="s">
        <v>4187</v>
      </c>
      <c r="C12" s="2">
        <v>34</v>
      </c>
      <c r="D12" s="2">
        <v>483</v>
      </c>
      <c r="E12" s="3">
        <v>1531</v>
      </c>
      <c r="F12" s="4">
        <v>37515</v>
      </c>
      <c r="G12" s="11" t="str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 city",CHOOSE({1,2}, Super_CBSA!$E$2:$E$1917, Super_CBSA!$A$2:$A$1917), 2,FALSE), ""))</f>
        <v/>
      </c>
    </row>
    <row r="13" spans="1:7" ht="17">
      <c r="A13" s="1" t="s">
        <v>4188</v>
      </c>
      <c r="B13" s="2" t="s">
        <v>4189</v>
      </c>
      <c r="C13" s="2">
        <v>55</v>
      </c>
      <c r="D13" s="3">
        <v>1679</v>
      </c>
      <c r="E13" s="3">
        <v>2591</v>
      </c>
      <c r="F13" s="4">
        <v>248562</v>
      </c>
      <c r="G13" s="11" t="str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 city",CHOOSE({1,2}, Super_CBSA!$E$2:$E$1917, Super_CBSA!$A$2:$A$1917), 2,FALSE), ""))</f>
        <v/>
      </c>
    </row>
    <row r="14" spans="1:7" ht="17">
      <c r="A14" s="1" t="s">
        <v>4190</v>
      </c>
      <c r="B14" s="2" t="s">
        <v>4191</v>
      </c>
      <c r="C14" s="2">
        <v>40</v>
      </c>
      <c r="D14" s="2">
        <v>683</v>
      </c>
      <c r="E14" s="3">
        <v>3870</v>
      </c>
      <c r="F14" s="4">
        <v>0</v>
      </c>
      <c r="G14" s="11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 city",CHOOSE({1,2}, Super_CBSA!$E$2:$E$1917, Super_CBSA!$A$2:$A$1917), 2,FALSE), ""))</f>
        <v>46140</v>
      </c>
    </row>
    <row r="15" spans="1:7" ht="17">
      <c r="A15" s="1" t="s">
        <v>4192</v>
      </c>
      <c r="B15" s="2" t="s">
        <v>4193</v>
      </c>
      <c r="C15" s="2">
        <v>72</v>
      </c>
      <c r="D15" s="3">
        <v>2690</v>
      </c>
      <c r="E15" s="3">
        <v>8300</v>
      </c>
      <c r="F15" s="4">
        <v>0</v>
      </c>
      <c r="G15" s="11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 city",CHOOSE({1,2}, Super_CBSA!$E$2:$E$1917, Super_CBSA!$A$2:$A$1917), 2,FALSE), ""))</f>
        <v>10220</v>
      </c>
    </row>
    <row r="16" spans="1:7" ht="17">
      <c r="A16" s="1" t="s">
        <v>4194</v>
      </c>
      <c r="B16" s="2" t="s">
        <v>4195</v>
      </c>
      <c r="C16" s="2">
        <v>34</v>
      </c>
      <c r="D16" s="2">
        <v>919</v>
      </c>
      <c r="E16" s="3">
        <v>3884</v>
      </c>
      <c r="F16" s="4">
        <v>43492</v>
      </c>
      <c r="G16" s="11" t="str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 city",CHOOSE({1,2}, Super_CBSA!$E$2:$E$1917, Super_CBSA!$A$2:$A$1917), 2,FALSE), ""))</f>
        <v/>
      </c>
    </row>
    <row r="17" spans="1:7" ht="17">
      <c r="A17" s="1" t="s">
        <v>4196</v>
      </c>
      <c r="B17" s="2" t="s">
        <v>4197</v>
      </c>
      <c r="C17" s="2">
        <v>43</v>
      </c>
      <c r="D17" s="3">
        <v>1223</v>
      </c>
      <c r="E17" s="3">
        <v>3230</v>
      </c>
      <c r="F17" s="4">
        <v>0</v>
      </c>
      <c r="G17" s="11" t="str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 city",CHOOSE({1,2}, Super_CBSA!$E$2:$E$1917, Super_CBSA!$A$2:$A$1917), 2,FALSE), ""))</f>
        <v/>
      </c>
    </row>
    <row r="18" spans="1:7" ht="17">
      <c r="A18" s="1" t="s">
        <v>4198</v>
      </c>
      <c r="B18" s="2" t="s">
        <v>4199</v>
      </c>
      <c r="C18" s="2">
        <v>46</v>
      </c>
      <c r="D18" s="2">
        <v>822</v>
      </c>
      <c r="E18" s="3">
        <v>2503</v>
      </c>
      <c r="F18" s="4">
        <v>0</v>
      </c>
      <c r="G18" s="11" t="str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 city",CHOOSE({1,2}, Super_CBSA!$E$2:$E$1917, Super_CBSA!$A$2:$A$1917), 2,FALSE), ""))</f>
        <v/>
      </c>
    </row>
    <row r="19" spans="1:7" ht="17">
      <c r="A19" s="1" t="s">
        <v>4200</v>
      </c>
      <c r="B19" s="2" t="s">
        <v>4201</v>
      </c>
      <c r="C19" s="2">
        <v>229</v>
      </c>
      <c r="D19" s="3">
        <v>9592</v>
      </c>
      <c r="E19" s="3">
        <v>45902</v>
      </c>
      <c r="F19" s="4">
        <v>986811</v>
      </c>
      <c r="G19" s="11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 city",CHOOSE({1,2}, Super_CBSA!$E$2:$E$1917, Super_CBSA!$A$2:$A$1917), 2,FALSE), ""))</f>
        <v>30020</v>
      </c>
    </row>
    <row r="20" spans="1:7" ht="17">
      <c r="A20" s="1" t="s">
        <v>105</v>
      </c>
      <c r="B20" s="2" t="s">
        <v>4202</v>
      </c>
      <c r="C20" s="2">
        <v>45</v>
      </c>
      <c r="D20" s="3">
        <v>2310</v>
      </c>
      <c r="E20" s="3">
        <v>4819</v>
      </c>
      <c r="F20" s="4">
        <v>579224</v>
      </c>
      <c r="G20" s="11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 city",CHOOSE({1,2}, Super_CBSA!$E$2:$E$1917, Super_CBSA!$A$2:$A$1917), 2,FALSE), ""))</f>
        <v>36420</v>
      </c>
    </row>
    <row r="21" spans="1:7" ht="17">
      <c r="A21" s="1" t="s">
        <v>4203</v>
      </c>
      <c r="B21" s="2" t="s">
        <v>4204</v>
      </c>
      <c r="C21" s="2">
        <v>110</v>
      </c>
      <c r="D21" s="3">
        <v>3928</v>
      </c>
      <c r="E21" s="3">
        <v>14838</v>
      </c>
      <c r="F21" s="4">
        <v>371757</v>
      </c>
      <c r="G21" s="11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 city",CHOOSE({1,2}, Super_CBSA!$E$2:$E$1917, Super_CBSA!$A$2:$A$1917), 2,FALSE), ""))</f>
        <v>20340</v>
      </c>
    </row>
    <row r="22" spans="1:7" ht="17">
      <c r="A22" s="1" t="s">
        <v>4205</v>
      </c>
      <c r="B22" s="2" t="s">
        <v>2141</v>
      </c>
      <c r="C22" s="2">
        <v>38</v>
      </c>
      <c r="D22" s="2">
        <v>567</v>
      </c>
      <c r="E22" s="3">
        <v>1585</v>
      </c>
      <c r="F22" s="4">
        <v>27509</v>
      </c>
      <c r="G22" s="11" t="str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 city",CHOOSE({1,2}, Super_CBSA!$E$2:$E$1917, Super_CBSA!$A$2:$A$1917), 2,FALSE), ""))</f>
        <v/>
      </c>
    </row>
    <row r="23" spans="1:7" ht="17">
      <c r="A23" s="1" t="s">
        <v>1565</v>
      </c>
      <c r="B23" s="2" t="s">
        <v>4206</v>
      </c>
      <c r="C23" s="2">
        <v>49</v>
      </c>
      <c r="D23" s="2">
        <v>910</v>
      </c>
      <c r="E23" s="3">
        <v>3245</v>
      </c>
      <c r="F23" s="4">
        <v>93615</v>
      </c>
      <c r="G23" s="11" t="str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 city",CHOOSE({1,2}, Super_CBSA!$E$2:$E$1917, Super_CBSA!$A$2:$A$1917), 2,FALSE), ""))</f>
        <v/>
      </c>
    </row>
    <row r="24" spans="1:7" ht="17">
      <c r="A24" s="1" t="s">
        <v>4207</v>
      </c>
      <c r="B24" s="2" t="s">
        <v>4208</v>
      </c>
      <c r="C24" s="2">
        <v>54</v>
      </c>
      <c r="D24" s="3">
        <v>1505</v>
      </c>
      <c r="E24" s="3">
        <v>5575</v>
      </c>
      <c r="F24" s="4">
        <v>161872</v>
      </c>
      <c r="G24" s="11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 city",CHOOSE({1,2}, Super_CBSA!$E$2:$E$1917, Super_CBSA!$A$2:$A$1917), 2,FALSE), ""))</f>
        <v>21120</v>
      </c>
    </row>
    <row r="25" spans="1:7" ht="17">
      <c r="A25" s="1" t="s">
        <v>4209</v>
      </c>
      <c r="B25" s="2" t="s">
        <v>4191</v>
      </c>
      <c r="C25" s="2">
        <v>88</v>
      </c>
      <c r="D25" s="3">
        <v>5592</v>
      </c>
      <c r="E25" s="3">
        <v>21021</v>
      </c>
      <c r="F25" s="4">
        <v>442240</v>
      </c>
      <c r="G25" s="11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 city",CHOOSE({1,2}, Super_CBSA!$E$2:$E$1917, Super_CBSA!$A$2:$A$1917), 2,FALSE), ""))</f>
        <v>46140</v>
      </c>
    </row>
    <row r="26" spans="1:7" ht="17">
      <c r="A26" s="1" t="s">
        <v>4210</v>
      </c>
      <c r="B26" s="2" t="s">
        <v>4199</v>
      </c>
      <c r="C26" s="2">
        <v>65</v>
      </c>
      <c r="D26" s="3">
        <v>2593</v>
      </c>
      <c r="E26" s="3">
        <v>8511</v>
      </c>
      <c r="F26" s="4">
        <v>323962</v>
      </c>
      <c r="G26" s="11" t="str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 city",CHOOSE({1,2}, Super_CBSA!$E$2:$E$1917, Super_CBSA!$A$2:$A$1917), 2,FALSE), ""))</f>
        <v/>
      </c>
    </row>
    <row r="27" spans="1:7" ht="17">
      <c r="A27" s="1" t="s">
        <v>4211</v>
      </c>
      <c r="B27" s="2" t="s">
        <v>4212</v>
      </c>
      <c r="C27" s="2">
        <v>74</v>
      </c>
      <c r="D27" s="2">
        <v>865</v>
      </c>
      <c r="E27" s="3">
        <v>2710</v>
      </c>
      <c r="F27" s="4">
        <v>77522</v>
      </c>
      <c r="G27" s="11" t="str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 city",CHOOSE({1,2}, Super_CBSA!$E$2:$E$1917, Super_CBSA!$A$2:$A$1917), 2,FALSE), ""))</f>
        <v/>
      </c>
    </row>
    <row r="28" spans="1:7" ht="17">
      <c r="A28" s="1" t="s">
        <v>4213</v>
      </c>
      <c r="B28" s="2" t="s">
        <v>4214</v>
      </c>
      <c r="C28" s="2">
        <v>39</v>
      </c>
      <c r="D28" s="2">
        <v>707</v>
      </c>
      <c r="E28" s="3">
        <v>3597</v>
      </c>
      <c r="F28" s="4">
        <v>77013</v>
      </c>
      <c r="G28" s="11" t="str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 city",CHOOSE({1,2}, Super_CBSA!$E$2:$E$1917, Super_CBSA!$A$2:$A$1917), 2,FALSE), ""))</f>
        <v/>
      </c>
    </row>
    <row r="29" spans="1:7" ht="17">
      <c r="A29" s="1" t="s">
        <v>4215</v>
      </c>
      <c r="B29" s="2" t="s">
        <v>4216</v>
      </c>
      <c r="C29" s="2">
        <v>24</v>
      </c>
      <c r="D29" s="2">
        <v>603</v>
      </c>
      <c r="E29" s="3">
        <v>1190</v>
      </c>
      <c r="F29" s="4">
        <v>111021</v>
      </c>
      <c r="G29" s="11" t="str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 city",CHOOSE({1,2}, Super_CBSA!$E$2:$E$1917, Super_CBSA!$A$2:$A$1917), 2,FALSE), ""))</f>
        <v/>
      </c>
    </row>
    <row r="30" spans="1:7" ht="17">
      <c r="A30" s="1" t="s">
        <v>4217</v>
      </c>
      <c r="B30" s="2" t="s">
        <v>4191</v>
      </c>
      <c r="C30" s="2">
        <v>164</v>
      </c>
      <c r="D30" s="3">
        <v>9411</v>
      </c>
      <c r="E30" s="3">
        <v>45066</v>
      </c>
      <c r="F30" s="4">
        <v>816152</v>
      </c>
      <c r="G30" s="11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 city",CHOOSE({1,2}, Super_CBSA!$E$2:$E$1917, Super_CBSA!$A$2:$A$1917), 2,FALSE), ""))</f>
        <v>46140</v>
      </c>
    </row>
    <row r="31" spans="1:7" ht="17">
      <c r="A31" s="1" t="s">
        <v>4218</v>
      </c>
      <c r="B31" s="2" t="s">
        <v>4191</v>
      </c>
      <c r="C31" s="2">
        <v>480</v>
      </c>
      <c r="D31" s="3">
        <v>22448</v>
      </c>
      <c r="E31" s="3">
        <v>125933</v>
      </c>
      <c r="F31" s="4">
        <v>2888010</v>
      </c>
      <c r="G31" s="11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 city",CHOOSE({1,2}, Super_CBSA!$E$2:$E$1917, Super_CBSA!$A$2:$A$1917), 2,FALSE), ""))</f>
        <v>46140</v>
      </c>
    </row>
    <row r="32" spans="1:7" ht="17">
      <c r="A32" s="1" t="s">
        <v>4219</v>
      </c>
      <c r="B32" s="2" t="s">
        <v>4202</v>
      </c>
      <c r="C32" s="2">
        <v>667</v>
      </c>
      <c r="D32" s="3">
        <v>28269</v>
      </c>
      <c r="E32" s="3">
        <v>183529</v>
      </c>
      <c r="F32" s="4">
        <v>4250825</v>
      </c>
      <c r="G32" s="11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 city",CHOOSE({1,2}, Super_CBSA!$E$2:$E$1917, Super_CBSA!$A$2:$A$1917), 2,FALSE), ""))</f>
        <v>36420</v>
      </c>
    </row>
    <row r="33" spans="1:7" ht="17">
      <c r="A33" s="1" t="s">
        <v>4220</v>
      </c>
      <c r="B33" s="2" t="s">
        <v>4202</v>
      </c>
      <c r="C33" s="2">
        <v>231</v>
      </c>
      <c r="D33" s="3">
        <v>3972</v>
      </c>
      <c r="E33" s="3">
        <v>19047</v>
      </c>
      <c r="F33" s="4">
        <v>748506</v>
      </c>
      <c r="G33" s="11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 city",CHOOSE({1,2}, Super_CBSA!$E$2:$E$1917, Super_CBSA!$A$2:$A$1917), 2,FALSE), ""))</f>
        <v>36420</v>
      </c>
    </row>
    <row r="34" spans="1:7" ht="17">
      <c r="A34" s="1" t="s">
        <v>4221</v>
      </c>
      <c r="B34" s="2" t="s">
        <v>4222</v>
      </c>
      <c r="C34" s="2">
        <v>183</v>
      </c>
      <c r="D34" s="3">
        <v>3347</v>
      </c>
      <c r="E34" s="3">
        <v>11505</v>
      </c>
      <c r="F34" s="4">
        <v>444913</v>
      </c>
      <c r="G34" s="11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 city",CHOOSE({1,2}, Super_CBSA!$E$2:$E$1917, Super_CBSA!$A$2:$A$1917), 2,FALSE), ""))</f>
        <v>21420</v>
      </c>
    </row>
    <row r="35" spans="1:7" ht="17">
      <c r="A35" s="1" t="s">
        <v>4223</v>
      </c>
      <c r="B35" s="2" t="s">
        <v>4224</v>
      </c>
      <c r="C35" s="2">
        <v>74</v>
      </c>
      <c r="D35" s="3">
        <v>3516</v>
      </c>
      <c r="E35" s="3">
        <v>13869</v>
      </c>
      <c r="F35" s="4">
        <v>382853</v>
      </c>
      <c r="G35" s="11" t="str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 city",CHOOSE({1,2}, Super_CBSA!$E$2:$E$1917, Super_CBSA!$A$2:$A$1917), 2,FALSE), ""))</f>
        <v/>
      </c>
    </row>
    <row r="36" spans="1:7" ht="17">
      <c r="A36" s="1" t="s">
        <v>4225</v>
      </c>
      <c r="B36" s="2" t="s">
        <v>4202</v>
      </c>
      <c r="C36" s="2">
        <v>0</v>
      </c>
      <c r="D36" s="2">
        <v>0</v>
      </c>
      <c r="E36" s="2">
        <v>0</v>
      </c>
      <c r="F36" s="4">
        <v>0</v>
      </c>
      <c r="G36" s="11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 city",CHOOSE({1,2}, Super_CBSA!$E$2:$E$1917, Super_CBSA!$A$2:$A$1917), 2,FALSE), ""))</f>
        <v>36420</v>
      </c>
    </row>
    <row r="37" spans="1:7" ht="17">
      <c r="A37" s="1" t="s">
        <v>4226</v>
      </c>
      <c r="B37" s="2" t="s">
        <v>4202</v>
      </c>
      <c r="C37" s="2">
        <v>0</v>
      </c>
      <c r="D37" s="2">
        <v>0</v>
      </c>
      <c r="E37" s="2">
        <v>0</v>
      </c>
      <c r="F37" s="4">
        <v>0</v>
      </c>
      <c r="G37" s="11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 city",CHOOSE({1,2}, Super_CBSA!$E$2:$E$1917, Super_CBSA!$A$2:$A$1917), 2,FALSE), ""))</f>
        <v>36420</v>
      </c>
    </row>
    <row r="38" spans="1:7" ht="17">
      <c r="A38" s="1" t="s">
        <v>4227</v>
      </c>
      <c r="B38" s="2" t="s">
        <v>4228</v>
      </c>
      <c r="C38" s="2">
        <v>0</v>
      </c>
      <c r="D38" s="2">
        <v>0</v>
      </c>
      <c r="E38" s="2">
        <v>0</v>
      </c>
      <c r="F38" s="4">
        <v>0</v>
      </c>
      <c r="G38" s="11" t="str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 city",CHOOSE({1,2}, Super_CBSA!$E$2:$E$1917, Super_CBSA!$A$2:$A$1917), 2,FALSE), ""))</f>
        <v/>
      </c>
    </row>
    <row r="39" spans="1:7" ht="17">
      <c r="A39" s="1" t="s">
        <v>4229</v>
      </c>
      <c r="B39" s="2" t="s">
        <v>4230</v>
      </c>
      <c r="C39" s="2">
        <v>0</v>
      </c>
      <c r="D39" s="2">
        <v>0</v>
      </c>
      <c r="E39" s="2">
        <v>0</v>
      </c>
      <c r="F39" s="4">
        <v>0</v>
      </c>
      <c r="G39" s="11" t="str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 city",CHOOSE({1,2}, Super_CBSA!$E$2:$E$1917, Super_CBSA!$A$2:$A$1917), 2,FALSE), ""))</f>
        <v/>
      </c>
    </row>
    <row r="40" spans="1:7" ht="17">
      <c r="A40" s="1" t="s">
        <v>4231</v>
      </c>
      <c r="B40" s="2" t="s">
        <v>4232</v>
      </c>
      <c r="C40" s="2">
        <v>58</v>
      </c>
      <c r="D40" s="3">
        <v>1765</v>
      </c>
      <c r="E40" s="3">
        <v>6136</v>
      </c>
      <c r="F40" s="4">
        <v>200115</v>
      </c>
      <c r="G40" s="11" t="str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 city",CHOOSE({1,2}, Super_CBSA!$E$2:$E$1917, Super_CBSA!$A$2:$A$1917), 2,FALSE), ""))</f>
        <v/>
      </c>
    </row>
    <row r="41" spans="1:7" ht="17">
      <c r="A41" s="1" t="s">
        <v>4233</v>
      </c>
      <c r="B41" s="2" t="s">
        <v>4234</v>
      </c>
      <c r="C41" s="2">
        <v>40</v>
      </c>
      <c r="D41" s="3">
        <v>2790</v>
      </c>
      <c r="E41" s="3">
        <v>10390</v>
      </c>
      <c r="F41" s="4">
        <v>363211</v>
      </c>
      <c r="G41" s="11" t="str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 city",CHOOSE({1,2}, Super_CBSA!$E$2:$E$1917, Super_CBSA!$A$2:$A$1917), 2,FALSE), ""))</f>
        <v/>
      </c>
    </row>
    <row r="42" spans="1:7" ht="17">
      <c r="A42" s="1" t="s">
        <v>4235</v>
      </c>
      <c r="B42" s="2" t="s">
        <v>4202</v>
      </c>
      <c r="C42" s="2">
        <v>252</v>
      </c>
      <c r="D42" s="3">
        <v>10308</v>
      </c>
      <c r="E42" s="3">
        <v>52555</v>
      </c>
      <c r="F42" s="4">
        <v>1347490</v>
      </c>
      <c r="G42" s="11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 city",CHOOSE({1,2}, Super_CBSA!$E$2:$E$1917, Super_CBSA!$A$2:$A$1917), 2,FALSE), ""))</f>
        <v>36420</v>
      </c>
    </row>
    <row r="43" spans="1:7" ht="17">
      <c r="A43" s="1" t="s">
        <v>4236</v>
      </c>
      <c r="B43" s="2" t="s">
        <v>4237</v>
      </c>
      <c r="C43" s="2">
        <v>0</v>
      </c>
      <c r="D43" s="2">
        <v>0</v>
      </c>
      <c r="E43" s="2">
        <v>0</v>
      </c>
      <c r="F43" s="4">
        <v>0</v>
      </c>
      <c r="G43" s="11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 city",CHOOSE({1,2}, Super_CBSA!$E$2:$E$1917, Super_CBSA!$A$2:$A$1917), 2,FALSE), ""))</f>
        <v>34780</v>
      </c>
    </row>
    <row r="44" spans="1:7" ht="17">
      <c r="A44" s="1" t="s">
        <v>4238</v>
      </c>
      <c r="B44" s="2" t="s">
        <v>4239</v>
      </c>
      <c r="C44" s="2">
        <v>49</v>
      </c>
      <c r="D44" s="3">
        <v>2162</v>
      </c>
      <c r="E44" s="3">
        <v>7846</v>
      </c>
      <c r="F44" s="4">
        <v>206720</v>
      </c>
      <c r="G44" s="11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 city",CHOOSE({1,2}, Super_CBSA!$E$2:$E$1917, Super_CBSA!$A$2:$A$1917), 2,FALSE), ""))</f>
        <v>11060</v>
      </c>
    </row>
    <row r="45" spans="1:7" ht="17">
      <c r="A45" s="1" t="s">
        <v>4240</v>
      </c>
      <c r="B45" s="2" t="s">
        <v>4202</v>
      </c>
      <c r="C45" s="2">
        <v>23</v>
      </c>
      <c r="D45" s="3">
        <v>1432</v>
      </c>
      <c r="E45" s="3">
        <v>5988</v>
      </c>
      <c r="F45" s="4">
        <v>128817</v>
      </c>
      <c r="G45" s="11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 city",CHOOSE({1,2}, Super_CBSA!$E$2:$E$1917, Super_CBSA!$A$2:$A$1917), 2,FALSE), ""))</f>
        <v>36420</v>
      </c>
    </row>
    <row r="46" spans="1:7" ht="17">
      <c r="A46" s="1" t="s">
        <v>4241</v>
      </c>
      <c r="B46" s="2" t="s">
        <v>4201</v>
      </c>
      <c r="C46" s="2">
        <v>38</v>
      </c>
      <c r="D46" s="2">
        <v>319</v>
      </c>
      <c r="E46" s="3">
        <v>2546</v>
      </c>
      <c r="F46" s="4">
        <v>0</v>
      </c>
      <c r="G46" s="11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 city",CHOOSE({1,2}, Super_CBSA!$E$2:$E$1917, Super_CBSA!$A$2:$A$1917), 2,FALSE), ""))</f>
        <v>30020</v>
      </c>
    </row>
    <row r="47" spans="1:7" ht="17">
      <c r="A47" s="1" t="s">
        <v>4242</v>
      </c>
      <c r="B47" s="2" t="s">
        <v>4243</v>
      </c>
      <c r="C47" s="2">
        <v>26</v>
      </c>
      <c r="D47" s="2">
        <v>999</v>
      </c>
      <c r="E47" s="3">
        <v>6599</v>
      </c>
      <c r="F47" s="4">
        <v>13929</v>
      </c>
      <c r="G47" s="11" t="str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 city",CHOOSE({1,2}, Super_CBSA!$E$2:$E$1917, Super_CBSA!$A$2:$A$1917), 2,FALSE), ""))</f>
        <v/>
      </c>
    </row>
    <row r="48" spans="1:7" ht="17">
      <c r="A48" s="1" t="s">
        <v>4244</v>
      </c>
      <c r="B48" s="2" t="s">
        <v>4245</v>
      </c>
      <c r="C48" s="2">
        <v>153</v>
      </c>
      <c r="D48" s="3">
        <v>4135</v>
      </c>
      <c r="E48" s="3">
        <v>13156</v>
      </c>
      <c r="F48" s="4">
        <v>255493</v>
      </c>
      <c r="G48" s="11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 city",CHOOSE({1,2}, Super_CBSA!$E$2:$E$1917, Super_CBSA!$A$2:$A$1917), 2,FALSE), ""))</f>
        <v>32540</v>
      </c>
    </row>
    <row r="49" spans="1:7" ht="17">
      <c r="A49" s="1" t="s">
        <v>4246</v>
      </c>
      <c r="B49" s="2" t="s">
        <v>4202</v>
      </c>
      <c r="C49" s="2">
        <v>64</v>
      </c>
      <c r="D49" s="3">
        <v>3513</v>
      </c>
      <c r="E49" s="3">
        <v>9425</v>
      </c>
      <c r="F49" s="4">
        <v>387711</v>
      </c>
      <c r="G49" s="11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 city",CHOOSE({1,2}, Super_CBSA!$E$2:$E$1917, Super_CBSA!$A$2:$A$1917), 2,FALSE), ""))</f>
        <v>36420</v>
      </c>
    </row>
    <row r="50" spans="1:7" ht="17">
      <c r="A50" s="1" t="s">
        <v>1371</v>
      </c>
      <c r="B50" s="2" t="s">
        <v>4247</v>
      </c>
      <c r="C50" s="2">
        <v>40</v>
      </c>
      <c r="D50" s="3">
        <v>1047</v>
      </c>
      <c r="E50" s="3">
        <v>3858</v>
      </c>
      <c r="F50" s="4">
        <v>34481</v>
      </c>
      <c r="G50" s="11" t="str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 city",CHOOSE({1,2}, Super_CBSA!$E$2:$E$1917, Super_CBSA!$A$2:$A$1917), 2,FALSE), ""))</f>
        <v/>
      </c>
    </row>
    <row r="51" spans="1:7" ht="17">
      <c r="A51" s="1" t="s">
        <v>4248</v>
      </c>
      <c r="B51" s="2" t="s">
        <v>4193</v>
      </c>
      <c r="C51" s="2">
        <v>148</v>
      </c>
      <c r="D51" s="3">
        <v>3143</v>
      </c>
      <c r="E51" s="3">
        <v>12550</v>
      </c>
      <c r="F51" s="4">
        <v>320561</v>
      </c>
      <c r="G51" s="11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 city",CHOOSE({1,2}, Super_CBSA!$E$2:$E$1917, Super_CBSA!$A$2:$A$1917), 2,FALSE), ""))</f>
        <v>10220</v>
      </c>
    </row>
    <row r="52" spans="1:7" ht="17">
      <c r="A52" s="1" t="s">
        <v>4249</v>
      </c>
      <c r="B52" s="2" t="s">
        <v>4250</v>
      </c>
      <c r="C52" s="2">
        <v>180</v>
      </c>
      <c r="D52" s="3">
        <v>5725</v>
      </c>
      <c r="E52" s="3">
        <v>21639</v>
      </c>
      <c r="F52" s="4">
        <v>561528</v>
      </c>
      <c r="G52" s="11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 city",CHOOSE({1,2}, Super_CBSA!$E$2:$E$1917, Super_CBSA!$A$2:$A$1917), 2,FALSE), ""))</f>
        <v>11620</v>
      </c>
    </row>
    <row r="53" spans="1:7" ht="17">
      <c r="A53" s="1" t="s">
        <v>4251</v>
      </c>
      <c r="B53" s="2" t="s">
        <v>4202</v>
      </c>
      <c r="C53" s="2">
        <v>308</v>
      </c>
      <c r="D53" s="3">
        <v>16355</v>
      </c>
      <c r="E53" s="3">
        <v>85578</v>
      </c>
      <c r="F53" s="4">
        <v>2053289</v>
      </c>
      <c r="G53" s="11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 city",CHOOSE({1,2}, Super_CBSA!$E$2:$E$1917, Super_CBSA!$A$2:$A$1917), 2,FALSE), ""))</f>
        <v>36420</v>
      </c>
    </row>
    <row r="54" spans="1:7" ht="17">
      <c r="A54" s="1" t="s">
        <v>4252</v>
      </c>
      <c r="B54" s="2" t="s">
        <v>4253</v>
      </c>
      <c r="C54" s="2">
        <v>66</v>
      </c>
      <c r="D54" s="2">
        <v>548</v>
      </c>
      <c r="E54" s="3">
        <v>1926</v>
      </c>
      <c r="F54" s="4">
        <v>52679</v>
      </c>
      <c r="G54" s="11" t="str" cm="1">
        <f t="array" aca="1" ref="G54" ca="1">IFERROR(VLOOKUP("*" &amp; B54  &amp; "*" &amp; (MID(CELL("filename",A53),FIND("]",CELL("filename",A53))+1,31)) &amp; "*",CHOOSE({1,2}, Super_CBSA!$B$2:$B$1917, Super_CBSA!$A$2:$A$1917), 2,FALSE), IFERROR(VLOOKUP(B54  &amp; " city",CHOOSE({1,2}, Super_CBSA!$E$2:$E$1917, Super_CBSA!$A$2:$A$1917), 2,FALSE), ""))</f>
        <v/>
      </c>
    </row>
    <row r="55" spans="1:7" ht="17">
      <c r="A55" s="1" t="s">
        <v>4254</v>
      </c>
      <c r="B55" s="2" t="s">
        <v>4255</v>
      </c>
      <c r="C55" s="2">
        <v>0</v>
      </c>
      <c r="D55" s="2">
        <v>0</v>
      </c>
      <c r="E55" s="2">
        <v>0</v>
      </c>
      <c r="F55" s="4">
        <v>0</v>
      </c>
      <c r="G55" s="11" t="str" cm="1">
        <f t="array" aca="1" ref="G55" ca="1">IFERROR(VLOOKUP("*" &amp; B55  &amp; "*" &amp; (MID(CELL("filename",A54),FIND("]",CELL("filename",A54))+1,31)) &amp; "*",CHOOSE({1,2}, Super_CBSA!$B$2:$B$1917, Super_CBSA!$A$2:$A$1917), 2,FALSE), IFERROR(VLOOKUP(B55  &amp; " city",CHOOSE({1,2}, Super_CBSA!$E$2:$E$1917, Super_CBSA!$A$2:$A$1917), 2,FALSE), ""))</f>
        <v/>
      </c>
    </row>
    <row r="56" spans="1:7" ht="17">
      <c r="A56" s="1" t="s">
        <v>4256</v>
      </c>
      <c r="B56" s="2" t="s">
        <v>4255</v>
      </c>
      <c r="C56" s="2">
        <v>381</v>
      </c>
      <c r="D56" s="3">
        <v>16287</v>
      </c>
      <c r="E56" s="3">
        <v>67721</v>
      </c>
      <c r="F56" s="4">
        <v>2105418</v>
      </c>
      <c r="G56" s="11" t="str" cm="1">
        <f t="array" aca="1" ref="G56" ca="1">IFERROR(VLOOKUP("*" &amp; B56  &amp; "*" &amp; (MID(CELL("filename",A55),FIND("]",CELL("filename",A55))+1,31)) &amp; "*",CHOOSE({1,2}, Super_CBSA!$B$2:$B$1917, Super_CBSA!$A$2:$A$1917), 2,FALSE), IFERROR(VLOOKUP(B56  &amp; " city",CHOOSE({1,2}, Super_CBSA!$E$2:$E$1917, Super_CBSA!$A$2:$A$1917), 2,FALSE), ""))</f>
        <v/>
      </c>
    </row>
    <row r="57" spans="1:7" ht="17">
      <c r="A57" s="1" t="s">
        <v>4257</v>
      </c>
      <c r="B57" s="2" t="s">
        <v>4258</v>
      </c>
      <c r="C57" s="2">
        <v>90</v>
      </c>
      <c r="D57" s="3">
        <v>3850</v>
      </c>
      <c r="E57" s="3">
        <v>14951</v>
      </c>
      <c r="F57" s="4">
        <v>311181</v>
      </c>
      <c r="G57" s="11" cm="1">
        <f t="array" aca="1" ref="G57" ca="1">IFERROR(VLOOKUP("*" &amp; B57  &amp; "*" &amp; (MID(CELL("filename",A56),FIND("]",CELL("filename",A56))+1,31)) &amp; "*",CHOOSE({1,2}, Super_CBSA!$B$2:$B$1917, Super_CBSA!$A$2:$A$1917), 2,FALSE), IFERROR(VLOOKUP(B57  &amp; " city",CHOOSE({1,2}, Super_CBSA!$E$2:$E$1917, Super_CBSA!$A$2:$A$1917), 2,FALSE), ""))</f>
        <v>45140</v>
      </c>
    </row>
    <row r="58" spans="1:7" ht="17">
      <c r="A58" s="1" t="s">
        <v>4259</v>
      </c>
      <c r="B58" s="2" t="s">
        <v>4202</v>
      </c>
      <c r="C58" s="2">
        <v>9</v>
      </c>
      <c r="D58" s="2">
        <v>184</v>
      </c>
      <c r="E58" s="2">
        <v>358</v>
      </c>
      <c r="F58" s="4">
        <v>64893</v>
      </c>
      <c r="G58" s="11" cm="1">
        <f t="array" aca="1" ref="G58" ca="1">IFERROR(VLOOKUP("*" &amp; B58  &amp; "*" &amp; (MID(CELL("filename",A57),FIND("]",CELL("filename",A57))+1,31)) &amp; "*",CHOOSE({1,2}, Super_CBSA!$B$2:$B$1917, Super_CBSA!$A$2:$A$1917), 2,FALSE), IFERROR(VLOOKUP(B58  &amp; " city",CHOOSE({1,2}, Super_CBSA!$E$2:$E$1917, Super_CBSA!$A$2:$A$1917), 2,FALSE), ""))</f>
        <v>36420</v>
      </c>
    </row>
    <row r="59" spans="1:7" ht="17">
      <c r="A59" s="1" t="s">
        <v>4260</v>
      </c>
      <c r="B59" s="2" t="s">
        <v>4202</v>
      </c>
      <c r="C59" s="2">
        <v>0</v>
      </c>
      <c r="D59" s="2">
        <v>0</v>
      </c>
      <c r="E59" s="2">
        <v>0</v>
      </c>
      <c r="F59" s="4">
        <v>0</v>
      </c>
      <c r="G59" s="11" cm="1">
        <f t="array" aca="1" ref="G59" ca="1">IFERROR(VLOOKUP("*" &amp; B59  &amp; "*" &amp; (MID(CELL("filename",A58),FIND("]",CELL("filename",A58))+1,31)) &amp; "*",CHOOSE({1,2}, Super_CBSA!$B$2:$B$1917, Super_CBSA!$A$2:$A$1917), 2,FALSE), IFERROR(VLOOKUP(B59  &amp; " city",CHOOSE({1,2}, Super_CBSA!$E$2:$E$1917, Super_CBSA!$A$2:$A$1917), 2,FALSE), ""))</f>
        <v>36420</v>
      </c>
    </row>
    <row r="60" spans="1:7" ht="17">
      <c r="A60" s="1" t="s">
        <v>4261</v>
      </c>
      <c r="B60" s="2" t="s">
        <v>4202</v>
      </c>
      <c r="C60" s="2">
        <v>99</v>
      </c>
      <c r="D60" s="3">
        <v>8550</v>
      </c>
      <c r="E60" s="3">
        <v>25781</v>
      </c>
      <c r="F60" s="4">
        <v>1094585</v>
      </c>
      <c r="G60" s="11" cm="1">
        <f t="array" aca="1" ref="G60" ca="1">IFERROR(VLOOKUP("*" &amp; B60  &amp; "*" &amp; (MID(CELL("filename",A59),FIND("]",CELL("filename",A59))+1,31)) &amp; "*",CHOOSE({1,2}, Super_CBSA!$B$2:$B$1917, Super_CBSA!$A$2:$A$1917), 2,FALSE), IFERROR(VLOOKUP(B60  &amp; " city",CHOOSE({1,2}, Super_CBSA!$E$2:$E$1917, Super_CBSA!$A$2:$A$1917), 2,FALSE), ""))</f>
        <v>36420</v>
      </c>
    </row>
    <row r="61" spans="1:7" ht="17">
      <c r="A61" s="1" t="s">
        <v>4262</v>
      </c>
      <c r="B61" s="2" t="s">
        <v>4202</v>
      </c>
      <c r="C61" s="2">
        <v>44</v>
      </c>
      <c r="D61" s="3">
        <v>5045</v>
      </c>
      <c r="E61" s="3">
        <v>15509</v>
      </c>
      <c r="F61" s="4">
        <v>559840</v>
      </c>
      <c r="G61" s="11" cm="1">
        <f t="array" aca="1" ref="G61" ca="1">IFERROR(VLOOKUP("*" &amp; B61  &amp; "*" &amp; (MID(CELL("filename",A60),FIND("]",CELL("filename",A60))+1,31)) &amp; "*",CHOOSE({1,2}, Super_CBSA!$B$2:$B$1917, Super_CBSA!$A$2:$A$1917), 2,FALSE), IFERROR(VLOOKUP(B61  &amp; " city",CHOOSE({1,2}, Super_CBSA!$E$2:$E$1917, Super_CBSA!$A$2:$A$1917), 2,FALSE), ""))</f>
        <v>36420</v>
      </c>
    </row>
    <row r="62" spans="1:7" ht="17">
      <c r="A62" s="1" t="s">
        <v>4263</v>
      </c>
      <c r="B62" s="2" t="s">
        <v>4191</v>
      </c>
      <c r="C62" s="2">
        <v>0</v>
      </c>
      <c r="D62" s="2">
        <v>0</v>
      </c>
      <c r="E62" s="2">
        <v>0</v>
      </c>
      <c r="F62" s="4">
        <v>0</v>
      </c>
      <c r="G62" s="11" cm="1">
        <f t="array" aca="1" ref="G62" ca="1">IFERROR(VLOOKUP("*" &amp; B62  &amp; "*" &amp; (MID(CELL("filename",A61),FIND("]",CELL("filename",A61))+1,31)) &amp; "*",CHOOSE({1,2}, Super_CBSA!$B$2:$B$1917, Super_CBSA!$A$2:$A$1917), 2,FALSE), IFERROR(VLOOKUP(B62  &amp; " city",CHOOSE({1,2}, Super_CBSA!$E$2:$E$1917, Super_CBSA!$A$2:$A$1917), 2,FALSE), ""))</f>
        <v>46140</v>
      </c>
    </row>
    <row r="63" spans="1:7" ht="17">
      <c r="A63" s="1" t="s">
        <v>4264</v>
      </c>
      <c r="B63" s="2" t="s">
        <v>4202</v>
      </c>
      <c r="C63" s="2">
        <v>23</v>
      </c>
      <c r="D63" s="3">
        <v>1842</v>
      </c>
      <c r="E63" s="3">
        <v>4520</v>
      </c>
      <c r="F63" s="4">
        <v>261502</v>
      </c>
      <c r="G63" s="11" cm="1">
        <f t="array" aca="1" ref="G63" ca="1">IFERROR(VLOOKUP("*" &amp; B63  &amp; "*" &amp; (MID(CELL("filename",A62),FIND("]",CELL("filename",A62))+1,31)) &amp; "*",CHOOSE({1,2}, Super_CBSA!$B$2:$B$1917, Super_CBSA!$A$2:$A$1917), 2,FALSE), IFERROR(VLOOKUP(B63  &amp; " city",CHOOSE({1,2}, Super_CBSA!$E$2:$E$1917, Super_CBSA!$A$2:$A$1917), 2,FALSE), ""))</f>
        <v>36420</v>
      </c>
    </row>
    <row r="64" spans="1:7" ht="17">
      <c r="A64" s="1" t="s">
        <v>4265</v>
      </c>
      <c r="B64" s="2" t="s">
        <v>4191</v>
      </c>
      <c r="C64" s="2">
        <v>171</v>
      </c>
      <c r="D64" s="3">
        <v>6001</v>
      </c>
      <c r="E64" s="3">
        <v>24673</v>
      </c>
      <c r="F64" s="4">
        <v>471847</v>
      </c>
      <c r="G64" s="11" cm="1">
        <f t="array" aca="1" ref="G64" ca="1">IFERROR(VLOOKUP("*" &amp; B64  &amp; "*" &amp; (MID(CELL("filename",A63),FIND("]",CELL("filename",A63))+1,31)) &amp; "*",CHOOSE({1,2}, Super_CBSA!$B$2:$B$1917, Super_CBSA!$A$2:$A$1917), 2,FALSE), IFERROR(VLOOKUP(B64  &amp; " city",CHOOSE({1,2}, Super_CBSA!$E$2:$E$1917, Super_CBSA!$A$2:$A$1917), 2,FALSE), ""))</f>
        <v>46140</v>
      </c>
    </row>
    <row r="65" spans="1:7" ht="17">
      <c r="A65" s="1" t="s">
        <v>4266</v>
      </c>
      <c r="B65" s="2" t="s">
        <v>4191</v>
      </c>
      <c r="C65" s="2">
        <v>75</v>
      </c>
      <c r="D65" s="3">
        <v>4003</v>
      </c>
      <c r="E65" s="3">
        <v>8966</v>
      </c>
      <c r="F65" s="4">
        <v>385062</v>
      </c>
      <c r="G65" s="11" cm="1">
        <f t="array" aca="1" ref="G65" ca="1">IFERROR(VLOOKUP("*" &amp; B65  &amp; "*" &amp; (MID(CELL("filename",A64),FIND("]",CELL("filename",A64))+1,31)) &amp; "*",CHOOSE({1,2}, Super_CBSA!$B$2:$B$1917, Super_CBSA!$A$2:$A$1917), 2,FALSE), IFERROR(VLOOKUP(B65  &amp; " city",CHOOSE({1,2}, Super_CBSA!$E$2:$E$1917, Super_CBSA!$A$2:$A$1917), 2,FALSE), ""))</f>
        <v>46140</v>
      </c>
    </row>
    <row r="66" spans="1:7" ht="17">
      <c r="A66" s="1" t="s">
        <v>4267</v>
      </c>
      <c r="B66" s="2" t="s">
        <v>4202</v>
      </c>
      <c r="C66" s="2">
        <v>716</v>
      </c>
      <c r="D66" s="3">
        <v>34479</v>
      </c>
      <c r="E66" s="3">
        <v>211179</v>
      </c>
      <c r="F66" s="4">
        <v>6915854</v>
      </c>
      <c r="G66" s="11" cm="1">
        <f t="array" aca="1" ref="G66" ca="1">IFERROR(VLOOKUP("*" &amp; B66  &amp; "*" &amp; (MID(CELL("filename",A65),FIND("]",CELL("filename",A65))+1,31)) &amp; "*",CHOOSE({1,2}, Super_CBSA!$B$2:$B$1917, Super_CBSA!$A$2:$A$1917), 2,FALSE), IFERROR(VLOOKUP(B66  &amp; " city",CHOOSE({1,2}, Super_CBSA!$E$2:$E$1917, Super_CBSA!$A$2:$A$1917), 2,FALSE), ""))</f>
        <v>36420</v>
      </c>
    </row>
    <row r="67" spans="1:7" ht="17">
      <c r="A67" s="1" t="s">
        <v>4268</v>
      </c>
      <c r="B67" s="2" t="s">
        <v>4234</v>
      </c>
      <c r="C67" s="2">
        <v>58</v>
      </c>
      <c r="D67" s="3">
        <v>2072</v>
      </c>
      <c r="E67" s="3">
        <v>9254</v>
      </c>
      <c r="F67" s="4">
        <v>213859</v>
      </c>
      <c r="G67" s="11" t="str" cm="1">
        <f t="array" aca="1" ref="G67" ca="1">IFERROR(VLOOKUP("*" &amp; B67  &amp; "*" &amp; (MID(CELL("filename",A66),FIND("]",CELL("filename",A66))+1,31)) &amp; "*",CHOOSE({1,2}, Super_CBSA!$B$2:$B$1917, Super_CBSA!$A$2:$A$1917), 2,FALSE), IFERROR(VLOOKUP(B67  &amp; " city",CHOOSE({1,2}, Super_CBSA!$E$2:$E$1917, Super_CBSA!$A$2:$A$1917), 2,FALSE), ""))</f>
        <v/>
      </c>
    </row>
    <row r="68" spans="1:7" ht="17">
      <c r="A68" s="1" t="s">
        <v>4269</v>
      </c>
      <c r="B68" s="2" t="s">
        <v>4202</v>
      </c>
      <c r="C68" s="2">
        <v>8</v>
      </c>
      <c r="D68" s="2">
        <v>256</v>
      </c>
      <c r="E68" s="2">
        <v>739</v>
      </c>
      <c r="F68" s="4">
        <v>103882</v>
      </c>
      <c r="G68" s="11" cm="1">
        <f t="array" aca="1" ref="G68" ca="1">IFERROR(VLOOKUP("*" &amp; B68  &amp; "*" &amp; (MID(CELL("filename",A67),FIND("]",CELL("filename",A67))+1,31)) &amp; "*",CHOOSE({1,2}, Super_CBSA!$B$2:$B$1917, Super_CBSA!$A$2:$A$1917), 2,FALSE), IFERROR(VLOOKUP(B68  &amp; " city",CHOOSE({1,2}, Super_CBSA!$E$2:$E$1917, Super_CBSA!$A$2:$A$1917), 2,FALSE), ""))</f>
        <v>36420</v>
      </c>
    </row>
    <row r="69" spans="1:7" ht="17">
      <c r="A69" s="1" t="s">
        <v>4270</v>
      </c>
      <c r="B69" s="2" t="s">
        <v>1285</v>
      </c>
      <c r="C69" s="2">
        <v>26</v>
      </c>
      <c r="D69" s="2">
        <v>237</v>
      </c>
      <c r="E69" s="2">
        <v>675</v>
      </c>
      <c r="F69" s="4">
        <v>19104</v>
      </c>
      <c r="G69" s="11" t="str" cm="1">
        <f t="array" aca="1" ref="G69" ca="1">IFERROR(VLOOKUP("*" &amp; B69  &amp; "*" &amp; (MID(CELL("filename",A68),FIND("]",CELL("filename",A68))+1,31)) &amp; "*",CHOOSE({1,2}, Super_CBSA!$B$2:$B$1917, Super_CBSA!$A$2:$A$1917), 2,FALSE), IFERROR(VLOOKUP(B69  &amp; " city",CHOOSE({1,2}, Super_CBSA!$E$2:$E$1917, Super_CBSA!$A$2:$A$1917), 2,FALSE), ""))</f>
        <v/>
      </c>
    </row>
    <row r="70" spans="1:7" ht="17">
      <c r="A70" s="1" t="s">
        <v>4271</v>
      </c>
      <c r="B70" s="2" t="s">
        <v>4272</v>
      </c>
      <c r="C70" s="2">
        <v>39</v>
      </c>
      <c r="D70" s="2">
        <v>501</v>
      </c>
      <c r="E70" s="3">
        <v>1475</v>
      </c>
      <c r="F70" s="4">
        <v>32626</v>
      </c>
      <c r="G70" s="11" t="str" cm="1">
        <f t="array" aca="1" ref="G70" ca="1">IFERROR(VLOOKUP("*" &amp; B70  &amp; "*" &amp; (MID(CELL("filename",A69),FIND("]",CELL("filename",A69))+1,31)) &amp; "*",CHOOSE({1,2}, Super_CBSA!$B$2:$B$1917, Super_CBSA!$A$2:$A$1917), 2,FALSE), IFERROR(VLOOKUP(B70  &amp; " city",CHOOSE({1,2}, Super_CBSA!$E$2:$E$1917, Super_CBSA!$A$2:$A$1917), 2,FALSE), ""))</f>
        <v/>
      </c>
    </row>
    <row r="71" spans="1:7" ht="17">
      <c r="A71" s="1" t="s">
        <v>4273</v>
      </c>
      <c r="B71" s="2" t="s">
        <v>4274</v>
      </c>
      <c r="C71" s="2">
        <v>42</v>
      </c>
      <c r="D71" s="2">
        <v>503</v>
      </c>
      <c r="E71" s="3">
        <v>1524</v>
      </c>
      <c r="F71" s="4">
        <v>16400</v>
      </c>
      <c r="G71" s="11" t="str" cm="1">
        <f t="array" aca="1" ref="G71" ca="1">IFERROR(VLOOKUP("*" &amp; B71  &amp; "*" &amp; (MID(CELL("filename",A70),FIND("]",CELL("filename",A70))+1,31)) &amp; "*",CHOOSE({1,2}, Super_CBSA!$B$2:$B$1917, Super_CBSA!$A$2:$A$1917), 2,FALSE), IFERROR(VLOOKUP(B71  &amp; " city",CHOOSE({1,2}, Super_CBSA!$E$2:$E$1917, Super_CBSA!$A$2:$A$1917), 2,FALSE), ""))</f>
        <v/>
      </c>
    </row>
    <row r="72" spans="1:7" ht="17">
      <c r="A72" s="1" t="s">
        <v>1108</v>
      </c>
      <c r="B72" s="2" t="s">
        <v>4191</v>
      </c>
      <c r="C72" s="2">
        <v>883</v>
      </c>
      <c r="D72" s="3">
        <v>47097</v>
      </c>
      <c r="E72" s="3">
        <v>240913</v>
      </c>
      <c r="F72" s="4">
        <v>3815636</v>
      </c>
      <c r="G72" s="11" cm="1">
        <f t="array" aca="1" ref="G72" ca="1">IFERROR(VLOOKUP("*" &amp; B72  &amp; "*" &amp; (MID(CELL("filename",A71),FIND("]",CELL("filename",A71))+1,31)) &amp; "*",CHOOSE({1,2}, Super_CBSA!$B$2:$B$1917, Super_CBSA!$A$2:$A$1917), 2,FALSE), IFERROR(VLOOKUP(B72  &amp; " city",CHOOSE({1,2}, Super_CBSA!$E$2:$E$1917, Super_CBSA!$A$2:$A$1917), 2,FALSE), ""))</f>
        <v>46140</v>
      </c>
    </row>
    <row r="73" spans="1:7" ht="17">
      <c r="A73" s="1" t="s">
        <v>4275</v>
      </c>
      <c r="B73" s="2" t="s">
        <v>4237</v>
      </c>
      <c r="C73" s="2">
        <v>320</v>
      </c>
      <c r="D73" s="3">
        <v>7856</v>
      </c>
      <c r="E73" s="3">
        <v>38814</v>
      </c>
      <c r="F73" s="4">
        <v>573528</v>
      </c>
      <c r="G73" s="11" cm="1">
        <f t="array" aca="1" ref="G73" ca="1">IFERROR(VLOOKUP("*" &amp; B73  &amp; "*" &amp; (MID(CELL("filename",A72),FIND("]",CELL("filename",A72))+1,31)) &amp; "*",CHOOSE({1,2}, Super_CBSA!$B$2:$B$1917, Super_CBSA!$A$2:$A$1917), 2,FALSE), IFERROR(VLOOKUP(B73  &amp; " city",CHOOSE({1,2}, Super_CBSA!$E$2:$E$1917, Super_CBSA!$A$2:$A$1917), 2,FALSE), ""))</f>
        <v>34780</v>
      </c>
    </row>
    <row r="74" spans="1:7" ht="17">
      <c r="A74" s="1" t="s">
        <v>4276</v>
      </c>
      <c r="B74" s="2" t="s">
        <v>4237</v>
      </c>
      <c r="C74" s="2">
        <v>45</v>
      </c>
      <c r="D74" s="3">
        <v>1751</v>
      </c>
      <c r="E74" s="3">
        <v>4812</v>
      </c>
      <c r="F74" s="4">
        <v>80222</v>
      </c>
      <c r="G74" s="11" cm="1">
        <f t="array" aca="1" ref="G74" ca="1">IFERROR(VLOOKUP("*" &amp; B74  &amp; "*" &amp; (MID(CELL("filename",A73),FIND("]",CELL("filename",A73))+1,31)) &amp; "*",CHOOSE({1,2}, Super_CBSA!$B$2:$B$1917, Super_CBSA!$A$2:$A$1917), 2,FALSE), IFERROR(VLOOKUP(B74  &amp; " city",CHOOSE({1,2}, Super_CBSA!$E$2:$E$1917, Super_CBSA!$A$2:$A$1917), 2,FALSE), ""))</f>
        <v>34780</v>
      </c>
    </row>
    <row r="75" spans="1:7" ht="17">
      <c r="A75" s="1" t="s">
        <v>4277</v>
      </c>
      <c r="B75" s="2" t="s">
        <v>4191</v>
      </c>
      <c r="C75" s="2">
        <v>0</v>
      </c>
      <c r="D75" s="2">
        <v>0</v>
      </c>
      <c r="E75" s="2">
        <v>0</v>
      </c>
      <c r="F75" s="4">
        <v>0</v>
      </c>
      <c r="G75" s="11" cm="1">
        <f t="array" aca="1" ref="G75" ca="1">IFERROR(VLOOKUP("*" &amp; B75  &amp; "*" &amp; (MID(CELL("filename",A74),FIND("]",CELL("filename",A74))+1,31)) &amp; "*",CHOOSE({1,2}, Super_CBSA!$B$2:$B$1917, Super_CBSA!$A$2:$A$1917), 2,FALSE), IFERROR(VLOOKUP(B75  &amp; " city",CHOOSE({1,2}, Super_CBSA!$E$2:$E$1917, Super_CBSA!$A$2:$A$1917), 2,FALSE), ""))</f>
        <v>46140</v>
      </c>
    </row>
    <row r="76" spans="1:7" ht="17">
      <c r="A76" s="1" t="s">
        <v>4278</v>
      </c>
      <c r="B76" s="2" t="s">
        <v>4279</v>
      </c>
      <c r="C76" s="2">
        <v>55</v>
      </c>
      <c r="D76" s="2">
        <v>734</v>
      </c>
      <c r="E76" s="3">
        <v>2389</v>
      </c>
      <c r="F76" s="4">
        <v>72771</v>
      </c>
      <c r="G76" s="11" t="str" cm="1">
        <f t="array" aca="1" ref="G76" ca="1">IFERROR(VLOOKUP("*" &amp; B76  &amp; "*" &amp; (MID(CELL("filename",A75),FIND("]",CELL("filename",A75))+1,31)) &amp; "*",CHOOSE({1,2}, Super_CBSA!$B$2:$B$1917, Super_CBSA!$A$2:$A$1917), 2,FALSE), IFERROR(VLOOKUP(B76  &amp; " city",CHOOSE({1,2}, Super_CBSA!$E$2:$E$1917, Super_CBSA!$A$2:$A$1917), 2,FALSE), ""))</f>
        <v/>
      </c>
    </row>
    <row r="77" spans="1:7" ht="17">
      <c r="A77" s="1" t="s">
        <v>4280</v>
      </c>
      <c r="B77" s="2" t="s">
        <v>4281</v>
      </c>
      <c r="C77" s="2">
        <v>44</v>
      </c>
      <c r="D77" s="3">
        <v>2129</v>
      </c>
      <c r="E77" s="3">
        <v>4728</v>
      </c>
      <c r="F77" s="4">
        <v>261999</v>
      </c>
      <c r="G77" s="11" t="str" cm="1">
        <f t="array" aca="1" ref="G77" ca="1">IFERROR(VLOOKUP("*" &amp; B77  &amp; "*" &amp; (MID(CELL("filename",A76),FIND("]",CELL("filename",A76))+1,31)) &amp; "*",CHOOSE({1,2}, Super_CBSA!$B$2:$B$1917, Super_CBSA!$A$2:$A$1917), 2,FALSE), IFERROR(VLOOKUP(B77  &amp; " city",CHOOSE({1,2}, Super_CBSA!$E$2:$E$1917, Super_CBSA!$A$2:$A$1917), 2,FALSE), ""))</f>
        <v/>
      </c>
    </row>
    <row r="78" spans="1:7" ht="17">
      <c r="A78" s="1" t="s">
        <v>4282</v>
      </c>
      <c r="B78" s="2" t="s">
        <v>4191</v>
      </c>
      <c r="C78" s="2">
        <v>495</v>
      </c>
      <c r="D78" s="3">
        <v>27746</v>
      </c>
      <c r="E78" s="3">
        <v>149735</v>
      </c>
      <c r="F78" s="4">
        <v>1996168</v>
      </c>
      <c r="G78" s="11" cm="1">
        <f t="array" aca="1" ref="G78" ca="1">IFERROR(VLOOKUP("*" &amp; B78  &amp; "*" &amp; (MID(CELL("filename",A77),FIND("]",CELL("filename",A77))+1,31)) &amp; "*",CHOOSE({1,2}, Super_CBSA!$B$2:$B$1917, Super_CBSA!$A$2:$A$1917), 2,FALSE), IFERROR(VLOOKUP(B78  &amp; " city",CHOOSE({1,2}, Super_CBSA!$E$2:$E$1917, Super_CBSA!$A$2:$A$1917), 2,FALSE), ""))</f>
        <v>46140</v>
      </c>
    </row>
    <row r="79" spans="1:7" ht="17">
      <c r="A79" s="1" t="s">
        <v>2726</v>
      </c>
      <c r="B79" s="2" t="s">
        <v>4222</v>
      </c>
      <c r="C79" s="2">
        <v>164</v>
      </c>
      <c r="D79" s="3">
        <v>5181</v>
      </c>
      <c r="E79" s="3">
        <v>19250</v>
      </c>
      <c r="F79" s="4">
        <v>558291</v>
      </c>
      <c r="G79" s="11" cm="1">
        <f t="array" aca="1" ref="G79" ca="1">IFERROR(VLOOKUP("*" &amp; B79  &amp; "*" &amp; (MID(CELL("filename",A78),FIND("]",CELL("filename",A78))+1,31)) &amp; "*",CHOOSE({1,2}, Super_CBSA!$B$2:$B$1917, Super_CBSA!$A$2:$A$1917), 2,FALSE), IFERROR(VLOOKUP(B79  &amp; " city",CHOOSE({1,2}, Super_CBSA!$E$2:$E$1917, Super_CBSA!$A$2:$A$1917), 2,FALSE), ""))</f>
        <v>21420</v>
      </c>
    </row>
    <row r="80" spans="1:7" ht="17">
      <c r="A80" s="1" t="s">
        <v>4283</v>
      </c>
      <c r="B80" s="2" t="s">
        <v>4284</v>
      </c>
      <c r="C80" s="2">
        <v>41</v>
      </c>
      <c r="D80" s="2">
        <v>505</v>
      </c>
      <c r="E80" s="3">
        <v>2028</v>
      </c>
      <c r="F80" s="4">
        <v>39483</v>
      </c>
      <c r="G80" s="11" t="str" cm="1">
        <f t="array" aca="1" ref="G80" ca="1">IFERROR(VLOOKUP("*" &amp; B80  &amp; "*" &amp; (MID(CELL("filename",A79),FIND("]",CELL("filename",A79))+1,31)) &amp; "*",CHOOSE({1,2}, Super_CBSA!$B$2:$B$1917, Super_CBSA!$A$2:$A$1917), 2,FALSE), IFERROR(VLOOKUP(B80  &amp; " city",CHOOSE({1,2}, Super_CBSA!$E$2:$E$1917, Super_CBSA!$A$2:$A$1917), 2,FALSE), ""))</f>
        <v/>
      </c>
    </row>
    <row r="81" spans="1:7" ht="17">
      <c r="A81" s="1" t="s">
        <v>4285</v>
      </c>
      <c r="B81" s="2" t="s">
        <v>4202</v>
      </c>
      <c r="C81" s="2">
        <v>10</v>
      </c>
      <c r="D81" s="2">
        <v>779</v>
      </c>
      <c r="E81" s="3">
        <v>1636</v>
      </c>
      <c r="F81" s="4">
        <v>220036</v>
      </c>
      <c r="G81" s="11" cm="1">
        <f t="array" aca="1" ref="G81" ca="1">IFERROR(VLOOKUP("*" &amp; B81  &amp; "*" &amp; (MID(CELL("filename",A80),FIND("]",CELL("filename",A80))+1,31)) &amp; "*",CHOOSE({1,2}, Super_CBSA!$B$2:$B$1917, Super_CBSA!$A$2:$A$1917), 2,FALSE), IFERROR(VLOOKUP(B81  &amp; " city",CHOOSE({1,2}, Super_CBSA!$E$2:$E$1917, Super_CBSA!$A$2:$A$1917), 2,FALSE), ""))</f>
        <v>36420</v>
      </c>
    </row>
    <row r="82" spans="1:7" ht="17">
      <c r="A82" s="1" t="s">
        <v>4286</v>
      </c>
      <c r="B82" s="2" t="s">
        <v>4201</v>
      </c>
      <c r="C82" s="2">
        <v>140</v>
      </c>
      <c r="D82" s="3">
        <v>3852</v>
      </c>
      <c r="E82" s="3">
        <v>14860</v>
      </c>
      <c r="F82" s="4">
        <v>387205</v>
      </c>
      <c r="G82" s="11" cm="1">
        <f t="array" aca="1" ref="G82" ca="1">IFERROR(VLOOKUP("*" &amp; B82  &amp; "*" &amp; (MID(CELL("filename",A81),FIND("]",CELL("filename",A81))+1,31)) &amp; "*",CHOOSE({1,2}, Super_CBSA!$B$2:$B$1917, Super_CBSA!$A$2:$A$1917), 2,FALSE), IFERROR(VLOOKUP(B82  &amp; " city",CHOOSE({1,2}, Super_CBSA!$E$2:$E$1917, Super_CBSA!$A$2:$A$1917), 2,FALSE), ""))</f>
        <v>30020</v>
      </c>
    </row>
    <row r="83" spans="1:7" ht="17">
      <c r="A83" s="1" t="s">
        <v>4287</v>
      </c>
      <c r="B83" s="2" t="s">
        <v>4202</v>
      </c>
      <c r="C83" s="2">
        <v>33</v>
      </c>
      <c r="D83" s="3">
        <v>1461</v>
      </c>
      <c r="E83" s="3">
        <v>3743</v>
      </c>
      <c r="F83" s="4">
        <v>90202</v>
      </c>
      <c r="G83" s="11" cm="1">
        <f t="array" aca="1" ref="G83" ca="1">IFERROR(VLOOKUP("*" &amp; B83  &amp; "*" &amp; (MID(CELL("filename",A82),FIND("]",CELL("filename",A82))+1,31)) &amp; "*",CHOOSE({1,2}, Super_CBSA!$B$2:$B$1917, Super_CBSA!$A$2:$A$1917), 2,FALSE), IFERROR(VLOOKUP(B83  &amp; " city",CHOOSE({1,2}, Super_CBSA!$E$2:$E$1917, Super_CBSA!$A$2:$A$1917), 2,FALSE), ""))</f>
        <v>36420</v>
      </c>
    </row>
    <row r="84" spans="1:7" ht="17">
      <c r="A84" s="1" t="s">
        <v>4288</v>
      </c>
      <c r="B84" s="2" t="s">
        <v>4202</v>
      </c>
      <c r="C84" s="2">
        <v>600</v>
      </c>
      <c r="D84" s="3">
        <v>21797</v>
      </c>
      <c r="E84" s="3">
        <v>103081</v>
      </c>
      <c r="F84" s="4">
        <v>2688217</v>
      </c>
      <c r="G84" s="11" cm="1">
        <f t="array" aca="1" ref="G84" ca="1">IFERROR(VLOOKUP("*" &amp; B84  &amp; "*" &amp; (MID(CELL("filename",A83),FIND("]",CELL("filename",A83))+1,31)) &amp; "*",CHOOSE({1,2}, Super_CBSA!$B$2:$B$1917, Super_CBSA!$A$2:$A$1917), 2,FALSE), IFERROR(VLOOKUP(B84  &amp; " city",CHOOSE({1,2}, Super_CBSA!$E$2:$E$1917, Super_CBSA!$A$2:$A$1917), 2,FALSE), ""))</f>
        <v>36420</v>
      </c>
    </row>
    <row r="85" spans="1:7" ht="17">
      <c r="A85" s="1" t="s">
        <v>4289</v>
      </c>
      <c r="B85" s="2" t="s">
        <v>4290</v>
      </c>
      <c r="C85" s="2">
        <v>77</v>
      </c>
      <c r="D85" s="3">
        <v>2595</v>
      </c>
      <c r="E85" s="3">
        <v>15993</v>
      </c>
      <c r="F85" s="4">
        <v>425419</v>
      </c>
      <c r="G85" s="11" cm="1">
        <f t="array" aca="1" ref="G85" ca="1">IFERROR(VLOOKUP("*" &amp; B85  &amp; "*" &amp; (MID(CELL("filename",A84),FIND("]",CELL("filename",A84))+1,31)) &amp; "*",CHOOSE({1,2}, Super_CBSA!$B$2:$B$1917, Super_CBSA!$A$2:$A$1917), 2,FALSE), IFERROR(VLOOKUP(B85  &amp; " city",CHOOSE({1,2}, Super_CBSA!$E$2:$E$1917, Super_CBSA!$A$2:$A$1917), 2,FALSE), ""))</f>
        <v>43060</v>
      </c>
    </row>
    <row r="86" spans="1:7" ht="17">
      <c r="A86" s="1" t="s">
        <v>4291</v>
      </c>
      <c r="B86" s="2" t="s">
        <v>2935</v>
      </c>
      <c r="C86" s="2">
        <v>103</v>
      </c>
      <c r="D86" s="3">
        <v>3400</v>
      </c>
      <c r="E86" s="3">
        <v>10463</v>
      </c>
      <c r="F86" s="4">
        <v>590809</v>
      </c>
      <c r="G86" s="11" cm="1">
        <f t="array" aca="1" ref="G86" ca="1">IFERROR(VLOOKUP("*" &amp; B86  &amp; "*" &amp; (MID(CELL("filename",A85),FIND("]",CELL("filename",A85))+1,31)) &amp; "*",CHOOSE({1,2}, Super_CBSA!$B$2:$B$1917, Super_CBSA!$A$2:$A$1917), 2,FALSE), IFERROR(VLOOKUP(B86  &amp; " city",CHOOSE({1,2}, Super_CBSA!$E$2:$E$1917, Super_CBSA!$A$2:$A$1917), 2,FALSE), ""))</f>
        <v>44660</v>
      </c>
    </row>
    <row r="87" spans="1:7" ht="17">
      <c r="A87" s="1" t="s">
        <v>4292</v>
      </c>
      <c r="B87" s="2" t="s">
        <v>4234</v>
      </c>
      <c r="C87" s="2">
        <v>9</v>
      </c>
      <c r="D87" s="2">
        <v>556</v>
      </c>
      <c r="E87" s="3">
        <v>1119</v>
      </c>
      <c r="F87" s="4">
        <v>425218</v>
      </c>
      <c r="G87" s="11" t="str" cm="1">
        <f t="array" aca="1" ref="G87" ca="1">IFERROR(VLOOKUP("*" &amp; B87  &amp; "*" &amp; (MID(CELL("filename",A86),FIND("]",CELL("filename",A86))+1,31)) &amp; "*",CHOOSE({1,2}, Super_CBSA!$B$2:$B$1917, Super_CBSA!$A$2:$A$1917), 2,FALSE), IFERROR(VLOOKUP(B87  &amp; " city",CHOOSE({1,2}, Super_CBSA!$E$2:$E$1917, Super_CBSA!$A$2:$A$1917), 2,FALSE), ""))</f>
        <v/>
      </c>
    </row>
    <row r="88" spans="1:7" ht="17">
      <c r="A88" s="1" t="s">
        <v>4293</v>
      </c>
      <c r="B88" s="2" t="s">
        <v>4202</v>
      </c>
      <c r="C88" s="2">
        <v>12</v>
      </c>
      <c r="D88" s="2">
        <v>204</v>
      </c>
      <c r="E88" s="2">
        <v>422</v>
      </c>
      <c r="F88" s="4">
        <v>83671</v>
      </c>
      <c r="G88" s="11" cm="1">
        <f t="array" aca="1" ref="G88" ca="1">IFERROR(VLOOKUP("*" &amp; B88  &amp; "*" &amp; (MID(CELL("filename",A87),FIND("]",CELL("filename",A87))+1,31)) &amp; "*",CHOOSE({1,2}, Super_CBSA!$B$2:$B$1917, Super_CBSA!$A$2:$A$1917), 2,FALSE), IFERROR(VLOOKUP(B88  &amp; " city",CHOOSE({1,2}, Super_CBSA!$E$2:$E$1917, Super_CBSA!$A$2:$A$1917), 2,FALSE), ""))</f>
        <v>36420</v>
      </c>
    </row>
    <row r="89" spans="1:7" ht="17">
      <c r="A89" s="1" t="s">
        <v>4294</v>
      </c>
      <c r="B89" s="2" t="s">
        <v>4191</v>
      </c>
      <c r="C89" s="2">
        <v>38</v>
      </c>
      <c r="D89" s="3">
        <v>1066</v>
      </c>
      <c r="E89" s="3">
        <v>3259</v>
      </c>
      <c r="F89" s="4">
        <v>326563</v>
      </c>
      <c r="G89" s="11" cm="1">
        <f t="array" aca="1" ref="G89" ca="1">IFERROR(VLOOKUP("*" &amp; B89  &amp; "*" &amp; (MID(CELL("filename",A88),FIND("]",CELL("filename",A88))+1,31)) &amp; "*",CHOOSE({1,2}, Super_CBSA!$B$2:$B$1917, Super_CBSA!$A$2:$A$1917), 2,FALSE), IFERROR(VLOOKUP(B89  &amp; " city",CHOOSE({1,2}, Super_CBSA!$E$2:$E$1917, Super_CBSA!$A$2:$A$1917), 2,FALSE), ""))</f>
        <v>46140</v>
      </c>
    </row>
    <row r="90" spans="1:7" ht="17">
      <c r="A90" s="1" t="s">
        <v>4295</v>
      </c>
      <c r="B90" s="2" t="s">
        <v>4258</v>
      </c>
      <c r="C90" s="2">
        <v>52</v>
      </c>
      <c r="D90" s="3">
        <v>2360</v>
      </c>
      <c r="E90" s="3">
        <v>6560</v>
      </c>
      <c r="F90" s="4">
        <v>0</v>
      </c>
      <c r="G90" s="11" cm="1">
        <f t="array" aca="1" ref="G90" ca="1">IFERROR(VLOOKUP("*" &amp; B90  &amp; "*" &amp; (MID(CELL("filename",A89),FIND("]",CELL("filename",A89))+1,31)) &amp; "*",CHOOSE({1,2}, Super_CBSA!$B$2:$B$1917, Super_CBSA!$A$2:$A$1917), 2,FALSE), IFERROR(VLOOKUP(B90  &amp; " city",CHOOSE({1,2}, Super_CBSA!$E$2:$E$1917, Super_CBSA!$A$2:$A$1917), 2,FALSE), ""))</f>
        <v>45140</v>
      </c>
    </row>
    <row r="91" spans="1:7" ht="17">
      <c r="A91" s="1" t="s">
        <v>4296</v>
      </c>
      <c r="B91" s="2" t="s">
        <v>4297</v>
      </c>
      <c r="C91" s="2">
        <v>100</v>
      </c>
      <c r="D91" s="3">
        <v>2597</v>
      </c>
      <c r="E91" s="3">
        <v>13758</v>
      </c>
      <c r="F91" s="4">
        <v>56155</v>
      </c>
      <c r="G91" s="11" t="str" cm="1">
        <f t="array" aca="1" ref="G91" ca="1">IFERROR(VLOOKUP("*" &amp; B91  &amp; "*" &amp; (MID(CELL("filename",A90),FIND("]",CELL("filename",A90))+1,31)) &amp; "*",CHOOSE({1,2}, Super_CBSA!$B$2:$B$1917, Super_CBSA!$A$2:$A$1917), 2,FALSE), IFERROR(VLOOKUP(B91  &amp; " city",CHOOSE({1,2}, Super_CBSA!$E$2:$E$1917, Super_CBSA!$A$2:$A$1917), 2,FALSE), ""))</f>
        <v/>
      </c>
    </row>
    <row r="92" spans="1:7" ht="17">
      <c r="A92" s="2" t="s">
        <v>56</v>
      </c>
      <c r="B92" s="2"/>
      <c r="C92" s="3">
        <v>10289</v>
      </c>
      <c r="D92" s="3">
        <v>406719</v>
      </c>
      <c r="E92" s="3">
        <v>1895322</v>
      </c>
      <c r="F92" s="4">
        <v>48108606</v>
      </c>
    </row>
  </sheetData>
  <hyperlinks>
    <hyperlink ref="A2" r:id="rId1" display="https://www.ahd.com/free_profile/370004/_INTEGRIS_Miami_Hospital_/Miami/Oklahoma/" xr:uid="{D1C67FCA-AD6F-5B45-B3C1-4D7AF1973B82}"/>
    <hyperlink ref="A3" r:id="rId2" display="https://www.ahd.com/free_profile/370029/AllianceHealth_Clinton/Clinton/Oklahoma/" xr:uid="{43B0C008-B09F-7F4E-85CC-403FA1A8C33D}"/>
    <hyperlink ref="A4" r:id="rId3" display="https://www.ahd.com/free_profile/370014/AllianceHealth_Durant/Durant/Oklahoma/" xr:uid="{684C55AA-C1A1-BE44-B57F-FBBD01A2681E}"/>
    <hyperlink ref="A5" r:id="rId4" display="https://www.ahd.com/free_profile/370094/AllianceHealth_Midwest_/Midwest_City/Oklahoma/" xr:uid="{9EF23030-998B-1F48-A73A-AA503CF06F2A}"/>
    <hyperlink ref="A6" r:id="rId5" display="https://www.ahd.com/free_profile/370006/AllianceHealth_Ponca_City/Ponca_City/Oklahoma/" xr:uid="{F683EEBF-B27B-A246-9183-7ADB0124B200}"/>
    <hyperlink ref="A7" r:id="rId6" display="https://www.ahd.com/free_profile/370229/AllianceHealth_Seminole/Seminole/Oklahoma/" xr:uid="{4833851C-9EF1-2040-A09B-7D123124AFE3}"/>
    <hyperlink ref="A8" r:id="rId7" display="https://www.ahd.com/free_profile/370002/AllianceHealth_Woodward/Woodward/Oklahoma/" xr:uid="{1989AB91-942B-C248-90C1-235FCB12EE98}"/>
    <hyperlink ref="A9" r:id="rId8" display="https://www.ahd.com/free_profile/370018/Ascension_Jane_Phillips_Medical_Center/Bartlesville/Oklahoma/" xr:uid="{0C9BACDD-D774-314B-BE74-F9194C0F8129}"/>
    <hyperlink ref="A10" r:id="rId9" display="https://www.ahd.com/free_profile/370227/Ascension_Saint_John_Owasso/Owasso/Oklahoma/" xr:uid="{E03752B8-BBD6-CF48-9FF2-B13CDB001F13}"/>
    <hyperlink ref="A11" r:id="rId10" display="https://www.ahd.com/free_profile/370228/Bailey_Medical_Center/Owasso/Oklahoma/" xr:uid="{F7B2F06E-7BA1-424F-A6F2-F4E63BC09E1A}"/>
    <hyperlink ref="A12" r:id="rId11" display="https://www.ahd.com/free_profile/370030/Blackwell_Regional_Hospital/Blackwell/Oklahoma/" xr:uid="{EC822242-C318-4F40-8E56-133B8CD48979}"/>
    <hyperlink ref="A13" r:id="rId12" display="https://www.ahd.com/free_profile/370041/Bristow_Medical_Center/Bristow/Oklahoma/" xr:uid="{A87178FB-3164-2740-95BE-1943B6D22003}"/>
    <hyperlink ref="A14" r:id="rId13" display="https://www.ahd.com/free_profile/370190/Cancer_Treatment_Centers_of_America_Tulsa/Tulsa/Oklahoma/" xr:uid="{3C824B6E-20E7-F449-94F3-2FF543EEF41A}"/>
    <hyperlink ref="A15" r:id="rId14" display="https://www.ahd.com/free_profile/370180/Chickasaw_Nation_Medical_Center/Ada/Oklahoma/" xr:uid="{10888CE1-F16E-1044-8F08-7CFDB0DF07C5}"/>
    <hyperlink ref="A16" r:id="rId15" display="https://www.ahd.com/free_profile/370100/Choctaw_Memorial_Hospital/Hugo/Oklahoma/" xr:uid="{141671B6-5E30-2047-AA80-BE40873949E8}"/>
    <hyperlink ref="A17" r:id="rId16" display="https://www.ahd.com/free_profile/370172/Choctaw_Nation_Health_Care_Center/Talihina/Oklahoma/" xr:uid="{9D296C34-942D-B346-BF62-0AD5EE27229D}"/>
    <hyperlink ref="A18" r:id="rId17" display="https://www.ahd.com/free_profile/370173/Claremore_IHS_Hospital/Claremore/Oklahoma/" xr:uid="{7B682876-7D9A-2348-AE29-747A8440BD4D}"/>
    <hyperlink ref="A19" r:id="rId18" display="https://www.ahd.com/free_profile/370056/Comanche_County_Memorial_Hospital/Lawton/Oklahoma/" xr:uid="{1D6556E6-11DD-B64C-8077-D459C72F0D3F}"/>
    <hyperlink ref="A20" r:id="rId19" display="https://www.ahd.com/free_profile/370203/Community_Hospital_/Oklahoma_City/Oklahoma/" xr:uid="{E0365BF3-9753-3D48-A5FF-4ADFAAC178CA}"/>
    <hyperlink ref="A21" r:id="rId20" display="https://www.ahd.com/free_profile/370023/Duncan_Regional_Hospital/Duncan/Oklahoma/" xr:uid="{2208F418-21A2-104D-ABD5-3C05CA785079}"/>
    <hyperlink ref="A22" r:id="rId21" display="https://www.ahd.com/free_profile/370153/Elkview_General_Hospital/Hobart/Oklahoma/" xr:uid="{808FA0D2-E357-AE47-B558-BA9A7340539B}"/>
    <hyperlink ref="A23" r:id="rId22" display="https://www.ahd.com/free_profile/370054/Grady_Memorial_Hospital/Chickasha/Oklahoma/" xr:uid="{84D2B90F-D6DA-D045-ADBF-BAC89169B80C}"/>
    <hyperlink ref="A24" r:id="rId23" display="https://www.ahd.com/free_profile/370019/Great_Plains_Regional_Medical_Center/Elk_City/Oklahoma/" xr:uid="{623639BB-7E73-8B4E-8154-533EEF050153}"/>
    <hyperlink ref="A25" r:id="rId24" display="https://www.ahd.com/free_profile/370218/Heart_Hospital_at_Saint_Francis/Tulsa/Oklahoma/" xr:uid="{7AA66A93-02CA-7248-BA3D-47D246245457}"/>
    <hyperlink ref="A26" r:id="rId25" display="https://www.ahd.com/free_profile/370039/Hillcrest_Hospital_Claremore/Claremore/Oklahoma/" xr:uid="{44900AFF-78EC-A943-9D2A-5798665E1A62}"/>
    <hyperlink ref="A27" r:id="rId26" display="https://www.ahd.com/free_profile/370099/Hillcrest_Hospital_Cushing/Cushing/Oklahoma/" xr:uid="{1CC0C8F8-81CA-2346-A64D-9A94DA097244}"/>
    <hyperlink ref="A28" r:id="rId27" display="https://www.ahd.com/free_profile/370183/Hillcrest_Hospital_Henryetta/Henryetta/Oklahoma/" xr:uid="{7BCD3E94-969D-D34B-9E53-E902E3E94B52}"/>
    <hyperlink ref="A29" r:id="rId28" display="https://www.ahd.com/free_profile/370015/Hillcrest_Hospital_Pryor/Pryor/Oklahoma/" xr:uid="{A23233A4-EEA4-854C-9F83-BBD0BB506328}"/>
    <hyperlink ref="A30" r:id="rId29" display="https://www.ahd.com/free_profile/370202/Hillcrest_Hospital_South/Tulsa/Oklahoma/" xr:uid="{63CBD130-28A0-D340-AD57-CE63B362048D}"/>
    <hyperlink ref="A31" r:id="rId30" display="https://www.ahd.com/free_profile/370001/Hillcrest_Medical_Center/Tulsa/Oklahoma/" xr:uid="{05F168A0-7EAC-C641-8BCB-7C6A65FA1684}"/>
    <hyperlink ref="A32" r:id="rId31" display="https://www.ahd.com/free_profile/370028/INTEGRIS_Baptist_Medical_Center/Oklahoma_City/Oklahoma/" xr:uid="{819E68AA-3FBB-3645-9D57-EF3198B45A5F}"/>
    <hyperlink ref="A33" r:id="rId32" display="https://www.ahd.com/free_profile/370032/INTEGRIS_Baptist_Medical_Center_Portland_Avenue/Oklahoma_City/Oklahoma/" xr:uid="{709C84E8-40DA-D249-9B61-EC33D1FB37D3}"/>
    <hyperlink ref="A34" r:id="rId33" display="https://www.ahd.com/free_profile/370016/INTEGRIS_Bass_Baptist_Health_Center/Enid/Oklahoma/" xr:uid="{431A6067-8F77-AC44-AD5D-8BB9A822A187}"/>
    <hyperlink ref="A35" r:id="rId34" display="https://www.ahd.com/free_profile/370211/INTEGRIS_Canadian_Valley_Regional_Hospital/Yukon/Oklahoma/" xr:uid="{1F7F9742-9A7E-8F41-B458-688708CB1C83}"/>
    <hyperlink ref="A36" r:id="rId35" display="https://www.ahd.com/free_profile/370240/INTEGRIS_Community_Hospital_at_Council_Crossing/Oklahoma_City/Oklahoma/" xr:uid="{1F905003-C2B4-8642-A00D-F0F655FE7632}"/>
    <hyperlink ref="A37" r:id="rId36" display="https://www.ahd.com/free_profile/I42320/INTEGRIS_Community_Hospital_at_OKC_West/Oklahoma_City/Oklahoma/" xr:uid="{9A3E1658-0F59-0948-90EF-CB3CA244D6D2}"/>
    <hyperlink ref="A38" r:id="rId37" display="https://www.ahd.com/free_profile/I42319/INTEGRIS_Community_Hospital_in_Del_City/Del_City/Oklahoma/" xr:uid="{46354DF4-3698-FB4E-9967-60B03CA2D598}"/>
    <hyperlink ref="A39" r:id="rId38" display="https://www.ahd.com/free_profile/I42317/INTEGRIS_Community_Hospital_in_Moore/Moore/Oklahoma/" xr:uid="{F3BF42F9-3932-EC4B-8E49-E078B6B28433}"/>
    <hyperlink ref="A40" r:id="rId39" display="https://www.ahd.com/free_profile/370113/INTEGRIS_Grove_Hospital/Grove/Oklahoma/" xr:uid="{0DDB3F8A-6B13-A14B-910F-6FA39A51B036}"/>
    <hyperlink ref="A41" r:id="rId40" display="https://www.ahd.com/free_profile/370236/INTEGRIS_Health_Edmond/Edmond/Oklahoma/" xr:uid="{F9F58EFF-20B7-8248-B538-F46A12C4678D}"/>
    <hyperlink ref="A42" r:id="rId41" display="https://www.ahd.com/free_profile/370106/INTEGRIS_Southwest_Medical_Center/Oklahoma_City/Oklahoma/" xr:uid="{8DDAC63E-7857-2B43-9046-23A6D1D8A8C0}"/>
    <hyperlink ref="A43" r:id="rId42" display="https://www.ahd.com/free_profile/37012F/Jack_C_Montgomery_VA_Medical_Center/Muskogee/Oklahoma/" xr:uid="{82B8E8BF-37BB-A74A-B24E-8622A9810C3D}"/>
    <hyperlink ref="A44" r:id="rId43" display="https://www.ahd.com/free_profile/370022/Jackson_County_Memorial_Hospital/Altus/Oklahoma/" xr:uid="{E41C4B83-6AA2-B448-A436-6280FB5CB86B}"/>
    <hyperlink ref="A45" r:id="rId44" display="https://www.ahd.com/free_profile/370199/Lakeside_Women%27s_Hospital/Oklahoma_City/Oklahoma/" xr:uid="{80953BC1-E3BF-434B-803C-EC9E6E307C66}"/>
    <hyperlink ref="A46" r:id="rId45" display="https://www.ahd.com/free_profile/370170/Lawton_Indian_Hospital/Lawton/Oklahoma/" xr:uid="{BCF15485-9E09-8D40-BBC0-BE4C9D5F1D58}"/>
    <hyperlink ref="A47" r:id="rId46" display="https://www.ahd.com/free_profile/370214/Lindsay_Municipal_Hospital/Lindsay/Oklahoma/" xr:uid="{A417ADE3-8285-3945-B1FE-A028558964D5}"/>
    <hyperlink ref="A48" r:id="rId47" display="https://www.ahd.com/free_profile/370034/McAlester_Regional_Health_Center/McAlester/Oklahoma/" xr:uid="{778A852C-D94A-CE40-A7A2-3B07F838C49C}"/>
    <hyperlink ref="A49" r:id="rId48" display="https://www.ahd.com/free_profile/370222/McBride_Clinic_Orthopedic_Hospital/Oklahoma_City/Oklahoma/" xr:uid="{EDDD30F9-0BA8-014B-B830-C50B50B92B24}"/>
    <hyperlink ref="A50" r:id="rId49" display="https://www.ahd.com/free_profile/370178/Memorial_Hospital/Stilwell/Oklahoma/" xr:uid="{11ACAF2C-980A-0E40-BB60-78C1DDACACA1}"/>
    <hyperlink ref="A51" r:id="rId50" display="https://www.ahd.com/free_profile/370020/Mercy_Hospital_Ada/Ada/Oklahoma/" xr:uid="{3EE0CA01-6D33-FD4B-A766-D7BBD91102CE}"/>
    <hyperlink ref="A52" r:id="rId51" display="https://www.ahd.com/free_profile/370047/Mercy_Hospital_Ardmore/Ardmore/Oklahoma/" xr:uid="{198C958A-BECA-E54E-BEC3-72B4AC9DBD98}"/>
    <hyperlink ref="A53" r:id="rId52" display="https://www.ahd.com/free_profile/370013/Mercy_Hospital_Oklahoma_City/Oklahoma_City/Oklahoma/" xr:uid="{83C5F036-09B6-0E44-A360-2B2EF20BAC2F}"/>
    <hyperlink ref="A54" r:id="rId53" display="https://www.ahd.com/free_profile/370057/Muscogee_Creek_Nation_Medical_Center/Okmulgee/Oklahoma/" xr:uid="{0CDE4F7B-6E7A-EF4C-9715-5E4B91B0F6ED}"/>
    <hyperlink ref="A55" r:id="rId54" display="https://www.ahd.com/free_profile/I41754/Norman_Regional__HealthPlex_Hospital/Norman/Oklahoma/" xr:uid="{724BE87E-A94B-2F48-907C-46F8A540B5F4}"/>
    <hyperlink ref="A56" r:id="rId55" display="https://www.ahd.com/free_profile/370008/Norman_Regional_Hospital/Norman/Oklahoma/" xr:uid="{DB29E00A-912A-564A-8895-97DCB93DC870}"/>
    <hyperlink ref="A57" r:id="rId56" display="https://www.ahd.com/free_profile/370089/Northeastern_Health_System/Tahlequah/Oklahoma/" xr:uid="{E4EA3507-C78C-6D47-BB1D-AC24483B4D91}"/>
    <hyperlink ref="A58" r:id="rId57" display="https://www.ahd.com/free_profile/370192/Northwest_Surgery_Hospital/Oklahoma_City/Oklahoma/" xr:uid="{E02F1689-01FD-2149-B6E3-EC648E103455}"/>
    <hyperlink ref="A59" r:id="rId58" display="https://www.ahd.com/free_profile/37014F/Oklahoma_City_VA_Medical_Center/Oklahoma_City/Oklahoma/" xr:uid="{A0868C8F-1B90-1B44-899F-6FEE76E57C15}"/>
    <hyperlink ref="A60" r:id="rId59" display="https://www.ahd.com/free_profile/370215/Oklahoma_Heart_Hospital_North/Oklahoma_City/Oklahoma/" xr:uid="{081B7FBA-7795-6C4E-9B7B-FC6E4C724F36}"/>
    <hyperlink ref="A61" r:id="rId60" display="https://www.ahd.com/free_profile/370234/Oklahoma_Heart_Hospital_South/Oklahoma_City/Oklahoma/" xr:uid="{ED89A77D-EF34-4841-8121-84876FC70B78}"/>
    <hyperlink ref="A62" r:id="rId61" display="https://www.ahd.com/free_profile/I41869/Oklahoma_Heart_Institute_at_Hillcrest_Medical_Center/Tulsa/Oklahoma/" xr:uid="{E403BA7C-B4D6-804C-A276-F3F520345931}"/>
    <hyperlink ref="A63" r:id="rId62" display="https://www.ahd.com/free_profile/370206/Oklahoma_Spine_Hospital/Oklahoma_City/Oklahoma/" xr:uid="{BE5B9A39-2ED8-C143-BD31-3DEB0FC7E57B}"/>
    <hyperlink ref="A64" r:id="rId63" display="https://www.ahd.com/free_profile/370078/Oklahoma_State_University_Medical_Center/Tulsa/Oklahoma/" xr:uid="{27360C94-C444-0A4D-BF40-7D7FEF6AC7EE}"/>
    <hyperlink ref="A65" r:id="rId64" display="https://www.ahd.com/free_profile/370210/Oklahoma_Surgical_Hospital/Tulsa/Oklahoma/" xr:uid="{777C1265-005E-0741-8B15-7256A9F13251}"/>
    <hyperlink ref="A66" r:id="rId65" display="https://www.ahd.com/free_profile/370093/Oklahoma_University_Medical_Center/Oklahoma_City/Oklahoma/" xr:uid="{A1642B18-A0F3-B24A-BADC-9D8D6A27F58F}"/>
    <hyperlink ref="A67" r:id="rId66" display="https://www.ahd.com/free_profile/370148/Oklahoma_University_Medical_Center_Edmond/Edmond/Oklahoma/" xr:uid="{5580D8E6-0595-564A-BA12-E2798A4DA178}"/>
    <hyperlink ref="A68" r:id="rId67" display="https://www.ahd.com/free_profile/370220/One_Core_Health_Orthopedic_Hospital/Oklahoma_City/Oklahoma/" xr:uid="{49D8ECE5-F403-3F43-8F7A-523EA16E7FE5}"/>
    <hyperlink ref="A69" r:id="rId68" display="https://www.ahd.com/free_profile/370139/Perry_Memorial_Hospital/Perry/Oklahoma/" xr:uid="{CFB3B79C-F79C-D542-A4FF-3FAD3AD7F694}"/>
    <hyperlink ref="A70" r:id="rId69" display="https://www.ahd.com/free_profile/370158/Purcell_Municipal_Hospital/Purcell/Oklahoma/" xr:uid="{0E1FEE7D-07D5-F34B-BFF1-C62B9CB49704}"/>
    <hyperlink ref="A71" r:id="rId70" display="https://www.ahd.com/free_profile/370083/Pushmataha_Hospital/Antlers/Oklahoma/" xr:uid="{2F3154D2-0A4E-734E-80ED-B4C8B581E299}"/>
    <hyperlink ref="A72" r:id="rId71" display="https://www.ahd.com/free_profile/370091/Saint_Francis_Hospital/Tulsa/Oklahoma/" xr:uid="{8151AB23-7F8E-1A40-A57E-5BFE5DB94036}"/>
    <hyperlink ref="A73" r:id="rId72" display="https://www.ahd.com/free_profile/370025/Saint_Francis_Hospital_Muskogee/Muskogee/Oklahoma/" xr:uid="{A7C0AF59-B622-1341-8BDE-43D9C54067BC}"/>
    <hyperlink ref="A74" r:id="rId73" display="https://www.ahd.com/free_profile/370232/Saint_Francis_Hospital_Muskogee_East/Muskogee/Oklahoma/" xr:uid="{B352002E-91D9-0544-999E-7966182E6C54}"/>
    <hyperlink ref="A75" r:id="rId74" display="https://www.ahd.com/free_profile/I41499/Saint_Francis_Hospital_South/Tulsa/Oklahoma/" xr:uid="{DE9BF233-059E-B840-9CAE-F11CE4F910FF}"/>
    <hyperlink ref="A76" r:id="rId75" display="https://www.ahd.com/free_profile/370237/Saint_Francis_Hospital_Vinita/Vinita/Oklahoma/" xr:uid="{8602728C-7DB0-DE4F-9331-8F2545B6E898}"/>
    <hyperlink ref="A77" r:id="rId76" display="https://www.ahd.com/free_profile/370235/Saint_John_Broken_Arrow/Broken_Arrow/Oklahoma/" xr:uid="{1CD342A2-00E3-B944-83F8-3031CCA83460}"/>
    <hyperlink ref="A78" r:id="rId77" display="https://www.ahd.com/free_profile/370114/Saint_John_Medical_Center/Tulsa/Oklahoma/" xr:uid="{BCB14A2F-2D47-8248-A49E-F7082D71DF37}"/>
    <hyperlink ref="A79" r:id="rId78" display="https://www.ahd.com/free_profile/370026/Saint_Mary%27s_Regional_Medical_Center/Enid/Oklahoma/" xr:uid="{52F30B71-2C6F-9A4E-A7DA-0707A8BC4C45}"/>
    <hyperlink ref="A80" r:id="rId79" display="https://www.ahd.com/free_profile/370112/Sequoyah_Memorial_Hospital/Sallisaw/Oklahoma/" xr:uid="{9893B73A-B039-E64B-A377-4A4FD0567688}"/>
    <hyperlink ref="A81" r:id="rId80" display="https://www.ahd.com/free_profile/370212/Southwest_Orthopaedic_and_Reconstructive_Specialists/Oklahoma_City/Oklahoma/" xr:uid="{8C4BF34B-7EC8-A54D-A71E-CCB50B26B308}"/>
    <hyperlink ref="A82" r:id="rId81" display="https://www.ahd.com/free_profile/370097/Southwestern_Medical_Center/Lawton/Oklahoma/" xr:uid="{6B90E81A-B20A-6A41-BB2E-CE27F19412C0}"/>
    <hyperlink ref="A83" r:id="rId82" display="https://www.ahd.com/free_profile/370105/SSM_Health_Bone_%26_Joint_Hospital_at_St_Anthony/Oklahoma_City/Oklahoma/" xr:uid="{60F2BB35-DF19-4647-9032-48666CD66BBD}"/>
    <hyperlink ref="A84" r:id="rId83" display="https://www.ahd.com/free_profile/370037/SSM_Health_Saint_Anthony_Hospital_-_Oklahoma_City/Oklahoma_City/Oklahoma/" xr:uid="{77AC6521-39D7-9A45-948F-B27B95E966C7}"/>
    <hyperlink ref="A85" r:id="rId84" display="https://www.ahd.com/free_profile/370149/SSM_Health_St_Anthony_Hospital-Shawnee/Shawnee/Oklahoma/" xr:uid="{605FE778-76C9-3742-B851-A09F84BC457C}"/>
    <hyperlink ref="A86" r:id="rId85" display="https://www.ahd.com/free_profile/370049/Stillwater_Medical_Center/Stillwater/Oklahoma/" xr:uid="{119AC5BF-4350-9249-A656-33B2A5BDC744}"/>
    <hyperlink ref="A87" r:id="rId86" display="https://www.ahd.com/free_profile/370225/Summit_Medical_Center/Edmond/Oklahoma/" xr:uid="{45023366-3150-554F-BDD1-714027311EA2}"/>
    <hyperlink ref="A88" r:id="rId87" display="https://www.ahd.com/free_profile/370201/Surgical_Hospital_Of_Oklahoma/Oklahoma_City/Oklahoma/" xr:uid="{D57AB278-62CE-4548-A279-EF6548B60D9F}"/>
    <hyperlink ref="A89" r:id="rId88" display="https://www.ahd.com/free_profile/370216/Tulsa_Spine_And_Specialty_Hospital/Tulsa/Oklahoma/" xr:uid="{2006A8E2-D186-1540-8C22-08E2718A17D7}"/>
    <hyperlink ref="A90" r:id="rId89" display="https://www.ahd.com/free_profile/370171/W_W_Hastings_Indian_Hospital/Tahlequah/Oklahoma/" xr:uid="{5304E119-3202-E64E-A5C0-E0AD9ED6C52F}"/>
    <hyperlink ref="A91" r:id="rId90" display="https://www.ahd.com/free_profile/370166/Wagoner_Community_Hospital/Wagoner/Oklahoma/" xr:uid="{A3B5393B-E271-B945-843C-5F9DF92D4FA3}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90F73-39C1-F547-82BE-5BD918CD06DE}">
  <sheetPr codeName="Sheet39"/>
  <dimension ref="A1:G39"/>
  <sheetViews>
    <sheetView workbookViewId="0">
      <selection activeCell="G2" sqref="G2:G38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4298</v>
      </c>
      <c r="B2" s="2" t="s">
        <v>2709</v>
      </c>
      <c r="C2" s="2">
        <v>211</v>
      </c>
      <c r="D2" s="3">
        <v>9063</v>
      </c>
      <c r="E2" s="3">
        <v>31124</v>
      </c>
      <c r="F2" s="4">
        <v>941372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 city",CHOOSE({1,2}, Super_CBSA!$E$2:$E$1917, Super_CBSA!$A$2:$A$1917), 2,FALSE), ""))</f>
        <v>38860</v>
      </c>
    </row>
    <row r="3" spans="1:7" ht="17">
      <c r="A3" s="1" t="s">
        <v>4299</v>
      </c>
      <c r="B3" s="2" t="s">
        <v>104</v>
      </c>
      <c r="C3" s="2">
        <v>38</v>
      </c>
      <c r="D3" s="3">
        <v>1315</v>
      </c>
      <c r="E3" s="3">
        <v>4223</v>
      </c>
      <c r="F3" s="4">
        <v>162680</v>
      </c>
      <c r="G3" s="11" t="str" cm="1">
        <f t="array" aca="1" ref="G3" ca="1">IFERROR(VLOOKUP("*" &amp; B3  &amp; "*" &amp; (MID(CELL("filename",A2),FIND("]",CELL("filename",A2))+1,31)) &amp; "*",CHOOSE({1,2}, Super_CBSA!$B$2:$B$1917, Super_CBSA!$A$2:$A$1917), 2,FALSE), IFERROR(VLOOKUP(B3  &amp; " city",CHOOSE({1,2}, Super_CBSA!$E$2:$E$1917, Super_CBSA!$A$2:$A$1917), 2,FALSE), ""))</f>
        <v/>
      </c>
    </row>
    <row r="4" spans="1:7" ht="17">
      <c r="A4" s="1" t="s">
        <v>4300</v>
      </c>
      <c r="B4" s="2" t="s">
        <v>2578</v>
      </c>
      <c r="C4" s="2">
        <v>343</v>
      </c>
      <c r="D4" s="3">
        <v>16013</v>
      </c>
      <c r="E4" s="3">
        <v>78163</v>
      </c>
      <c r="F4" s="4">
        <v>1981736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 city",CHOOSE({1,2}, Super_CBSA!$E$2:$E$1917, Super_CBSA!$A$2:$A$1917), 2,FALSE), ""))</f>
        <v>32780</v>
      </c>
    </row>
    <row r="5" spans="1:7" ht="17">
      <c r="A5" s="1" t="s">
        <v>4301</v>
      </c>
      <c r="B5" s="2" t="s">
        <v>4302</v>
      </c>
      <c r="C5" s="2">
        <v>122</v>
      </c>
      <c r="D5" s="3">
        <v>7056</v>
      </c>
      <c r="E5" s="3">
        <v>25796</v>
      </c>
      <c r="F5" s="4">
        <v>699171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 city",CHOOSE({1,2}, Super_CBSA!$E$2:$E$1917, Super_CBSA!$A$2:$A$1917), 2,FALSE), ""))</f>
        <v>24420</v>
      </c>
    </row>
    <row r="6" spans="1:7" ht="17">
      <c r="A6" s="1" t="s">
        <v>4303</v>
      </c>
      <c r="B6" s="2" t="s">
        <v>4304</v>
      </c>
      <c r="C6" s="2">
        <v>130</v>
      </c>
      <c r="D6" s="3">
        <v>5661</v>
      </c>
      <c r="E6" s="3">
        <v>24854</v>
      </c>
      <c r="F6" s="4">
        <v>499475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 city",CHOOSE({1,2}, Super_CBSA!$E$2:$E$1917, Super_CBSA!$A$2:$A$1917), 2,FALSE), ""))</f>
        <v>18300</v>
      </c>
    </row>
    <row r="7" spans="1:7" ht="17">
      <c r="A7" s="1" t="s">
        <v>4305</v>
      </c>
      <c r="B7" s="2" t="s">
        <v>4306</v>
      </c>
      <c r="C7" s="2">
        <v>193</v>
      </c>
      <c r="D7" s="3">
        <v>7747</v>
      </c>
      <c r="E7" s="3">
        <v>35070</v>
      </c>
      <c r="F7" s="4">
        <v>823324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 city",CHOOSE({1,2}, Super_CBSA!$E$2:$E$1917, Super_CBSA!$A$2:$A$1917), 2,FALSE), ""))</f>
        <v>18700</v>
      </c>
    </row>
    <row r="8" spans="1:7" ht="17">
      <c r="A8" s="1" t="s">
        <v>4307</v>
      </c>
      <c r="B8" s="2" t="s">
        <v>4308</v>
      </c>
      <c r="C8" s="2">
        <v>122</v>
      </c>
      <c r="D8" s="3">
        <v>8367</v>
      </c>
      <c r="E8" s="3">
        <v>19959</v>
      </c>
      <c r="F8" s="4">
        <v>168569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 city",CHOOSE({1,2}, Super_CBSA!$E$2:$E$1917, Super_CBSA!$A$2:$A$1917), 2,FALSE), ""))</f>
        <v>38900</v>
      </c>
    </row>
    <row r="9" spans="1:7" ht="17">
      <c r="A9" s="1" t="s">
        <v>4309</v>
      </c>
      <c r="B9" s="2" t="s">
        <v>4310</v>
      </c>
      <c r="C9" s="2">
        <v>302</v>
      </c>
      <c r="D9" s="3">
        <v>19415</v>
      </c>
      <c r="E9" s="3">
        <v>65012</v>
      </c>
      <c r="F9" s="4">
        <v>334299</v>
      </c>
      <c r="G9" s="11" t="str" cm="1">
        <f t="array" aca="1" ref="G9" ca="1">IFERROR(VLOOKUP("*" &amp; B9  &amp; "*" &amp; (MID(CELL("filename",A8),FIND("]",CELL("filename",A8))+1,31)) &amp; "*",CHOOSE({1,2}, Super_CBSA!$B$2:$B$1917, Super_CBSA!$A$2:$A$1917), 2,FALSE), IFERROR(VLOOKUP(B9  &amp; " city",CHOOSE({1,2}, Super_CBSA!$E$2:$E$1917, Super_CBSA!$A$2:$A$1917), 2,FALSE), ""))</f>
        <v/>
      </c>
    </row>
    <row r="10" spans="1:7" ht="17">
      <c r="A10" s="1" t="s">
        <v>4311</v>
      </c>
      <c r="B10" s="2" t="s">
        <v>2709</v>
      </c>
      <c r="C10" s="2">
        <v>485</v>
      </c>
      <c r="D10" s="3">
        <v>19502</v>
      </c>
      <c r="E10" s="3">
        <v>101878</v>
      </c>
      <c r="F10" s="4">
        <v>2055101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 city",CHOOSE({1,2}, Super_CBSA!$E$2:$E$1917, Super_CBSA!$A$2:$A$1917), 2,FALSE), ""))</f>
        <v>38860</v>
      </c>
    </row>
    <row r="11" spans="1:7" ht="17">
      <c r="A11" s="1" t="s">
        <v>4312</v>
      </c>
      <c r="B11" s="2" t="s">
        <v>2709</v>
      </c>
      <c r="C11" s="2">
        <v>200</v>
      </c>
      <c r="D11" s="3">
        <v>9684</v>
      </c>
      <c r="E11" s="3">
        <v>40161</v>
      </c>
      <c r="F11" s="4">
        <v>889576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 city",CHOOSE({1,2}, Super_CBSA!$E$2:$E$1917, Super_CBSA!$A$2:$A$1917), 2,FALSE), ""))</f>
        <v>38860</v>
      </c>
    </row>
    <row r="12" spans="1:7" ht="17">
      <c r="A12" s="1" t="s">
        <v>4313</v>
      </c>
      <c r="B12" s="2" t="s">
        <v>4314</v>
      </c>
      <c r="C12" s="2">
        <v>117</v>
      </c>
      <c r="D12" s="3">
        <v>9366</v>
      </c>
      <c r="E12" s="3">
        <v>31224</v>
      </c>
      <c r="F12" s="4">
        <v>619283</v>
      </c>
      <c r="G12" s="11" t="str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 city",CHOOSE({1,2}, Super_CBSA!$E$2:$E$1917, Super_CBSA!$A$2:$A$1917), 2,FALSE), ""))</f>
        <v/>
      </c>
    </row>
    <row r="13" spans="1:7" ht="17">
      <c r="A13" s="1" t="s">
        <v>4315</v>
      </c>
      <c r="B13" s="2" t="s">
        <v>4316</v>
      </c>
      <c r="C13" s="2">
        <v>93</v>
      </c>
      <c r="D13" s="3">
        <v>9366</v>
      </c>
      <c r="E13" s="3">
        <v>22245</v>
      </c>
      <c r="F13" s="4">
        <v>479991</v>
      </c>
      <c r="G13" s="11" t="str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 city",CHOOSE({1,2}, Super_CBSA!$E$2:$E$1917, Super_CBSA!$A$2:$A$1917), 2,FALSE), ""))</f>
        <v/>
      </c>
    </row>
    <row r="14" spans="1:7" ht="17">
      <c r="A14" s="1" t="s">
        <v>4317</v>
      </c>
      <c r="B14" s="2" t="s">
        <v>4318</v>
      </c>
      <c r="C14" s="2">
        <v>29</v>
      </c>
      <c r="D14" s="3">
        <v>2954</v>
      </c>
      <c r="E14" s="3">
        <v>8350</v>
      </c>
      <c r="F14" s="4">
        <v>229962</v>
      </c>
      <c r="G14" s="11" t="str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 city",CHOOSE({1,2}, Super_CBSA!$E$2:$E$1917, Super_CBSA!$A$2:$A$1917), 2,FALSE), ""))</f>
        <v/>
      </c>
    </row>
    <row r="15" spans="1:7" ht="17">
      <c r="A15" s="1" t="s">
        <v>4319</v>
      </c>
      <c r="B15" s="2" t="s">
        <v>1901</v>
      </c>
      <c r="C15" s="2">
        <v>113</v>
      </c>
      <c r="D15" s="3">
        <v>9199</v>
      </c>
      <c r="E15" s="3">
        <v>29709</v>
      </c>
      <c r="F15" s="4">
        <v>819152</v>
      </c>
      <c r="G15" s="11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 city",CHOOSE({1,2}, Super_CBSA!$E$2:$E$1917, Super_CBSA!$A$2:$A$1917), 2,FALSE), ""))</f>
        <v>21660</v>
      </c>
    </row>
    <row r="16" spans="1:7" ht="17">
      <c r="A16" s="1" t="s">
        <v>702</v>
      </c>
      <c r="B16" s="2" t="s">
        <v>4320</v>
      </c>
      <c r="C16" s="2">
        <v>140</v>
      </c>
      <c r="D16" s="3">
        <v>7301</v>
      </c>
      <c r="E16" s="3">
        <v>27215</v>
      </c>
      <c r="F16" s="4">
        <v>673611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 city",CHOOSE({1,2}, Super_CBSA!$E$2:$E$1917, Super_CBSA!$A$2:$A$1917), 2,FALSE), ""))</f>
        <v>40700</v>
      </c>
    </row>
    <row r="17" spans="1:7" ht="17">
      <c r="A17" s="1" t="s">
        <v>4321</v>
      </c>
      <c r="B17" s="2" t="s">
        <v>4322</v>
      </c>
      <c r="C17" s="2">
        <v>49</v>
      </c>
      <c r="D17" s="3">
        <v>1713</v>
      </c>
      <c r="E17" s="3">
        <v>6343</v>
      </c>
      <c r="F17" s="4">
        <v>278815</v>
      </c>
      <c r="G17" s="11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 city",CHOOSE({1,2}, Super_CBSA!$E$2:$E$1917, Super_CBSA!$A$2:$A$1917), 2,FALSE), ""))</f>
        <v>45520</v>
      </c>
    </row>
    <row r="18" spans="1:7" ht="17">
      <c r="A18" s="1" t="s">
        <v>4323</v>
      </c>
      <c r="B18" s="2" t="s">
        <v>2709</v>
      </c>
      <c r="C18" s="2">
        <v>562</v>
      </c>
      <c r="D18" s="3">
        <v>29175</v>
      </c>
      <c r="E18" s="3">
        <v>177454</v>
      </c>
      <c r="F18" s="4">
        <v>3953879</v>
      </c>
      <c r="G18" s="11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 city",CHOOSE({1,2}, Super_CBSA!$E$2:$E$1917, Super_CBSA!$A$2:$A$1917), 2,FALSE), ""))</f>
        <v>38860</v>
      </c>
    </row>
    <row r="19" spans="1:7" ht="17">
      <c r="A19" s="1" t="s">
        <v>4324</v>
      </c>
      <c r="B19" s="2" t="s">
        <v>1901</v>
      </c>
      <c r="C19" s="2">
        <v>383</v>
      </c>
      <c r="D19" s="3">
        <v>28260</v>
      </c>
      <c r="E19" s="3">
        <v>124130</v>
      </c>
      <c r="F19" s="4">
        <v>2038658</v>
      </c>
      <c r="G19" s="11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 city",CHOOSE({1,2}, Super_CBSA!$E$2:$E$1917, Super_CBSA!$A$2:$A$1917), 2,FALSE), ""))</f>
        <v>21660</v>
      </c>
    </row>
    <row r="20" spans="1:7" ht="17">
      <c r="A20" s="1" t="s">
        <v>4325</v>
      </c>
      <c r="B20" s="2" t="s">
        <v>4326</v>
      </c>
      <c r="C20" s="2">
        <v>93</v>
      </c>
      <c r="D20" s="3">
        <v>1426</v>
      </c>
      <c r="E20" s="3">
        <v>6820</v>
      </c>
      <c r="F20" s="4">
        <v>259968</v>
      </c>
      <c r="G20" s="11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 city",CHOOSE({1,2}, Super_CBSA!$E$2:$E$1917, Super_CBSA!$A$2:$A$1917), 2,FALSE), ""))</f>
        <v>21660</v>
      </c>
    </row>
    <row r="21" spans="1:7" ht="17">
      <c r="A21" s="1" t="s">
        <v>4327</v>
      </c>
      <c r="B21" s="2" t="s">
        <v>2709</v>
      </c>
      <c r="C21" s="2">
        <v>0</v>
      </c>
      <c r="D21" s="2">
        <v>0</v>
      </c>
      <c r="E21" s="2">
        <v>0</v>
      </c>
      <c r="F21" s="4">
        <v>0</v>
      </c>
      <c r="G21" s="11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 city",CHOOSE({1,2}, Super_CBSA!$E$2:$E$1917, Super_CBSA!$A$2:$A$1917), 2,FALSE), ""))</f>
        <v>38860</v>
      </c>
    </row>
    <row r="22" spans="1:7" ht="17">
      <c r="A22" s="1" t="s">
        <v>4328</v>
      </c>
      <c r="B22" s="2" t="s">
        <v>2578</v>
      </c>
      <c r="C22" s="2">
        <v>138</v>
      </c>
      <c r="D22" s="3">
        <v>6322</v>
      </c>
      <c r="E22" s="3">
        <v>25553</v>
      </c>
      <c r="F22" s="4">
        <v>647082</v>
      </c>
      <c r="G22" s="11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 city",CHOOSE({1,2}, Super_CBSA!$E$2:$E$1917, Super_CBSA!$A$2:$A$1917), 2,FALSE), ""))</f>
        <v>32780</v>
      </c>
    </row>
    <row r="23" spans="1:7" ht="17">
      <c r="A23" s="1" t="s">
        <v>4329</v>
      </c>
      <c r="B23" s="2" t="s">
        <v>4330</v>
      </c>
      <c r="C23" s="2">
        <v>59</v>
      </c>
      <c r="D23" s="3">
        <v>2454</v>
      </c>
      <c r="E23" s="3">
        <v>8379</v>
      </c>
      <c r="F23" s="4">
        <v>260373</v>
      </c>
      <c r="G23" s="11" t="str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 city",CHOOSE({1,2}, Super_CBSA!$E$2:$E$1917, Super_CBSA!$A$2:$A$1917), 2,FALSE), ""))</f>
        <v/>
      </c>
    </row>
    <row r="24" spans="1:7" ht="17">
      <c r="A24" s="1" t="s">
        <v>4331</v>
      </c>
      <c r="B24" s="2" t="s">
        <v>4332</v>
      </c>
      <c r="C24" s="2">
        <v>40</v>
      </c>
      <c r="D24" s="3">
        <v>2369</v>
      </c>
      <c r="E24" s="3">
        <v>8734</v>
      </c>
      <c r="F24" s="4">
        <v>252713</v>
      </c>
      <c r="G24" s="11" t="str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 city",CHOOSE({1,2}, Super_CBSA!$E$2:$E$1917, Super_CBSA!$A$2:$A$1917), 2,FALSE), ""))</f>
        <v/>
      </c>
    </row>
    <row r="25" spans="1:7" ht="17">
      <c r="A25" s="1" t="s">
        <v>4333</v>
      </c>
      <c r="B25" s="2" t="s">
        <v>2709</v>
      </c>
      <c r="C25" s="2">
        <v>391</v>
      </c>
      <c r="D25" s="3">
        <v>18403</v>
      </c>
      <c r="E25" s="3">
        <v>97940</v>
      </c>
      <c r="F25" s="4">
        <v>1730144</v>
      </c>
      <c r="G25" s="11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 city",CHOOSE({1,2}, Super_CBSA!$E$2:$E$1917, Super_CBSA!$A$2:$A$1917), 2,FALSE), ""))</f>
        <v>38860</v>
      </c>
    </row>
    <row r="26" spans="1:7" ht="17">
      <c r="A26" s="1" t="s">
        <v>4334</v>
      </c>
      <c r="B26" s="2" t="s">
        <v>2709</v>
      </c>
      <c r="C26" s="2">
        <v>462</v>
      </c>
      <c r="D26" s="3">
        <v>24083</v>
      </c>
      <c r="E26" s="3">
        <v>123501</v>
      </c>
      <c r="F26" s="4">
        <v>1933919</v>
      </c>
      <c r="G26" s="11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 city",CHOOSE({1,2}, Super_CBSA!$E$2:$E$1917, Super_CBSA!$A$2:$A$1917), 2,FALSE), ""))</f>
        <v>38860</v>
      </c>
    </row>
    <row r="27" spans="1:7" ht="17">
      <c r="A27" s="1" t="s">
        <v>4335</v>
      </c>
      <c r="B27" s="2" t="s">
        <v>4336</v>
      </c>
      <c r="C27" s="2">
        <v>111</v>
      </c>
      <c r="D27" s="3">
        <v>4173</v>
      </c>
      <c r="E27" s="3">
        <v>17573</v>
      </c>
      <c r="F27" s="4">
        <v>294974</v>
      </c>
      <c r="G27" s="11" t="str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 city",CHOOSE({1,2}, Super_CBSA!$E$2:$E$1917, Super_CBSA!$A$2:$A$1917), 2,FALSE), ""))</f>
        <v/>
      </c>
    </row>
    <row r="28" spans="1:7" ht="17">
      <c r="A28" s="1" t="s">
        <v>4337</v>
      </c>
      <c r="B28" s="2" t="s">
        <v>4320</v>
      </c>
      <c r="C28" s="2">
        <v>0</v>
      </c>
      <c r="D28" s="2">
        <v>0</v>
      </c>
      <c r="E28" s="2">
        <v>0</v>
      </c>
      <c r="F28" s="4">
        <v>0</v>
      </c>
      <c r="G28" s="11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 city",CHOOSE({1,2}, Super_CBSA!$E$2:$E$1917, Super_CBSA!$A$2:$A$1917), 2,FALSE), ""))</f>
        <v>40700</v>
      </c>
    </row>
    <row r="29" spans="1:7" ht="17">
      <c r="A29" s="1" t="s">
        <v>4338</v>
      </c>
      <c r="B29" s="2" t="s">
        <v>748</v>
      </c>
      <c r="C29" s="2">
        <v>44</v>
      </c>
      <c r="D29" s="3">
        <v>1934</v>
      </c>
      <c r="E29" s="3">
        <v>5472</v>
      </c>
      <c r="F29" s="4">
        <v>185783</v>
      </c>
      <c r="G29" s="11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 city",CHOOSE({1,2}, Super_CBSA!$E$2:$E$1917, Super_CBSA!$A$2:$A$1917), 2,FALSE), ""))</f>
        <v>36620</v>
      </c>
    </row>
    <row r="30" spans="1:7" ht="17">
      <c r="A30" s="1" t="s">
        <v>4339</v>
      </c>
      <c r="B30" s="2" t="s">
        <v>4340</v>
      </c>
      <c r="C30" s="2">
        <v>250</v>
      </c>
      <c r="D30" s="3">
        <v>15055</v>
      </c>
      <c r="E30" s="3">
        <v>60804</v>
      </c>
      <c r="F30" s="4">
        <v>1319799</v>
      </c>
      <c r="G30" s="11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 city",CHOOSE({1,2}, Super_CBSA!$E$2:$E$1917, Super_CBSA!$A$2:$A$1917), 2,FALSE), ""))</f>
        <v>13460</v>
      </c>
    </row>
    <row r="31" spans="1:7" ht="17">
      <c r="A31" s="1" t="s">
        <v>4341</v>
      </c>
      <c r="B31" s="2" t="s">
        <v>2601</v>
      </c>
      <c r="C31" s="2">
        <v>470</v>
      </c>
      <c r="D31" s="3">
        <v>24827</v>
      </c>
      <c r="E31" s="3">
        <v>114047</v>
      </c>
      <c r="F31" s="4">
        <v>1798026</v>
      </c>
      <c r="G31" s="11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 city",CHOOSE({1,2}, Super_CBSA!$E$2:$E$1917, Super_CBSA!$A$2:$A$1917), 2,FALSE), ""))</f>
        <v>41420</v>
      </c>
    </row>
    <row r="32" spans="1:7" ht="17">
      <c r="A32" s="1" t="s">
        <v>4342</v>
      </c>
      <c r="B32" s="2" t="s">
        <v>1605</v>
      </c>
      <c r="C32" s="2">
        <v>67</v>
      </c>
      <c r="D32" s="3">
        <v>2606</v>
      </c>
      <c r="E32" s="3">
        <v>8897</v>
      </c>
      <c r="F32" s="4">
        <v>368785</v>
      </c>
      <c r="G32" s="11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 city",CHOOSE({1,2}, Super_CBSA!$E$2:$E$1917, Super_CBSA!$A$2:$A$1917), 2,FALSE), ""))</f>
        <v>10540</v>
      </c>
    </row>
    <row r="33" spans="1:7" ht="17">
      <c r="A33" s="1" t="s">
        <v>4343</v>
      </c>
      <c r="B33" s="2" t="s">
        <v>4344</v>
      </c>
      <c r="C33" s="2">
        <v>40</v>
      </c>
      <c r="D33" s="2">
        <v>918</v>
      </c>
      <c r="E33" s="3">
        <v>3163</v>
      </c>
      <c r="F33" s="4">
        <v>107579</v>
      </c>
      <c r="G33" s="11" t="str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 city",CHOOSE({1,2}, Super_CBSA!$E$2:$E$1917, Super_CBSA!$A$2:$A$1917), 2,FALSE), ""))</f>
        <v/>
      </c>
    </row>
    <row r="34" spans="1:7" ht="17">
      <c r="A34" s="1" t="s">
        <v>4345</v>
      </c>
      <c r="B34" s="2" t="s">
        <v>4346</v>
      </c>
      <c r="C34" s="2">
        <v>105</v>
      </c>
      <c r="D34" s="3">
        <v>4913</v>
      </c>
      <c r="E34" s="3">
        <v>18267</v>
      </c>
      <c r="F34" s="4">
        <v>637800</v>
      </c>
      <c r="G34" s="11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 city",CHOOSE({1,2}, Super_CBSA!$E$2:$E$1917, Super_CBSA!$A$2:$A$1917), 2,FALSE), ""))</f>
        <v>28900</v>
      </c>
    </row>
    <row r="35" spans="1:7" ht="17">
      <c r="A35" s="1" t="s">
        <v>4347</v>
      </c>
      <c r="B35" s="2" t="s">
        <v>4348</v>
      </c>
      <c r="C35" s="2">
        <v>0</v>
      </c>
      <c r="D35" s="2">
        <v>0</v>
      </c>
      <c r="E35" s="2">
        <v>0</v>
      </c>
      <c r="F35" s="4">
        <v>0</v>
      </c>
      <c r="G35" s="11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 city",CHOOSE({1,2}, Super_CBSA!$E$2:$E$1917, Super_CBSA!$A$2:$A$1917), 2,FALSE), ""))</f>
        <v>39260</v>
      </c>
    </row>
    <row r="36" spans="1:7" ht="17">
      <c r="A36" s="1" t="s">
        <v>4349</v>
      </c>
      <c r="B36" s="2" t="s">
        <v>4350</v>
      </c>
      <c r="C36" s="2">
        <v>48</v>
      </c>
      <c r="D36" s="3">
        <v>2750</v>
      </c>
      <c r="E36" s="3">
        <v>9009</v>
      </c>
      <c r="F36" s="4">
        <v>194375</v>
      </c>
      <c r="G36" s="11" t="str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 city",CHOOSE({1,2}, Super_CBSA!$E$2:$E$1917, Super_CBSA!$A$2:$A$1917), 2,FALSE), ""))</f>
        <v/>
      </c>
    </row>
    <row r="37" spans="1:7" ht="17">
      <c r="A37" s="1" t="s">
        <v>4351</v>
      </c>
      <c r="B37" s="2" t="s">
        <v>4308</v>
      </c>
      <c r="C37" s="2">
        <v>101</v>
      </c>
      <c r="D37" s="3">
        <v>3288</v>
      </c>
      <c r="E37" s="3">
        <v>25418</v>
      </c>
      <c r="F37" s="4">
        <v>523837</v>
      </c>
      <c r="G37" s="11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 city",CHOOSE({1,2}, Super_CBSA!$E$2:$E$1917, Super_CBSA!$A$2:$A$1917), 2,FALSE), ""))</f>
        <v>38900</v>
      </c>
    </row>
    <row r="38" spans="1:7" ht="17">
      <c r="A38" s="1" t="s">
        <v>4352</v>
      </c>
      <c r="B38" s="2" t="s">
        <v>4353</v>
      </c>
      <c r="C38" s="2">
        <v>60</v>
      </c>
      <c r="D38" s="3">
        <v>3440</v>
      </c>
      <c r="E38" s="3">
        <v>11407</v>
      </c>
      <c r="F38" s="4">
        <v>390334</v>
      </c>
      <c r="G38" s="11" t="str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 city",CHOOSE({1,2}, Super_CBSA!$E$2:$E$1917, Super_CBSA!$A$2:$A$1917), 2,FALSE), ""))</f>
        <v/>
      </c>
    </row>
    <row r="39" spans="1:7" ht="17">
      <c r="A39" s="2" t="s">
        <v>56</v>
      </c>
      <c r="B39" s="2"/>
      <c r="C39" s="3">
        <v>6111</v>
      </c>
      <c r="D39" s="3">
        <v>320118</v>
      </c>
      <c r="E39" s="3">
        <v>1397894</v>
      </c>
      <c r="F39" s="4">
        <v>28554145</v>
      </c>
    </row>
  </sheetData>
  <hyperlinks>
    <hyperlink ref="A2" r:id="rId1" display="https://www.ahd.com/free_profile/380060/Adventist_Medical_Center/Portland/Oregon/" xr:uid="{FF97207F-45B8-4042-81F8-31129442A5E7}"/>
    <hyperlink ref="A3" r:id="rId2" display="https://www.ahd.com/free_profile/380005/Asante_Ashland_Community_Hospital/Ashland/Oregon/" xr:uid="{2ACF70E9-A66B-994B-98B2-70C0DA0DD121}"/>
    <hyperlink ref="A4" r:id="rId3" display="https://www.ahd.com/free_profile/380018/Asante_Rogue_Regional_Medical_Center/Medford/Oregon/" xr:uid="{9532729A-54AC-9140-869C-671F17CE4DFB}"/>
    <hyperlink ref="A5" r:id="rId4" display="https://www.ahd.com/free_profile/380002/Asante_Three_Rivers_Medical_Center/Grants_Pass/Oregon/" xr:uid="{4DE1AB3A-8624-0F40-BB15-3D94922932C9}"/>
    <hyperlink ref="A6" r:id="rId5" display="https://www.ahd.com/free_profile/380090/Bay_Area_Hospital/Coos_Bay/Oregon/" xr:uid="{ADDDE09D-FAC0-7344-89A3-010015ED4F90}"/>
    <hyperlink ref="A7" r:id="rId6" display="https://www.ahd.com/free_profile/380014/Good_Samaritan_Regional_Medical_Center/Corvallis/Oregon/" xr:uid="{5485C8BA-3856-9149-81E0-1BBDE992B08A}"/>
    <hyperlink ref="A8" r:id="rId7" display="https://www.ahd.com/free_profile/380103/Kaiser_Permanente_Westside_Medical_Center/Hillsboro/Oregon/" xr:uid="{798E052B-E290-C64D-ABC3-3FC7579E740E}"/>
    <hyperlink ref="A9" r:id="rId8" display="https://www.ahd.com/free_profile/380091/Kaiser_Sunnyside_Medical_Center/Clackamas/Oregon/" xr:uid="{F987AA4B-CE6E-7348-BF39-31569369C685}"/>
    <hyperlink ref="A10" r:id="rId9" display="https://www.ahd.com/free_profile/380007/Legacy_Emanuel__Medical_Center/Portland/Oregon/" xr:uid="{029A32FE-5FAF-CF41-889B-71E9E3F14FBB}"/>
    <hyperlink ref="A11" r:id="rId10" display="https://www.ahd.com/free_profile/380017/Legacy_Good_Samaritan_Hospital/Portland/Oregon/" xr:uid="{B43B18AA-95A6-2547-8A9D-71DF21CC0405}"/>
    <hyperlink ref="A12" r:id="rId11" display="https://www.ahd.com/free_profile/380089/Legacy_Meridian_Park_Hospital/Tualatin/Oregon/" xr:uid="{8CAE47F6-D812-A448-A548-8DFA37ACBAC0}"/>
    <hyperlink ref="A13" r:id="rId12" display="https://www.ahd.com/free_profile/380025/Legacy_Mount_Hood_Medical_Center/Gresham/Oregon/" xr:uid="{C787F299-8781-2E4E-9849-D140C350D451}"/>
    <hyperlink ref="A14" r:id="rId13" display="https://www.ahd.com/free_profile/380029/Legacy_Silverton_Medical_Center/Silverton/Oregon/" xr:uid="{58709266-F5D6-CE4F-B1E1-97EB10181005}"/>
    <hyperlink ref="A15" r:id="rId14" display="https://www.ahd.com/free_profile/380020/McKenzie-Willamette_Medical_Center/Springfield/Oregon/" xr:uid="{B020FCAA-A7F8-B644-990D-C7D4A104F05C}"/>
    <hyperlink ref="A16" r:id="rId15" display="https://www.ahd.com/free_profile/380027/Mercy_Medical_Center/Roseburg/Oregon/" xr:uid="{C252176B-DC3D-294B-81AB-B4BADF336DD0}"/>
    <hyperlink ref="A17" r:id="rId16" display="https://www.ahd.com/free_profile/380001/Mid-Columbia_Medical_Center/The_Dalles/Oregon/" xr:uid="{14F5A9A6-1472-2C4F-8940-8783C6AE46FB}"/>
    <hyperlink ref="A18" r:id="rId17" display="https://www.ahd.com/free_profile/380009/Oregon_Health_%26_Science_University_Hospital/Portland/Oregon/" xr:uid="{36F0FA28-57CC-BA49-8671-DAB3586AD453}"/>
    <hyperlink ref="A19" r:id="rId18" display="https://www.ahd.com/free_profile/380102/PeaceHealth_Sacred_Heart_Medical_Center_at_RiverBend/Springfield/Oregon/" xr:uid="{1FA85C05-C489-384B-B226-28D569CD6345}"/>
    <hyperlink ref="A20" r:id="rId19" display="https://www.ahd.com/free_profile/380033/PeaceHealth_Sacred_Heart_Medical_Center_University_District/Eugene/Oregon/" xr:uid="{FE3232FD-67CC-B34E-9A96-7BCED8E1B54B}"/>
    <hyperlink ref="A21" r:id="rId20" display="https://www.ahd.com/free_profile/38003F/Portland_VA_Medical_Center/Portland/Oregon/" xr:uid="{FC869BC6-55B4-884F-A1EB-C6B7C9AD3C6D}"/>
    <hyperlink ref="A22" r:id="rId21" display="https://www.ahd.com/free_profile/380075/Providence_Medford_Medical_Center/Medford/Oregon/" xr:uid="{93349538-A375-EA41-A03E-D55309BA449D}"/>
    <hyperlink ref="A23" r:id="rId22" display="https://www.ahd.com/free_profile/380082/Providence_Milwaukie_Hospital/Milwaukie/Oregon/" xr:uid="{7FA4CE11-D49A-444E-9C74-D13448EE2857}"/>
    <hyperlink ref="A24" r:id="rId23" display="https://www.ahd.com/free_profile/380037/Providence_Newberg_Medical_Center/Newberg/Oregon/" xr:uid="{28CCF380-5270-794C-9817-EF93B519D81D}"/>
    <hyperlink ref="A25" r:id="rId24" display="https://www.ahd.com/free_profile/380061/Providence_Portland_Medical_Center/Portland/Oregon/" xr:uid="{578E2DA5-2B0D-CA4C-A231-3C999D848187}"/>
    <hyperlink ref="A26" r:id="rId25" display="https://www.ahd.com/free_profile/380004/Providence_Saint_Vincent_Medical_Center/Portland/Oregon/" xr:uid="{992F5CA9-688D-8040-88B8-9EC833EA3BFB}"/>
    <hyperlink ref="A27" r:id="rId26" display="https://www.ahd.com/free_profile/380038/Providence_Willamette_Falls_Medical_Center/Oregon_City/Oregon/" xr:uid="{2E20C975-42B2-0341-8713-5A721578A22A}"/>
    <hyperlink ref="A28" r:id="rId27" display="https://www.ahd.com/free_profile/38004F/Roseburg_VA_Health_Care_System/Roseburg/Oregon/" xr:uid="{78D28D44-4E43-6A4F-9BA1-2FED400E643F}"/>
    <hyperlink ref="A29" r:id="rId28" display="https://www.ahd.com/free_profile/380052/Saint_Alphonsus_Medical_Center_-_Ontario/Ontario/Oregon/" xr:uid="{31208A96-675F-B84F-8785-3C15853FE29C}"/>
    <hyperlink ref="A30" r:id="rId29" display="https://www.ahd.com/free_profile/380047/Saint_Charles_Bend_Medical_Center/Bend/Oregon/" xr:uid="{16F919B7-AB23-D446-93AC-24193059ADB0}"/>
    <hyperlink ref="A31" r:id="rId30" display="https://www.ahd.com/free_profile/380051/Salem_Hospital/Salem/Oregon/" xr:uid="{FE36D427-9895-0A42-913F-91ACC1C232BA}"/>
    <hyperlink ref="A32" r:id="rId31" display="https://www.ahd.com/free_profile/380022/Samaritan_Albany_General_Hospital/Albany/Oregon/" xr:uid="{C6347561-2C15-1440-8555-5264A7D354F2}"/>
    <hyperlink ref="A33" r:id="rId32" display="https://www.ahd.com/free_profile/380056/Santiam_Hospital/Stayton/Oregon/" xr:uid="{62328DA9-D905-FD47-98FF-A600854B0EF0}"/>
    <hyperlink ref="A34" r:id="rId33" display="https://www.ahd.com/free_profile/380050/Sky_Lakes_Medical_Center/Klamath_Falls/Oregon/" xr:uid="{F9FF1D14-96B0-6842-AC03-C8DEAFB1A318}"/>
    <hyperlink ref="A35" r:id="rId34" display="https://www.ahd.com/free_profile/I42070/St_Charles_Prineville/Prineville/Oregon/" xr:uid="{311D23F2-1575-0D49-A660-12E3EA88CFED}"/>
    <hyperlink ref="A36" r:id="rId35" display="https://www.ahd.com/free_profile/380040/St_Charles_Redmond/Redmond/Oregon/" xr:uid="{8E036FD8-5F1E-9649-BAA6-569CB097E947}"/>
    <hyperlink ref="A37" r:id="rId36" display="https://www.ahd.com/free_profile/380021/Tuality_Community_Hospital/Hillsboro/Oregon/" xr:uid="{CE71C981-93EA-9446-9A19-C10365BA4810}"/>
    <hyperlink ref="A38" r:id="rId37" display="https://www.ahd.com/free_profile/380071/Willamette_Valley_Medical_Center/McMinnville/Oregon/" xr:uid="{6790D06F-65C3-3545-8913-A2FC189BBD75}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6ACA3-1C03-DA4A-B350-55AE85A70D80}">
  <sheetPr codeName="Sheet40"/>
  <dimension ref="A1:G178"/>
  <sheetViews>
    <sheetView topLeftCell="A164" workbookViewId="0">
      <selection activeCell="G177" sqref="G2:G177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4354</v>
      </c>
      <c r="B2" s="2" t="s">
        <v>4159</v>
      </c>
      <c r="C2" s="2">
        <v>244</v>
      </c>
      <c r="D2" s="3">
        <v>17362</v>
      </c>
      <c r="E2" s="3">
        <v>58875</v>
      </c>
      <c r="F2" s="4">
        <v>1315656</v>
      </c>
      <c r="G2" s="11" t="str" cm="1">
        <f t="array" aca="1" ref="G2" ca="1">IFERROR(VLOOKUP("*" &amp; B2  &amp; "*" &amp; (MID(CELL("filename",A1),FIND("]",CELL("filename",A1))+1,31)) &amp; "*",CHOOSE({1,2}, Super_CBSA!$B$2:$B$1917, Super_CBSA!$A$2:$A$1917), 2,FALSE), IFERROR(VLOOKUP(B2  &amp; " city",CHOOSE({1,2}, Super_CBSA!$E$2:$E$1917, Super_CBSA!$A$2:$A$1917), 2,FALSE), ""))</f>
        <v/>
      </c>
    </row>
    <row r="3" spans="1:7" ht="17">
      <c r="A3" s="1" t="s">
        <v>4355</v>
      </c>
      <c r="B3" s="2" t="s">
        <v>4356</v>
      </c>
      <c r="C3" s="2">
        <v>724</v>
      </c>
      <c r="D3" s="3">
        <v>32014</v>
      </c>
      <c r="E3" s="3">
        <v>142327</v>
      </c>
      <c r="F3" s="4">
        <v>3108004</v>
      </c>
      <c r="G3" s="11" t="str" cm="1">
        <f t="array" aca="1" ref="G3" ca="1">IFERROR(VLOOKUP("*" &amp; B3  &amp; "*" &amp; (MID(CELL("filename",A2),FIND("]",CELL("filename",A2))+1,31)) &amp; "*",CHOOSE({1,2}, Super_CBSA!$B$2:$B$1917, Super_CBSA!$A$2:$A$1917), 2,FALSE), IFERROR(VLOOKUP(B3  &amp; " city",CHOOSE({1,2}, Super_CBSA!$E$2:$E$1917, Super_CBSA!$A$2:$A$1917), 2,FALSE), ""))</f>
        <v/>
      </c>
    </row>
    <row r="4" spans="1:7" ht="17">
      <c r="A4" s="1" t="s">
        <v>4357</v>
      </c>
      <c r="B4" s="2" t="s">
        <v>4358</v>
      </c>
      <c r="C4" s="2">
        <v>421</v>
      </c>
      <c r="D4" s="3">
        <v>20388</v>
      </c>
      <c r="E4" s="3">
        <v>99050</v>
      </c>
      <c r="F4" s="4">
        <v>3089366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 city",CHOOSE({1,2}, Super_CBSA!$E$2:$E$1917, Super_CBSA!$A$2:$A$1917), 2,FALSE), ""))</f>
        <v>21500</v>
      </c>
    </row>
    <row r="5" spans="1:7" ht="17">
      <c r="A5" s="1" t="s">
        <v>4359</v>
      </c>
      <c r="B5" s="2" t="s">
        <v>4360</v>
      </c>
      <c r="C5" s="2">
        <v>55</v>
      </c>
      <c r="D5" s="3">
        <v>2927</v>
      </c>
      <c r="E5" s="3">
        <v>9521</v>
      </c>
      <c r="F5" s="4">
        <v>406539</v>
      </c>
      <c r="G5" s="11" t="str" cm="1">
        <f t="array" aca="1" ref="G5" ca="1">IFERROR(VLOOKUP("*" &amp; B5  &amp; "*" &amp; (MID(CELL("filename",A4),FIND("]",CELL("filename",A4))+1,31)) &amp; "*",CHOOSE({1,2}, Super_CBSA!$B$2:$B$1917, Super_CBSA!$A$2:$A$1917), 2,FALSE), IFERROR(VLOOKUP(B5  &amp; " city",CHOOSE({1,2}, Super_CBSA!$E$2:$E$1917, Super_CBSA!$A$2:$A$1917), 2,FALSE), ""))</f>
        <v/>
      </c>
    </row>
    <row r="6" spans="1:7" ht="17">
      <c r="A6" s="1" t="s">
        <v>4361</v>
      </c>
      <c r="B6" s="2" t="s">
        <v>4362</v>
      </c>
      <c r="C6" s="2">
        <v>335</v>
      </c>
      <c r="D6" s="3">
        <v>17527</v>
      </c>
      <c r="E6" s="3">
        <v>91880</v>
      </c>
      <c r="F6" s="4">
        <v>3943015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 city",CHOOSE({1,2}, Super_CBSA!$E$2:$E$1917, Super_CBSA!$A$2:$A$1917), 2,FALSE), ""))</f>
        <v>38300</v>
      </c>
    </row>
    <row r="7" spans="1:7" ht="17">
      <c r="A7" s="1" t="s">
        <v>4363</v>
      </c>
      <c r="B7" s="2" t="s">
        <v>4362</v>
      </c>
      <c r="C7" s="2">
        <v>0</v>
      </c>
      <c r="D7" s="2">
        <v>0</v>
      </c>
      <c r="E7" s="2">
        <v>0</v>
      </c>
      <c r="F7" s="4">
        <v>0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 city",CHOOSE({1,2}, Super_CBSA!$E$2:$E$1917, Super_CBSA!$A$2:$A$1917), 2,FALSE), ""))</f>
        <v>38300</v>
      </c>
    </row>
    <row r="8" spans="1:7" ht="17">
      <c r="A8" s="1" t="s">
        <v>4364</v>
      </c>
      <c r="B8" s="2" t="s">
        <v>4365</v>
      </c>
      <c r="C8" s="2">
        <v>140</v>
      </c>
      <c r="D8" s="3">
        <v>5433</v>
      </c>
      <c r="E8" s="3">
        <v>19757</v>
      </c>
      <c r="F8" s="4">
        <v>371207</v>
      </c>
      <c r="G8" s="11" t="str" cm="1">
        <f t="array" aca="1" ref="G8" ca="1">IFERROR(VLOOKUP("*" &amp; B8  &amp; "*" &amp; (MID(CELL("filename",A7),FIND("]",CELL("filename",A7))+1,31)) &amp; "*",CHOOSE({1,2}, Super_CBSA!$B$2:$B$1917, Super_CBSA!$A$2:$A$1917), 2,FALSE), IFERROR(VLOOKUP(B8  &amp; " city",CHOOSE({1,2}, Super_CBSA!$E$2:$E$1917, Super_CBSA!$A$2:$A$1917), 2,FALSE), ""))</f>
        <v/>
      </c>
    </row>
    <row r="9" spans="1:7" ht="17">
      <c r="A9" s="1" t="s">
        <v>4366</v>
      </c>
      <c r="B9" s="2" t="s">
        <v>4367</v>
      </c>
      <c r="C9" s="2">
        <v>638</v>
      </c>
      <c r="D9" s="3">
        <v>27052</v>
      </c>
      <c r="E9" s="3">
        <v>134266</v>
      </c>
      <c r="F9" s="4">
        <v>2915692</v>
      </c>
      <c r="G9" s="11" t="str" cm="1">
        <f t="array" aca="1" ref="G9" ca="1">IFERROR(VLOOKUP("*" &amp; B9  &amp; "*" &amp; (MID(CELL("filename",A8),FIND("]",CELL("filename",A8))+1,31)) &amp; "*",CHOOSE({1,2}, Super_CBSA!$B$2:$B$1917, Super_CBSA!$A$2:$A$1917), 2,FALSE), IFERROR(VLOOKUP(B9  &amp; " city",CHOOSE({1,2}, Super_CBSA!$E$2:$E$1917, Super_CBSA!$A$2:$A$1917), 2,FALSE), ""))</f>
        <v/>
      </c>
    </row>
    <row r="10" spans="1:7" ht="17">
      <c r="A10" s="1" t="s">
        <v>4368</v>
      </c>
      <c r="B10" s="2" t="s">
        <v>1134</v>
      </c>
      <c r="C10" s="2">
        <v>14</v>
      </c>
      <c r="D10" s="2">
        <v>742</v>
      </c>
      <c r="E10" s="3">
        <v>1431</v>
      </c>
      <c r="F10" s="4">
        <v>75149</v>
      </c>
      <c r="G10" s="11" t="str" cm="1">
        <f t="array" aca="1" ref="G10" ca="1">IFERROR(VLOOKUP("*" &amp; B10  &amp; "*" &amp; (MID(CELL("filename",A9),FIND("]",CELL("filename",A9))+1,31)) &amp; "*",CHOOSE({1,2}, Super_CBSA!$B$2:$B$1917, Super_CBSA!$A$2:$A$1917), 2,FALSE), IFERROR(VLOOKUP(B10  &amp; " city",CHOOSE({1,2}, Super_CBSA!$E$2:$E$1917, Super_CBSA!$A$2:$A$1917), 2,FALSE), ""))</f>
        <v/>
      </c>
    </row>
    <row r="11" spans="1:7" ht="17">
      <c r="A11" s="1" t="s">
        <v>4369</v>
      </c>
      <c r="B11" s="2" t="s">
        <v>4025</v>
      </c>
      <c r="C11" s="2">
        <v>77</v>
      </c>
      <c r="D11" s="3">
        <v>1200</v>
      </c>
      <c r="E11" s="3">
        <v>4053</v>
      </c>
      <c r="F11" s="4">
        <v>165316</v>
      </c>
      <c r="G11" s="11" t="str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 city",CHOOSE({1,2}, Super_CBSA!$E$2:$E$1917, Super_CBSA!$A$2:$A$1917), 2,FALSE), ""))</f>
        <v/>
      </c>
    </row>
    <row r="12" spans="1:7" ht="17">
      <c r="A12" s="1" t="s">
        <v>4370</v>
      </c>
      <c r="B12" s="2" t="s">
        <v>4362</v>
      </c>
      <c r="C12" s="2">
        <v>552</v>
      </c>
      <c r="D12" s="3">
        <v>23231</v>
      </c>
      <c r="E12" s="3">
        <v>128386</v>
      </c>
      <c r="F12" s="4">
        <v>3276059</v>
      </c>
      <c r="G12" s="11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 city",CHOOSE({1,2}, Super_CBSA!$E$2:$E$1917, Super_CBSA!$A$2:$A$1917), 2,FALSE), ""))</f>
        <v>38300</v>
      </c>
    </row>
    <row r="13" spans="1:7" ht="17">
      <c r="A13" s="1" t="s">
        <v>4371</v>
      </c>
      <c r="B13" s="2" t="s">
        <v>4372</v>
      </c>
      <c r="C13" s="2">
        <v>200</v>
      </c>
      <c r="D13" s="3">
        <v>3752</v>
      </c>
      <c r="E13" s="3">
        <v>13713</v>
      </c>
      <c r="F13" s="4">
        <v>420185</v>
      </c>
      <c r="G13" s="11" t="str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 city",CHOOSE({1,2}, Super_CBSA!$E$2:$E$1917, Super_CBSA!$A$2:$A$1917), 2,FALSE), ""))</f>
        <v/>
      </c>
    </row>
    <row r="14" spans="1:7" ht="17">
      <c r="A14" s="1" t="s">
        <v>4373</v>
      </c>
      <c r="B14" s="2" t="s">
        <v>4374</v>
      </c>
      <c r="C14" s="2">
        <v>164</v>
      </c>
      <c r="D14" s="3">
        <v>3826</v>
      </c>
      <c r="E14" s="3">
        <v>15402</v>
      </c>
      <c r="F14" s="4">
        <v>316534</v>
      </c>
      <c r="G14" s="11" t="str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 city",CHOOSE({1,2}, Super_CBSA!$E$2:$E$1917, Super_CBSA!$A$2:$A$1917), 2,FALSE), ""))</f>
        <v/>
      </c>
    </row>
    <row r="15" spans="1:7" ht="17">
      <c r="A15" s="1" t="s">
        <v>4375</v>
      </c>
      <c r="B15" s="2" t="s">
        <v>4376</v>
      </c>
      <c r="C15" s="2">
        <v>341</v>
      </c>
      <c r="D15" s="2">
        <v>812</v>
      </c>
      <c r="E15" s="3">
        <v>2715</v>
      </c>
      <c r="F15" s="4">
        <v>290253</v>
      </c>
      <c r="G15" s="11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 city",CHOOSE({1,2}, Super_CBSA!$E$2:$E$1917, Super_CBSA!$A$2:$A$1917), 2,FALSE), ""))</f>
        <v>14100</v>
      </c>
    </row>
    <row r="16" spans="1:7" ht="17">
      <c r="A16" s="1" t="s">
        <v>4377</v>
      </c>
      <c r="B16" s="2" t="s">
        <v>4378</v>
      </c>
      <c r="C16" s="2">
        <v>202</v>
      </c>
      <c r="D16" s="3">
        <v>2904</v>
      </c>
      <c r="E16" s="3">
        <v>14778</v>
      </c>
      <c r="F16" s="4">
        <v>142994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 city",CHOOSE({1,2}, Super_CBSA!$E$2:$E$1917, Super_CBSA!$A$2:$A$1917), 2,FALSE), ""))</f>
        <v>14620</v>
      </c>
    </row>
    <row r="17" spans="1:7" ht="17">
      <c r="A17" s="1" t="s">
        <v>4379</v>
      </c>
      <c r="B17" s="2" t="s">
        <v>4380</v>
      </c>
      <c r="C17" s="2">
        <v>171</v>
      </c>
      <c r="D17" s="3">
        <v>5877</v>
      </c>
      <c r="E17" s="3">
        <v>31889</v>
      </c>
      <c r="F17" s="4">
        <v>794521</v>
      </c>
      <c r="G17" s="11" t="str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 city",CHOOSE({1,2}, Super_CBSA!$E$2:$E$1917, Super_CBSA!$A$2:$A$1917), 2,FALSE), ""))</f>
        <v/>
      </c>
    </row>
    <row r="18" spans="1:7" ht="17">
      <c r="A18" s="1" t="s">
        <v>4381</v>
      </c>
      <c r="B18" s="2" t="s">
        <v>4382</v>
      </c>
      <c r="C18" s="2">
        <v>287</v>
      </c>
      <c r="D18" s="3">
        <v>13854</v>
      </c>
      <c r="E18" s="3">
        <v>50793</v>
      </c>
      <c r="F18" s="4">
        <v>1447000</v>
      </c>
      <c r="G18" s="11" t="str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 city",CHOOSE({1,2}, Super_CBSA!$E$2:$E$1917, Super_CBSA!$A$2:$A$1917), 2,FALSE), ""))</f>
        <v/>
      </c>
    </row>
    <row r="19" spans="1:7" ht="17">
      <c r="A19" s="1" t="s">
        <v>4383</v>
      </c>
      <c r="B19" s="2" t="s">
        <v>3001</v>
      </c>
      <c r="C19" s="2">
        <v>312</v>
      </c>
      <c r="D19" s="3">
        <v>11945</v>
      </c>
      <c r="E19" s="3">
        <v>56026</v>
      </c>
      <c r="F19" s="4">
        <v>1136446</v>
      </c>
      <c r="G19" s="11" t="str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 city",CHOOSE({1,2}, Super_CBSA!$E$2:$E$1917, Super_CBSA!$A$2:$A$1917), 2,FALSE), ""))</f>
        <v/>
      </c>
    </row>
    <row r="20" spans="1:7" ht="17">
      <c r="A20" s="1" t="s">
        <v>4384</v>
      </c>
      <c r="B20" s="2" t="s">
        <v>3132</v>
      </c>
      <c r="C20" s="2">
        <v>74</v>
      </c>
      <c r="D20" s="2">
        <v>551</v>
      </c>
      <c r="E20" s="3">
        <v>2543</v>
      </c>
      <c r="F20" s="4">
        <v>0</v>
      </c>
      <c r="G20" s="11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 city",CHOOSE({1,2}, Super_CBSA!$E$2:$E$1917, Super_CBSA!$A$2:$A$1917), 2,FALSE), ""))</f>
        <v>37980</v>
      </c>
    </row>
    <row r="21" spans="1:7" ht="17">
      <c r="A21" s="1" t="s">
        <v>4385</v>
      </c>
      <c r="B21" s="2" t="s">
        <v>4386</v>
      </c>
      <c r="C21" s="2">
        <v>104</v>
      </c>
      <c r="D21" s="3">
        <v>1496</v>
      </c>
      <c r="E21" s="3">
        <v>5552</v>
      </c>
      <c r="F21" s="4">
        <v>166443</v>
      </c>
      <c r="G21" s="11" t="str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 city",CHOOSE({1,2}, Super_CBSA!$E$2:$E$1917, Super_CBSA!$A$2:$A$1917), 2,FALSE), ""))</f>
        <v/>
      </c>
    </row>
    <row r="22" spans="1:7" ht="17">
      <c r="A22" s="1" t="s">
        <v>4387</v>
      </c>
      <c r="B22" s="2" t="s">
        <v>4388</v>
      </c>
      <c r="C22" s="2">
        <v>47</v>
      </c>
      <c r="D22" s="3">
        <v>1090</v>
      </c>
      <c r="E22" s="3">
        <v>2454</v>
      </c>
      <c r="F22" s="4">
        <v>108737</v>
      </c>
      <c r="G22" s="11" t="str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 city",CHOOSE({1,2}, Super_CBSA!$E$2:$E$1917, Super_CBSA!$A$2:$A$1917), 2,FALSE), ""))</f>
        <v/>
      </c>
    </row>
    <row r="23" spans="1:7" ht="17">
      <c r="A23" s="1" t="s">
        <v>4389</v>
      </c>
      <c r="B23" s="2" t="s">
        <v>3132</v>
      </c>
      <c r="C23" s="2">
        <v>148</v>
      </c>
      <c r="D23" s="3">
        <v>6824</v>
      </c>
      <c r="E23" s="3">
        <v>29795</v>
      </c>
      <c r="F23" s="4">
        <v>1249066</v>
      </c>
      <c r="G23" s="11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 city",CHOOSE({1,2}, Super_CBSA!$E$2:$E$1917, Super_CBSA!$A$2:$A$1917), 2,FALSE), ""))</f>
        <v>37980</v>
      </c>
    </row>
    <row r="24" spans="1:7" ht="17">
      <c r="A24" s="1" t="s">
        <v>4390</v>
      </c>
      <c r="B24" s="2" t="s">
        <v>4391</v>
      </c>
      <c r="C24" s="2">
        <v>65</v>
      </c>
      <c r="D24" s="3">
        <v>1318</v>
      </c>
      <c r="E24" s="3">
        <v>4585</v>
      </c>
      <c r="F24" s="4">
        <v>118613</v>
      </c>
      <c r="G24" s="11" t="str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 city",CHOOSE({1,2}, Super_CBSA!$E$2:$E$1917, Super_CBSA!$A$2:$A$1917), 2,FALSE), ""))</f>
        <v/>
      </c>
    </row>
    <row r="25" spans="1:7" ht="17">
      <c r="A25" s="1" t="s">
        <v>4392</v>
      </c>
      <c r="B25" s="2" t="s">
        <v>4393</v>
      </c>
      <c r="C25" s="2">
        <v>214</v>
      </c>
      <c r="D25" s="3">
        <v>6951</v>
      </c>
      <c r="E25" s="3">
        <v>29459</v>
      </c>
      <c r="F25" s="4">
        <v>200471</v>
      </c>
      <c r="G25" s="11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 city",CHOOSE({1,2}, Super_CBSA!$E$2:$E$1917, Super_CBSA!$A$2:$A$1917), 2,FALSE), ""))</f>
        <v>27780</v>
      </c>
    </row>
    <row r="26" spans="1:7" ht="17">
      <c r="A26" s="1" t="s">
        <v>4394</v>
      </c>
      <c r="B26" s="2" t="s">
        <v>4393</v>
      </c>
      <c r="C26" s="2">
        <v>436</v>
      </c>
      <c r="D26" s="3">
        <v>17208</v>
      </c>
      <c r="E26" s="3">
        <v>79228</v>
      </c>
      <c r="F26" s="4">
        <v>1341395</v>
      </c>
      <c r="G26" s="11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 city",CHOOSE({1,2}, Super_CBSA!$E$2:$E$1917, Super_CBSA!$A$2:$A$1917), 2,FALSE), ""))</f>
        <v>27780</v>
      </c>
    </row>
    <row r="27" spans="1:7" ht="17">
      <c r="A27" s="1" t="s">
        <v>4395</v>
      </c>
      <c r="B27" s="2" t="s">
        <v>2976</v>
      </c>
      <c r="C27" s="2">
        <v>30</v>
      </c>
      <c r="D27" s="2">
        <v>479</v>
      </c>
      <c r="E27" s="3">
        <v>1748</v>
      </c>
      <c r="F27" s="4">
        <v>56905</v>
      </c>
      <c r="G27" s="11" t="str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 city",CHOOSE({1,2}, Super_CBSA!$E$2:$E$1917, Super_CBSA!$A$2:$A$1917), 2,FALSE), ""))</f>
        <v/>
      </c>
    </row>
    <row r="28" spans="1:7" ht="17">
      <c r="A28" s="1" t="s">
        <v>4396</v>
      </c>
      <c r="B28" s="2" t="s">
        <v>4397</v>
      </c>
      <c r="C28" s="2">
        <v>45</v>
      </c>
      <c r="D28" s="3">
        <v>1598</v>
      </c>
      <c r="E28" s="3">
        <v>4725</v>
      </c>
      <c r="F28" s="4">
        <v>89933</v>
      </c>
      <c r="G28" s="11" t="str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 city",CHOOSE({1,2}, Super_CBSA!$E$2:$E$1917, Super_CBSA!$A$2:$A$1917), 2,FALSE), ""))</f>
        <v/>
      </c>
    </row>
    <row r="29" spans="1:7" ht="17">
      <c r="A29" s="1" t="s">
        <v>4398</v>
      </c>
      <c r="B29" s="2" t="s">
        <v>4399</v>
      </c>
      <c r="C29" s="2">
        <v>20</v>
      </c>
      <c r="D29" s="3">
        <v>1169</v>
      </c>
      <c r="E29" s="3">
        <v>2609</v>
      </c>
      <c r="F29" s="4">
        <v>122755</v>
      </c>
      <c r="G29" s="11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 city",CHOOSE({1,2}, Super_CBSA!$E$2:$E$1917, Super_CBSA!$A$2:$A$1917), 2,FALSE), ""))</f>
        <v>10900</v>
      </c>
    </row>
    <row r="30" spans="1:7" ht="17">
      <c r="A30" s="1" t="s">
        <v>4400</v>
      </c>
      <c r="B30" s="2" t="s">
        <v>4401</v>
      </c>
      <c r="C30" s="2">
        <v>32</v>
      </c>
      <c r="D30" s="3">
        <v>1025</v>
      </c>
      <c r="E30" s="3">
        <v>2100</v>
      </c>
      <c r="F30" s="4">
        <v>422106</v>
      </c>
      <c r="G30" s="11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 city",CHOOSE({1,2}, Super_CBSA!$E$2:$E$1917, Super_CBSA!$A$2:$A$1917), 2,FALSE), ""))</f>
        <v>10900</v>
      </c>
    </row>
    <row r="31" spans="1:7" ht="17">
      <c r="A31" s="1" t="s">
        <v>4402</v>
      </c>
      <c r="B31" s="2" t="s">
        <v>3132</v>
      </c>
      <c r="C31" s="2">
        <v>0</v>
      </c>
      <c r="D31" s="2">
        <v>0</v>
      </c>
      <c r="E31" s="2">
        <v>0</v>
      </c>
      <c r="F31" s="4">
        <v>0</v>
      </c>
      <c r="G31" s="11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 city",CHOOSE({1,2}, Super_CBSA!$E$2:$E$1917, Super_CBSA!$A$2:$A$1917), 2,FALSE), ""))</f>
        <v>37980</v>
      </c>
    </row>
    <row r="32" spans="1:7" ht="17">
      <c r="A32" s="1" t="s">
        <v>4403</v>
      </c>
      <c r="B32" s="2" t="s">
        <v>840</v>
      </c>
      <c r="C32" s="2">
        <v>449</v>
      </c>
      <c r="D32" s="3">
        <v>16376</v>
      </c>
      <c r="E32" s="3">
        <v>83693</v>
      </c>
      <c r="F32" s="4">
        <v>3780429</v>
      </c>
      <c r="G32" s="11" t="str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 city",CHOOSE({1,2}, Super_CBSA!$E$2:$E$1917, Super_CBSA!$A$2:$A$1917), 2,FALSE), ""))</f>
        <v/>
      </c>
    </row>
    <row r="33" spans="1:7" ht="17">
      <c r="A33" s="1" t="s">
        <v>4404</v>
      </c>
      <c r="B33" s="2" t="s">
        <v>4405</v>
      </c>
      <c r="C33" s="2">
        <v>168</v>
      </c>
      <c r="D33" s="3">
        <v>5773</v>
      </c>
      <c r="E33" s="3">
        <v>26256</v>
      </c>
      <c r="F33" s="4">
        <v>1016690</v>
      </c>
      <c r="G33" s="11" t="str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 city",CHOOSE({1,2}, Super_CBSA!$E$2:$E$1917, Super_CBSA!$A$2:$A$1917), 2,FALSE), ""))</f>
        <v/>
      </c>
    </row>
    <row r="34" spans="1:7" ht="17">
      <c r="A34" s="1" t="s">
        <v>4406</v>
      </c>
      <c r="B34" s="2" t="s">
        <v>4407</v>
      </c>
      <c r="C34" s="2">
        <v>217</v>
      </c>
      <c r="D34" s="3">
        <v>13288</v>
      </c>
      <c r="E34" s="3">
        <v>50183</v>
      </c>
      <c r="F34" s="4">
        <v>1202845</v>
      </c>
      <c r="G34" s="11" t="str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 city",CHOOSE({1,2}, Super_CBSA!$E$2:$E$1917, Super_CBSA!$A$2:$A$1917), 2,FALSE), ""))</f>
        <v/>
      </c>
    </row>
    <row r="35" spans="1:7" ht="17">
      <c r="A35" s="1" t="s">
        <v>4408</v>
      </c>
      <c r="B35" s="2" t="s">
        <v>4409</v>
      </c>
      <c r="C35" s="2">
        <v>83</v>
      </c>
      <c r="D35" s="3">
        <v>2017</v>
      </c>
      <c r="E35" s="3">
        <v>12206</v>
      </c>
      <c r="F35" s="4">
        <v>62908</v>
      </c>
      <c r="G35" s="11" t="str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 city",CHOOSE({1,2}, Super_CBSA!$E$2:$E$1917, Super_CBSA!$A$2:$A$1917), 2,FALSE), ""))</f>
        <v/>
      </c>
    </row>
    <row r="36" spans="1:7" ht="17">
      <c r="A36" s="1" t="s">
        <v>4410</v>
      </c>
      <c r="B36" s="2" t="s">
        <v>4411</v>
      </c>
      <c r="C36" s="2">
        <v>10</v>
      </c>
      <c r="D36" s="2">
        <v>38</v>
      </c>
      <c r="E36" s="2">
        <v>108</v>
      </c>
      <c r="F36" s="4">
        <v>20674</v>
      </c>
      <c r="G36" s="11" t="str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 city",CHOOSE({1,2}, Super_CBSA!$E$2:$E$1917, Super_CBSA!$A$2:$A$1917), 2,FALSE), ""))</f>
        <v/>
      </c>
    </row>
    <row r="37" spans="1:7" ht="17">
      <c r="A37" s="1" t="s">
        <v>4412</v>
      </c>
      <c r="B37" s="2" t="s">
        <v>4413</v>
      </c>
      <c r="C37" s="2">
        <v>154</v>
      </c>
      <c r="D37" s="3">
        <v>2392</v>
      </c>
      <c r="E37" s="3">
        <v>12390</v>
      </c>
      <c r="F37" s="4">
        <v>194402</v>
      </c>
      <c r="G37" s="11" t="str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 city",CHOOSE({1,2}, Super_CBSA!$E$2:$E$1917, Super_CBSA!$A$2:$A$1917), 2,FALSE), ""))</f>
        <v/>
      </c>
    </row>
    <row r="38" spans="1:7" ht="17">
      <c r="A38" s="1" t="s">
        <v>4414</v>
      </c>
      <c r="B38" s="2" t="s">
        <v>4415</v>
      </c>
      <c r="C38" s="2">
        <v>170</v>
      </c>
      <c r="D38" s="3">
        <v>12240</v>
      </c>
      <c r="E38" s="3">
        <v>48220</v>
      </c>
      <c r="F38" s="4">
        <v>1203998</v>
      </c>
      <c r="G38" s="11" t="str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 city",CHOOSE({1,2}, Super_CBSA!$E$2:$E$1917, Super_CBSA!$A$2:$A$1917), 2,FALSE), ""))</f>
        <v/>
      </c>
    </row>
    <row r="39" spans="1:7" ht="17">
      <c r="A39" s="1" t="s">
        <v>4416</v>
      </c>
      <c r="B39" s="2" t="s">
        <v>3132</v>
      </c>
      <c r="C39" s="2">
        <v>697</v>
      </c>
      <c r="D39" s="3">
        <v>25138</v>
      </c>
      <c r="E39" s="3">
        <v>108698</v>
      </c>
      <c r="F39" s="4">
        <v>3083199</v>
      </c>
      <c r="G39" s="11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 city",CHOOSE({1,2}, Super_CBSA!$E$2:$E$1917, Super_CBSA!$A$2:$A$1917), 2,FALSE), ""))</f>
        <v>37980</v>
      </c>
    </row>
    <row r="40" spans="1:7" ht="17">
      <c r="A40" s="1" t="s">
        <v>4417</v>
      </c>
      <c r="B40" s="2" t="s">
        <v>4358</v>
      </c>
      <c r="C40" s="2">
        <v>0</v>
      </c>
      <c r="D40" s="2">
        <v>0</v>
      </c>
      <c r="E40" s="2">
        <v>0</v>
      </c>
      <c r="F40" s="4">
        <v>0</v>
      </c>
      <c r="G40" s="11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 city",CHOOSE({1,2}, Super_CBSA!$E$2:$E$1917, Super_CBSA!$A$2:$A$1917), 2,FALSE), ""))</f>
        <v>21500</v>
      </c>
    </row>
    <row r="41" spans="1:7" ht="17">
      <c r="A41" s="1" t="s">
        <v>4418</v>
      </c>
      <c r="B41" s="2" t="s">
        <v>4419</v>
      </c>
      <c r="C41" s="2">
        <v>132</v>
      </c>
      <c r="D41" s="3">
        <v>5618</v>
      </c>
      <c r="E41" s="3">
        <v>18269</v>
      </c>
      <c r="F41" s="4">
        <v>681497</v>
      </c>
      <c r="G41" s="11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 city",CHOOSE({1,2}, Super_CBSA!$E$2:$E$1917, Super_CBSA!$A$2:$A$1917), 2,FALSE), ""))</f>
        <v>30260</v>
      </c>
    </row>
    <row r="42" spans="1:7" ht="17">
      <c r="A42" s="1" t="s">
        <v>4420</v>
      </c>
      <c r="B42" s="2" t="s">
        <v>2819</v>
      </c>
      <c r="C42" s="2">
        <v>33</v>
      </c>
      <c r="D42" s="3">
        <v>2029</v>
      </c>
      <c r="E42" s="3">
        <v>8304</v>
      </c>
      <c r="F42" s="4">
        <v>171269</v>
      </c>
      <c r="G42" s="11" t="str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 city",CHOOSE({1,2}, Super_CBSA!$E$2:$E$1917, Super_CBSA!$A$2:$A$1917), 2,FALSE), ""))</f>
        <v/>
      </c>
    </row>
    <row r="43" spans="1:7" ht="17">
      <c r="A43" s="1" t="s">
        <v>4421</v>
      </c>
      <c r="B43" s="2" t="s">
        <v>4422</v>
      </c>
      <c r="C43" s="2">
        <v>122</v>
      </c>
      <c r="D43" s="3">
        <v>6376</v>
      </c>
      <c r="E43" s="3">
        <v>24635</v>
      </c>
      <c r="F43" s="4">
        <v>406335</v>
      </c>
      <c r="G43" s="11" t="str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 city",CHOOSE({1,2}, Super_CBSA!$E$2:$E$1917, Super_CBSA!$A$2:$A$1917), 2,FALSE), ""))</f>
        <v/>
      </c>
    </row>
    <row r="44" spans="1:7" ht="17">
      <c r="A44" s="1" t="s">
        <v>4423</v>
      </c>
      <c r="B44" s="2" t="s">
        <v>4424</v>
      </c>
      <c r="C44" s="2">
        <v>272</v>
      </c>
      <c r="D44" s="3">
        <v>15881</v>
      </c>
      <c r="E44" s="3">
        <v>67391</v>
      </c>
      <c r="F44" s="4">
        <v>799144</v>
      </c>
      <c r="G44" s="11" t="str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 city",CHOOSE({1,2}, Super_CBSA!$E$2:$E$1917, Super_CBSA!$A$2:$A$1917), 2,FALSE), ""))</f>
        <v/>
      </c>
    </row>
    <row r="45" spans="1:7" ht="17">
      <c r="A45" s="1" t="s">
        <v>4425</v>
      </c>
      <c r="B45" s="2" t="s">
        <v>184</v>
      </c>
      <c r="C45" s="2">
        <v>291</v>
      </c>
      <c r="D45" s="3">
        <v>12263</v>
      </c>
      <c r="E45" s="3">
        <v>60762</v>
      </c>
      <c r="F45" s="4">
        <v>1017921</v>
      </c>
      <c r="G45" s="11" t="str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 city",CHOOSE({1,2}, Super_CBSA!$E$2:$E$1917, Super_CBSA!$A$2:$A$1917), 2,FALSE), ""))</f>
        <v/>
      </c>
    </row>
    <row r="46" spans="1:7" ht="17">
      <c r="A46" s="1" t="s">
        <v>4426</v>
      </c>
      <c r="B46" s="2" t="s">
        <v>3132</v>
      </c>
      <c r="C46" s="2">
        <v>100</v>
      </c>
      <c r="D46" s="3">
        <v>3814</v>
      </c>
      <c r="E46" s="3">
        <v>21365</v>
      </c>
      <c r="F46" s="4">
        <v>1979787</v>
      </c>
      <c r="G46" s="11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 city",CHOOSE({1,2}, Super_CBSA!$E$2:$E$1917, Super_CBSA!$A$2:$A$1917), 2,FALSE), ""))</f>
        <v>37980</v>
      </c>
    </row>
    <row r="47" spans="1:7" ht="17">
      <c r="A47" s="1" t="s">
        <v>4427</v>
      </c>
      <c r="B47" s="2" t="s">
        <v>4428</v>
      </c>
      <c r="C47" s="2">
        <v>76</v>
      </c>
      <c r="D47" s="3">
        <v>1536</v>
      </c>
      <c r="E47" s="3">
        <v>4521</v>
      </c>
      <c r="F47" s="4">
        <v>273831</v>
      </c>
      <c r="G47" s="11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 city",CHOOSE({1,2}, Super_CBSA!$E$2:$E$1917, Super_CBSA!$A$2:$A$1917), 2,FALSE), ""))</f>
        <v>14100</v>
      </c>
    </row>
    <row r="48" spans="1:7" ht="17">
      <c r="A48" s="1" t="s">
        <v>4429</v>
      </c>
      <c r="B48" s="2" t="s">
        <v>4430</v>
      </c>
      <c r="C48" s="2">
        <v>308</v>
      </c>
      <c r="D48" s="3">
        <v>9727</v>
      </c>
      <c r="E48" s="3">
        <v>45720</v>
      </c>
      <c r="F48" s="4">
        <v>1301292</v>
      </c>
      <c r="G48" s="11" t="str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 city",CHOOSE({1,2}, Super_CBSA!$E$2:$E$1917, Super_CBSA!$A$2:$A$1917), 2,FALSE), ""))</f>
        <v/>
      </c>
    </row>
    <row r="49" spans="1:7" ht="17">
      <c r="A49" s="1" t="s">
        <v>4431</v>
      </c>
      <c r="B49" s="2" t="s">
        <v>264</v>
      </c>
      <c r="C49" s="2">
        <v>0</v>
      </c>
      <c r="D49" s="2">
        <v>0</v>
      </c>
      <c r="E49" s="2">
        <v>0</v>
      </c>
      <c r="F49" s="4">
        <v>0</v>
      </c>
      <c r="G49" s="11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 city",CHOOSE({1,2}, Super_CBSA!$E$2:$E$1917, Super_CBSA!$A$2:$A$1917), 2,FALSE), ""))</f>
        <v>19260</v>
      </c>
    </row>
    <row r="50" spans="1:7" ht="17">
      <c r="A50" s="1" t="s">
        <v>4432</v>
      </c>
      <c r="B50" s="2" t="s">
        <v>4433</v>
      </c>
      <c r="C50" s="2">
        <v>123</v>
      </c>
      <c r="D50" s="3">
        <v>4320</v>
      </c>
      <c r="E50" s="3">
        <v>13137</v>
      </c>
      <c r="F50" s="4">
        <v>496932</v>
      </c>
      <c r="G50" s="11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 city",CHOOSE({1,2}, Super_CBSA!$E$2:$E$1917, Super_CBSA!$A$2:$A$1917), 2,FALSE), ""))</f>
        <v>30380</v>
      </c>
    </row>
    <row r="51" spans="1:7" ht="17">
      <c r="A51" s="1" t="s">
        <v>4434</v>
      </c>
      <c r="B51" s="2" t="s">
        <v>264</v>
      </c>
      <c r="C51" s="2">
        <v>552</v>
      </c>
      <c r="D51" s="3">
        <v>29642</v>
      </c>
      <c r="E51" s="3">
        <v>143884</v>
      </c>
      <c r="F51" s="4">
        <v>9043585</v>
      </c>
      <c r="G51" s="11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 city",CHOOSE({1,2}, Super_CBSA!$E$2:$E$1917, Super_CBSA!$A$2:$A$1917), 2,FALSE), ""))</f>
        <v>19260</v>
      </c>
    </row>
    <row r="52" spans="1:7" ht="17">
      <c r="A52" s="1" t="s">
        <v>4435</v>
      </c>
      <c r="B52" s="2" t="s">
        <v>4436</v>
      </c>
      <c r="C52" s="2">
        <v>70</v>
      </c>
      <c r="D52" s="3">
        <v>2126</v>
      </c>
      <c r="E52" s="3">
        <v>8224</v>
      </c>
      <c r="F52" s="4">
        <v>74799</v>
      </c>
      <c r="G52" s="11" t="str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 city",CHOOSE({1,2}, Super_CBSA!$E$2:$E$1917, Super_CBSA!$A$2:$A$1917), 2,FALSE), ""))</f>
        <v/>
      </c>
    </row>
    <row r="53" spans="1:7" ht="17">
      <c r="A53" s="1" t="s">
        <v>4437</v>
      </c>
      <c r="B53" s="2" t="s">
        <v>4438</v>
      </c>
      <c r="C53" s="2">
        <v>0</v>
      </c>
      <c r="D53" s="2">
        <v>0</v>
      </c>
      <c r="E53" s="2">
        <v>0</v>
      </c>
      <c r="F53" s="4">
        <v>0</v>
      </c>
      <c r="G53" s="11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 city",CHOOSE({1,2}, Super_CBSA!$E$2:$E$1917, Super_CBSA!$A$2:$A$1917), 2,FALSE), ""))</f>
        <v>42540</v>
      </c>
    </row>
    <row r="54" spans="1:7" ht="17">
      <c r="A54" s="1" t="s">
        <v>4439</v>
      </c>
      <c r="B54" s="2" t="s">
        <v>4440</v>
      </c>
      <c r="C54" s="2">
        <v>0</v>
      </c>
      <c r="D54" s="2">
        <v>0</v>
      </c>
      <c r="E54" s="2">
        <v>0</v>
      </c>
      <c r="F54" s="4">
        <v>0</v>
      </c>
      <c r="G54" s="11" t="str" cm="1">
        <f t="array" aca="1" ref="G54" ca="1">IFERROR(VLOOKUP("*" &amp; B54  &amp; "*" &amp; (MID(CELL("filename",A53),FIND("]",CELL("filename",A53))+1,31)) &amp; "*",CHOOSE({1,2}, Super_CBSA!$B$2:$B$1917, Super_CBSA!$A$2:$A$1917), 2,FALSE), IFERROR(VLOOKUP(B54  &amp; " city",CHOOSE({1,2}, Super_CBSA!$E$2:$E$1917, Super_CBSA!$A$2:$A$1917), 2,FALSE), ""))</f>
        <v/>
      </c>
    </row>
    <row r="55" spans="1:7" ht="17">
      <c r="A55" s="1" t="s">
        <v>4441</v>
      </c>
      <c r="B55" s="2" t="s">
        <v>4438</v>
      </c>
      <c r="C55" s="2">
        <v>320</v>
      </c>
      <c r="D55" s="3">
        <v>18816</v>
      </c>
      <c r="E55" s="3">
        <v>75328</v>
      </c>
      <c r="F55" s="4">
        <v>4743383</v>
      </c>
      <c r="G55" s="11" cm="1">
        <f t="array" aca="1" ref="G55" ca="1">IFERROR(VLOOKUP("*" &amp; B55  &amp; "*" &amp; (MID(CELL("filename",A54),FIND("]",CELL("filename",A54))+1,31)) &amp; "*",CHOOSE({1,2}, Super_CBSA!$B$2:$B$1917, Super_CBSA!$A$2:$A$1917), 2,FALSE), IFERROR(VLOOKUP(B55  &amp; " city",CHOOSE({1,2}, Super_CBSA!$E$2:$E$1917, Super_CBSA!$A$2:$A$1917), 2,FALSE), ""))</f>
        <v>42540</v>
      </c>
    </row>
    <row r="56" spans="1:7" ht="17">
      <c r="A56" s="1" t="s">
        <v>4442</v>
      </c>
      <c r="B56" s="2" t="s">
        <v>4443</v>
      </c>
      <c r="C56" s="2">
        <v>279</v>
      </c>
      <c r="D56" s="3">
        <v>11624</v>
      </c>
      <c r="E56" s="3">
        <v>49717</v>
      </c>
      <c r="F56" s="4">
        <v>2285017</v>
      </c>
      <c r="G56" s="11" cm="1">
        <f t="array" aca="1" ref="G56" ca="1">IFERROR(VLOOKUP("*" &amp; B56  &amp; "*" &amp; (MID(CELL("filename",A55),FIND("]",CELL("filename",A55))+1,31)) &amp; "*",CHOOSE({1,2}, Super_CBSA!$B$2:$B$1917, Super_CBSA!$A$2:$A$1917), 2,FALSE), IFERROR(VLOOKUP(B56  &amp; " city",CHOOSE({1,2}, Super_CBSA!$E$2:$E$1917, Super_CBSA!$A$2:$A$1917), 2,FALSE), ""))</f>
        <v>42540</v>
      </c>
    </row>
    <row r="57" spans="1:7" ht="17">
      <c r="A57" s="1" t="s">
        <v>4444</v>
      </c>
      <c r="B57" s="2" t="s">
        <v>4445</v>
      </c>
      <c r="C57" s="2">
        <v>176</v>
      </c>
      <c r="D57" s="3">
        <v>7519</v>
      </c>
      <c r="E57" s="3">
        <v>29347</v>
      </c>
      <c r="F57" s="4">
        <v>581753</v>
      </c>
      <c r="G57" s="11" t="str" cm="1">
        <f t="array" aca="1" ref="G57" ca="1">IFERROR(VLOOKUP("*" &amp; B57  &amp; "*" &amp; (MID(CELL("filename",A56),FIND("]",CELL("filename",A56))+1,31)) &amp; "*",CHOOSE({1,2}, Super_CBSA!$B$2:$B$1917, Super_CBSA!$A$2:$A$1917), 2,FALSE), IFERROR(VLOOKUP(B57  &amp; " city",CHOOSE({1,2}, Super_CBSA!$E$2:$E$1917, Super_CBSA!$A$2:$A$1917), 2,FALSE), ""))</f>
        <v/>
      </c>
    </row>
    <row r="58" spans="1:7" ht="17">
      <c r="A58" s="1" t="s">
        <v>4446</v>
      </c>
      <c r="B58" s="2" t="s">
        <v>4447</v>
      </c>
      <c r="C58" s="2">
        <v>250</v>
      </c>
      <c r="D58" s="3">
        <v>15376</v>
      </c>
      <c r="E58" s="3">
        <v>65092</v>
      </c>
      <c r="F58" s="4">
        <v>1225795</v>
      </c>
      <c r="G58" s="11" cm="1">
        <f t="array" aca="1" ref="G58" ca="1">IFERROR(VLOOKUP("*" &amp; B58  &amp; "*" &amp; (MID(CELL("filename",A57),FIND("]",CELL("filename",A57))+1,31)) &amp; "*",CHOOSE({1,2}, Super_CBSA!$B$2:$B$1917, Super_CBSA!$A$2:$A$1917), 2,FALSE), IFERROR(VLOOKUP(B58  &amp; " city",CHOOSE({1,2}, Super_CBSA!$E$2:$E$1917, Super_CBSA!$A$2:$A$1917), 2,FALSE), ""))</f>
        <v>42380</v>
      </c>
    </row>
    <row r="59" spans="1:7" ht="17">
      <c r="A59" s="1" t="s">
        <v>4448</v>
      </c>
      <c r="B59" s="2" t="s">
        <v>4449</v>
      </c>
      <c r="C59" s="2">
        <v>103</v>
      </c>
      <c r="D59" s="2">
        <v>611</v>
      </c>
      <c r="E59" s="3">
        <v>2249</v>
      </c>
      <c r="F59" s="4">
        <v>105016</v>
      </c>
      <c r="G59" s="11" t="str" cm="1">
        <f t="array" aca="1" ref="G59" ca="1">IFERROR(VLOOKUP("*" &amp; B59  &amp; "*" &amp; (MID(CELL("filename",A58),FIND("]",CELL("filename",A58))+1,31)) &amp; "*",CHOOSE({1,2}, Super_CBSA!$B$2:$B$1917, Super_CBSA!$A$2:$A$1917), 2,FALSE), IFERROR(VLOOKUP(B59  &amp; " city",CHOOSE({1,2}, Super_CBSA!$E$2:$E$1917, Super_CBSA!$A$2:$A$1917), 2,FALSE), ""))</f>
        <v/>
      </c>
    </row>
    <row r="60" spans="1:7" ht="17">
      <c r="A60" s="1" t="s">
        <v>4450</v>
      </c>
      <c r="B60" s="2" t="s">
        <v>4451</v>
      </c>
      <c r="C60" s="2">
        <v>222</v>
      </c>
      <c r="D60" s="3">
        <v>9204</v>
      </c>
      <c r="E60" s="3">
        <v>44398</v>
      </c>
      <c r="F60" s="4">
        <v>689532</v>
      </c>
      <c r="G60" s="11" t="str" cm="1">
        <f t="array" aca="1" ref="G60" ca="1">IFERROR(VLOOKUP("*" &amp; B60  &amp; "*" &amp; (MID(CELL("filename",A59),FIND("]",CELL("filename",A59))+1,31)) &amp; "*",CHOOSE({1,2}, Super_CBSA!$B$2:$B$1917, Super_CBSA!$A$2:$A$1917), 2,FALSE), IFERROR(VLOOKUP(B60  &amp; " city",CHOOSE({1,2}, Super_CBSA!$E$2:$E$1917, Super_CBSA!$A$2:$A$1917), 2,FALSE), ""))</f>
        <v/>
      </c>
    </row>
    <row r="61" spans="1:7" ht="17">
      <c r="A61" s="1" t="s">
        <v>4452</v>
      </c>
      <c r="B61" s="2" t="s">
        <v>4453</v>
      </c>
      <c r="C61" s="2">
        <v>130</v>
      </c>
      <c r="D61" s="3">
        <v>5765</v>
      </c>
      <c r="E61" s="3">
        <v>23576</v>
      </c>
      <c r="F61" s="4">
        <v>362963</v>
      </c>
      <c r="G61" s="11" t="str" cm="1">
        <f t="array" aca="1" ref="G61" ca="1">IFERROR(VLOOKUP("*" &amp; B61  &amp; "*" &amp; (MID(CELL("filename",A60),FIND("]",CELL("filename",A60))+1,31)) &amp; "*",CHOOSE({1,2}, Super_CBSA!$B$2:$B$1917, Super_CBSA!$A$2:$A$1917), 2,FALSE), IFERROR(VLOOKUP(B61  &amp; " city",CHOOSE({1,2}, Super_CBSA!$E$2:$E$1917, Super_CBSA!$A$2:$A$1917), 2,FALSE), ""))</f>
        <v/>
      </c>
    </row>
    <row r="62" spans="1:7" ht="17">
      <c r="A62" s="1" t="s">
        <v>4454</v>
      </c>
      <c r="B62" s="2" t="s">
        <v>4455</v>
      </c>
      <c r="C62" s="2">
        <v>61</v>
      </c>
      <c r="D62" s="3">
        <v>1542</v>
      </c>
      <c r="E62" s="3">
        <v>6729</v>
      </c>
      <c r="F62" s="4">
        <v>82897</v>
      </c>
      <c r="G62" s="11" t="str" cm="1">
        <f t="array" aca="1" ref="G62" ca="1">IFERROR(VLOOKUP("*" &amp; B62  &amp; "*" &amp; (MID(CELL("filename",A61),FIND("]",CELL("filename",A61))+1,31)) &amp; "*",CHOOSE({1,2}, Super_CBSA!$B$2:$B$1917, Super_CBSA!$A$2:$A$1917), 2,FALSE), IFERROR(VLOOKUP(B62  &amp; " city",CHOOSE({1,2}, Super_CBSA!$E$2:$E$1917, Super_CBSA!$A$2:$A$1917), 2,FALSE), ""))</f>
        <v/>
      </c>
    </row>
    <row r="63" spans="1:7" ht="17">
      <c r="A63" s="1" t="s">
        <v>4456</v>
      </c>
      <c r="B63" s="2" t="s">
        <v>4457</v>
      </c>
      <c r="C63" s="2">
        <v>246</v>
      </c>
      <c r="D63" s="3">
        <v>12200</v>
      </c>
      <c r="E63" s="3">
        <v>42180</v>
      </c>
      <c r="F63" s="4">
        <v>633568</v>
      </c>
      <c r="G63" s="11" t="str" cm="1">
        <f t="array" aca="1" ref="G63" ca="1">IFERROR(VLOOKUP("*" &amp; B63  &amp; "*" &amp; (MID(CELL("filename",A62),FIND("]",CELL("filename",A62))+1,31)) &amp; "*",CHOOSE({1,2}, Super_CBSA!$B$2:$B$1917, Super_CBSA!$A$2:$A$1917), 2,FALSE), IFERROR(VLOOKUP(B63  &amp; " city",CHOOSE({1,2}, Super_CBSA!$E$2:$E$1917, Super_CBSA!$A$2:$A$1917), 2,FALSE), ""))</f>
        <v/>
      </c>
    </row>
    <row r="64" spans="1:7" ht="17">
      <c r="A64" s="1" t="s">
        <v>4458</v>
      </c>
      <c r="B64" s="2" t="s">
        <v>3132</v>
      </c>
      <c r="C64" s="2">
        <v>806</v>
      </c>
      <c r="D64" s="3">
        <v>37508</v>
      </c>
      <c r="E64" s="3">
        <v>247016</v>
      </c>
      <c r="F64" s="4">
        <v>13337794</v>
      </c>
      <c r="G64" s="11" cm="1">
        <f t="array" aca="1" ref="G64" ca="1">IFERROR(VLOOKUP("*" &amp; B64  &amp; "*" &amp; (MID(CELL("filename",A63),FIND("]",CELL("filename",A63))+1,31)) &amp; "*",CHOOSE({1,2}, Super_CBSA!$B$2:$B$1917, Super_CBSA!$A$2:$A$1917), 2,FALSE), IFERROR(VLOOKUP(B64  &amp; " city",CHOOSE({1,2}, Super_CBSA!$E$2:$E$1917, Super_CBSA!$A$2:$A$1917), 2,FALSE), ""))</f>
        <v>37980</v>
      </c>
    </row>
    <row r="65" spans="1:7" ht="17">
      <c r="A65" s="1" t="s">
        <v>4459</v>
      </c>
      <c r="B65" s="2" t="s">
        <v>4460</v>
      </c>
      <c r="C65" s="2">
        <v>166</v>
      </c>
      <c r="D65" s="3">
        <v>5612</v>
      </c>
      <c r="E65" s="3">
        <v>20836</v>
      </c>
      <c r="F65" s="4">
        <v>494942</v>
      </c>
      <c r="G65" s="11" cm="1">
        <f t="array" aca="1" ref="G65" ca="1">IFERROR(VLOOKUP("*" &amp; B65  &amp; "*" &amp; (MID(CELL("filename",A64),FIND("]",CELL("filename",A64))+1,31)) &amp; "*",CHOOSE({1,2}, Super_CBSA!$B$2:$B$1917, Super_CBSA!$A$2:$A$1917), 2,FALSE), IFERROR(VLOOKUP(B65  &amp; " city",CHOOSE({1,2}, Super_CBSA!$E$2:$E$1917, Super_CBSA!$A$2:$A$1917), 2,FALSE), ""))</f>
        <v>26860</v>
      </c>
    </row>
    <row r="66" spans="1:7" ht="17">
      <c r="A66" s="1" t="s">
        <v>4461</v>
      </c>
      <c r="B66" s="2" t="s">
        <v>4462</v>
      </c>
      <c r="C66" s="2">
        <v>0</v>
      </c>
      <c r="D66" s="2">
        <v>0</v>
      </c>
      <c r="E66" s="2">
        <v>0</v>
      </c>
      <c r="F66" s="4">
        <v>0</v>
      </c>
      <c r="G66" s="11" cm="1">
        <f t="array" aca="1" ref="G66" ca="1">IFERROR(VLOOKUP("*" &amp; B66  &amp; "*" &amp; (MID(CELL("filename",A65),FIND("]",CELL("filename",A65))+1,31)) &amp; "*",CHOOSE({1,2}, Super_CBSA!$B$2:$B$1917, Super_CBSA!$A$2:$A$1917), 2,FALSE), IFERROR(VLOOKUP(B66  &amp; " city",CHOOSE({1,2}, Super_CBSA!$E$2:$E$1917, Super_CBSA!$A$2:$A$1917), 2,FALSE), ""))</f>
        <v>11020</v>
      </c>
    </row>
    <row r="67" spans="1:7" ht="17">
      <c r="A67" s="1" t="s">
        <v>4463</v>
      </c>
      <c r="B67" s="2" t="s">
        <v>3132</v>
      </c>
      <c r="C67" s="2">
        <v>146</v>
      </c>
      <c r="D67" s="3">
        <v>6656</v>
      </c>
      <c r="E67" s="3">
        <v>30127</v>
      </c>
      <c r="F67" s="4">
        <v>1746215</v>
      </c>
      <c r="G67" s="11" cm="1">
        <f t="array" aca="1" ref="G67" ca="1">IFERROR(VLOOKUP("*" &amp; B67  &amp; "*" &amp; (MID(CELL("filename",A66),FIND("]",CELL("filename",A66))+1,31)) &amp; "*",CHOOSE({1,2}, Super_CBSA!$B$2:$B$1917, Super_CBSA!$A$2:$A$1917), 2,FALSE), IFERROR(VLOOKUP(B67  &amp; " city",CHOOSE({1,2}, Super_CBSA!$E$2:$E$1917, Super_CBSA!$A$2:$A$1917), 2,FALSE), ""))</f>
        <v>37980</v>
      </c>
    </row>
    <row r="68" spans="1:7" ht="17">
      <c r="A68" s="1" t="s">
        <v>4464</v>
      </c>
      <c r="B68" s="2" t="s">
        <v>4465</v>
      </c>
      <c r="C68" s="2">
        <v>0</v>
      </c>
      <c r="D68" s="2">
        <v>0</v>
      </c>
      <c r="E68" s="2">
        <v>0</v>
      </c>
      <c r="F68" s="4">
        <v>0</v>
      </c>
      <c r="G68" s="11" t="str" cm="1">
        <f t="array" aca="1" ref="G68" ca="1">IFERROR(VLOOKUP("*" &amp; B68  &amp; "*" &amp; (MID(CELL("filename",A67),FIND("]",CELL("filename",A67))+1,31)) &amp; "*",CHOOSE({1,2}, Super_CBSA!$B$2:$B$1917, Super_CBSA!$A$2:$A$1917), 2,FALSE), IFERROR(VLOOKUP(B68  &amp; " city",CHOOSE({1,2}, Super_CBSA!$E$2:$E$1917, Super_CBSA!$A$2:$A$1917), 2,FALSE), ""))</f>
        <v/>
      </c>
    </row>
    <row r="69" spans="1:7" ht="17">
      <c r="A69" s="1" t="s">
        <v>4466</v>
      </c>
      <c r="B69" s="2" t="s">
        <v>3132</v>
      </c>
      <c r="C69" s="2">
        <v>0</v>
      </c>
      <c r="D69" s="2">
        <v>0</v>
      </c>
      <c r="E69" s="2">
        <v>0</v>
      </c>
      <c r="F69" s="4">
        <v>0</v>
      </c>
      <c r="G69" s="11" cm="1">
        <f t="array" aca="1" ref="G69" ca="1">IFERROR(VLOOKUP("*" &amp; B69  &amp; "*" &amp; (MID(CELL("filename",A68),FIND("]",CELL("filename",A68))+1,31)) &amp; "*",CHOOSE({1,2}, Super_CBSA!$B$2:$B$1917, Super_CBSA!$A$2:$A$1917), 2,FALSE), IFERROR(VLOOKUP(B69  &amp; " city",CHOOSE({1,2}, Super_CBSA!$E$2:$E$1917, Super_CBSA!$A$2:$A$1917), 2,FALSE), ""))</f>
        <v>37980</v>
      </c>
    </row>
    <row r="70" spans="1:7" ht="17">
      <c r="A70" s="1" t="s">
        <v>1574</v>
      </c>
      <c r="B70" s="2" t="s">
        <v>4467</v>
      </c>
      <c r="C70" s="2">
        <v>333</v>
      </c>
      <c r="D70" s="3">
        <v>12058</v>
      </c>
      <c r="E70" s="3">
        <v>52509</v>
      </c>
      <c r="F70" s="4">
        <v>1210272</v>
      </c>
      <c r="G70" s="11" t="str" cm="1">
        <f t="array" aca="1" ref="G70" ca="1">IFERROR(VLOOKUP("*" &amp; B70  &amp; "*" &amp; (MID(CELL("filename",A69),FIND("]",CELL("filename",A69))+1,31)) &amp; "*",CHOOSE({1,2}, Super_CBSA!$B$2:$B$1917, Super_CBSA!$A$2:$A$1917), 2,FALSE), IFERROR(VLOOKUP(B70  &amp; " city",CHOOSE({1,2}, Super_CBSA!$E$2:$E$1917, Super_CBSA!$A$2:$A$1917), 2,FALSE), ""))</f>
        <v/>
      </c>
    </row>
    <row r="71" spans="1:7" ht="17">
      <c r="A71" s="1" t="s">
        <v>4468</v>
      </c>
      <c r="B71" s="2" t="s">
        <v>3132</v>
      </c>
      <c r="C71" s="2">
        <v>0</v>
      </c>
      <c r="D71" s="2">
        <v>0</v>
      </c>
      <c r="E71" s="2">
        <v>0</v>
      </c>
      <c r="F71" s="4">
        <v>0</v>
      </c>
      <c r="G71" s="11" cm="1">
        <f t="array" aca="1" ref="G71" ca="1">IFERROR(VLOOKUP("*" &amp; B71  &amp; "*" &amp; (MID(CELL("filename",A70),FIND("]",CELL("filename",A70))+1,31)) &amp; "*",CHOOSE({1,2}, Super_CBSA!$B$2:$B$1917, Super_CBSA!$A$2:$A$1917), 2,FALSE), IFERROR(VLOOKUP(B71  &amp; " city",CHOOSE({1,2}, Super_CBSA!$E$2:$E$1917, Super_CBSA!$A$2:$A$1917), 2,FALSE), ""))</f>
        <v>37980</v>
      </c>
    </row>
    <row r="72" spans="1:7" ht="17">
      <c r="A72" s="1" t="s">
        <v>4469</v>
      </c>
      <c r="B72" s="2" t="s">
        <v>3132</v>
      </c>
      <c r="C72" s="2">
        <v>450</v>
      </c>
      <c r="D72" s="3">
        <v>21588</v>
      </c>
      <c r="E72" s="3">
        <v>107230</v>
      </c>
      <c r="F72" s="4">
        <v>2168654</v>
      </c>
      <c r="G72" s="11" cm="1">
        <f t="array" aca="1" ref="G72" ca="1">IFERROR(VLOOKUP("*" &amp; B72  &amp; "*" &amp; (MID(CELL("filename",A71),FIND("]",CELL("filename",A71))+1,31)) &amp; "*",CHOOSE({1,2}, Super_CBSA!$B$2:$B$1917, Super_CBSA!$A$2:$A$1917), 2,FALSE), IFERROR(VLOOKUP(B72  &amp; " city",CHOOSE({1,2}, Super_CBSA!$E$2:$E$1917, Super_CBSA!$A$2:$A$1917), 2,FALSE), ""))</f>
        <v>37980</v>
      </c>
    </row>
    <row r="73" spans="1:7" ht="17">
      <c r="A73" s="1" t="s">
        <v>4470</v>
      </c>
      <c r="B73" s="2" t="s">
        <v>4471</v>
      </c>
      <c r="C73" s="2">
        <v>53</v>
      </c>
      <c r="D73" s="3">
        <v>2275</v>
      </c>
      <c r="E73" s="3">
        <v>7026</v>
      </c>
      <c r="F73" s="4">
        <v>249075</v>
      </c>
      <c r="G73" s="11" t="str" cm="1">
        <f t="array" aca="1" ref="G73" ca="1">IFERROR(VLOOKUP("*" &amp; B73  &amp; "*" &amp; (MID(CELL("filename",A72),FIND("]",CELL("filename",A72))+1,31)) &amp; "*",CHOOSE({1,2}, Super_CBSA!$B$2:$B$1917, Super_CBSA!$A$2:$A$1917), 2,FALSE), IFERROR(VLOOKUP(B73  &amp; " city",CHOOSE({1,2}, Super_CBSA!$E$2:$E$1917, Super_CBSA!$A$2:$A$1917), 2,FALSE), ""))</f>
        <v/>
      </c>
    </row>
    <row r="74" spans="1:7" ht="17">
      <c r="A74" s="1" t="s">
        <v>4472</v>
      </c>
      <c r="B74" s="2" t="s">
        <v>3132</v>
      </c>
      <c r="C74" s="2">
        <v>14</v>
      </c>
      <c r="D74" s="2">
        <v>303</v>
      </c>
      <c r="E74" s="3">
        <v>3575</v>
      </c>
      <c r="F74" s="4">
        <v>15087</v>
      </c>
      <c r="G74" s="11" cm="1">
        <f t="array" aca="1" ref="G74" ca="1">IFERROR(VLOOKUP("*" &amp; B74  &amp; "*" &amp; (MID(CELL("filename",A73),FIND("]",CELL("filename",A73))+1,31)) &amp; "*",CHOOSE({1,2}, Super_CBSA!$B$2:$B$1917, Super_CBSA!$A$2:$A$1917), 2,FALSE), IFERROR(VLOOKUP(B74  &amp; " city",CHOOSE({1,2}, Super_CBSA!$E$2:$E$1917, Super_CBSA!$A$2:$A$1917), 2,FALSE), ""))</f>
        <v>37980</v>
      </c>
    </row>
    <row r="75" spans="1:7" ht="17">
      <c r="A75" s="1" t="s">
        <v>4473</v>
      </c>
      <c r="B75" s="2" t="s">
        <v>483</v>
      </c>
      <c r="C75" s="2">
        <v>581</v>
      </c>
      <c r="D75" s="3">
        <v>30649</v>
      </c>
      <c r="E75" s="3">
        <v>153129</v>
      </c>
      <c r="F75" s="4">
        <v>2989682</v>
      </c>
      <c r="G75" s="11" cm="1">
        <f t="array" aca="1" ref="G75" ca="1">IFERROR(VLOOKUP("*" &amp; B75  &amp; "*" &amp; (MID(CELL("filename",A74),FIND("]",CELL("filename",A74))+1,31)) &amp; "*",CHOOSE({1,2}, Super_CBSA!$B$2:$B$1917, Super_CBSA!$A$2:$A$1917), 2,FALSE), IFERROR(VLOOKUP(B75  &amp; " city",CHOOSE({1,2}, Super_CBSA!$E$2:$E$1917, Super_CBSA!$A$2:$A$1917), 2,FALSE), ""))</f>
        <v>29540</v>
      </c>
    </row>
    <row r="76" spans="1:7" ht="17">
      <c r="A76" s="1" t="s">
        <v>4474</v>
      </c>
      <c r="B76" s="2" t="s">
        <v>4475</v>
      </c>
      <c r="C76" s="2">
        <v>370</v>
      </c>
      <c r="D76" s="3">
        <v>18986</v>
      </c>
      <c r="E76" s="3">
        <v>90165</v>
      </c>
      <c r="F76" s="4">
        <v>2357759</v>
      </c>
      <c r="G76" s="11" t="str" cm="1">
        <f t="array" aca="1" ref="G76" ca="1">IFERROR(VLOOKUP("*" &amp; B76  &amp; "*" &amp; (MID(CELL("filename",A75),FIND("]",CELL("filename",A75))+1,31)) &amp; "*",CHOOSE({1,2}, Super_CBSA!$B$2:$B$1917, Super_CBSA!$A$2:$A$1917), 2,FALSE), IFERROR(VLOOKUP(B76  &amp; " city",CHOOSE({1,2}, Super_CBSA!$E$2:$E$1917, Super_CBSA!$A$2:$A$1917), 2,FALSE), ""))</f>
        <v/>
      </c>
    </row>
    <row r="77" spans="1:7" ht="17">
      <c r="A77" s="1" t="s">
        <v>4476</v>
      </c>
      <c r="B77" s="2" t="s">
        <v>2162</v>
      </c>
      <c r="C77" s="2">
        <v>0</v>
      </c>
      <c r="D77" s="2">
        <v>0</v>
      </c>
      <c r="E77" s="2">
        <v>0</v>
      </c>
      <c r="F77" s="4">
        <v>0</v>
      </c>
      <c r="G77" s="11" cm="1">
        <f t="array" aca="1" ref="G77" ca="1">IFERROR(VLOOKUP("*" &amp; B77  &amp; "*" &amp; (MID(CELL("filename",A76),FIND("]",CELL("filename",A76))+1,31)) &amp; "*",CHOOSE({1,2}, Super_CBSA!$B$2:$B$1917, Super_CBSA!$A$2:$A$1917), 2,FALSE), IFERROR(VLOOKUP(B77  &amp; " city",CHOOSE({1,2}, Super_CBSA!$E$2:$E$1917, Super_CBSA!$A$2:$A$1917), 2,FALSE), ""))</f>
        <v>30140</v>
      </c>
    </row>
    <row r="78" spans="1:7" ht="17">
      <c r="A78" s="1" t="s">
        <v>4477</v>
      </c>
      <c r="B78" s="2" t="s">
        <v>4401</v>
      </c>
      <c r="C78" s="3">
        <v>1189</v>
      </c>
      <c r="D78" s="3">
        <v>53090</v>
      </c>
      <c r="E78" s="3">
        <v>259731</v>
      </c>
      <c r="F78" s="4">
        <v>10521501</v>
      </c>
      <c r="G78" s="11" cm="1">
        <f t="array" aca="1" ref="G78" ca="1">IFERROR(VLOOKUP("*" &amp; B78  &amp; "*" &amp; (MID(CELL("filename",A77),FIND("]",CELL("filename",A77))+1,31)) &amp; "*",CHOOSE({1,2}, Super_CBSA!$B$2:$B$1917, Super_CBSA!$A$2:$A$1917), 2,FALSE), IFERROR(VLOOKUP(B78  &amp; " city",CHOOSE({1,2}, Super_CBSA!$E$2:$E$1917, Super_CBSA!$A$2:$A$1917), 2,FALSE), ""))</f>
        <v>10900</v>
      </c>
    </row>
    <row r="79" spans="1:7" ht="17">
      <c r="A79" s="1" t="s">
        <v>4478</v>
      </c>
      <c r="B79" s="2" t="s">
        <v>4399</v>
      </c>
      <c r="C79" s="2">
        <v>238</v>
      </c>
      <c r="D79" s="3">
        <v>9294</v>
      </c>
      <c r="E79" s="3">
        <v>55892</v>
      </c>
      <c r="F79" s="4">
        <v>1769137</v>
      </c>
      <c r="G79" s="11" cm="1">
        <f t="array" aca="1" ref="G79" ca="1">IFERROR(VLOOKUP("*" &amp; B79  &amp; "*" &amp; (MID(CELL("filename",A78),FIND("]",CELL("filename",A78))+1,31)) &amp; "*",CHOOSE({1,2}, Super_CBSA!$B$2:$B$1917, Super_CBSA!$A$2:$A$1917), 2,FALSE), IFERROR(VLOOKUP(B79  &amp; " city",CHOOSE({1,2}, Super_CBSA!$E$2:$E$1917, Super_CBSA!$A$2:$A$1917), 2,FALSE), ""))</f>
        <v>10900</v>
      </c>
    </row>
    <row r="80" spans="1:7" ht="17">
      <c r="A80" s="1" t="s">
        <v>4479</v>
      </c>
      <c r="B80" s="2" t="s">
        <v>4480</v>
      </c>
      <c r="C80" s="2">
        <v>237</v>
      </c>
      <c r="D80" s="3">
        <v>8816</v>
      </c>
      <c r="E80" s="3">
        <v>36973</v>
      </c>
      <c r="F80" s="4">
        <v>1123916</v>
      </c>
      <c r="G80" s="11" cm="1">
        <f t="array" aca="1" ref="G80" ca="1">IFERROR(VLOOKUP("*" &amp; B80  &amp; "*" &amp; (MID(CELL("filename",A79),FIND("]",CELL("filename",A79))+1,31)) &amp; "*",CHOOSE({1,2}, Super_CBSA!$B$2:$B$1917, Super_CBSA!$A$2:$A$1917), 2,FALSE), IFERROR(VLOOKUP(B80  &amp; " city",CHOOSE({1,2}, Super_CBSA!$E$2:$E$1917, Super_CBSA!$A$2:$A$1917), 2,FALSE), ""))</f>
        <v>20700</v>
      </c>
    </row>
    <row r="81" spans="1:7" ht="17">
      <c r="A81" s="1" t="s">
        <v>4481</v>
      </c>
      <c r="B81" s="2" t="s">
        <v>4482</v>
      </c>
      <c r="C81" s="2">
        <v>129</v>
      </c>
      <c r="D81" s="3">
        <v>5284</v>
      </c>
      <c r="E81" s="3">
        <v>22626</v>
      </c>
      <c r="F81" s="4">
        <v>299548</v>
      </c>
      <c r="G81" s="11" cm="1">
        <f t="array" aca="1" ref="G81" ca="1">IFERROR(VLOOKUP("*" &amp; B81  &amp; "*" &amp; (MID(CELL("filename",A80),FIND("]",CELL("filename",A80))+1,31)) &amp; "*",CHOOSE({1,2}, Super_CBSA!$B$2:$B$1917, Super_CBSA!$A$2:$A$1917), 2,FALSE), IFERROR(VLOOKUP(B81  &amp; " city",CHOOSE({1,2}, Super_CBSA!$E$2:$E$1917, Super_CBSA!$A$2:$A$1917), 2,FALSE), ""))</f>
        <v>39060</v>
      </c>
    </row>
    <row r="82" spans="1:7" ht="17">
      <c r="A82" s="1" t="s">
        <v>4483</v>
      </c>
      <c r="B82" s="2" t="s">
        <v>4484</v>
      </c>
      <c r="C82" s="2">
        <v>150</v>
      </c>
      <c r="D82" s="3">
        <v>5697</v>
      </c>
      <c r="E82" s="3">
        <v>21760</v>
      </c>
      <c r="F82" s="4">
        <v>645206</v>
      </c>
      <c r="G82" s="11" t="str" cm="1">
        <f t="array" aca="1" ref="G82" ca="1">IFERROR(VLOOKUP("*" &amp; B82  &amp; "*" &amp; (MID(CELL("filename",A81),FIND("]",CELL("filename",A81))+1,31)) &amp; "*",CHOOSE({1,2}, Super_CBSA!$B$2:$B$1917, Super_CBSA!$A$2:$A$1917), 2,FALSE), IFERROR(VLOOKUP(B82  &amp; " city",CHOOSE({1,2}, Super_CBSA!$E$2:$E$1917, Super_CBSA!$A$2:$A$1917), 2,FALSE), ""))</f>
        <v/>
      </c>
    </row>
    <row r="83" spans="1:7" ht="17">
      <c r="A83" s="1" t="s">
        <v>4485</v>
      </c>
      <c r="B83" s="2" t="s">
        <v>4482</v>
      </c>
      <c r="C83" s="2">
        <v>186</v>
      </c>
      <c r="D83" s="3">
        <v>7097</v>
      </c>
      <c r="E83" s="3">
        <v>38891</v>
      </c>
      <c r="F83" s="4">
        <v>471907</v>
      </c>
      <c r="G83" s="11" cm="1">
        <f t="array" aca="1" ref="G83" ca="1">IFERROR(VLOOKUP("*" &amp; B83  &amp; "*" &amp; (MID(CELL("filename",A82),FIND("]",CELL("filename",A82))+1,31)) &amp; "*",CHOOSE({1,2}, Super_CBSA!$B$2:$B$1917, Super_CBSA!$A$2:$A$1917), 2,FALSE), IFERROR(VLOOKUP(B83  &amp; " city",CHOOSE({1,2}, Super_CBSA!$E$2:$E$1917, Super_CBSA!$A$2:$A$1917), 2,FALSE), ""))</f>
        <v>39060</v>
      </c>
    </row>
    <row r="84" spans="1:7" ht="17">
      <c r="A84" s="1" t="s">
        <v>4486</v>
      </c>
      <c r="B84" s="2" t="s">
        <v>1078</v>
      </c>
      <c r="C84" s="2">
        <v>175</v>
      </c>
      <c r="D84" s="3">
        <v>3581</v>
      </c>
      <c r="E84" s="3">
        <v>12856</v>
      </c>
      <c r="F84" s="4">
        <v>371618</v>
      </c>
      <c r="G84" s="11" cm="1">
        <f t="array" aca="1" ref="G84" ca="1">IFERROR(VLOOKUP("*" &amp; B84  &amp; "*" &amp; (MID(CELL("filename",A83),FIND("]",CELL("filename",A83))+1,31)) &amp; "*",CHOOSE({1,2}, Super_CBSA!$B$2:$B$1917, Super_CBSA!$A$2:$A$1917), 2,FALSE), IFERROR(VLOOKUP(B84  &amp; " city",CHOOSE({1,2}, Super_CBSA!$E$2:$E$1917, Super_CBSA!$A$2:$A$1917), 2,FALSE), ""))</f>
        <v>28700</v>
      </c>
    </row>
    <row r="85" spans="1:7" ht="17">
      <c r="A85" s="1" t="s">
        <v>4487</v>
      </c>
      <c r="B85" s="2" t="s">
        <v>4488</v>
      </c>
      <c r="C85" s="2">
        <v>216</v>
      </c>
      <c r="D85" s="3">
        <v>5339</v>
      </c>
      <c r="E85" s="3">
        <v>22938</v>
      </c>
      <c r="F85" s="4">
        <v>751166</v>
      </c>
      <c r="G85" s="11" cm="1">
        <f t="array" aca="1" ref="G85" ca="1">IFERROR(VLOOKUP("*" &amp; B85  &amp; "*" &amp; (MID(CELL("filename",A84),FIND("]",CELL("filename",A84))+1,31)) &amp; "*",CHOOSE({1,2}, Super_CBSA!$B$2:$B$1917, Super_CBSA!$A$2:$A$1917), 2,FALSE), IFERROR(VLOOKUP(B85  &amp; " city",CHOOSE({1,2}, Super_CBSA!$E$2:$E$1917, Super_CBSA!$A$2:$A$1917), 2,FALSE), ""))</f>
        <v>32740</v>
      </c>
    </row>
    <row r="86" spans="1:7" ht="17">
      <c r="A86" s="1" t="s">
        <v>4489</v>
      </c>
      <c r="B86" s="2" t="s">
        <v>4490</v>
      </c>
      <c r="C86" s="2">
        <v>340</v>
      </c>
      <c r="D86" s="3">
        <v>13571</v>
      </c>
      <c r="E86" s="3">
        <v>62286</v>
      </c>
      <c r="F86" s="4">
        <v>1607796</v>
      </c>
      <c r="G86" s="11" t="str" cm="1">
        <f t="array" aca="1" ref="G86" ca="1">IFERROR(VLOOKUP("*" &amp; B86  &amp; "*" &amp; (MID(CELL("filename",A85),FIND("]",CELL("filename",A85))+1,31)) &amp; "*",CHOOSE({1,2}, Super_CBSA!$B$2:$B$1917, Super_CBSA!$A$2:$A$1917), 2,FALSE), IFERROR(VLOOKUP(B86  &amp; " city",CHOOSE({1,2}, Super_CBSA!$E$2:$E$1917, Super_CBSA!$A$2:$A$1917), 2,FALSE), ""))</f>
        <v/>
      </c>
    </row>
    <row r="87" spans="1:7" ht="17">
      <c r="A87" s="1" t="s">
        <v>4491</v>
      </c>
      <c r="B87" s="2" t="s">
        <v>3132</v>
      </c>
      <c r="C87" s="2">
        <v>0</v>
      </c>
      <c r="D87" s="2">
        <v>0</v>
      </c>
      <c r="E87" s="2">
        <v>0</v>
      </c>
      <c r="F87" s="4">
        <v>0</v>
      </c>
      <c r="G87" s="11" cm="1">
        <f t="array" aca="1" ref="G87" ca="1">IFERROR(VLOOKUP("*" &amp; B87  &amp; "*" &amp; (MID(CELL("filename",A86),FIND("]",CELL("filename",A86))+1,31)) &amp; "*",CHOOSE({1,2}, Super_CBSA!$B$2:$B$1917, Super_CBSA!$A$2:$A$1917), 2,FALSE), IFERROR(VLOOKUP(B87  &amp; " city",CHOOSE({1,2}, Super_CBSA!$E$2:$E$1917, Super_CBSA!$A$2:$A$1917), 2,FALSE), ""))</f>
        <v>37980</v>
      </c>
    </row>
    <row r="88" spans="1:7" ht="17">
      <c r="A88" s="1" t="s">
        <v>4492</v>
      </c>
      <c r="B88" s="2" t="s">
        <v>4358</v>
      </c>
      <c r="C88" s="2">
        <v>167</v>
      </c>
      <c r="D88" s="3">
        <v>3710</v>
      </c>
      <c r="E88" s="3">
        <v>22043</v>
      </c>
      <c r="F88" s="4">
        <v>142900</v>
      </c>
      <c r="G88" s="11" cm="1">
        <f t="array" aca="1" ref="G88" ca="1">IFERROR(VLOOKUP("*" &amp; B88  &amp; "*" &amp; (MID(CELL("filename",A87),FIND("]",CELL("filename",A87))+1,31)) &amp; "*",CHOOSE({1,2}, Super_CBSA!$B$2:$B$1917, Super_CBSA!$A$2:$A$1917), 2,FALSE), IFERROR(VLOOKUP(B88  &amp; " city",CHOOSE({1,2}, Super_CBSA!$E$2:$E$1917, Super_CBSA!$A$2:$A$1917), 2,FALSE), ""))</f>
        <v>21500</v>
      </c>
    </row>
    <row r="89" spans="1:7" ht="17">
      <c r="A89" s="1" t="s">
        <v>4493</v>
      </c>
      <c r="B89" s="2" t="s">
        <v>4494</v>
      </c>
      <c r="C89" s="2">
        <v>548</v>
      </c>
      <c r="D89" s="3">
        <v>28899</v>
      </c>
      <c r="E89" s="3">
        <v>169091</v>
      </c>
      <c r="F89" s="4">
        <v>4943123</v>
      </c>
      <c r="G89" s="11" t="str" cm="1">
        <f t="array" aca="1" ref="G89" ca="1">IFERROR(VLOOKUP("*" &amp; B89  &amp; "*" &amp; (MID(CELL("filename",A88),FIND("]",CELL("filename",A88))+1,31)) &amp; "*",CHOOSE({1,2}, Super_CBSA!$B$2:$B$1917, Super_CBSA!$A$2:$A$1917), 2,FALSE), IFERROR(VLOOKUP(B89  &amp; " city",CHOOSE({1,2}, Super_CBSA!$E$2:$E$1917, Super_CBSA!$A$2:$A$1917), 2,FALSE), ""))</f>
        <v/>
      </c>
    </row>
    <row r="90" spans="1:7" ht="17">
      <c r="A90" s="1" t="s">
        <v>4495</v>
      </c>
      <c r="B90" s="2" t="s">
        <v>4496</v>
      </c>
      <c r="C90" s="2">
        <v>167</v>
      </c>
      <c r="D90" s="3">
        <v>5075</v>
      </c>
      <c r="E90" s="3">
        <v>24897</v>
      </c>
      <c r="F90" s="4">
        <v>448039</v>
      </c>
      <c r="G90" s="11" t="str" cm="1">
        <f t="array" aca="1" ref="G90" ca="1">IFERROR(VLOOKUP("*" &amp; B90  &amp; "*" &amp; (MID(CELL("filename",A89),FIND("]",CELL("filename",A89))+1,31)) &amp; "*",CHOOSE({1,2}, Super_CBSA!$B$2:$B$1917, Super_CBSA!$A$2:$A$1917), 2,FALSE), IFERROR(VLOOKUP(B90  &amp; " city",CHOOSE({1,2}, Super_CBSA!$E$2:$E$1917, Super_CBSA!$A$2:$A$1917), 2,FALSE), ""))</f>
        <v/>
      </c>
    </row>
    <row r="91" spans="1:7" ht="17">
      <c r="A91" s="1" t="s">
        <v>4497</v>
      </c>
      <c r="B91" s="2" t="s">
        <v>4443</v>
      </c>
      <c r="C91" s="2">
        <v>183</v>
      </c>
      <c r="D91" s="3">
        <v>7521</v>
      </c>
      <c r="E91" s="3">
        <v>34614</v>
      </c>
      <c r="F91" s="4">
        <v>1192381</v>
      </c>
      <c r="G91" s="11" cm="1">
        <f t="array" aca="1" ref="G91" ca="1">IFERROR(VLOOKUP("*" &amp; B91  &amp; "*" &amp; (MID(CELL("filename",A90),FIND("]",CELL("filename",A90))+1,31)) &amp; "*",CHOOSE({1,2}, Super_CBSA!$B$2:$B$1917, Super_CBSA!$A$2:$A$1917), 2,FALSE), IFERROR(VLOOKUP(B91  &amp; " city",CHOOSE({1,2}, Super_CBSA!$E$2:$E$1917, Super_CBSA!$A$2:$A$1917), 2,FALSE), ""))</f>
        <v>42540</v>
      </c>
    </row>
    <row r="92" spans="1:7" ht="17">
      <c r="A92" s="1" t="s">
        <v>4498</v>
      </c>
      <c r="B92" s="2" t="s">
        <v>4499</v>
      </c>
      <c r="C92" s="2">
        <v>260</v>
      </c>
      <c r="D92" s="3">
        <v>12576</v>
      </c>
      <c r="E92" s="3">
        <v>47428</v>
      </c>
      <c r="F92" s="4">
        <v>1119964</v>
      </c>
      <c r="G92" s="11" cm="1">
        <f t="array" aca="1" ref="G92" ca="1">IFERROR(VLOOKUP("*" &amp; B92  &amp; "*" &amp; (MID(CELL("filename",A91),FIND("]",CELL("filename",A91))+1,31)) &amp; "*",CHOOSE({1,2}, Super_CBSA!$B$2:$B$1917, Super_CBSA!$A$2:$A$1917), 2,FALSE), IFERROR(VLOOKUP(B92  &amp; " city",CHOOSE({1,2}, Super_CBSA!$E$2:$E$1917, Super_CBSA!$A$2:$A$1917), 2,FALSE), ""))</f>
        <v>44300</v>
      </c>
    </row>
    <row r="93" spans="1:7" ht="17">
      <c r="A93" s="1" t="s">
        <v>4500</v>
      </c>
      <c r="B93" s="2" t="s">
        <v>3132</v>
      </c>
      <c r="C93" s="2">
        <v>200</v>
      </c>
      <c r="D93" s="3">
        <v>8558</v>
      </c>
      <c r="E93" s="3">
        <v>30579</v>
      </c>
      <c r="F93" s="4">
        <v>720200</v>
      </c>
      <c r="G93" s="11" cm="1">
        <f t="array" aca="1" ref="G93" ca="1">IFERROR(VLOOKUP("*" &amp; B93  &amp; "*" &amp; (MID(CELL("filename",A92),FIND("]",CELL("filename",A92))+1,31)) &amp; "*",CHOOSE({1,2}, Super_CBSA!$B$2:$B$1917, Super_CBSA!$A$2:$A$1917), 2,FALSE), IFERROR(VLOOKUP(B93  &amp; " city",CHOOSE({1,2}, Super_CBSA!$E$2:$E$1917, Super_CBSA!$A$2:$A$1917), 2,FALSE), ""))</f>
        <v>37980</v>
      </c>
    </row>
    <row r="94" spans="1:7" ht="17">
      <c r="A94" s="1" t="s">
        <v>4501</v>
      </c>
      <c r="B94" s="2" t="s">
        <v>4502</v>
      </c>
      <c r="C94" s="2">
        <v>124</v>
      </c>
      <c r="D94" s="3">
        <v>2782</v>
      </c>
      <c r="E94" s="3">
        <v>9449</v>
      </c>
      <c r="F94" s="4">
        <v>179848</v>
      </c>
      <c r="G94" s="11" t="str" cm="1">
        <f t="array" aca="1" ref="G94" ca="1">IFERROR(VLOOKUP("*" &amp; B94  &amp; "*" &amp; (MID(CELL("filename",A93),FIND("]",CELL("filename",A93))+1,31)) &amp; "*",CHOOSE({1,2}, Super_CBSA!$B$2:$B$1917, Super_CBSA!$A$2:$A$1917), 2,FALSE), IFERROR(VLOOKUP(B94  &amp; " city",CHOOSE({1,2}, Super_CBSA!$E$2:$E$1917, Super_CBSA!$A$2:$A$1917), 2,FALSE), ""))</f>
        <v/>
      </c>
    </row>
    <row r="95" spans="1:7" ht="17">
      <c r="A95" s="1" t="s">
        <v>4503</v>
      </c>
      <c r="B95" s="2" t="s">
        <v>152</v>
      </c>
      <c r="C95" s="2">
        <v>30</v>
      </c>
      <c r="D95" s="3">
        <v>1789</v>
      </c>
      <c r="E95" s="3">
        <v>3312</v>
      </c>
      <c r="F95" s="4">
        <v>390211</v>
      </c>
      <c r="G95" s="11" cm="1">
        <f t="array" aca="1" ref="G95" ca="1">IFERROR(VLOOKUP("*" &amp; B95  &amp; "*" &amp; (MID(CELL("filename",A94),FIND("]",CELL("filename",A94))+1,31)) &amp; "*",CHOOSE({1,2}, Super_CBSA!$B$2:$B$1917, Super_CBSA!$A$2:$A$1917), 2,FALSE), IFERROR(VLOOKUP(B95  &amp; " city",CHOOSE({1,2}, Super_CBSA!$E$2:$E$1917, Super_CBSA!$A$2:$A$1917), 2,FALSE), ""))</f>
        <v>35620</v>
      </c>
    </row>
    <row r="96" spans="1:7" ht="17">
      <c r="A96" s="1" t="s">
        <v>4504</v>
      </c>
      <c r="B96" s="2" t="s">
        <v>4505</v>
      </c>
      <c r="C96" s="2">
        <v>231</v>
      </c>
      <c r="D96" s="3">
        <v>14156</v>
      </c>
      <c r="E96" s="3">
        <v>55544</v>
      </c>
      <c r="F96" s="4">
        <v>1472668</v>
      </c>
      <c r="G96" s="11" t="str" cm="1">
        <f t="array" aca="1" ref="G96" ca="1">IFERROR(VLOOKUP("*" &amp; B96  &amp; "*" &amp; (MID(CELL("filename",A95),FIND("]",CELL("filename",A95))+1,31)) &amp; "*",CHOOSE({1,2}, Super_CBSA!$B$2:$B$1917, Super_CBSA!$A$2:$A$1917), 2,FALSE), IFERROR(VLOOKUP(B96  &amp; " city",CHOOSE({1,2}, Super_CBSA!$E$2:$E$1917, Super_CBSA!$A$2:$A$1917), 2,FALSE), ""))</f>
        <v/>
      </c>
    </row>
    <row r="97" spans="1:7" ht="17">
      <c r="A97" s="1" t="s">
        <v>4506</v>
      </c>
      <c r="B97" s="2" t="s">
        <v>4507</v>
      </c>
      <c r="C97" s="2">
        <v>50</v>
      </c>
      <c r="D97" s="3">
        <v>1143</v>
      </c>
      <c r="E97" s="3">
        <v>4044</v>
      </c>
      <c r="F97" s="4">
        <v>134964</v>
      </c>
      <c r="G97" s="11" t="str" cm="1">
        <f t="array" aca="1" ref="G97" ca="1">IFERROR(VLOOKUP("*" &amp; B97  &amp; "*" &amp; (MID(CELL("filename",A96),FIND("]",CELL("filename",A96))+1,31)) &amp; "*",CHOOSE({1,2}, Super_CBSA!$B$2:$B$1917, Super_CBSA!$A$2:$A$1917), 2,FALSE), IFERROR(VLOOKUP(B97  &amp; " city",CHOOSE({1,2}, Super_CBSA!$E$2:$E$1917, Super_CBSA!$A$2:$A$1917), 2,FALSE), ""))</f>
        <v/>
      </c>
    </row>
    <row r="98" spans="1:7" ht="17">
      <c r="A98" s="1" t="s">
        <v>4508</v>
      </c>
      <c r="B98" s="2" t="s">
        <v>4509</v>
      </c>
      <c r="C98" s="2">
        <v>216</v>
      </c>
      <c r="D98" s="3">
        <v>9968</v>
      </c>
      <c r="E98" s="3">
        <v>43951</v>
      </c>
      <c r="F98" s="4">
        <v>821519</v>
      </c>
      <c r="G98" s="11" cm="1">
        <f t="array" aca="1" ref="G98" ca="1">IFERROR(VLOOKUP("*" &amp; B98  &amp; "*" &amp; (MID(CELL("filename",A97),FIND("]",CELL("filename",A97))+1,31)) &amp; "*",CHOOSE({1,2}, Super_CBSA!$B$2:$B$1917, Super_CBSA!$A$2:$A$1917), 2,FALSE), IFERROR(VLOOKUP(B98  &amp; " city",CHOOSE({1,2}, Super_CBSA!$E$2:$E$1917, Super_CBSA!$A$2:$A$1917), 2,FALSE), ""))</f>
        <v>20180</v>
      </c>
    </row>
    <row r="99" spans="1:7" ht="17">
      <c r="A99" s="1" t="s">
        <v>4510</v>
      </c>
      <c r="B99" s="2" t="s">
        <v>4511</v>
      </c>
      <c r="C99" s="2">
        <v>71</v>
      </c>
      <c r="D99" s="3">
        <v>1628</v>
      </c>
      <c r="E99" s="3">
        <v>5629</v>
      </c>
      <c r="F99" s="4">
        <v>128377</v>
      </c>
      <c r="G99" s="11" cm="1">
        <f t="array" aca="1" ref="G99" ca="1">IFERROR(VLOOKUP("*" &amp; B99  &amp; "*" &amp; (MID(CELL("filename",A98),FIND("]",CELL("filename",A98))+1,31)) &amp; "*",CHOOSE({1,2}, Super_CBSA!$B$2:$B$1917, Super_CBSA!$A$2:$A$1917), 2,FALSE), IFERROR(VLOOKUP(B99  &amp; " city",CHOOSE({1,2}, Super_CBSA!$E$2:$E$1917, Super_CBSA!$A$2:$A$1917), 2,FALSE), ""))</f>
        <v>26500</v>
      </c>
    </row>
    <row r="100" spans="1:7" ht="17">
      <c r="A100" s="1" t="s">
        <v>4512</v>
      </c>
      <c r="B100" s="2" t="s">
        <v>3132</v>
      </c>
      <c r="C100" s="2">
        <v>357</v>
      </c>
      <c r="D100" s="3">
        <v>17368</v>
      </c>
      <c r="E100" s="3">
        <v>98286</v>
      </c>
      <c r="F100" s="4">
        <v>4114613</v>
      </c>
      <c r="G100" s="11" cm="1">
        <f t="array" aca="1" ref="G100" ca="1">IFERROR(VLOOKUP("*" &amp; B100  &amp; "*" &amp; (MID(CELL("filename",A99),FIND("]",CELL("filename",A99))+1,31)) &amp; "*",CHOOSE({1,2}, Super_CBSA!$B$2:$B$1917, Super_CBSA!$A$2:$A$1917), 2,FALSE), IFERROR(VLOOKUP(B100  &amp; " city",CHOOSE({1,2}, Super_CBSA!$E$2:$E$1917, Super_CBSA!$A$2:$A$1917), 2,FALSE), ""))</f>
        <v>37980</v>
      </c>
    </row>
    <row r="101" spans="1:7" ht="17">
      <c r="A101" s="1" t="s">
        <v>4513</v>
      </c>
      <c r="B101" s="2" t="s">
        <v>4514</v>
      </c>
      <c r="C101" s="2">
        <v>0</v>
      </c>
      <c r="D101" s="2">
        <v>0</v>
      </c>
      <c r="E101" s="2">
        <v>0</v>
      </c>
      <c r="F101" s="4">
        <v>0</v>
      </c>
      <c r="G101" s="11" cm="1">
        <f t="array" aca="1" ref="G101" ca="1">IFERROR(VLOOKUP("*" &amp; B101  &amp; "*" &amp; (MID(CELL("filename",A100),FIND("]",CELL("filename",A100))+1,31)) &amp; "*",CHOOSE({1,2}, Super_CBSA!$B$2:$B$1917, Super_CBSA!$A$2:$A$1917), 2,FALSE), IFERROR(VLOOKUP(B101  &amp; " city",CHOOSE({1,2}, Super_CBSA!$E$2:$E$1917, Super_CBSA!$A$2:$A$1917), 2,FALSE), ""))</f>
        <v>39740</v>
      </c>
    </row>
    <row r="102" spans="1:7" ht="17">
      <c r="A102" s="1" t="s">
        <v>4515</v>
      </c>
      <c r="B102" s="2" t="s">
        <v>4514</v>
      </c>
      <c r="C102" s="2">
        <v>180</v>
      </c>
      <c r="D102" s="3">
        <v>7747</v>
      </c>
      <c r="E102" s="3">
        <v>34315</v>
      </c>
      <c r="F102" s="4">
        <v>918037</v>
      </c>
      <c r="G102" s="11" cm="1">
        <f t="array" aca="1" ref="G102" ca="1">IFERROR(VLOOKUP("*" &amp; B102  &amp; "*" &amp; (MID(CELL("filename",A101),FIND("]",CELL("filename",A101))+1,31)) &amp; "*",CHOOSE({1,2}, Super_CBSA!$B$2:$B$1917, Super_CBSA!$A$2:$A$1917), 2,FALSE), IFERROR(VLOOKUP(B102  &amp; " city",CHOOSE({1,2}, Super_CBSA!$E$2:$E$1917, Super_CBSA!$A$2:$A$1917), 2,FALSE), ""))</f>
        <v>39740</v>
      </c>
    </row>
    <row r="103" spans="1:7" ht="17">
      <c r="A103" s="1" t="s">
        <v>4516</v>
      </c>
      <c r="B103" s="2" t="s">
        <v>3132</v>
      </c>
      <c r="C103" s="2">
        <v>445</v>
      </c>
      <c r="D103" s="3">
        <v>21761</v>
      </c>
      <c r="E103" s="3">
        <v>86570</v>
      </c>
      <c r="F103" s="4">
        <v>3004684</v>
      </c>
      <c r="G103" s="11" cm="1">
        <f t="array" aca="1" ref="G103" ca="1">IFERROR(VLOOKUP("*" &amp; B103  &amp; "*" &amp; (MID(CELL("filename",A102),FIND("]",CELL("filename",A102))+1,31)) &amp; "*",CHOOSE({1,2}, Super_CBSA!$B$2:$B$1917, Super_CBSA!$A$2:$A$1917), 2,FALSE), IFERROR(VLOOKUP(B103  &amp; " city",CHOOSE({1,2}, Super_CBSA!$E$2:$E$1917, Super_CBSA!$A$2:$A$1917), 2,FALSE), ""))</f>
        <v>37980</v>
      </c>
    </row>
    <row r="104" spans="1:7" ht="17">
      <c r="A104" s="1" t="s">
        <v>4517</v>
      </c>
      <c r="B104" s="2" t="s">
        <v>4518</v>
      </c>
      <c r="C104" s="2">
        <v>137</v>
      </c>
      <c r="D104" s="3">
        <v>6000</v>
      </c>
      <c r="E104" s="3">
        <v>25715</v>
      </c>
      <c r="F104" s="4">
        <v>1144010</v>
      </c>
      <c r="G104" s="11" t="str" cm="1">
        <f t="array" aca="1" ref="G104" ca="1">IFERROR(VLOOKUP("*" &amp; B104  &amp; "*" &amp; (MID(CELL("filename",A103),FIND("]",CELL("filename",A103))+1,31)) &amp; "*",CHOOSE({1,2}, Super_CBSA!$B$2:$B$1917, Super_CBSA!$A$2:$A$1917), 2,FALSE), IFERROR(VLOOKUP(B104  &amp; " city",CHOOSE({1,2}, Super_CBSA!$E$2:$E$1917, Super_CBSA!$A$2:$A$1917), 2,FALSE), ""))</f>
        <v/>
      </c>
    </row>
    <row r="105" spans="1:7" ht="17">
      <c r="A105" s="1" t="s">
        <v>4519</v>
      </c>
      <c r="B105" s="2" t="s">
        <v>4520</v>
      </c>
      <c r="C105" s="2">
        <v>12</v>
      </c>
      <c r="D105" s="3">
        <v>1353</v>
      </c>
      <c r="E105" s="3">
        <v>1640</v>
      </c>
      <c r="F105" s="4">
        <v>159847</v>
      </c>
      <c r="G105" s="11" t="str" cm="1">
        <f t="array" aca="1" ref="G105" ca="1">IFERROR(VLOOKUP("*" &amp; B105  &amp; "*" &amp; (MID(CELL("filename",A104),FIND("]",CELL("filename",A104))+1,31)) &amp; "*",CHOOSE({1,2}, Super_CBSA!$B$2:$B$1917, Super_CBSA!$A$2:$A$1917), 2,FALSE), IFERROR(VLOOKUP(B105  &amp; " city",CHOOSE({1,2}, Super_CBSA!$E$2:$E$1917, Super_CBSA!$A$2:$A$1917), 2,FALSE), ""))</f>
        <v/>
      </c>
    </row>
    <row r="106" spans="1:7" ht="17">
      <c r="A106" s="1" t="s">
        <v>4521</v>
      </c>
      <c r="B106" s="2" t="s">
        <v>4522</v>
      </c>
      <c r="C106" s="2">
        <v>211</v>
      </c>
      <c r="D106" s="3">
        <v>7452</v>
      </c>
      <c r="E106" s="3">
        <v>28611</v>
      </c>
      <c r="F106" s="4">
        <v>1184103</v>
      </c>
      <c r="G106" s="11" t="str" cm="1">
        <f t="array" aca="1" ref="G106" ca="1">IFERROR(VLOOKUP("*" &amp; B106  &amp; "*" &amp; (MID(CELL("filename",A105),FIND("]",CELL("filename",A105))+1,31)) &amp; "*",CHOOSE({1,2}, Super_CBSA!$B$2:$B$1917, Super_CBSA!$A$2:$A$1917), 2,FALSE), IFERROR(VLOOKUP(B106  &amp; " city",CHOOSE({1,2}, Super_CBSA!$E$2:$E$1917, Super_CBSA!$A$2:$A$1917), 2,FALSE), ""))</f>
        <v/>
      </c>
    </row>
    <row r="107" spans="1:7" ht="17">
      <c r="A107" s="1" t="s">
        <v>4523</v>
      </c>
      <c r="B107" s="2" t="s">
        <v>4524</v>
      </c>
      <c r="C107" s="2">
        <v>44</v>
      </c>
      <c r="D107" s="3">
        <v>1058</v>
      </c>
      <c r="E107" s="3">
        <v>3461</v>
      </c>
      <c r="F107" s="4">
        <v>86913</v>
      </c>
      <c r="G107" s="11" t="str" cm="1">
        <f t="array" aca="1" ref="G107" ca="1">IFERROR(VLOOKUP("*" &amp; B107  &amp; "*" &amp; (MID(CELL("filename",A106),FIND("]",CELL("filename",A106))+1,31)) &amp; "*",CHOOSE({1,2}, Super_CBSA!$B$2:$B$1917, Super_CBSA!$A$2:$A$1917), 2,FALSE), IFERROR(VLOOKUP(B107  &amp; " city",CHOOSE({1,2}, Super_CBSA!$E$2:$E$1917, Super_CBSA!$A$2:$A$1917), 2,FALSE), ""))</f>
        <v/>
      </c>
    </row>
    <row r="108" spans="1:7" ht="17">
      <c r="A108" s="1" t="s">
        <v>4525</v>
      </c>
      <c r="B108" s="2" t="s">
        <v>4443</v>
      </c>
      <c r="C108" s="2">
        <v>154</v>
      </c>
      <c r="D108" s="3">
        <v>7849</v>
      </c>
      <c r="E108" s="3">
        <v>37823</v>
      </c>
      <c r="F108" s="4">
        <v>1100595</v>
      </c>
      <c r="G108" s="11" cm="1">
        <f t="array" aca="1" ref="G108" ca="1">IFERROR(VLOOKUP("*" &amp; B108  &amp; "*" &amp; (MID(CELL("filename",A107),FIND("]",CELL("filename",A107))+1,31)) &amp; "*",CHOOSE({1,2}, Super_CBSA!$B$2:$B$1917, Super_CBSA!$A$2:$A$1917), 2,FALSE), IFERROR(VLOOKUP(B108  &amp; " city",CHOOSE({1,2}, Super_CBSA!$E$2:$E$1917, Super_CBSA!$A$2:$A$1917), 2,FALSE), ""))</f>
        <v>42540</v>
      </c>
    </row>
    <row r="109" spans="1:7" ht="17">
      <c r="A109" s="1" t="s">
        <v>4526</v>
      </c>
      <c r="B109" s="2" t="s">
        <v>4527</v>
      </c>
      <c r="C109" s="2">
        <v>227</v>
      </c>
      <c r="D109" s="3">
        <v>10814</v>
      </c>
      <c r="E109" s="3">
        <v>41644</v>
      </c>
      <c r="F109" s="4">
        <v>1019183</v>
      </c>
      <c r="G109" s="11" t="str" cm="1">
        <f t="array" aca="1" ref="G109" ca="1">IFERROR(VLOOKUP("*" &amp; B109  &amp; "*" &amp; (MID(CELL("filename",A108),FIND("]",CELL("filename",A108))+1,31)) &amp; "*",CHOOSE({1,2}, Super_CBSA!$B$2:$B$1917, Super_CBSA!$A$2:$A$1917), 2,FALSE), IFERROR(VLOOKUP(B109  &amp; " city",CHOOSE({1,2}, Super_CBSA!$E$2:$E$1917, Super_CBSA!$A$2:$A$1917), 2,FALSE), ""))</f>
        <v/>
      </c>
    </row>
    <row r="110" spans="1:7" ht="17">
      <c r="A110" s="1" t="s">
        <v>4528</v>
      </c>
      <c r="B110" s="2" t="s">
        <v>4529</v>
      </c>
      <c r="C110" s="2">
        <v>24</v>
      </c>
      <c r="D110" s="3">
        <v>2119</v>
      </c>
      <c r="E110" s="3">
        <v>2653</v>
      </c>
      <c r="F110" s="4">
        <v>268331</v>
      </c>
      <c r="G110" s="11" t="str" cm="1">
        <f t="array" aca="1" ref="G110" ca="1">IFERROR(VLOOKUP("*" &amp; B110  &amp; "*" &amp; (MID(CELL("filename",A109),FIND("]",CELL("filename",A109))+1,31)) &amp; "*",CHOOSE({1,2}, Super_CBSA!$B$2:$B$1917, Super_CBSA!$A$2:$A$1917), 2,FALSE), IFERROR(VLOOKUP(B110  &amp; " city",CHOOSE({1,2}, Super_CBSA!$E$2:$E$1917, Super_CBSA!$A$2:$A$1917), 2,FALSE), ""))</f>
        <v/>
      </c>
    </row>
    <row r="111" spans="1:7" ht="17">
      <c r="A111" s="1" t="s">
        <v>4530</v>
      </c>
      <c r="B111" s="2" t="s">
        <v>3132</v>
      </c>
      <c r="C111" s="2">
        <v>131</v>
      </c>
      <c r="D111" s="3">
        <v>3272</v>
      </c>
      <c r="E111" s="3">
        <v>11802</v>
      </c>
      <c r="F111" s="4">
        <v>343172</v>
      </c>
      <c r="G111" s="11" cm="1">
        <f t="array" aca="1" ref="G111" ca="1">IFERROR(VLOOKUP("*" &amp; B111  &amp; "*" &amp; (MID(CELL("filename",A110),FIND("]",CELL("filename",A110))+1,31)) &amp; "*",CHOOSE({1,2}, Super_CBSA!$B$2:$B$1917, Super_CBSA!$A$2:$A$1917), 2,FALSE), IFERROR(VLOOKUP(B111  &amp; " city",CHOOSE({1,2}, Super_CBSA!$E$2:$E$1917, Super_CBSA!$A$2:$A$1917), 2,FALSE), ""))</f>
        <v>37980</v>
      </c>
    </row>
    <row r="112" spans="1:7" ht="17">
      <c r="A112" s="1" t="s">
        <v>4531</v>
      </c>
      <c r="B112" s="2" t="s">
        <v>4362</v>
      </c>
      <c r="C112" s="2">
        <v>329</v>
      </c>
      <c r="D112" s="3">
        <v>14445</v>
      </c>
      <c r="E112" s="3">
        <v>57384</v>
      </c>
      <c r="F112" s="4">
        <v>1181430</v>
      </c>
      <c r="G112" s="11" cm="1">
        <f t="array" aca="1" ref="G112" ca="1">IFERROR(VLOOKUP("*" &amp; B112  &amp; "*" &amp; (MID(CELL("filename",A111),FIND("]",CELL("filename",A111))+1,31)) &amp; "*",CHOOSE({1,2}, Super_CBSA!$B$2:$B$1917, Super_CBSA!$A$2:$A$1917), 2,FALSE), IFERROR(VLOOKUP(B112  &amp; " city",CHOOSE({1,2}, Super_CBSA!$E$2:$E$1917, Super_CBSA!$A$2:$A$1917), 2,FALSE), ""))</f>
        <v>38300</v>
      </c>
    </row>
    <row r="113" spans="1:7" ht="17">
      <c r="A113" s="1" t="s">
        <v>4532</v>
      </c>
      <c r="B113" s="2" t="s">
        <v>2697</v>
      </c>
      <c r="C113" s="2">
        <v>108</v>
      </c>
      <c r="D113" s="3">
        <v>7789</v>
      </c>
      <c r="E113" s="3">
        <v>26746</v>
      </c>
      <c r="F113" s="4">
        <v>1611652</v>
      </c>
      <c r="G113" s="11" cm="1">
        <f t="array" aca="1" ref="G113" ca="1">IFERROR(VLOOKUP("*" &amp; B113  &amp; "*" &amp; (MID(CELL("filename",A112),FIND("]",CELL("filename",A112))+1,31)) &amp; "*",CHOOSE({1,2}, Super_CBSA!$B$2:$B$1917, Super_CBSA!$A$2:$A$1917), 2,FALSE), IFERROR(VLOOKUP(B113  &amp; " city",CHOOSE({1,2}, Super_CBSA!$E$2:$E$1917, Super_CBSA!$A$2:$A$1917), 2,FALSE), ""))</f>
        <v>10900</v>
      </c>
    </row>
    <row r="114" spans="1:7" ht="17">
      <c r="A114" s="1" t="s">
        <v>4533</v>
      </c>
      <c r="B114" s="2" t="s">
        <v>4401</v>
      </c>
      <c r="C114" s="2">
        <v>112</v>
      </c>
      <c r="D114" s="3">
        <v>4344</v>
      </c>
      <c r="E114" s="3">
        <v>20116</v>
      </c>
      <c r="F114" s="4">
        <v>61384</v>
      </c>
      <c r="G114" s="11" cm="1">
        <f t="array" aca="1" ref="G114" ca="1">IFERROR(VLOOKUP("*" &amp; B114  &amp; "*" &amp; (MID(CELL("filename",A113),FIND("]",CELL("filename",A113))+1,31)) &amp; "*",CHOOSE({1,2}, Super_CBSA!$B$2:$B$1917, Super_CBSA!$A$2:$A$1917), 2,FALSE), IFERROR(VLOOKUP(B114  &amp; " city",CHOOSE({1,2}, Super_CBSA!$E$2:$E$1917, Super_CBSA!$A$2:$A$1917), 2,FALSE), ""))</f>
        <v>10900</v>
      </c>
    </row>
    <row r="115" spans="1:7" ht="17">
      <c r="A115" s="1" t="s">
        <v>4534</v>
      </c>
      <c r="B115" s="2" t="s">
        <v>4535</v>
      </c>
      <c r="C115" s="2">
        <v>90</v>
      </c>
      <c r="D115" s="3">
        <v>6712</v>
      </c>
      <c r="E115" s="3">
        <v>24583</v>
      </c>
      <c r="F115" s="4">
        <v>1120707</v>
      </c>
      <c r="G115" s="11" cm="1">
        <f t="array" aca="1" ref="G115" ca="1">IFERROR(VLOOKUP("*" &amp; B115  &amp; "*" &amp; (MID(CELL("filename",A114),FIND("]",CELL("filename",A114))+1,31)) &amp; "*",CHOOSE({1,2}, Super_CBSA!$B$2:$B$1917, Super_CBSA!$A$2:$A$1917), 2,FALSE), IFERROR(VLOOKUP(B115  &amp; " city",CHOOSE({1,2}, Super_CBSA!$E$2:$E$1917, Super_CBSA!$A$2:$A$1917), 2,FALSE), ""))</f>
        <v>20700</v>
      </c>
    </row>
    <row r="116" spans="1:7" ht="17">
      <c r="A116" s="1" t="s">
        <v>4536</v>
      </c>
      <c r="B116" s="2" t="s">
        <v>4537</v>
      </c>
      <c r="C116" s="2">
        <v>201</v>
      </c>
      <c r="D116" s="3">
        <v>2338</v>
      </c>
      <c r="E116" s="3">
        <v>12593</v>
      </c>
      <c r="F116" s="4">
        <v>303302</v>
      </c>
      <c r="G116" s="11" t="str" cm="1">
        <f t="array" aca="1" ref="G116" ca="1">IFERROR(VLOOKUP("*" &amp; B116  &amp; "*" &amp; (MID(CELL("filename",A115),FIND("]",CELL("filename",A115))+1,31)) &amp; "*",CHOOSE({1,2}, Super_CBSA!$B$2:$B$1917, Super_CBSA!$A$2:$A$1917), 2,FALSE), IFERROR(VLOOKUP(B116  &amp; " city",CHOOSE({1,2}, Super_CBSA!$E$2:$E$1917, Super_CBSA!$A$2:$A$1917), 2,FALSE), ""))</f>
        <v/>
      </c>
    </row>
    <row r="117" spans="1:7" ht="17">
      <c r="A117" s="1" t="s">
        <v>4538</v>
      </c>
      <c r="B117" s="2" t="s">
        <v>4539</v>
      </c>
      <c r="C117" s="2">
        <v>97</v>
      </c>
      <c r="D117" s="3">
        <v>2527</v>
      </c>
      <c r="E117" s="3">
        <v>8793</v>
      </c>
      <c r="F117" s="4">
        <v>433308</v>
      </c>
      <c r="G117" s="11" t="str" cm="1">
        <f t="array" aca="1" ref="G117" ca="1">IFERROR(VLOOKUP("*" &amp; B117  &amp; "*" &amp; (MID(CELL("filename",A116),FIND("]",CELL("filename",A116))+1,31)) &amp; "*",CHOOSE({1,2}, Super_CBSA!$B$2:$B$1917, Super_CBSA!$A$2:$A$1917), 2,FALSE), IFERROR(VLOOKUP(B117  &amp; " city",CHOOSE({1,2}, Super_CBSA!$E$2:$E$1917, Super_CBSA!$A$2:$A$1917), 2,FALSE), ""))</f>
        <v/>
      </c>
    </row>
    <row r="118" spans="1:7" ht="17">
      <c r="A118" s="1" t="s">
        <v>4540</v>
      </c>
      <c r="B118" s="2" t="s">
        <v>4541</v>
      </c>
      <c r="C118" s="2">
        <v>62</v>
      </c>
      <c r="D118" s="3">
        <v>3530</v>
      </c>
      <c r="E118" s="3">
        <v>15938</v>
      </c>
      <c r="F118" s="4">
        <v>680018</v>
      </c>
      <c r="G118" s="11" t="str" cm="1">
        <f t="array" aca="1" ref="G118" ca="1">IFERROR(VLOOKUP("*" &amp; B118  &amp; "*" &amp; (MID(CELL("filename",A117),FIND("]",CELL("filename",A117))+1,31)) &amp; "*",CHOOSE({1,2}, Super_CBSA!$B$2:$B$1917, Super_CBSA!$A$2:$A$1917), 2,FALSE), IFERROR(VLOOKUP(B118  &amp; " city",CHOOSE({1,2}, Super_CBSA!$E$2:$E$1917, Super_CBSA!$A$2:$A$1917), 2,FALSE), ""))</f>
        <v/>
      </c>
    </row>
    <row r="119" spans="1:7" ht="17">
      <c r="A119" s="1" t="s">
        <v>4542</v>
      </c>
      <c r="B119" s="2" t="s">
        <v>4401</v>
      </c>
      <c r="C119" s="2">
        <v>167</v>
      </c>
      <c r="D119" s="3">
        <v>3947</v>
      </c>
      <c r="E119" s="3">
        <v>22894</v>
      </c>
      <c r="F119" s="4">
        <v>571984</v>
      </c>
      <c r="G119" s="11" cm="1">
        <f t="array" aca="1" ref="G119" ca="1">IFERROR(VLOOKUP("*" &amp; B119  &amp; "*" &amp; (MID(CELL("filename",A118),FIND("]",CELL("filename",A118))+1,31)) &amp; "*",CHOOSE({1,2}, Super_CBSA!$B$2:$B$1917, Super_CBSA!$A$2:$A$1917), 2,FALSE), IFERROR(VLOOKUP(B119  &amp; " city",CHOOSE({1,2}, Super_CBSA!$E$2:$E$1917, Super_CBSA!$A$2:$A$1917), 2,FALSE), ""))</f>
        <v>10900</v>
      </c>
    </row>
    <row r="120" spans="1:7" ht="17">
      <c r="A120" s="1" t="s">
        <v>4543</v>
      </c>
      <c r="B120" s="2" t="s">
        <v>4399</v>
      </c>
      <c r="C120" s="2">
        <v>542</v>
      </c>
      <c r="D120" s="3">
        <v>32582</v>
      </c>
      <c r="E120" s="3">
        <v>124163</v>
      </c>
      <c r="F120" s="4">
        <v>5782726</v>
      </c>
      <c r="G120" s="11" cm="1">
        <f t="array" aca="1" ref="G120" ca="1">IFERROR(VLOOKUP("*" &amp; B120  &amp; "*" &amp; (MID(CELL("filename",A119),FIND("]",CELL("filename",A119))+1,31)) &amp; "*",CHOOSE({1,2}, Super_CBSA!$B$2:$B$1917, Super_CBSA!$A$2:$A$1917), 2,FALSE), IFERROR(VLOOKUP(B120  &amp; " city",CHOOSE({1,2}, Super_CBSA!$E$2:$E$1917, Super_CBSA!$A$2:$A$1917), 2,FALSE), ""))</f>
        <v>10900</v>
      </c>
    </row>
    <row r="121" spans="1:7" ht="17">
      <c r="A121" s="1" t="s">
        <v>833</v>
      </c>
      <c r="B121" s="2" t="s">
        <v>4465</v>
      </c>
      <c r="C121" s="2">
        <v>348</v>
      </c>
      <c r="D121" s="3">
        <v>25567</v>
      </c>
      <c r="E121" s="3">
        <v>85598</v>
      </c>
      <c r="F121" s="4">
        <v>1684827</v>
      </c>
      <c r="G121" s="11" t="str" cm="1">
        <f t="array" aca="1" ref="G121" ca="1">IFERROR(VLOOKUP("*" &amp; B121  &amp; "*" &amp; (MID(CELL("filename",A120),FIND("]",CELL("filename",A120))+1,31)) &amp; "*",CHOOSE({1,2}, Super_CBSA!$B$2:$B$1917, Super_CBSA!$A$2:$A$1917), 2,FALSE), IFERROR(VLOOKUP(B121  &amp; " city",CHOOSE({1,2}, Super_CBSA!$E$2:$E$1917, Super_CBSA!$A$2:$A$1917), 2,FALSE), ""))</f>
        <v/>
      </c>
    </row>
    <row r="122" spans="1:7" ht="17">
      <c r="A122" s="1" t="s">
        <v>4544</v>
      </c>
      <c r="B122" s="2" t="s">
        <v>4358</v>
      </c>
      <c r="C122" s="2">
        <v>330</v>
      </c>
      <c r="D122" s="3">
        <v>12740</v>
      </c>
      <c r="E122" s="3">
        <v>60896</v>
      </c>
      <c r="F122" s="4">
        <v>1888213</v>
      </c>
      <c r="G122" s="11" cm="1">
        <f t="array" aca="1" ref="G122" ca="1">IFERROR(VLOOKUP("*" &amp; B122  &amp; "*" &amp; (MID(CELL("filename",A121),FIND("]",CELL("filename",A121))+1,31)) &amp; "*",CHOOSE({1,2}, Super_CBSA!$B$2:$B$1917, Super_CBSA!$A$2:$A$1917), 2,FALSE), IFERROR(VLOOKUP(B122  &amp; " city",CHOOSE({1,2}, Super_CBSA!$E$2:$E$1917, Super_CBSA!$A$2:$A$1917), 2,FALSE), ""))</f>
        <v>21500</v>
      </c>
    </row>
    <row r="123" spans="1:7" ht="17">
      <c r="A123" s="1" t="s">
        <v>4545</v>
      </c>
      <c r="B123" s="2" t="s">
        <v>1112</v>
      </c>
      <c r="C123" s="2">
        <v>233</v>
      </c>
      <c r="D123" s="3">
        <v>6956</v>
      </c>
      <c r="E123" s="3">
        <v>31886</v>
      </c>
      <c r="F123" s="4">
        <v>693010</v>
      </c>
      <c r="G123" s="11" t="str" cm="1">
        <f t="array" aca="1" ref="G123" ca="1">IFERROR(VLOOKUP("*" &amp; B123  &amp; "*" &amp; (MID(CELL("filename",A122),FIND("]",CELL("filename",A122))+1,31)) &amp; "*",CHOOSE({1,2}, Super_CBSA!$B$2:$B$1917, Super_CBSA!$A$2:$A$1917), 2,FALSE), IFERROR(VLOOKUP(B123  &amp; " city",CHOOSE({1,2}, Super_CBSA!$E$2:$E$1917, Super_CBSA!$A$2:$A$1917), 2,FALSE), ""))</f>
        <v/>
      </c>
    </row>
    <row r="124" spans="1:7" ht="17">
      <c r="A124" s="1" t="s">
        <v>4546</v>
      </c>
      <c r="B124" s="2" t="s">
        <v>1901</v>
      </c>
      <c r="C124" s="2">
        <v>0</v>
      </c>
      <c r="D124" s="2">
        <v>0</v>
      </c>
      <c r="E124" s="2">
        <v>0</v>
      </c>
      <c r="F124" s="4">
        <v>0</v>
      </c>
      <c r="G124" s="11" t="str" cm="1">
        <f t="array" aca="1" ref="G124" ca="1">IFERROR(VLOOKUP("*" &amp; B124  &amp; "*" &amp; (MID(CELL("filename",A123),FIND("]",CELL("filename",A123))+1,31)) &amp; "*",CHOOSE({1,2}, Super_CBSA!$B$2:$B$1917, Super_CBSA!$A$2:$A$1917), 2,FALSE), IFERROR(VLOOKUP(B124  &amp; " city",CHOOSE({1,2}, Super_CBSA!$E$2:$E$1917, Super_CBSA!$A$2:$A$1917), 2,FALSE), ""))</f>
        <v/>
      </c>
    </row>
    <row r="125" spans="1:7" ht="17">
      <c r="A125" s="1" t="s">
        <v>4547</v>
      </c>
      <c r="B125" s="2" t="s">
        <v>2697</v>
      </c>
      <c r="C125" s="2">
        <v>190</v>
      </c>
      <c r="D125" s="3">
        <v>4688</v>
      </c>
      <c r="E125" s="3">
        <v>18566</v>
      </c>
      <c r="F125" s="4">
        <v>1160738</v>
      </c>
      <c r="G125" s="11" cm="1">
        <f t="array" aca="1" ref="G125" ca="1">IFERROR(VLOOKUP("*" &amp; B125  &amp; "*" &amp; (MID(CELL("filename",A124),FIND("]",CELL("filename",A124))+1,31)) &amp; "*",CHOOSE({1,2}, Super_CBSA!$B$2:$B$1917, Super_CBSA!$A$2:$A$1917), 2,FALSE), IFERROR(VLOOKUP(B125  &amp; " city",CHOOSE({1,2}, Super_CBSA!$E$2:$E$1917, Super_CBSA!$A$2:$A$1917), 2,FALSE), ""))</f>
        <v>10900</v>
      </c>
    </row>
    <row r="126" spans="1:7" ht="17">
      <c r="A126" s="1" t="s">
        <v>4548</v>
      </c>
      <c r="B126" s="2" t="s">
        <v>4541</v>
      </c>
      <c r="C126" s="2">
        <v>0</v>
      </c>
      <c r="D126" s="2">
        <v>0</v>
      </c>
      <c r="E126" s="2">
        <v>0</v>
      </c>
      <c r="F126" s="4">
        <v>0</v>
      </c>
      <c r="G126" s="11" t="str" cm="1">
        <f t="array" aca="1" ref="G126" ca="1">IFERROR(VLOOKUP("*" &amp; B126  &amp; "*" &amp; (MID(CELL("filename",A125),FIND("]",CELL("filename",A125))+1,31)) &amp; "*",CHOOSE({1,2}, Super_CBSA!$B$2:$B$1917, Super_CBSA!$A$2:$A$1917), 2,FALSE), IFERROR(VLOOKUP(B126  &amp; " city",CHOOSE({1,2}, Super_CBSA!$E$2:$E$1917, Super_CBSA!$A$2:$A$1917), 2,FALSE), ""))</f>
        <v/>
      </c>
    </row>
    <row r="127" spans="1:7" ht="17">
      <c r="A127" s="1" t="s">
        <v>4549</v>
      </c>
      <c r="B127" s="2" t="s">
        <v>4415</v>
      </c>
      <c r="C127" s="2">
        <v>126</v>
      </c>
      <c r="D127" s="3">
        <v>2437</v>
      </c>
      <c r="E127" s="3">
        <v>9455</v>
      </c>
      <c r="F127" s="4">
        <v>343518</v>
      </c>
      <c r="G127" s="11" t="str" cm="1">
        <f t="array" aca="1" ref="G127" ca="1">IFERROR(VLOOKUP("*" &amp; B127  &amp; "*" &amp; (MID(CELL("filename",A126),FIND("]",CELL("filename",A126))+1,31)) &amp; "*",CHOOSE({1,2}, Super_CBSA!$B$2:$B$1917, Super_CBSA!$A$2:$A$1917), 2,FALSE), IFERROR(VLOOKUP(B127  &amp; " city",CHOOSE({1,2}, Super_CBSA!$E$2:$E$1917, Super_CBSA!$A$2:$A$1917), 2,FALSE), ""))</f>
        <v/>
      </c>
    </row>
    <row r="128" spans="1:7" ht="17">
      <c r="A128" s="1" t="s">
        <v>4550</v>
      </c>
      <c r="B128" s="2" t="s">
        <v>4551</v>
      </c>
      <c r="C128" s="2">
        <v>15</v>
      </c>
      <c r="D128" s="2">
        <v>811</v>
      </c>
      <c r="E128" s="3">
        <v>1595</v>
      </c>
      <c r="F128" s="4">
        <v>155614</v>
      </c>
      <c r="G128" s="11" t="str" cm="1">
        <f t="array" aca="1" ref="G128" ca="1">IFERROR(VLOOKUP("*" &amp; B128  &amp; "*" &amp; (MID(CELL("filename",A127),FIND("]",CELL("filename",A127))+1,31)) &amp; "*",CHOOSE({1,2}, Super_CBSA!$B$2:$B$1917, Super_CBSA!$A$2:$A$1917), 2,FALSE), IFERROR(VLOOKUP(B128  &amp; " city",CHOOSE({1,2}, Super_CBSA!$E$2:$E$1917, Super_CBSA!$A$2:$A$1917), 2,FALSE), ""))</f>
        <v/>
      </c>
    </row>
    <row r="129" spans="1:7" ht="17">
      <c r="A129" s="1" t="s">
        <v>4552</v>
      </c>
      <c r="B129" s="2" t="s">
        <v>4553</v>
      </c>
      <c r="C129" s="2">
        <v>213</v>
      </c>
      <c r="D129" s="3">
        <v>5201</v>
      </c>
      <c r="E129" s="3">
        <v>21942</v>
      </c>
      <c r="F129" s="4">
        <v>734060</v>
      </c>
      <c r="G129" s="11" t="str" cm="1">
        <f t="array" aca="1" ref="G129" ca="1">IFERROR(VLOOKUP("*" &amp; B129  &amp; "*" &amp; (MID(CELL("filename",A128),FIND("]",CELL("filename",A128))+1,31)) &amp; "*",CHOOSE({1,2}, Super_CBSA!$B$2:$B$1917, Super_CBSA!$A$2:$A$1917), 2,FALSE), IFERROR(VLOOKUP(B129  &amp; " city",CHOOSE({1,2}, Super_CBSA!$E$2:$E$1917, Super_CBSA!$A$2:$A$1917), 2,FALSE), ""))</f>
        <v/>
      </c>
    </row>
    <row r="130" spans="1:7" ht="17">
      <c r="A130" s="1" t="s">
        <v>4554</v>
      </c>
      <c r="B130" s="2" t="s">
        <v>3132</v>
      </c>
      <c r="C130" s="2">
        <v>732</v>
      </c>
      <c r="D130" s="3">
        <v>24314</v>
      </c>
      <c r="E130" s="3">
        <v>152588</v>
      </c>
      <c r="F130" s="4">
        <v>8187672</v>
      </c>
      <c r="G130" s="11" cm="1">
        <f t="array" aca="1" ref="G130" ca="1">IFERROR(VLOOKUP("*" &amp; B130  &amp; "*" &amp; (MID(CELL("filename",A129),FIND("]",CELL("filename",A129))+1,31)) &amp; "*",CHOOSE({1,2}, Super_CBSA!$B$2:$B$1917, Super_CBSA!$A$2:$A$1917), 2,FALSE), IFERROR(VLOOKUP(B130  &amp; " city",CHOOSE({1,2}, Super_CBSA!$E$2:$E$1917, Super_CBSA!$A$2:$A$1917), 2,FALSE), ""))</f>
        <v>37980</v>
      </c>
    </row>
    <row r="131" spans="1:7" ht="17">
      <c r="A131" s="1" t="s">
        <v>4555</v>
      </c>
      <c r="B131" s="2" t="s">
        <v>3132</v>
      </c>
      <c r="C131" s="2">
        <v>0</v>
      </c>
      <c r="D131" s="2">
        <v>0</v>
      </c>
      <c r="E131" s="2">
        <v>0</v>
      </c>
      <c r="F131" s="4">
        <v>0</v>
      </c>
      <c r="G131" s="11" cm="1">
        <f t="array" aca="1" ref="G131" ca="1">IFERROR(VLOOKUP("*" &amp; B131  &amp; "*" &amp; (MID(CELL("filename",A130),FIND("]",CELL("filename",A130))+1,31)) &amp; "*",CHOOSE({1,2}, Super_CBSA!$B$2:$B$1917, Super_CBSA!$A$2:$A$1917), 2,FALSE), IFERROR(VLOOKUP(B131  &amp; " city",CHOOSE({1,2}, Super_CBSA!$E$2:$E$1917, Super_CBSA!$A$2:$A$1917), 2,FALSE), ""))</f>
        <v>37980</v>
      </c>
    </row>
    <row r="132" spans="1:7" ht="17">
      <c r="A132" s="1" t="s">
        <v>4556</v>
      </c>
      <c r="B132" s="2" t="s">
        <v>3132</v>
      </c>
      <c r="C132" s="2">
        <v>883</v>
      </c>
      <c r="D132" s="3">
        <v>37680</v>
      </c>
      <c r="E132" s="3">
        <v>214333</v>
      </c>
      <c r="F132" s="4">
        <v>6275579</v>
      </c>
      <c r="G132" s="11" cm="1">
        <f t="array" aca="1" ref="G132" ca="1">IFERROR(VLOOKUP("*" &amp; B132  &amp; "*" &amp; (MID(CELL("filename",A131),FIND("]",CELL("filename",A131))+1,31)) &amp; "*",CHOOSE({1,2}, Super_CBSA!$B$2:$B$1917, Super_CBSA!$A$2:$A$1917), 2,FALSE), IFERROR(VLOOKUP(B132  &amp; " city",CHOOSE({1,2}, Super_CBSA!$E$2:$E$1917, Super_CBSA!$A$2:$A$1917), 2,FALSE), ""))</f>
        <v>37980</v>
      </c>
    </row>
    <row r="133" spans="1:7" ht="17">
      <c r="A133" s="1" t="s">
        <v>4557</v>
      </c>
      <c r="B133" s="2" t="s">
        <v>4558</v>
      </c>
      <c r="C133" s="2">
        <v>44</v>
      </c>
      <c r="D133" s="2">
        <v>372</v>
      </c>
      <c r="E133" s="2">
        <v>979</v>
      </c>
      <c r="F133" s="4">
        <v>80313</v>
      </c>
      <c r="G133" s="11" t="str" cm="1">
        <f t="array" aca="1" ref="G133" ca="1">IFERROR(VLOOKUP("*" &amp; B133  &amp; "*" &amp; (MID(CELL("filename",A132),FIND("]",CELL("filename",A132))+1,31)) &amp; "*",CHOOSE({1,2}, Super_CBSA!$B$2:$B$1917, Super_CBSA!$A$2:$A$1917), 2,FALSE), IFERROR(VLOOKUP(B133  &amp; " city",CHOOSE({1,2}, Super_CBSA!$E$2:$E$1917, Super_CBSA!$A$2:$A$1917), 2,FALSE), ""))</f>
        <v/>
      </c>
    </row>
    <row r="134" spans="1:7" ht="17">
      <c r="A134" s="1" t="s">
        <v>4559</v>
      </c>
      <c r="B134" s="2" t="s">
        <v>4560</v>
      </c>
      <c r="C134" s="2">
        <v>160</v>
      </c>
      <c r="D134" s="3">
        <v>7795</v>
      </c>
      <c r="E134" s="3">
        <v>32862</v>
      </c>
      <c r="F134" s="4">
        <v>314331</v>
      </c>
      <c r="G134" s="11" t="str" cm="1">
        <f t="array" aca="1" ref="G134" ca="1">IFERROR(VLOOKUP("*" &amp; B134  &amp; "*" &amp; (MID(CELL("filename",A133),FIND("]",CELL("filename",A133))+1,31)) &amp; "*",CHOOSE({1,2}, Super_CBSA!$B$2:$B$1917, Super_CBSA!$A$2:$A$1917), 2,FALSE), IFERROR(VLOOKUP(B134  &amp; " city",CHOOSE({1,2}, Super_CBSA!$E$2:$E$1917, Super_CBSA!$A$2:$A$1917), 2,FALSE), ""))</f>
        <v/>
      </c>
    </row>
    <row r="135" spans="1:7" ht="17">
      <c r="A135" s="1" t="s">
        <v>4561</v>
      </c>
      <c r="B135" s="2" t="s">
        <v>4462</v>
      </c>
      <c r="C135" s="2">
        <v>344</v>
      </c>
      <c r="D135" s="3">
        <v>18442</v>
      </c>
      <c r="E135" s="3">
        <v>90610</v>
      </c>
      <c r="F135" s="4">
        <v>1830088</v>
      </c>
      <c r="G135" s="11" cm="1">
        <f t="array" aca="1" ref="G135" ca="1">IFERROR(VLOOKUP("*" &amp; B135  &amp; "*" &amp; (MID(CELL("filename",A134),FIND("]",CELL("filename",A134))+1,31)) &amp; "*",CHOOSE({1,2}, Super_CBSA!$B$2:$B$1917, Super_CBSA!$A$2:$A$1917), 2,FALSE), IFERROR(VLOOKUP(B135  &amp; " city",CHOOSE({1,2}, Super_CBSA!$E$2:$E$1917, Super_CBSA!$A$2:$A$1917), 2,FALSE), ""))</f>
        <v>11020</v>
      </c>
    </row>
    <row r="136" spans="1:7" ht="17">
      <c r="A136" s="1" t="s">
        <v>4562</v>
      </c>
      <c r="B136" s="2" t="s">
        <v>2548</v>
      </c>
      <c r="C136" s="2">
        <v>40</v>
      </c>
      <c r="D136" s="3">
        <v>1180</v>
      </c>
      <c r="E136" s="3">
        <v>3931</v>
      </c>
      <c r="F136" s="4">
        <v>210454</v>
      </c>
      <c r="G136" s="11" t="str" cm="1">
        <f t="array" aca="1" ref="G136" ca="1">IFERROR(VLOOKUP("*" &amp; B136  &amp; "*" &amp; (MID(CELL("filename",A135),FIND("]",CELL("filename",A135))+1,31)) &amp; "*",CHOOSE({1,2}, Super_CBSA!$B$2:$B$1917, Super_CBSA!$A$2:$A$1917), 2,FALSE), IFERROR(VLOOKUP(B136  &amp; " city",CHOOSE({1,2}, Super_CBSA!$E$2:$E$1917, Super_CBSA!$A$2:$A$1917), 2,FALSE), ""))</f>
        <v/>
      </c>
    </row>
    <row r="137" spans="1:7" ht="17">
      <c r="A137" s="1" t="s">
        <v>4563</v>
      </c>
      <c r="B137" s="2" t="s">
        <v>4564</v>
      </c>
      <c r="C137" s="2">
        <v>80</v>
      </c>
      <c r="D137" s="3">
        <v>4422</v>
      </c>
      <c r="E137" s="3">
        <v>16753</v>
      </c>
      <c r="F137" s="4">
        <v>654278</v>
      </c>
      <c r="G137" s="11" cm="1">
        <f t="array" aca="1" ref="G137" ca="1">IFERROR(VLOOKUP("*" &amp; B137  &amp; "*" &amp; (MID(CELL("filename",A136),FIND("]",CELL("filename",A136))+1,31)) &amp; "*",CHOOSE({1,2}, Super_CBSA!$B$2:$B$1917, Super_CBSA!$A$2:$A$1917), 2,FALSE), IFERROR(VLOOKUP(B137  &amp; " city",CHOOSE({1,2}, Super_CBSA!$E$2:$E$1917, Super_CBSA!$A$2:$A$1917), 2,FALSE), ""))</f>
        <v>25420</v>
      </c>
    </row>
    <row r="138" spans="1:7" ht="17">
      <c r="A138" s="1" t="s">
        <v>4565</v>
      </c>
      <c r="B138" s="2" t="s">
        <v>184</v>
      </c>
      <c r="C138" s="2">
        <v>156</v>
      </c>
      <c r="D138" s="3">
        <v>7926</v>
      </c>
      <c r="E138" s="3">
        <v>37347</v>
      </c>
      <c r="F138" s="4">
        <v>941559</v>
      </c>
      <c r="G138" s="11" t="str" cm="1">
        <f t="array" aca="1" ref="G138" ca="1">IFERROR(VLOOKUP("*" &amp; B138  &amp; "*" &amp; (MID(CELL("filename",A137),FIND("]",CELL("filename",A137))+1,31)) &amp; "*",CHOOSE({1,2}, Super_CBSA!$B$2:$B$1917, Super_CBSA!$A$2:$A$1917), 2,FALSE), IFERROR(VLOOKUP(B138  &amp; " city",CHOOSE({1,2}, Super_CBSA!$E$2:$E$1917, Super_CBSA!$A$2:$A$1917), 2,FALSE), ""))</f>
        <v/>
      </c>
    </row>
    <row r="139" spans="1:7" ht="17">
      <c r="A139" s="1" t="s">
        <v>4566</v>
      </c>
      <c r="B139" s="2" t="s">
        <v>4567</v>
      </c>
      <c r="C139" s="2">
        <v>81</v>
      </c>
      <c r="D139" s="3">
        <v>5334</v>
      </c>
      <c r="E139" s="3">
        <v>21456</v>
      </c>
      <c r="F139" s="4">
        <v>412005</v>
      </c>
      <c r="G139" s="11" cm="1">
        <f t="array" aca="1" ref="G139" ca="1">IFERROR(VLOOKUP("*" &amp; B139  &amp; "*" &amp; (MID(CELL("filename",A138),FIND("]",CELL("filename",A138))+1,31)) &amp; "*",CHOOSE({1,2}, Super_CBSA!$B$2:$B$1917, Super_CBSA!$A$2:$A$1917), 2,FALSE), IFERROR(VLOOKUP(B139  &amp; " city",CHOOSE({1,2}, Super_CBSA!$E$2:$E$1917, Super_CBSA!$A$2:$A$1917), 2,FALSE), ""))</f>
        <v>49620</v>
      </c>
    </row>
    <row r="140" spans="1:7" ht="17">
      <c r="A140" s="1" t="s">
        <v>4568</v>
      </c>
      <c r="B140" s="2" t="s">
        <v>200</v>
      </c>
      <c r="C140" s="2">
        <v>122</v>
      </c>
      <c r="D140" s="3">
        <v>3995</v>
      </c>
      <c r="E140" s="3">
        <v>15409</v>
      </c>
      <c r="F140" s="4">
        <v>675378</v>
      </c>
      <c r="G140" s="11" t="str" cm="1">
        <f t="array" aca="1" ref="G140" ca="1">IFERROR(VLOOKUP("*" &amp; B140  &amp; "*" &amp; (MID(CELL("filename",A139),FIND("]",CELL("filename",A139))+1,31)) &amp; "*",CHOOSE({1,2}, Super_CBSA!$B$2:$B$1917, Super_CBSA!$A$2:$A$1917), 2,FALSE), IFERROR(VLOOKUP(B140  &amp; " city",CHOOSE({1,2}, Super_CBSA!$E$2:$E$1917, Super_CBSA!$A$2:$A$1917), 2,FALSE), ""))</f>
        <v/>
      </c>
    </row>
    <row r="141" spans="1:7" ht="17">
      <c r="A141" s="1" t="s">
        <v>4569</v>
      </c>
      <c r="B141" s="2" t="s">
        <v>4570</v>
      </c>
      <c r="C141" s="2">
        <v>0</v>
      </c>
      <c r="D141" s="2">
        <v>0</v>
      </c>
      <c r="E141" s="2">
        <v>0</v>
      </c>
      <c r="F141" s="4">
        <v>0</v>
      </c>
      <c r="G141" s="11" t="str" cm="1">
        <f t="array" aca="1" ref="G141" ca="1">IFERROR(VLOOKUP("*" &amp; B141  &amp; "*" &amp; (MID(CELL("filename",A140),FIND("]",CELL("filename",A140))+1,31)) &amp; "*",CHOOSE({1,2}, Super_CBSA!$B$2:$B$1917, Super_CBSA!$A$2:$A$1917), 2,FALSE), IFERROR(VLOOKUP(B141  &amp; " city",CHOOSE({1,2}, Super_CBSA!$E$2:$E$1917, Super_CBSA!$A$2:$A$1917), 2,FALSE), ""))</f>
        <v/>
      </c>
    </row>
    <row r="142" spans="1:7" ht="17">
      <c r="A142" s="1" t="s">
        <v>4571</v>
      </c>
      <c r="B142" s="2" t="s">
        <v>2079</v>
      </c>
      <c r="C142" s="2">
        <v>133</v>
      </c>
      <c r="D142" s="3">
        <v>4769</v>
      </c>
      <c r="E142" s="3">
        <v>21703</v>
      </c>
      <c r="F142" s="4">
        <v>342026</v>
      </c>
      <c r="G142" s="11" cm="1">
        <f t="array" aca="1" ref="G142" ca="1">IFERROR(VLOOKUP("*" &amp; B142  &amp; "*" &amp; (MID(CELL("filename",A141),FIND("]",CELL("filename",A141))+1,31)) &amp; "*",CHOOSE({1,2}, Super_CBSA!$B$2:$B$1917, Super_CBSA!$A$2:$A$1917), 2,FALSE), IFERROR(VLOOKUP(B142  &amp; " city",CHOOSE({1,2}, Super_CBSA!$E$2:$E$1917, Super_CBSA!$A$2:$A$1917), 2,FALSE), ""))</f>
        <v>35260</v>
      </c>
    </row>
    <row r="143" spans="1:7" ht="17">
      <c r="A143" s="1" t="s">
        <v>4572</v>
      </c>
      <c r="B143" s="2" t="s">
        <v>4573</v>
      </c>
      <c r="C143" s="2">
        <v>31</v>
      </c>
      <c r="D143" s="2">
        <v>332</v>
      </c>
      <c r="E143" s="3">
        <v>1223</v>
      </c>
      <c r="F143" s="4">
        <v>46611</v>
      </c>
      <c r="G143" s="11" t="str" cm="1">
        <f t="array" aca="1" ref="G143" ca="1">IFERROR(VLOOKUP("*" &amp; B143  &amp; "*" &amp; (MID(CELL("filename",A142),FIND("]",CELL("filename",A142))+1,31)) &amp; "*",CHOOSE({1,2}, Super_CBSA!$B$2:$B$1917, Super_CBSA!$A$2:$A$1917), 2,FALSE), IFERROR(VLOOKUP(B143  &amp; " city",CHOOSE({1,2}, Super_CBSA!$E$2:$E$1917, Super_CBSA!$A$2:$A$1917), 2,FALSE), ""))</f>
        <v/>
      </c>
    </row>
    <row r="144" spans="1:7" ht="17">
      <c r="A144" s="1" t="s">
        <v>4574</v>
      </c>
      <c r="B144" s="2" t="s">
        <v>4575</v>
      </c>
      <c r="C144" s="2">
        <v>213</v>
      </c>
      <c r="D144" s="3">
        <v>6715</v>
      </c>
      <c r="E144" s="3">
        <v>40776</v>
      </c>
      <c r="F144" s="4">
        <v>740212</v>
      </c>
      <c r="G144" s="11" t="str" cm="1">
        <f t="array" aca="1" ref="G144" ca="1">IFERROR(VLOOKUP("*" &amp; B144  &amp; "*" &amp; (MID(CELL("filename",A143),FIND("]",CELL("filename",A143))+1,31)) &amp; "*",CHOOSE({1,2}, Super_CBSA!$B$2:$B$1917, Super_CBSA!$A$2:$A$1917), 2,FALSE), IFERROR(VLOOKUP(B144  &amp; " city",CHOOSE({1,2}, Super_CBSA!$E$2:$E$1917, Super_CBSA!$A$2:$A$1917), 2,FALSE), ""))</f>
        <v/>
      </c>
    </row>
    <row r="145" spans="1:7" ht="17">
      <c r="A145" s="1" t="s">
        <v>4576</v>
      </c>
      <c r="B145" s="2" t="s">
        <v>152</v>
      </c>
      <c r="C145" s="2">
        <v>60</v>
      </c>
      <c r="D145" s="3">
        <v>3868</v>
      </c>
      <c r="E145" s="3">
        <v>13829</v>
      </c>
      <c r="F145" s="4">
        <v>337360</v>
      </c>
      <c r="G145" s="11" cm="1">
        <f t="array" aca="1" ref="G145" ca="1">IFERROR(VLOOKUP("*" &amp; B145  &amp; "*" &amp; (MID(CELL("filename",A144),FIND("]",CELL("filename",A144))+1,31)) &amp; "*",CHOOSE({1,2}, Super_CBSA!$B$2:$B$1917, Super_CBSA!$A$2:$A$1917), 2,FALSE), IFERROR(VLOOKUP(B145  &amp; " city",CHOOSE({1,2}, Super_CBSA!$E$2:$E$1917, Super_CBSA!$A$2:$A$1917), 2,FALSE), ""))</f>
        <v>35620</v>
      </c>
    </row>
    <row r="146" spans="1:7" ht="17">
      <c r="A146" s="1" t="s">
        <v>4577</v>
      </c>
      <c r="B146" s="2" t="s">
        <v>4362</v>
      </c>
      <c r="C146" s="2">
        <v>445</v>
      </c>
      <c r="D146" s="3">
        <v>15510</v>
      </c>
      <c r="E146" s="3">
        <v>79999</v>
      </c>
      <c r="F146" s="4">
        <v>1911453</v>
      </c>
      <c r="G146" s="11" cm="1">
        <f t="array" aca="1" ref="G146" ca="1">IFERROR(VLOOKUP("*" &amp; B146  &amp; "*" &amp; (MID(CELL("filename",A145),FIND("]",CELL("filename",A145))+1,31)) &amp; "*",CHOOSE({1,2}, Super_CBSA!$B$2:$B$1917, Super_CBSA!$A$2:$A$1917), 2,FALSE), IFERROR(VLOOKUP(B146  &amp; " city",CHOOSE({1,2}, Super_CBSA!$E$2:$E$1917, Super_CBSA!$A$2:$A$1917), 2,FALSE), ""))</f>
        <v>38300</v>
      </c>
    </row>
    <row r="147" spans="1:7" ht="17">
      <c r="A147" s="1" t="s">
        <v>4578</v>
      </c>
      <c r="B147" s="2" t="s">
        <v>4362</v>
      </c>
      <c r="C147" s="2">
        <v>0</v>
      </c>
      <c r="D147" s="2">
        <v>0</v>
      </c>
      <c r="E147" s="2">
        <v>0</v>
      </c>
      <c r="F147" s="4">
        <v>0</v>
      </c>
      <c r="G147" s="11" cm="1">
        <f t="array" aca="1" ref="G147" ca="1">IFERROR(VLOOKUP("*" &amp; B147  &amp; "*" &amp; (MID(CELL("filename",A146),FIND("]",CELL("filename",A146))+1,31)) &amp; "*",CHOOSE({1,2}, Super_CBSA!$B$2:$B$1917, Super_CBSA!$A$2:$A$1917), 2,FALSE), IFERROR(VLOOKUP(B147  &amp; " city",CHOOSE({1,2}, Super_CBSA!$E$2:$E$1917, Super_CBSA!$A$2:$A$1917), 2,FALSE), ""))</f>
        <v>38300</v>
      </c>
    </row>
    <row r="148" spans="1:7" ht="17">
      <c r="A148" s="1" t="s">
        <v>4579</v>
      </c>
      <c r="B148" s="2" t="s">
        <v>4580</v>
      </c>
      <c r="C148" s="2">
        <v>171</v>
      </c>
      <c r="D148" s="3">
        <v>4734</v>
      </c>
      <c r="E148" s="3">
        <v>19344</v>
      </c>
      <c r="F148" s="4">
        <v>431648</v>
      </c>
      <c r="G148" s="11" t="str" cm="1">
        <f t="array" aca="1" ref="G148" ca="1">IFERROR(VLOOKUP("*" &amp; B148  &amp; "*" &amp; (MID(CELL("filename",A147),FIND("]",CELL("filename",A147))+1,31)) &amp; "*",CHOOSE({1,2}, Super_CBSA!$B$2:$B$1917, Super_CBSA!$A$2:$A$1917), 2,FALSE), IFERROR(VLOOKUP(B148  &amp; " city",CHOOSE({1,2}, Super_CBSA!$E$2:$E$1917, Super_CBSA!$A$2:$A$1917), 2,FALSE), ""))</f>
        <v/>
      </c>
    </row>
    <row r="149" spans="1:7" ht="17">
      <c r="A149" s="1" t="s">
        <v>4581</v>
      </c>
      <c r="B149" s="2" t="s">
        <v>4582</v>
      </c>
      <c r="C149" s="2">
        <v>0</v>
      </c>
      <c r="D149" s="2">
        <v>0</v>
      </c>
      <c r="E149" s="2">
        <v>0</v>
      </c>
      <c r="F149" s="4">
        <v>0</v>
      </c>
      <c r="G149" s="11" t="str" cm="1">
        <f t="array" aca="1" ref="G149" ca="1">IFERROR(VLOOKUP("*" &amp; B149  &amp; "*" &amp; (MID(CELL("filename",A148),FIND("]",CELL("filename",A148))+1,31)) &amp; "*",CHOOSE({1,2}, Super_CBSA!$B$2:$B$1917, Super_CBSA!$A$2:$A$1917), 2,FALSE), IFERROR(VLOOKUP(B149  &amp; " city",CHOOSE({1,2}, Super_CBSA!$E$2:$E$1917, Super_CBSA!$A$2:$A$1917), 2,FALSE), ""))</f>
        <v/>
      </c>
    </row>
    <row r="150" spans="1:7" ht="17">
      <c r="A150" s="1" t="s">
        <v>4583</v>
      </c>
      <c r="B150" s="2" t="s">
        <v>4362</v>
      </c>
      <c r="C150" s="2">
        <v>389</v>
      </c>
      <c r="D150" s="3">
        <v>14924</v>
      </c>
      <c r="E150" s="3">
        <v>71902</v>
      </c>
      <c r="F150" s="4">
        <v>2134894</v>
      </c>
      <c r="G150" s="11" cm="1">
        <f t="array" aca="1" ref="G150" ca="1">IFERROR(VLOOKUP("*" &amp; B150  &amp; "*" &amp; (MID(CELL("filename",A149),FIND("]",CELL("filename",A149))+1,31)) &amp; "*",CHOOSE({1,2}, Super_CBSA!$B$2:$B$1917, Super_CBSA!$A$2:$A$1917), 2,FALSE), IFERROR(VLOOKUP(B150  &amp; " city",CHOOSE({1,2}, Super_CBSA!$E$2:$E$1917, Super_CBSA!$A$2:$A$1917), 2,FALSE), ""))</f>
        <v>38300</v>
      </c>
    </row>
    <row r="151" spans="1:7" ht="17">
      <c r="A151" s="1" t="s">
        <v>4584</v>
      </c>
      <c r="B151" s="2" t="s">
        <v>1886</v>
      </c>
      <c r="C151" s="2">
        <v>114</v>
      </c>
      <c r="D151" s="3">
        <v>4300</v>
      </c>
      <c r="E151" s="3">
        <v>22694</v>
      </c>
      <c r="F151" s="4">
        <v>89604</v>
      </c>
      <c r="G151" s="11" cm="1">
        <f t="array" aca="1" ref="G151" ca="1">IFERROR(VLOOKUP("*" &amp; B151  &amp; "*" &amp; (MID(CELL("filename",A150),FIND("]",CELL("filename",A150))+1,31)) &amp; "*",CHOOSE({1,2}, Super_CBSA!$B$2:$B$1917, Super_CBSA!$A$2:$A$1917), 2,FALSE), IFERROR(VLOOKUP(B151  &amp; " city",CHOOSE({1,2}, Super_CBSA!$E$2:$E$1917, Super_CBSA!$A$2:$A$1917), 2,FALSE), ""))</f>
        <v>25420</v>
      </c>
    </row>
    <row r="152" spans="1:7" ht="17">
      <c r="A152" s="1" t="s">
        <v>4585</v>
      </c>
      <c r="B152" s="2" t="s">
        <v>1886</v>
      </c>
      <c r="C152" s="2">
        <v>493</v>
      </c>
      <c r="D152" s="3">
        <v>35807</v>
      </c>
      <c r="E152" s="3">
        <v>163204</v>
      </c>
      <c r="F152" s="4">
        <v>2519167</v>
      </c>
      <c r="G152" s="11" cm="1">
        <f t="array" aca="1" ref="G152" ca="1">IFERROR(VLOOKUP("*" &amp; B152  &amp; "*" &amp; (MID(CELL("filename",A151),FIND("]",CELL("filename",A151))+1,31)) &amp; "*",CHOOSE({1,2}, Super_CBSA!$B$2:$B$1917, Super_CBSA!$A$2:$A$1917), 2,FALSE), IFERROR(VLOOKUP(B152  &amp; " city",CHOOSE({1,2}, Super_CBSA!$E$2:$E$1917, Super_CBSA!$A$2:$A$1917), 2,FALSE), ""))</f>
        <v>25420</v>
      </c>
    </row>
    <row r="153" spans="1:7" ht="17">
      <c r="A153" s="1" t="s">
        <v>4586</v>
      </c>
      <c r="B153" s="2" t="s">
        <v>4587</v>
      </c>
      <c r="C153" s="2">
        <v>0</v>
      </c>
      <c r="D153" s="2">
        <v>0</v>
      </c>
      <c r="E153" s="2">
        <v>0</v>
      </c>
      <c r="F153" s="4">
        <v>0</v>
      </c>
      <c r="G153" s="11" t="str" cm="1">
        <f t="array" aca="1" ref="G153" ca="1">IFERROR(VLOOKUP("*" &amp; B153  &amp; "*" &amp; (MID(CELL("filename",A152),FIND("]",CELL("filename",A152))+1,31)) &amp; "*",CHOOSE({1,2}, Super_CBSA!$B$2:$B$1917, Super_CBSA!$A$2:$A$1917), 2,FALSE), IFERROR(VLOOKUP(B153  &amp; " city",CHOOSE({1,2}, Super_CBSA!$E$2:$E$1917, Super_CBSA!$A$2:$A$1917), 2,FALSE), ""))</f>
        <v/>
      </c>
    </row>
    <row r="154" spans="1:7" ht="17">
      <c r="A154" s="1" t="s">
        <v>4588</v>
      </c>
      <c r="B154" s="2" t="s">
        <v>4362</v>
      </c>
      <c r="C154" s="3">
        <v>1484</v>
      </c>
      <c r="D154" s="3">
        <v>48307</v>
      </c>
      <c r="E154" s="3">
        <v>320488</v>
      </c>
      <c r="F154" s="4">
        <v>14502046</v>
      </c>
      <c r="G154" s="11" cm="1">
        <f t="array" aca="1" ref="G154" ca="1">IFERROR(VLOOKUP("*" &amp; B154  &amp; "*" &amp; (MID(CELL("filename",A153),FIND("]",CELL("filename",A153))+1,31)) &amp; "*",CHOOSE({1,2}, Super_CBSA!$B$2:$B$1917, Super_CBSA!$A$2:$A$1917), 2,FALSE), IFERROR(VLOOKUP(B154  &amp; " city",CHOOSE({1,2}, Super_CBSA!$E$2:$E$1917, Super_CBSA!$A$2:$A$1917), 2,FALSE), ""))</f>
        <v>38300</v>
      </c>
    </row>
    <row r="155" spans="1:7" ht="17">
      <c r="A155" s="1" t="s">
        <v>4589</v>
      </c>
      <c r="B155" s="2" t="s">
        <v>4362</v>
      </c>
      <c r="C155" s="2">
        <v>250</v>
      </c>
      <c r="D155" s="3">
        <v>9582</v>
      </c>
      <c r="E155" s="3">
        <v>41853</v>
      </c>
      <c r="F155" s="4">
        <v>1342057</v>
      </c>
      <c r="G155" s="11" cm="1">
        <f t="array" aca="1" ref="G155" ca="1">IFERROR(VLOOKUP("*" &amp; B155  &amp; "*" &amp; (MID(CELL("filename",A154),FIND("]",CELL("filename",A154))+1,31)) &amp; "*",CHOOSE({1,2}, Super_CBSA!$B$2:$B$1917, Super_CBSA!$A$2:$A$1917), 2,FALSE), IFERROR(VLOOKUP(B155  &amp; " city",CHOOSE({1,2}, Super_CBSA!$E$2:$E$1917, Super_CBSA!$A$2:$A$1917), 2,FALSE), ""))</f>
        <v>38300</v>
      </c>
    </row>
    <row r="156" spans="1:7" ht="17">
      <c r="A156" s="1" t="s">
        <v>4590</v>
      </c>
      <c r="B156" s="2" t="s">
        <v>4362</v>
      </c>
      <c r="C156" s="2">
        <v>433</v>
      </c>
      <c r="D156" s="3">
        <v>22192</v>
      </c>
      <c r="E156" s="3">
        <v>121785</v>
      </c>
      <c r="F156" s="4">
        <v>1375973</v>
      </c>
      <c r="G156" s="11" cm="1">
        <f t="array" aca="1" ref="G156" ca="1">IFERROR(VLOOKUP("*" &amp; B156  &amp; "*" &amp; (MID(CELL("filename",A155),FIND("]",CELL("filename",A155))+1,31)) &amp; "*",CHOOSE({1,2}, Super_CBSA!$B$2:$B$1917, Super_CBSA!$A$2:$A$1917), 2,FALSE), IFERROR(VLOOKUP(B156  &amp; " city",CHOOSE({1,2}, Super_CBSA!$E$2:$E$1917, Super_CBSA!$A$2:$A$1917), 2,FALSE), ""))</f>
        <v>38300</v>
      </c>
    </row>
    <row r="157" spans="1:7" ht="17">
      <c r="A157" s="1" t="s">
        <v>4591</v>
      </c>
      <c r="B157" s="2" t="s">
        <v>2299</v>
      </c>
      <c r="C157" s="2">
        <v>99</v>
      </c>
      <c r="D157" s="3">
        <v>1968</v>
      </c>
      <c r="E157" s="3">
        <v>7378</v>
      </c>
      <c r="F157" s="4">
        <v>246853</v>
      </c>
      <c r="G157" s="11" cm="1">
        <f t="array" aca="1" ref="G157" ca="1">IFERROR(VLOOKUP("*" &amp; B157  &amp; "*" &amp; (MID(CELL("filename",A156),FIND("]",CELL("filename",A156))+1,31)) &amp; "*",CHOOSE({1,2}, Super_CBSA!$B$2:$B$1917, Super_CBSA!$A$2:$A$1917), 2,FALSE), IFERROR(VLOOKUP(B157  &amp; " city",CHOOSE({1,2}, Super_CBSA!$E$2:$E$1917, Super_CBSA!$A$2:$A$1917), 2,FALSE), ""))</f>
        <v>43740</v>
      </c>
    </row>
    <row r="158" spans="1:7" ht="17">
      <c r="A158" s="1" t="s">
        <v>4592</v>
      </c>
      <c r="B158" s="2" t="s">
        <v>4593</v>
      </c>
      <c r="C158" s="2">
        <v>137</v>
      </c>
      <c r="D158" s="2">
        <v>819</v>
      </c>
      <c r="E158" s="3">
        <v>2836</v>
      </c>
      <c r="F158" s="4">
        <v>209880</v>
      </c>
      <c r="G158" s="11" cm="1">
        <f t="array" aca="1" ref="G158" ca="1">IFERROR(VLOOKUP("*" &amp; B158  &amp; "*" &amp; (MID(CELL("filename",A157),FIND("]",CELL("filename",A157))+1,31)) &amp; "*",CHOOSE({1,2}, Super_CBSA!$B$2:$B$1917, Super_CBSA!$A$2:$A$1917), 2,FALSE), IFERROR(VLOOKUP(B158  &amp; " city",CHOOSE({1,2}, Super_CBSA!$E$2:$E$1917, Super_CBSA!$A$2:$A$1917), 2,FALSE), ""))</f>
        <v>30820</v>
      </c>
    </row>
    <row r="159" spans="1:7" ht="17">
      <c r="A159" s="1" t="s">
        <v>4594</v>
      </c>
      <c r="B159" s="2" t="s">
        <v>4595</v>
      </c>
      <c r="C159" s="2">
        <v>255</v>
      </c>
      <c r="D159" s="3">
        <v>10654</v>
      </c>
      <c r="E159" s="3">
        <v>49709</v>
      </c>
      <c r="F159" s="4">
        <v>1370723</v>
      </c>
      <c r="G159" s="11" cm="1">
        <f t="array" aca="1" ref="G159" ca="1">IFERROR(VLOOKUP("*" &amp; B159  &amp; "*" &amp; (MID(CELL("filename",A158),FIND("]",CELL("filename",A158))+1,31)) &amp; "*",CHOOSE({1,2}, Super_CBSA!$B$2:$B$1917, Super_CBSA!$A$2:$A$1917), 2,FALSE), IFERROR(VLOOKUP(B159  &amp; " city",CHOOSE({1,2}, Super_CBSA!$E$2:$E$1917, Super_CBSA!$A$2:$A$1917), 2,FALSE), ""))</f>
        <v>48700</v>
      </c>
    </row>
    <row r="160" spans="1:7" ht="17">
      <c r="A160" s="1" t="s">
        <v>4596</v>
      </c>
      <c r="B160" s="2" t="s">
        <v>3001</v>
      </c>
      <c r="C160" s="2">
        <v>0</v>
      </c>
      <c r="D160" s="2">
        <v>0</v>
      </c>
      <c r="E160" s="2">
        <v>0</v>
      </c>
      <c r="F160" s="4">
        <v>0</v>
      </c>
      <c r="G160" s="11" t="str" cm="1">
        <f t="array" aca="1" ref="G160" ca="1">IFERROR(VLOOKUP("*" &amp; B160  &amp; "*" &amp; (MID(CELL("filename",A159),FIND("]",CELL("filename",A159))+1,31)) &amp; "*",CHOOSE({1,2}, Super_CBSA!$B$2:$B$1917, Super_CBSA!$A$2:$A$1917), 2,FALSE), IFERROR(VLOOKUP(B160  &amp; " city",CHOOSE({1,2}, Super_CBSA!$E$2:$E$1917, Super_CBSA!$A$2:$A$1917), 2,FALSE), ""))</f>
        <v/>
      </c>
    </row>
    <row r="161" spans="1:7" ht="17">
      <c r="A161" s="1" t="s">
        <v>4597</v>
      </c>
      <c r="B161" s="2" t="s">
        <v>4362</v>
      </c>
      <c r="C161" s="2">
        <v>0</v>
      </c>
      <c r="D161" s="2">
        <v>0</v>
      </c>
      <c r="E161" s="2">
        <v>0</v>
      </c>
      <c r="F161" s="4">
        <v>0</v>
      </c>
      <c r="G161" s="11" cm="1">
        <f t="array" aca="1" ref="G161" ca="1">IFERROR(VLOOKUP("*" &amp; B161  &amp; "*" &amp; (MID(CELL("filename",A160),FIND("]",CELL("filename",A160))+1,31)) &amp; "*",CHOOSE({1,2}, Super_CBSA!$B$2:$B$1917, Super_CBSA!$A$2:$A$1917), 2,FALSE), IFERROR(VLOOKUP(B161  &amp; " city",CHOOSE({1,2}, Super_CBSA!$E$2:$E$1917, Super_CBSA!$A$2:$A$1917), 2,FALSE), ""))</f>
        <v>38300</v>
      </c>
    </row>
    <row r="162" spans="1:7" ht="17">
      <c r="A162" s="1" t="s">
        <v>4598</v>
      </c>
      <c r="B162" s="2" t="s">
        <v>4599</v>
      </c>
      <c r="C162" s="2">
        <v>50</v>
      </c>
      <c r="D162" s="3">
        <v>1170</v>
      </c>
      <c r="E162" s="3">
        <v>12573</v>
      </c>
      <c r="F162" s="4">
        <v>37622</v>
      </c>
      <c r="G162" s="11" t="str" cm="1">
        <f t="array" aca="1" ref="G162" ca="1">IFERROR(VLOOKUP("*" &amp; B162  &amp; "*" &amp; (MID(CELL("filename",A161),FIND("]",CELL("filename",A161))+1,31)) &amp; "*",CHOOSE({1,2}, Super_CBSA!$B$2:$B$1917, Super_CBSA!$A$2:$A$1917), 2,FALSE), IFERROR(VLOOKUP(B162  &amp; " city",CHOOSE({1,2}, Super_CBSA!$E$2:$E$1917, Super_CBSA!$A$2:$A$1917), 2,FALSE), ""))</f>
        <v/>
      </c>
    </row>
    <row r="163" spans="1:7" ht="17">
      <c r="A163" s="1" t="s">
        <v>4600</v>
      </c>
      <c r="B163" s="2" t="s">
        <v>2745</v>
      </c>
      <c r="C163" s="2">
        <v>85</v>
      </c>
      <c r="D163" s="3">
        <v>2306</v>
      </c>
      <c r="E163" s="3">
        <v>10071</v>
      </c>
      <c r="F163" s="4">
        <v>217783</v>
      </c>
      <c r="G163" s="11" cm="1">
        <f t="array" aca="1" ref="G163" ca="1">IFERROR(VLOOKUP("*" &amp; B163  &amp; "*" &amp; (MID(CELL("filename",A162),FIND("]",CELL("filename",A162))+1,31)) &amp; "*",CHOOSE({1,2}, Super_CBSA!$B$2:$B$1917, Super_CBSA!$A$2:$A$1917), 2,FALSE), IFERROR(VLOOKUP(B163  &amp; " city",CHOOSE({1,2}, Super_CBSA!$E$2:$E$1917, Super_CBSA!$A$2:$A$1917), 2,FALSE), ""))</f>
        <v>47620</v>
      </c>
    </row>
    <row r="164" spans="1:7" ht="17">
      <c r="A164" s="1" t="s">
        <v>4601</v>
      </c>
      <c r="B164" s="2" t="s">
        <v>4602</v>
      </c>
      <c r="C164" s="2">
        <v>23</v>
      </c>
      <c r="D164" s="2">
        <v>681</v>
      </c>
      <c r="E164" s="3">
        <v>2065</v>
      </c>
      <c r="F164" s="4">
        <v>71337</v>
      </c>
      <c r="G164" s="11" t="str" cm="1">
        <f t="array" aca="1" ref="G164" ca="1">IFERROR(VLOOKUP("*" &amp; B164  &amp; "*" &amp; (MID(CELL("filename",A163),FIND("]",CELL("filename",A163))+1,31)) &amp; "*",CHOOSE({1,2}, Super_CBSA!$B$2:$B$1917, Super_CBSA!$A$2:$A$1917), 2,FALSE), IFERROR(VLOOKUP(B164  &amp; " city",CHOOSE({1,2}, Super_CBSA!$E$2:$E$1917, Super_CBSA!$A$2:$A$1917), 2,FALSE), ""))</f>
        <v/>
      </c>
    </row>
    <row r="165" spans="1:7" ht="17">
      <c r="A165" s="1" t="s">
        <v>970</v>
      </c>
      <c r="B165" s="2" t="s">
        <v>1134</v>
      </c>
      <c r="C165" s="2">
        <v>251</v>
      </c>
      <c r="D165" s="3">
        <v>8921</v>
      </c>
      <c r="E165" s="3">
        <v>35904</v>
      </c>
      <c r="F165" s="4">
        <v>587824</v>
      </c>
      <c r="G165" s="11" t="str" cm="1">
        <f t="array" aca="1" ref="G165" ca="1">IFERROR(VLOOKUP("*" &amp; B165  &amp; "*" &amp; (MID(CELL("filename",A164),FIND("]",CELL("filename",A164))+1,31)) &amp; "*",CHOOSE({1,2}, Super_CBSA!$B$2:$B$1917, Super_CBSA!$A$2:$A$1917), 2,FALSE), IFERROR(VLOOKUP(B165  &amp; " city",CHOOSE({1,2}, Super_CBSA!$E$2:$E$1917, Super_CBSA!$A$2:$A$1917), 2,FALSE), ""))</f>
        <v/>
      </c>
    </row>
    <row r="166" spans="1:7" ht="17">
      <c r="A166" s="1" t="s">
        <v>1662</v>
      </c>
      <c r="B166" s="2" t="s">
        <v>4603</v>
      </c>
      <c r="C166" s="2">
        <v>90</v>
      </c>
      <c r="D166" s="3">
        <v>3568</v>
      </c>
      <c r="E166" s="3">
        <v>9916</v>
      </c>
      <c r="F166" s="4">
        <v>355612</v>
      </c>
      <c r="G166" s="11" t="str" cm="1">
        <f t="array" aca="1" ref="G166" ca="1">IFERROR(VLOOKUP("*" &amp; B166  &amp; "*" &amp; (MID(CELL("filename",A165),FIND("]",CELL("filename",A165))+1,31)) &amp; "*",CHOOSE({1,2}, Super_CBSA!$B$2:$B$1917, Super_CBSA!$A$2:$A$1917), 2,FALSE), IFERROR(VLOOKUP(B166  &amp; " city",CHOOSE({1,2}, Super_CBSA!$E$2:$E$1917, Super_CBSA!$A$2:$A$1917), 2,FALSE), ""))</f>
        <v/>
      </c>
    </row>
    <row r="167" spans="1:7" ht="17">
      <c r="A167" s="1" t="s">
        <v>4604</v>
      </c>
      <c r="B167" s="2" t="s">
        <v>4605</v>
      </c>
      <c r="C167" s="2">
        <v>285</v>
      </c>
      <c r="D167" s="3">
        <v>9362</v>
      </c>
      <c r="E167" s="3">
        <v>33814</v>
      </c>
      <c r="F167" s="4">
        <v>934727</v>
      </c>
      <c r="G167" s="11" cm="1">
        <f t="array" aca="1" ref="G167" ca="1">IFERROR(VLOOKUP("*" &amp; B167  &amp; "*" &amp; (MID(CELL("filename",A166),FIND("]",CELL("filename",A166))+1,31)) &amp; "*",CHOOSE({1,2}, Super_CBSA!$B$2:$B$1917, Super_CBSA!$A$2:$A$1917), 2,FALSE), IFERROR(VLOOKUP(B167  &amp; " city",CHOOSE({1,2}, Super_CBSA!$E$2:$E$1917, Super_CBSA!$A$2:$A$1917), 2,FALSE), ""))</f>
        <v>16540</v>
      </c>
    </row>
    <row r="168" spans="1:7" ht="17">
      <c r="A168" s="1" t="s">
        <v>4606</v>
      </c>
      <c r="B168" s="2" t="s">
        <v>4607</v>
      </c>
      <c r="C168" s="2">
        <v>141</v>
      </c>
      <c r="D168" s="3">
        <v>6009</v>
      </c>
      <c r="E168" s="3">
        <v>22347</v>
      </c>
      <c r="F168" s="4">
        <v>772366</v>
      </c>
      <c r="G168" s="11" t="str" cm="1">
        <f t="array" aca="1" ref="G168" ca="1">IFERROR(VLOOKUP("*" &amp; B168  &amp; "*" &amp; (MID(CELL("filename",A167),FIND("]",CELL("filename",A167))+1,31)) &amp; "*",CHOOSE({1,2}, Super_CBSA!$B$2:$B$1917, Super_CBSA!$A$2:$A$1917), 2,FALSE), IFERROR(VLOOKUP(B168  &amp; " city",CHOOSE({1,2}, Super_CBSA!$E$2:$E$1917, Super_CBSA!$A$2:$A$1917), 2,FALSE), ""))</f>
        <v/>
      </c>
    </row>
    <row r="169" spans="1:7" ht="17">
      <c r="A169" s="1" t="s">
        <v>4608</v>
      </c>
      <c r="B169" s="2" t="s">
        <v>4609</v>
      </c>
      <c r="C169" s="2">
        <v>76</v>
      </c>
      <c r="D169" s="3">
        <v>4552</v>
      </c>
      <c r="E169" s="3">
        <v>17114</v>
      </c>
      <c r="F169" s="4">
        <v>575960</v>
      </c>
      <c r="G169" s="11" cm="1">
        <f t="array" aca="1" ref="G169" ca="1">IFERROR(VLOOKUP("*" &amp; B169  &amp; "*" &amp; (MID(CELL("filename",A168),FIND("]",CELL("filename",A168))+1,31)) &amp; "*",CHOOSE({1,2}, Super_CBSA!$B$2:$B$1917, Super_CBSA!$A$2:$A$1917), 2,FALSE), IFERROR(VLOOKUP(B169  &amp; " city",CHOOSE({1,2}, Super_CBSA!$E$2:$E$1917, Super_CBSA!$A$2:$A$1917), 2,FALSE), ""))</f>
        <v>23900</v>
      </c>
    </row>
    <row r="170" spans="1:7" ht="17">
      <c r="A170" s="1" t="s">
        <v>4610</v>
      </c>
      <c r="B170" s="2" t="s">
        <v>2162</v>
      </c>
      <c r="C170" s="2">
        <v>159</v>
      </c>
      <c r="D170" s="3">
        <v>7751</v>
      </c>
      <c r="E170" s="3">
        <v>30093</v>
      </c>
      <c r="F170" s="4">
        <v>749967</v>
      </c>
      <c r="G170" s="11" cm="1">
        <f t="array" aca="1" ref="G170" ca="1">IFERROR(VLOOKUP("*" &amp; B170  &amp; "*" &amp; (MID(CELL("filename",A169),FIND("]",CELL("filename",A169))+1,31)) &amp; "*",CHOOSE({1,2}, Super_CBSA!$B$2:$B$1917, Super_CBSA!$A$2:$A$1917), 2,FALSE), IFERROR(VLOOKUP(B170  &amp; " city",CHOOSE({1,2}, Super_CBSA!$E$2:$E$1917, Super_CBSA!$A$2:$A$1917), 2,FALSE), ""))</f>
        <v>30140</v>
      </c>
    </row>
    <row r="171" spans="1:7" ht="17">
      <c r="A171" s="1" t="s">
        <v>4611</v>
      </c>
      <c r="B171" s="2" t="s">
        <v>152</v>
      </c>
      <c r="C171" s="2">
        <v>73</v>
      </c>
      <c r="D171" s="2">
        <v>693</v>
      </c>
      <c r="E171" s="3">
        <v>1600</v>
      </c>
      <c r="F171" s="4">
        <v>181401</v>
      </c>
      <c r="G171" s="11" cm="1">
        <f t="array" aca="1" ref="G171" ca="1">IFERROR(VLOOKUP("*" &amp; B171  &amp; "*" &amp; (MID(CELL("filename",A170),FIND("]",CELL("filename",A170))+1,31)) &amp; "*",CHOOSE({1,2}, Super_CBSA!$B$2:$B$1917, Super_CBSA!$A$2:$A$1917), 2,FALSE), IFERROR(VLOOKUP(B171  &amp; " city",CHOOSE({1,2}, Super_CBSA!$E$2:$E$1917, Super_CBSA!$A$2:$A$1917), 2,FALSE), ""))</f>
        <v>35620</v>
      </c>
    </row>
    <row r="172" spans="1:7" ht="17">
      <c r="A172" s="1" t="s">
        <v>4612</v>
      </c>
      <c r="B172" s="2" t="s">
        <v>1507</v>
      </c>
      <c r="C172" s="2">
        <v>57</v>
      </c>
      <c r="D172" s="3">
        <v>2301</v>
      </c>
      <c r="E172" s="3">
        <v>7725</v>
      </c>
      <c r="F172" s="4">
        <v>209727</v>
      </c>
      <c r="G172" s="11" cm="1">
        <f t="array" aca="1" ref="G172" ca="1">IFERROR(VLOOKUP("*" &amp; B172  &amp; "*" &amp; (MID(CELL("filename",A171),FIND("]",CELL("filename",A171))+1,31)) &amp; "*",CHOOSE({1,2}, Super_CBSA!$B$2:$B$1917, Super_CBSA!$A$2:$A$1917), 2,FALSE), IFERROR(VLOOKUP(B172  &amp; " city",CHOOSE({1,2}, Super_CBSA!$E$2:$E$1917, Super_CBSA!$A$2:$A$1917), 2,FALSE), ""))</f>
        <v>16540</v>
      </c>
    </row>
    <row r="173" spans="1:7" ht="17">
      <c r="A173" s="1" t="s">
        <v>4613</v>
      </c>
      <c r="B173" s="2" t="s">
        <v>152</v>
      </c>
      <c r="C173" s="2">
        <v>585</v>
      </c>
      <c r="D173" s="3">
        <v>27115</v>
      </c>
      <c r="E173" s="3">
        <v>150917</v>
      </c>
      <c r="F173" s="4">
        <v>2812732</v>
      </c>
      <c r="G173" s="11" cm="1">
        <f t="array" aca="1" ref="G173" ca="1">IFERROR(VLOOKUP("*" &amp; B173  &amp; "*" &amp; (MID(CELL("filename",A172),FIND("]",CELL("filename",A172))+1,31)) &amp; "*",CHOOSE({1,2}, Super_CBSA!$B$2:$B$1917, Super_CBSA!$A$2:$A$1917), 2,FALSE), IFERROR(VLOOKUP(B173  &amp; " city",CHOOSE({1,2}, Super_CBSA!$E$2:$E$1917, Super_CBSA!$A$2:$A$1917), 2,FALSE), ""))</f>
        <v>35620</v>
      </c>
    </row>
    <row r="174" spans="1:7" ht="17">
      <c r="A174" s="1" t="s">
        <v>4614</v>
      </c>
      <c r="B174" s="2" t="s">
        <v>4362</v>
      </c>
      <c r="C174" s="2">
        <v>293</v>
      </c>
      <c r="D174" s="3">
        <v>13445</v>
      </c>
      <c r="E174" s="3">
        <v>75030</v>
      </c>
      <c r="F174" s="4">
        <v>1812984</v>
      </c>
      <c r="G174" s="11" cm="1">
        <f t="array" aca="1" ref="G174" ca="1">IFERROR(VLOOKUP("*" &amp; B174  &amp; "*" &amp; (MID(CELL("filename",A173),FIND("]",CELL("filename",A173))+1,31)) &amp; "*",CHOOSE({1,2}, Super_CBSA!$B$2:$B$1917, Super_CBSA!$A$2:$A$1917), 2,FALSE), IFERROR(VLOOKUP(B174  &amp; " city",CHOOSE({1,2}, Super_CBSA!$E$2:$E$1917, Super_CBSA!$A$2:$A$1917), 2,FALSE), ""))</f>
        <v>38300</v>
      </c>
    </row>
    <row r="175" spans="1:7" ht="17">
      <c r="A175" s="1" t="s">
        <v>4615</v>
      </c>
      <c r="B175" s="2" t="s">
        <v>4438</v>
      </c>
      <c r="C175" s="2">
        <v>277</v>
      </c>
      <c r="D175" s="3">
        <v>11515</v>
      </c>
      <c r="E175" s="3">
        <v>56113</v>
      </c>
      <c r="F175" s="4">
        <v>2207628</v>
      </c>
      <c r="G175" s="11" cm="1">
        <f t="array" aca="1" ref="G175" ca="1">IFERROR(VLOOKUP("*" &amp; B175  &amp; "*" &amp; (MID(CELL("filename",A174),FIND("]",CELL("filename",A174))+1,31)) &amp; "*",CHOOSE({1,2}, Super_CBSA!$B$2:$B$1917, Super_CBSA!$A$2:$A$1917), 2,FALSE), IFERROR(VLOOKUP(B175  &amp; " city",CHOOSE({1,2}, Super_CBSA!$E$2:$E$1917, Super_CBSA!$A$2:$A$1917), 2,FALSE), ""))</f>
        <v>42540</v>
      </c>
    </row>
    <row r="176" spans="1:7" ht="17">
      <c r="A176" s="1" t="s">
        <v>4616</v>
      </c>
      <c r="B176" s="2" t="s">
        <v>4438</v>
      </c>
      <c r="C176" s="2">
        <v>0</v>
      </c>
      <c r="D176" s="2">
        <v>0</v>
      </c>
      <c r="E176" s="2">
        <v>0</v>
      </c>
      <c r="F176" s="4">
        <v>0</v>
      </c>
      <c r="G176" s="11" cm="1">
        <f t="array" aca="1" ref="G176" ca="1">IFERROR(VLOOKUP("*" &amp; B176  &amp; "*" &amp; (MID(CELL("filename",A175),FIND("]",CELL("filename",A175))+1,31)) &amp; "*",CHOOSE({1,2}, Super_CBSA!$B$2:$B$1917, Super_CBSA!$A$2:$A$1917), 2,FALSE), IFERROR(VLOOKUP(B176  &amp; " city",CHOOSE({1,2}, Super_CBSA!$E$2:$E$1917, Super_CBSA!$A$2:$A$1917), 2,FALSE), ""))</f>
        <v>42540</v>
      </c>
    </row>
    <row r="177" spans="1:7" ht="17">
      <c r="A177" s="1" t="s">
        <v>4617</v>
      </c>
      <c r="B177" s="2" t="s">
        <v>3132</v>
      </c>
      <c r="C177" s="2">
        <v>4</v>
      </c>
      <c r="D177" s="2">
        <v>297</v>
      </c>
      <c r="E177" s="2">
        <v>766</v>
      </c>
      <c r="F177" s="4">
        <v>120673</v>
      </c>
      <c r="G177" s="11" cm="1">
        <f t="array" aca="1" ref="G177" ca="1">IFERROR(VLOOKUP("*" &amp; B177  &amp; "*" &amp; (MID(CELL("filename",A176),FIND("]",CELL("filename",A176))+1,31)) &amp; "*",CHOOSE({1,2}, Super_CBSA!$B$2:$B$1917, Super_CBSA!$A$2:$A$1917), 2,FALSE), IFERROR(VLOOKUP(B177  &amp; " city",CHOOSE({1,2}, Super_CBSA!$E$2:$E$1917, Super_CBSA!$A$2:$A$1917), 2,FALSE), ""))</f>
        <v>37980</v>
      </c>
    </row>
    <row r="178" spans="1:7" ht="17">
      <c r="A178" s="2" t="s">
        <v>56</v>
      </c>
      <c r="B178" s="2"/>
      <c r="C178" s="3">
        <v>34815</v>
      </c>
      <c r="D178" s="3">
        <v>1448049</v>
      </c>
      <c r="E178" s="3">
        <v>6779096</v>
      </c>
      <c r="F178" s="4">
        <v>209017774</v>
      </c>
    </row>
  </sheetData>
  <hyperlinks>
    <hyperlink ref="A2" r:id="rId1" display="https://www.ahd.com/free_profile/390179/_Chester_County_Hospital/West_Chester/Pennsylvania/" xr:uid="{70A3DCB6-9140-3740-A7D4-1C2AE789D392}"/>
    <hyperlink ref="A3" r:id="rId2" display="https://www.ahd.com/free_profile/390044/_Reading_Hospital_/West_Reading/Pennsylvania/" xr:uid="{BD856918-3450-7D47-98BB-93130C885FE2}"/>
    <hyperlink ref="A4" r:id="rId3" display="https://www.ahd.com/free_profile/390063/_UPMC_Hamot/Erie/Pennsylvania/" xr:uid="{C6E50525-1257-AF47-B7B8-16ECFA3080DB}"/>
    <hyperlink ref="A5" r:id="rId4" display="https://www.ahd.com/free_profile/390068/_UPMC_Lititz/Lititz/Pennsylvania/" xr:uid="{17B0928B-E7D4-E240-ADC6-F23BE8AE0301}"/>
    <hyperlink ref="A6" r:id="rId5" display="https://www.ahd.com/free_profile/390114/_UPMC_Magee-Womens_Hospital_/Pittsburgh/Pennsylvania/" xr:uid="{14B9320D-0CCE-514C-B30E-90DA924E938E}"/>
    <hyperlink ref="A7" r:id="rId6" display="https://www.ahd.com/free_profile/I42143/_VA_Pittsburgh_Healthcare_System_-_HJ_Heinz_Campus/Pittsburgh/Pennsylvania/" xr:uid="{F7BFFBAF-FFBB-DA41-B9EE-63434A0F05B7}"/>
    <hyperlink ref="A8" r:id="rId7" display="https://www.ahd.com/free_profile/390012/Abington_-_Lansdale_Hospital/Lansdale/Pennsylvania/" xr:uid="{AC2FB6FE-B51B-4C4B-B48D-C819D02C36B6}"/>
    <hyperlink ref="A9" r:id="rId8" display="https://www.ahd.com/free_profile/390231/Abington_Hospital__-_Jefferson_Health/Abington/Pennsylvania/" xr:uid="{E5BA3F03-82FD-7B46-AE24-A742A087F87A}"/>
    <hyperlink ref="A10" r:id="rId9" display="https://www.ahd.com/free_profile/390323/Advanced_Surgical_Hospital/Washington/Pennsylvania/" xr:uid="{A29F58B7-52FD-7D41-A8F7-ADFB5559A482}"/>
    <hyperlink ref="A11" r:id="rId10" display="https://www.ahd.com/free_profile/390266/AHN_Grove_City/Grove_City/Pennsylvania/" xr:uid="{C58806A4-310E-DC44-9636-3E098F7977B2}"/>
    <hyperlink ref="A12" r:id="rId11" display="https://www.ahd.com/free_profile/390050/Allegheny_General_Hospital/Pittsburgh/Pennsylvania/" xr:uid="{581B8170-8F52-D64E-A7F2-0C857B29F7CF}"/>
    <hyperlink ref="A13" r:id="rId12" display="https://www.ahd.com/free_profile/390032/Allegheny_Valley_Hospital/Natrona_Heights/Pennsylvania/" xr:uid="{DE1C80B3-55F7-F14E-8273-EE23E6152308}"/>
    <hyperlink ref="A14" r:id="rId13" display="https://www.ahd.com/free_profile/390163/Armstrong_County_Memorial_Hospital/Kittanning/Pennsylvania/" xr:uid="{7B4DFF3C-5041-8848-9216-56C1C86BA2E3}"/>
    <hyperlink ref="A15" r:id="rId14" display="https://www.ahd.com/free_profile/390072/Berwick_Hospital_Center/Berwick/Pennsylvania/" xr:uid="{428494E8-B1B6-6B4D-9835-17241C113526}"/>
    <hyperlink ref="A16" r:id="rId15" display="https://www.ahd.com/free_profile/390118/Bradford_Regional_Medical_Center/Bradford/Pennsylvania/" xr:uid="{72FD25A4-52DB-354E-9134-89931A52AE85}"/>
    <hyperlink ref="A17" r:id="rId16" display="https://www.ahd.com/free_profile/390076/Brandywine_Hospital/Coatesville/Pennsylvania/" xr:uid="{1D45395B-9973-EC4C-82D5-326045645616}"/>
    <hyperlink ref="A18" r:id="rId17" display="https://www.ahd.com/free_profile/390139/Bryn_Mawr_Hospital/Bryn_Mawr/Pennsylvania/" xr:uid="{8124266F-59A5-EF43-BB89-3FC0083EA154}"/>
    <hyperlink ref="A19" r:id="rId18" display="https://www.ahd.com/free_profile/390168/Butler_Memorial_Hospital/Butler/Pennsylvania/" xr:uid="{B79CB7A9-A3EC-6743-820C-81646968033A}"/>
    <hyperlink ref="A20" r:id="rId19" display="https://www.ahd.com/free_profile/390312/Cancer_Treatment_Centers_of_America_Philadelphia/Philadelphia/Pennsylvania/" xr:uid="{E25A34DA-E6EC-1A40-912A-BDC2E1053CCB}"/>
    <hyperlink ref="A21" r:id="rId20" display="https://www.ahd.com/free_profile/390160/Canonsburg__Hospital/Canonsburg/Pennsylvania/" xr:uid="{8A941086-B7E1-9C47-BD22-DB8D0251F144}"/>
    <hyperlink ref="A22" r:id="rId21" display="https://www.ahd.com/free_profile/390112/Chan_Soon-Shiong_Medical_Center_at_Windber/Windber/Pennsylvania/" xr:uid="{1D5E62D5-66EE-634C-AB98-19398F5DE057}"/>
    <hyperlink ref="A23" r:id="rId22" display="https://www.ahd.com/free_profile/390026/Chestnut_Hill_Hospital/Philadelphia/Pennsylvania/" xr:uid="{7A4A4228-070C-3448-9239-B16AEE5DDB55}"/>
    <hyperlink ref="A24" r:id="rId23" display="https://www.ahd.com/free_profile/390093/Clarion_Hospital/Clarion/Pennsylvania/" xr:uid="{046EDC6D-543E-B546-8AA8-57A888478AC0}"/>
    <hyperlink ref="A25" r:id="rId24" display="https://www.ahd.com/free_profile/390011/Conemaugh_Memorial_Medical_Center_-_Lee_Campus/Johnstown/Pennsylvania/" xr:uid="{0049DC85-529F-5B4C-95B7-570911473247}"/>
    <hyperlink ref="A26" r:id="rId25" display="https://www.ahd.com/free_profile/390110/Conemaugh_Memorial_Medical_Center_-_Main_Campus/Johnstown/Pennsylvania/" xr:uid="{EB2593CC-5ACD-D448-B50E-D884877C8C9B}"/>
    <hyperlink ref="A27" r:id="rId26" display="https://www.ahd.com/free_profile/390130/Conemaugh_Miners_Medical_Center/Hastings/Pennsylvania/" xr:uid="{509E9D36-3496-6E4B-9A0D-E3599FCBAEA8}"/>
    <hyperlink ref="A28" r:id="rId27" display="https://www.ahd.com/free_profile/390062/Conemaugh_Nason_Medical_Center/Roaring_Spring/Pennsylvania/" xr:uid="{2692974B-DA24-324B-A979-70C4972CEFF3}"/>
    <hyperlink ref="A29" r:id="rId28" display="https://www.ahd.com/free_profile/390314/Coordinated_Health_Bethlehem_Hospital_/Bethlehem/Pennsylvania/" xr:uid="{2ECDBF2A-FED5-C149-B7F1-CDD681015865}"/>
    <hyperlink ref="A30" r:id="rId29" display="https://www.ahd.com/free_profile/390321/Coordinated_Health_Hospital_of_Allentown/Allentown/Pennsylvania/" xr:uid="{B54CA2F1-413F-F340-AB72-CEC9B0869039}"/>
    <hyperlink ref="A31" r:id="rId30" display="https://www.ahd.com/free_profile/39009F/Corporal_Michael_JCrescenz_VAMC/Philadelphia/Pennsylvania/" xr:uid="{555604B9-988B-0B4D-9C67-7ACEBE950FC4}"/>
    <hyperlink ref="A32" r:id="rId31" display="https://www.ahd.com/free_profile/390180/Crozer-Chester_Medical_Center/Upland/Pennsylvania/" xr:uid="{7355D4C1-E7CF-2E4D-A94B-0A5C144C96D5}"/>
    <hyperlink ref="A33" r:id="rId32" display="https://www.ahd.com/free_profile/390081/Delaware_County_Memorial_Hospital/Drexel_Hill/Pennsylvania/" xr:uid="{60298439-5510-7746-8662-83DA54F20F7F}"/>
    <hyperlink ref="A34" r:id="rId33" display="https://www.ahd.com/free_profile/390203/Doylestown_Hospital/Doylestown/Pennsylvania/" xr:uid="{41B9C3AA-FA42-644C-961E-2FD351CFB0C9}"/>
    <hyperlink ref="A35" r:id="rId34" display="https://www.ahd.com/free_profile/390278/Eagleville_Hospital/Eagleville/Pennsylvania/" xr:uid="{89DC9059-55F5-D843-BA44-318EAA0B25B8}"/>
    <hyperlink ref="A36" r:id="rId35" display="https://www.ahd.com/free_profile/390307/Edgewood_Surgical_Hospital/Transfer/Pennsylvania/" xr:uid="{23210685-FE3E-4744-981E-D8387A7B520E}"/>
    <hyperlink ref="A37" r:id="rId36" display="https://www.ahd.com/free_profile/390289/Einstein_Medical_Center_Elkins_Park/Elkins_Park/Pennsylvania/" xr:uid="{AEC451B6-97DB-924D-B193-22D55C22C4AB}"/>
    <hyperlink ref="A38" r:id="rId37" display="https://www.ahd.com/free_profile/390329/Einstein_Medical_Center_Montgomery/East_Norriton/Pennsylvania/" xr:uid="{140B4AEB-985D-4941-971D-B0C6E367CA85}"/>
    <hyperlink ref="A39" r:id="rId38" display="https://www.ahd.com/free_profile/390142/Einstein_Medical_Center_Philadelphia/Philadelphia/Pennsylvania/" xr:uid="{67169328-98A6-D243-A1A4-4A4F5E059C02}"/>
    <hyperlink ref="A40" r:id="rId39" display="https://www.ahd.com/free_profile/39005F/Erie_VA_Medical_Center/Erie/Pennsylvania/" xr:uid="{F44796F5-2710-FA4E-BBF2-1D52C57CF29B}"/>
    <hyperlink ref="A41" r:id="rId40" display="https://www.ahd.com/free_profile/390013/Evangelical_Community_Hospital/Lewisburg/Pennsylvania/" xr:uid="{3E2331BA-9BBB-534A-806D-FB20521574D4}"/>
    <hyperlink ref="A42" r:id="rId41" display="https://www.ahd.com/free_profile/390217/Excela_Frick_Hospital/Mount_Pleasant/Pennsylvania/" xr:uid="{45346F77-A643-574E-8293-2C1F7A2F1104}"/>
    <hyperlink ref="A43" r:id="rId42" display="https://www.ahd.com/free_profile/390219/Excela_Latrobe_Hospital/Latrobe/Pennsylvania/" xr:uid="{C5137ED7-2D1C-714C-AA30-B94DDAA5A554}"/>
    <hyperlink ref="A44" r:id="rId43" display="https://www.ahd.com/free_profile/390145/Excela_Westmoreland_Hospital/Greensburg/Pennsylvania/" xr:uid="{0F2E250E-B3FA-A64B-914D-81BB68478671}"/>
    <hyperlink ref="A45" r:id="rId44" display="https://www.ahd.com/free_profile/390267/Forbes_Hospital_/Monroeville/Pennsylvania/" xr:uid="{07EE6B2D-B86C-BE40-8E92-3A3C72893674}"/>
    <hyperlink ref="A46" r:id="rId45" display="https://www.ahd.com/free_profile/390196/Fox_Chase_Cancer_Center/Philadelphia/Pennsylvania/" xr:uid="{19136B22-201D-E940-A53A-BBB907F6B367}"/>
    <hyperlink ref="A47" r:id="rId46" display="https://www.ahd.com/free_profile/390003/Geisinger_Bloomsburg_Hospital/Bloomsburg/Pennsylvania/" xr:uid="{66E86B4B-FC69-4F43-B99B-32CBA838481F}"/>
    <hyperlink ref="A48" r:id="rId47" display="https://www.ahd.com/free_profile/390004/Geisinger_Holy_Spirit/Camp_Hill/Pennsylvania/" xr:uid="{40F7A783-6137-5B40-A50F-AD5844B21692}"/>
    <hyperlink ref="A49" r:id="rId48" display="https://www.ahd.com/free_profile/I42244/Geisinger_Janet_Weis_Children%27s_Hospital_/Danville/Pennsylvania/" xr:uid="{F2E40E0C-7B3E-2044-8DD8-3880BA26206C}"/>
    <hyperlink ref="A50" r:id="rId49" display="https://www.ahd.com/free_profile/390048/Geisinger_Lewistown_Hospital/Lewistown/Pennsylvania/" xr:uid="{7EEA7E0E-3A74-7C4B-8FBA-A52A2F93BB7D}"/>
    <hyperlink ref="A51" r:id="rId50" display="https://www.ahd.com/free_profile/390006/Geisinger_Medical_Center/Danville/Pennsylvania/" xr:uid="{C7437E2A-CC9F-2C46-A7CD-7A1F3E7DD943}"/>
    <hyperlink ref="A52" r:id="rId51" display="https://www.ahd.com/free_profile/390189/Geisinger_Shamokin_Area_Community_Hospital/Coal_Township/Pennsylvania/" xr:uid="{63AFFCC0-66C4-2A40-9E10-41BAAD9A87B4}"/>
    <hyperlink ref="A53" r:id="rId52" display="https://www.ahd.com/free_profile/I42245/Geisinger_South_Wilkes-Barre/Wilkes-Barre/Pennsylvania/" xr:uid="{6FBB0104-8C2F-5F4F-96A3-A45F8ED7EADF}"/>
    <hyperlink ref="A54" r:id="rId53" display="https://www.ahd.com/free_profile/390332/Geisinger_St_Luke%27s_Hospital/Orwigsburg/Pennsylvania/" xr:uid="{1F78448F-B388-3347-B0A7-F24E760CF0E9}"/>
    <hyperlink ref="A55" r:id="rId54" display="https://www.ahd.com/free_profile/390270/Geisinger_Wyoming_Valley_Medical_Center/Wilkes-Barre/Pennsylvania/" xr:uid="{407317E2-9E1F-EB49-9D62-56B040F5844A}"/>
    <hyperlink ref="A56" r:id="rId55" display="https://www.ahd.com/free_profile/390001/Geisinger-Community_Medical_Center/Scranton/Pennsylvania/" xr:uid="{3307B1BC-2B3A-404B-B630-589952B8CEB4}"/>
    <hyperlink ref="A57" r:id="rId56" display="https://www.ahd.com/free_profile/390057/Grand_View_Hospital/Sellersville/Pennsylvania/" xr:uid="{8171F59F-DA76-AC40-BB21-15D60AF99932}"/>
    <hyperlink ref="A58" r:id="rId57" display="https://www.ahd.com/free_profile/390079/Guthrie_Robert_Packer_Hospital/Sayre/Pennsylvania/" xr:uid="{6C3ACEFB-B24D-694D-BEA1-8D962283DE4B}"/>
    <hyperlink ref="A59" r:id="rId58" display="https://www.ahd.com/free_profile/390236/Guthrie_Towanda_Memorial_Hospital_/Towanda/Pennsylvania/" xr:uid="{56005407-F87E-1E47-A477-3EBCD51CAF98}"/>
    <hyperlink ref="A60" r:id="rId59" display="https://www.ahd.com/free_profile/390036/Heritage_Valley_Beaver/Beaver/Pennsylvania/" xr:uid="{E77BF877-44BB-ED42-916C-47E3D66FD916}"/>
    <hyperlink ref="A61" r:id="rId60" display="https://www.ahd.com/free_profile/390037/Heritage_Valley_Sewickley/Sewickley/Pennsylvania/" xr:uid="{84D90F0C-887A-DB46-961B-BE6E6555E7AB}"/>
    <hyperlink ref="A62" r:id="rId61" display="https://www.ahd.com/free_profile/390184/Highlands_Hospital/Connellsville/Pennsylvania/" xr:uid="{FFBF0AAA-ED1E-A244-9AC8-8CB4581DC840}"/>
    <hyperlink ref="A63" r:id="rId62" display="https://www.ahd.com/free_profile/390097/Holy_Redeemer_Hospital_and_Medical_Center/Meadowbrook/Pennsylvania/" xr:uid="{349E8E53-657F-D145-987F-62F2CFD7475F}"/>
    <hyperlink ref="A64" r:id="rId63" display="https://www.ahd.com/free_profile/390111/Hospital_of_the_University_of_Pennsylvania/Philadelphia/Pennsylvania/" xr:uid="{1D184E6A-2897-8645-9554-B5F17B843BCA}"/>
    <hyperlink ref="A65" r:id="rId64" display="https://www.ahd.com/free_profile/390173/Indiana_Regional_Medical_Center/Indiana/Pennsylvania/" xr:uid="{D180E3A0-E7D2-CC4B-B237-7F1447F3B701}"/>
    <hyperlink ref="A66" r:id="rId65" display="https://www.ahd.com/free_profile/39001F/James_E_Van_Zandt_VA_Medical_Center_-_Altoona%2C_PA/Altoona/Pennsylvania/" xr:uid="{55457E09-A60D-2F4C-89EC-511C491D44AA}"/>
    <hyperlink ref="A67" r:id="rId66" display="https://www.ahd.com/free_profile/390080/Jeanes_Hospital/Philadelphia/Pennsylvania/" xr:uid="{B2ACD0EC-526C-0545-8B4E-423ECCB651CD}"/>
    <hyperlink ref="A68" r:id="rId67" display="https://www.ahd.com/free_profile/I08195/Jefferson_Bucks_Hospital_/Langhorne/Pennsylvania/" xr:uid="{1D707AA4-E78C-F840-B9DA-CC98AF65CD9B}"/>
    <hyperlink ref="A69" r:id="rId68" display="https://www.ahd.com/free_profile/I08196/Jefferson_Frankford_Hospital/Philadelphia/Pennsylvania/" xr:uid="{56E9846B-2D40-5748-A8FD-0AE608092B29}"/>
    <hyperlink ref="A70" r:id="rId69" display="https://www.ahd.com/free_profile/390265/Jefferson_Hospital_/Jefferson_Hills/Pennsylvania/" xr:uid="{FB52FF35-CF85-8F4A-8F72-636E4DDB95D3}"/>
    <hyperlink ref="A71" r:id="rId70" display="https://www.ahd.com/free_profile/390205/Jefferson_Methodist_Hospital/Philadelphia/Pennsylvania/" xr:uid="{EB7B484B-7059-1B47-BAFA-34A97572C8C9}"/>
    <hyperlink ref="A72" r:id="rId71" display="https://www.ahd.com/free_profile/390115/Jefferson_Torresdale_Hospital_/Philadelphia/Pennsylvania/" xr:uid="{86C27026-11B3-E04C-875A-42662E60E79A}"/>
    <hyperlink ref="A73" r:id="rId72" display="https://www.ahd.com/free_profile/390220/Jennersville_Hospital/West_Grove/Pennsylvania/" xr:uid="{C14018F4-CFCC-204F-925B-84AD5104D7D3}"/>
    <hyperlink ref="A74" r:id="rId73" display="https://www.ahd.com/free_profile/390025/Kensington_Hospital/Philadelphia/Pennsylvania/" xr:uid="{D889E14C-4283-4C48-B1AC-21C2A5F1E170}"/>
    <hyperlink ref="A75" r:id="rId74" display="https://www.ahd.com/free_profile/390100/Lancaster_General_Hospital/Lancaster/Pennsylvania/" xr:uid="{2AFFD5DD-F9BD-0A49-B68F-63900C03135F}"/>
    <hyperlink ref="A76" r:id="rId75" display="https://www.ahd.com/free_profile/390195/Lankenau_Hospital/Wynnewood/Pennsylvania/" xr:uid="{25BA1612-3118-AA44-AA09-194F9992E99B}"/>
    <hyperlink ref="A77" r:id="rId76" display="https://www.ahd.com/free_profile/39006F/Lebanon_VA_Medical_Center/Lebanon/Pennsylvania/" xr:uid="{F5716EF9-6339-BF48-A53C-7FB40C886114}"/>
    <hyperlink ref="A78" r:id="rId77" display="https://www.ahd.com/free_profile/390133/Lehigh_Valley_Hospital_-_Cedar_Crest/Allentown/Pennsylvania/" xr:uid="{06E9092A-AD60-7249-ACCD-65C58CAE709F}"/>
    <hyperlink ref="A79" r:id="rId78" display="https://www.ahd.com/free_profile/390263/Lehigh_Valley_Hospital_-_Muhlenberg/Bethlehem/Pennsylvania/" xr:uid="{735E0892-546A-3549-9B18-929B5ACA9041}"/>
    <hyperlink ref="A80" r:id="rId79" display="https://www.ahd.com/free_profile/390201/Lehigh_Valley_Hospital_-_Pocono/East_Stroudsburg/Pennsylvania/" xr:uid="{8A3EFF70-85BF-0945-8E2E-CA172B007586}"/>
    <hyperlink ref="A81" r:id="rId80" display="https://www.ahd.com/free_profile/390031/Lehigh_Valley_Hospital_Schuylkill_E_Norwegian_Street/Pottsville/Pennsylvania/" xr:uid="{F4F31CDB-3ACE-0441-B607-631340369C6F}"/>
    <hyperlink ref="A82" r:id="rId81" display="https://www.ahd.com/free_profile/390185/Lehigh_Valley_Hospital-Hazleton/Hazleton/Pennsylvania/" xr:uid="{87C5D977-E9AE-E240-AAA5-1BB73E149847}"/>
    <hyperlink ref="A83" r:id="rId82" display="https://www.ahd.com/free_profile/390030/Lehigh_Valley_Hospital-Schuylkill_S_Jackson_Street/Pottsville/Pennsylvania/" xr:uid="{F251D438-2F39-534F-9399-A7FB8DAF34EE}"/>
    <hyperlink ref="A84" r:id="rId83" display="https://www.ahd.com/free_profile/390070/Lower_Bucks_Hospital/Bristol/Pennsylvania/" xr:uid="{AA5B8D14-0BA9-864A-801B-77C693BEE0EE}"/>
    <hyperlink ref="A85" r:id="rId84" display="https://www.ahd.com/free_profile/390113/Meadville_Medical_Center/Meadville/Pennsylvania/" xr:uid="{405309EC-D9F2-7B47-AA6F-B854D5991550}"/>
    <hyperlink ref="A86" r:id="rId85" display="https://www.ahd.com/free_profile/390156/Mercy_Catholic_Medical_Center_-_Mercy_Fitzgerald_Campus/Darby/Pennsylvania/" xr:uid="{11286AD7-F26F-FD4B-A4F6-952082F4F2CD}"/>
    <hyperlink ref="A87" r:id="rId86" display="https://www.ahd.com/free_profile/I41026/Mercy_Catholic_Medical_Center_-_Mercy_Philadelphia_Campus/Philadelphia/Pennsylvania/" xr:uid="{DB1F8D43-83AB-7943-835F-AE49D271A0B6}"/>
    <hyperlink ref="A88" r:id="rId87" display="https://www.ahd.com/free_profile/390198/Millcreek_Community_Hospital/Erie/Pennsylvania/" xr:uid="{A0B6E1DA-AA11-664A-A06D-1A94D6EDD0AF}"/>
    <hyperlink ref="A89" r:id="rId88" display="https://www.ahd.com/free_profile/390256/Milton_S_Hershey_Medical_Center/Hershey/Pennsylvania/" xr:uid="{A4115DA1-E508-1B46-8620-C12A68857222}"/>
    <hyperlink ref="A90" r:id="rId89" display="https://www.ahd.com/free_profile/390147/Monongahela_Valley_Hospital_/Monongahela/Pennsylvania/" xr:uid="{924B8DA4-6709-FA4F-AAEB-1E3DE09A5E41}"/>
    <hyperlink ref="A91" r:id="rId90" display="https://www.ahd.com/free_profile/390119/Moses_Taylor_Hospital/Scranton/Pennsylvania/" xr:uid="{573EC1DA-C2B0-8148-80FA-E14D3FF47B03}"/>
    <hyperlink ref="A92" r:id="rId91" display="https://www.ahd.com/free_profile/390268/Mount_Nittany_Medical_Center/State_College/Pennsylvania/" xr:uid="{E3A6155E-2743-D148-869C-9A10DBBD2AB9}"/>
    <hyperlink ref="A93" r:id="rId92" display="https://www.ahd.com/free_profile/390204/Nazareth_Hospital/Philadelphia/Pennsylvania/" xr:uid="{87E8D280-2DA3-0D4A-B2A5-5C12122646C6}"/>
    <hyperlink ref="A94" r:id="rId93" display="https://www.ahd.com/free_profile/390157/Ohio_Valley_Hospital/Kennedy_Township/Pennsylvania/" xr:uid="{ED77EA51-01E5-A742-983D-FC0925D9FE8A}"/>
    <hyperlink ref="A95" r:id="rId94" display="https://www.ahd.com/free_profile/390325/OSS_Orthopaedic_Hospital/York/Pennsylvania/" xr:uid="{EE356796-3491-964F-87F7-ABC049FED813}"/>
    <hyperlink ref="A96" r:id="rId95" display="https://www.ahd.com/free_profile/390153/Paoli_Hospital/Paoli/Pennsylvania/" xr:uid="{7BA00842-02AF-3A48-B942-C66AED3B054E}"/>
    <hyperlink ref="A97" r:id="rId96" display="https://www.ahd.com/free_profile/390052/Penn_Highlands_Clearfield/Clearfield/Pennsylvania/" xr:uid="{6A79C9ED-88E4-7A4C-B7BF-BA76A408DFE3}"/>
    <hyperlink ref="A98" r:id="rId97" display="https://www.ahd.com/free_profile/390086/Penn_Highlands_DuBois/DuBois/Pennsylvania/" xr:uid="{6BB8F9E9-5FFB-664C-BF62-7BFA3996D4CC}"/>
    <hyperlink ref="A99" r:id="rId98" display="https://www.ahd.com/free_profile/390056/Penn_Highlands_Huntingdon/Huntingdon/Pennsylvania/" xr:uid="{0A2EF57B-D042-264B-897B-9C6758478A7E}"/>
    <hyperlink ref="A100" r:id="rId99" display="https://www.ahd.com/free_profile/390223/Penn_Presbyterian_Medical_Center/Philadelphia/Pennsylvania/" xr:uid="{FD047630-825B-0B44-BDA2-553CBBEC53FA}"/>
    <hyperlink ref="A101" r:id="rId100" display="https://www.ahd.com/free_profile/I41243/Penn_State_Health_Saint_Joseph_-_Downtown_Reading_Campus/Reading/Pennsylvania/" xr:uid="{3F8AE475-AA2A-1040-B2B9-708D0A2D73AD}"/>
    <hyperlink ref="A102" r:id="rId101" display="https://www.ahd.com/free_profile/390096/Penn_State_Health_Saint_Joseph_-_Main_Campus/Reading/Pennsylvania/" xr:uid="{FFD0A169-4DC0-F44B-805A-7B4A79A92BEF}"/>
    <hyperlink ref="A103" r:id="rId102" display="https://www.ahd.com/free_profile/390226/Pennsylvania_Hospital/Philadelphia/Pennsylvania/" xr:uid="{A2A2754C-A5DF-6749-A748-6E493F3B106E}"/>
    <hyperlink ref="A104" r:id="rId103" display="https://www.ahd.com/free_profile/390127/Phoenixville_Hospital/Phoenixville/Pennsylvania/" xr:uid="{6ABEBE4E-319F-5D47-854F-62974D6F522D}"/>
    <hyperlink ref="A105" r:id="rId104" display="https://www.ahd.com/free_profile/390324/Physician%27s_Care_Surgical_Hospital/Royersford/Pennsylvania/" xr:uid="{B8AFAF51-5750-FB46-B6C7-5E08BF4484C8}"/>
    <hyperlink ref="A106" r:id="rId105" display="https://www.ahd.com/free_profile/390123/Pottstown_Hospital/Pottstown/Pennsylvania/" xr:uid="{12F695D3-D634-524D-A426-746E3B38DFB4}"/>
    <hyperlink ref="A107" r:id="rId106" display="https://www.ahd.com/free_profile/390199/Punxsutawney_Area_Hospital/Punxsutawney/Pennsylvania/" xr:uid="{20AE5474-FE50-684A-9776-E34261722888}"/>
    <hyperlink ref="A108" r:id="rId107" display="https://www.ahd.com/free_profile/390237/Regional_Hospital_of_Scranton/Scranton/Pennsylvania/" xr:uid="{053E44A5-9F24-BB46-BA36-1CD046A1BC79}"/>
    <hyperlink ref="A109" r:id="rId108" display="https://www.ahd.com/free_profile/390222/Riddle_Memorial_Hospital/Media/Pennsylvania/" xr:uid="{4A62AF9D-8A99-B54F-888A-56AACB0BFC3C}"/>
    <hyperlink ref="A110" r:id="rId109" display="https://www.ahd.com/free_profile/390322/Rothman_Orthopaedic_Specialty_Hospital/Bensalem/Pennsylvania/" xr:uid="{3381FBD9-ECAD-A848-A8E0-6FFCE37FF564}"/>
    <hyperlink ref="A111" r:id="rId110" display="https://www.ahd.com/free_profile/390304/Roxborough_Memorial_Hospital/Philadelphia/Pennsylvania/" xr:uid="{C0CA6AD1-31F3-1645-BF74-1CCA03E6BCB5}"/>
    <hyperlink ref="A112" r:id="rId111" display="https://www.ahd.com/free_profile/390228/Saint_Clair_Hospital/Pittsburgh/Pennsylvania/" xr:uid="{407252FB-9C6E-E746-B2F6-13FD50964570}"/>
    <hyperlink ref="A113" r:id="rId112" display="https://www.ahd.com/free_profile/390326/Saint_Luke%27s__Anderson_Campus/Easton/Pennsylvania/" xr:uid="{4EE06649-53C2-7242-9587-AB9C929F758F}"/>
    <hyperlink ref="A114" r:id="rId113" display="https://www.ahd.com/free_profile/390242/Saint_Luke%27s_Allentown_Campus/Allentown/Pennsylvania/" xr:uid="{C9985F5E-A3D3-1646-B9E8-6C3C46E17EE3}"/>
    <hyperlink ref="A115" r:id="rId114" display="https://www.ahd.com/free_profile/390330/Saint_Luke%27s_Hospital_-_Monroe_Campus/Stroudsburg/Pennsylvania/" xr:uid="{5022800B-1ADF-C04D-8C61-23DFD5C12746}"/>
    <hyperlink ref="A116" r:id="rId115" display="https://www.ahd.com/free_profile/390194/Saint_Luke%27s_Hospital_Lehighton_Campus/Lehighton/Pennsylvania/" xr:uid="{3F2A8936-7D46-0D42-A3E4-27CEFC7C031F}"/>
    <hyperlink ref="A117" r:id="rId116" display="https://www.ahd.com/free_profile/390183/Saint_Luke%27s_Miners_Campus/Coaldale/Pennsylvania/" xr:uid="{EA0322DB-58DB-E343-A732-CF6616FC7A14}"/>
    <hyperlink ref="A118" r:id="rId117" display="https://www.ahd.com/free_profile/390035/Saint_Luke%27s_Quakertown_Campus/Quakertown/Pennsylvania/" xr:uid="{7DB068B1-C9AA-7349-855D-B2FBD61D10E4}"/>
    <hyperlink ref="A119" r:id="rId118" display="https://www.ahd.com/free_profile/390197/Saint_Luke%27s_Sacred_Heart_Campus/Allentown/Pennsylvania/" xr:uid="{77FCF2CC-72E3-1D46-8D50-81DB8F92FEF7}"/>
    <hyperlink ref="A120" r:id="rId119" display="https://www.ahd.com/free_profile/390049/Saint_Luke%27s_University_Hospital_-_Bethlehem/Bethlehem/Pennsylvania/" xr:uid="{2D6E68A2-3B02-144A-BCDC-9BFD5F8C2089}"/>
    <hyperlink ref="A121" r:id="rId120" display="https://www.ahd.com/free_profile/390258/Saint_Mary_Medical_Center/Langhorne/Pennsylvania/" xr:uid="{813945B4-E31C-AB43-8A74-0B25E3080BCE}"/>
    <hyperlink ref="A122" r:id="rId121" display="https://www.ahd.com/free_profile/390009/Saint_Vincent_Hospital/Erie/Pennsylvania/" xr:uid="{D7397AF9-A89E-9843-B5A8-6843C31CBD14}"/>
    <hyperlink ref="A123" r:id="rId122" display="https://www.ahd.com/free_profile/390211/Sharon_Regional_Medical_Center/Sharon/Pennsylvania/" xr:uid="{441BE506-F65E-B644-8295-9FCC7797716D}"/>
    <hyperlink ref="A124" r:id="rId123" display="https://www.ahd.com/free_profile/390155/Springfield_Hospital/Springfield/Pennsylvania/" xr:uid="{31C05F00-BED3-1243-83D6-2637DF9D0E76}"/>
    <hyperlink ref="A125" r:id="rId124" display="https://www.ahd.com/free_profile/390162/St_Luke%27s_Easton_Campus/Easton/Pennsylvania/" xr:uid="{201F4F3F-E937-5040-A005-D1FBE0E9BDC2}"/>
    <hyperlink ref="A126" r:id="rId125" display="https://www.ahd.com/free_profile/I42366/St_Luke%27s_Upper_Bucks_Campus/Quakertown/Pennsylvania/" xr:uid="{16020CA5-0E25-2647-A443-061D5D6D4428}"/>
    <hyperlink ref="A127" r:id="rId126" display="https://www.ahd.com/free_profile/390116/Suburban_Community_Hospital/East_Norriton/Pennsylvania/" xr:uid="{E86208EB-4005-3647-BB29-BF68C8BD8424}"/>
    <hyperlink ref="A128" r:id="rId127" display="https://www.ahd.com/free_profile/390316/Surgical_Institute_of_Reading/Wyomissing/Pennsylvania/" xr:uid="{A5A04404-E1D1-FD4B-BC4D-90254E249016}"/>
    <hyperlink ref="A129" r:id="rId128" display="https://www.ahd.com/free_profile/390167/Taylor_Hospital/Ridley_Park/Pennsylvania/" xr:uid="{DC562D5C-AAE4-B342-A7B4-33EED9528F4C}"/>
    <hyperlink ref="A130" r:id="rId129" display="https://www.ahd.com/free_profile/390027/Temple_University_Hospital/Philadelphia/Pennsylvania/" xr:uid="{8C038E1E-A1DF-704B-A5AD-FA247FD77A8D}"/>
    <hyperlink ref="A131" r:id="rId130" display="https://www.ahd.com/free_profile/I41175/Temple_University_Hospital_-_Episcopal_Campus/Philadelphia/Pennsylvania/" xr:uid="{12F56E35-06C4-024F-8870-E1AFBFA01BCA}"/>
    <hyperlink ref="A132" r:id="rId131" display="https://www.ahd.com/free_profile/390174/Thomas_Jefferson_University_Hospital_-_Center_City_Campus/Philadelphia/Pennsylvania/" xr:uid="{55D73F57-26F0-024F-BB08-15BFF0C4622A}"/>
    <hyperlink ref="A133" r:id="rId132" display="https://www.ahd.com/free_profile/390192/Tyler_Memorial_Hospital/Tunkhannock/Pennsylvania/" xr:uid="{14FEF989-89C3-004B-A021-658F0E8C33BE}"/>
    <hyperlink ref="A134" r:id="rId133" display="https://www.ahd.com/free_profile/390041/Uniontown_Hospital/Uniontown/Pennsylvania/" xr:uid="{1B2DD855-B94D-DA4A-8A2C-3564946F8C08}"/>
    <hyperlink ref="A135" r:id="rId134" display="https://www.ahd.com/free_profile/390073/UPMC_Altoona/Altoona/Pennsylvania/" xr:uid="{9CA18DE6-B008-7040-A850-FABEB1F0BDFB}"/>
    <hyperlink ref="A136" r:id="rId135" display="https://www.ahd.com/free_profile/390117/UPMC_Bedford_/Everett/Pennsylvania/" xr:uid="{6F30D0E4-9414-A84A-967D-1D42ABC6E1F5}"/>
    <hyperlink ref="A137" r:id="rId136" display="https://www.ahd.com/free_profile/390058/UPMC_Carlisle_/Carlisle/Pennsylvania/" xr:uid="{CD02FC25-03B0-9349-9F80-645A3D483FC5}"/>
    <hyperlink ref="A138" r:id="rId137" display="https://www.ahd.com/free_profile/390328/UPMC_East_/Monroeville/Pennsylvania/" xr:uid="{05B251A3-ED51-F34D-96C5-1058412481BE}"/>
    <hyperlink ref="A139" r:id="rId138" display="https://www.ahd.com/free_profile/390233/UPMC_Hanover/Hanover/Pennsylvania/" xr:uid="{FAC28A5C-FE85-DA44-A116-48365A33680D}"/>
    <hyperlink ref="A140" r:id="rId139" display="https://www.ahd.com/free_profile/390178/UPMC_Horizon_-_Greenville/Greenville/Pennsylvania/" xr:uid="{90AC1882-34FA-624B-BD1D-21963808CFDF}"/>
    <hyperlink ref="A141" r:id="rId140" display="https://www.ahd.com/free_profile/I41162/UPMC_Horizon_-_Shenango_Valley/Farrell/Pennsylvania/" xr:uid="{78308A94-5ECA-CE49-9A67-6CC6EC35DD9B}"/>
    <hyperlink ref="A142" r:id="rId141" display="https://www.ahd.com/free_profile/390016/UPMC_Jameson/New_Castle/Pennsylvania/" xr:uid="{5BC9A986-6E8A-F34A-A4B8-6A8733C90690}"/>
    <hyperlink ref="A143" r:id="rId142" display="https://www.ahd.com/free_profile/390104/UPMC_Kane/Kane/Pennsylvania/" xr:uid="{D0BABE7A-BB78-034B-A194-5FDC961731A7}"/>
    <hyperlink ref="A144" r:id="rId143" display="https://www.ahd.com/free_profile/390002/UPMC_McKeesport/McKeesport/Pennsylvania/" xr:uid="{3AC24E5E-F8EC-B54D-A15A-468CAB2EE36F}"/>
    <hyperlink ref="A145" r:id="rId144" display="https://www.ahd.com/free_profile/390101/UPMC_Memorial/York/Pennsylvania/" xr:uid="{4155C8A0-8860-E24B-9D7C-F7DAE8A7BFA3}"/>
    <hyperlink ref="A146" r:id="rId145" display="https://www.ahd.com/free_profile/390028/UPMC_Mercy/Pittsburgh/Pennsylvania/" xr:uid="{B8437239-2791-5541-A1F8-F0A47BDE4AE7}"/>
    <hyperlink ref="A147" r:id="rId146" display="https://www.ahd.com/free_profile/I41625/UPMC_Montefiore/Pittsburgh/Pennsylvania/" xr:uid="{6476A65F-4760-9443-A7D7-28D870C9B707}"/>
    <hyperlink ref="A148" r:id="rId147" display="https://www.ahd.com/free_profile/390091/UPMC_Northwest/Seneca/Pennsylvania/" xr:uid="{5FBEEAF5-4B36-8846-9EC1-CE1AD45C9768}"/>
    <hyperlink ref="A149" r:id="rId148" display="https://www.ahd.com/free_profile/I41203/UPMC_Passavant_-_Cranberry/Cranberry_Township/Pennsylvania/" xr:uid="{C49EEEAA-6772-0642-8DB6-C9C0FE884443}"/>
    <hyperlink ref="A150" r:id="rId149" display="https://www.ahd.com/free_profile/390107/UPMC_Passavant_-_McCandless/Pittsburgh/Pennsylvania/" xr:uid="{7BDA3DEB-6269-A345-9B90-06442ABCAFF3}"/>
    <hyperlink ref="A151" r:id="rId150" display="https://www.ahd.com/free_profile/390206/UPMC_Pinnacle_Community_Osteopathic_Campus/Harrisburg/Pennsylvania/" xr:uid="{3A01EE64-CE6E-B149-9DC3-F1D8B46D74DE}"/>
    <hyperlink ref="A152" r:id="rId151" display="https://www.ahd.com/free_profile/390067/UPMC_Pinnacle_Harrisburg/Harrisburg/Pennsylvania/" xr:uid="{308D6917-38EC-DA4A-88DC-D562C14DB502}"/>
    <hyperlink ref="A153" r:id="rId152" display="https://www.ahd.com/free_profile/I42178/UPMC_Pinnacle_West_Shore/Mechanicsburg/Pennsylvania/" xr:uid="{488BC751-1E02-B343-92EA-91DB550F151E}"/>
    <hyperlink ref="A154" r:id="rId153" display="https://www.ahd.com/free_profile/390164/UPMC_Presbyterian/Pittsburgh/Pennsylvania/" xr:uid="{8D23B485-6A8A-5240-B3AC-5A8D1EF5D57D}"/>
    <hyperlink ref="A155" r:id="rId154" display="https://www.ahd.com/free_profile/390102/UPMC_Saint_Margaret/Pittsburgh/Pennsylvania/" xr:uid="{284A99D0-C857-7E4E-9516-9983DDC92BB2}"/>
    <hyperlink ref="A156" r:id="rId155" display="https://www.ahd.com/free_profile/390055/UPMC_Shadyside/Pittsburgh/Pennsylvania/" xr:uid="{E31068DB-A15A-FA40-87BF-BBA8FEA2118F}"/>
    <hyperlink ref="A157" r:id="rId156" display="https://www.ahd.com/free_profile/390039/UPMC_Somerset/Somerset/Pennsylvania/" xr:uid="{AB621890-781D-D447-992A-CA0C14B9EA3C}"/>
    <hyperlink ref="A158" r:id="rId157" display="https://www.ahd.com/free_profile/390071/UPMC_Susquehanna_Lock_Haven/Lock_Haven/Pennsylvania/" xr:uid="{C8CB66E9-366B-6D47-A1F9-608D62153940}"/>
    <hyperlink ref="A159" r:id="rId158" display="https://www.ahd.com/free_profile/390045/UPMC_Susquehanna_Williamsport_Regional_Medical_Center/Williamsport/Pennsylvania/" xr:uid="{3103E944-0972-FF41-A982-7C90BF58666B}"/>
    <hyperlink ref="A160" r:id="rId159" display="https://www.ahd.com/free_profile/39002F/VA_Butler_Healthcare/Butler/Pennsylvania/" xr:uid="{B67ED6A9-1197-D547-9ADD-5EDE16D7798B}"/>
    <hyperlink ref="A161" r:id="rId160" display="https://www.ahd.com/free_profile/39012F/VA_Pittsburgh_Healthcare_System_-_University_Drive_Campus/Pittsburgh/Pennsylvania/" xr:uid="{EB11ADFB-31C9-224E-8EEB-78B4981560D0}"/>
    <hyperlink ref="A162" r:id="rId161" display="https://www.ahd.com/free_profile/390272/Valley_Forge_Medical_Center/Norristown/Pennsylvania/" xr:uid="{7DC669D5-413A-A64C-BDD5-C0082DA2CE85}"/>
    <hyperlink ref="A163" r:id="rId162" display="https://www.ahd.com/free_profile/390146/Warren_General_Hospital/Warren/Pennsylvania/" xr:uid="{0A1FEE29-8399-424C-9612-EA9976E93572}"/>
    <hyperlink ref="A164" r:id="rId163" display="https://www.ahd.com/free_profile/390150/Washington_Health_System_Greene/Waynesburg/Pennsylvania/" xr:uid="{C8D4A2C5-60C6-FD42-A2ED-EA8BC81EEED7}"/>
    <hyperlink ref="A165" r:id="rId164" display="https://www.ahd.com/free_profile/390042/Washington_Hospital/Washington/Pennsylvania/" xr:uid="{82699DC4-E57F-594C-8699-055D3FF9D8C0}"/>
    <hyperlink ref="A166" r:id="rId165" display="https://www.ahd.com/free_profile/390125/Wayne_Memorial_Hospital/Honesdale/Pennsylvania/" xr:uid="{09F6BF09-F506-AE4C-B3E6-B81581409236}"/>
    <hyperlink ref="A167" r:id="rId166" display="https://www.ahd.com/free_profile/390151/WellSpan_Chambersburg_Hospital/Chambersburg/Pennsylvania/" xr:uid="{AC574470-0988-0C47-8A2B-0007ABC92BBD}"/>
    <hyperlink ref="A168" r:id="rId167" display="https://www.ahd.com/free_profile/390225/WellSpan_Ephrata_Community_Hospital/Ephrata/Pennsylvania/" xr:uid="{F1388F29-1D99-3D43-916C-D244E88C7C0E}"/>
    <hyperlink ref="A169" r:id="rId168" display="https://www.ahd.com/free_profile/390065/Wellspan_Gettysburg_Hospital/Gettysburg/Pennsylvania/" xr:uid="{4835C97D-D408-7244-86A3-C0A97FF550EF}"/>
    <hyperlink ref="A170" r:id="rId169" display="https://www.ahd.com/free_profile/390066/WellSpan_Good_Samaritan_Hospital/Lebanon/Pennsylvania/" xr:uid="{242FF9A0-B18D-9040-922B-3F75D58449E7}"/>
    <hyperlink ref="A171" r:id="rId170" display="https://www.ahd.com/free_profile/390327/Wellspan_Surgery_and_Rehabilitation_Hospital/York/Pennsylvania/" xr:uid="{B2139E13-918A-DD44-AD72-E4137D03CCAA}"/>
    <hyperlink ref="A172" r:id="rId171" display="https://www.ahd.com/free_profile/390138/Wellspan_Waynesboro_Hospital/Waynesboro/Pennsylvania/" xr:uid="{EECB8EE3-F4A8-754C-8F32-BFD358D45884}"/>
    <hyperlink ref="A173" r:id="rId172" display="https://www.ahd.com/free_profile/390046/WellSpan_York_Hospital/York/Pennsylvania/" xr:uid="{92F9FE55-C911-EB47-AFAD-88E94BA1A771}"/>
    <hyperlink ref="A174" r:id="rId173" display="https://www.ahd.com/free_profile/390090/West_Penn_Hospital/Pittsburgh/Pennsylvania/" xr:uid="{977B8F6F-F946-B144-9326-A75A89467BD9}"/>
    <hyperlink ref="A175" r:id="rId174" display="https://www.ahd.com/free_profile/390137/Wilkes-Barre_General_Hospital/Wilkes-Barre/Pennsylvania/" xr:uid="{F5A9991B-61C4-AA48-891C-0B162356AD88}"/>
    <hyperlink ref="A176" r:id="rId175" display="https://www.ahd.com/free_profile/39013F/Wilkes-Barre_VA_Medical_Center/Wilkes-Barre/Pennsylvania/" xr:uid="{CC7B0C44-8855-4D4F-AADE-641A3F5E3970}"/>
    <hyperlink ref="A177" r:id="rId176" display="https://www.ahd.com/free_profile/390331/Wills_Eye_Hospital_/Philadelphia/Pennsylvania/" xr:uid="{B653C1D0-C148-1845-8C3C-74E622D62F56}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598C1-0564-BA41-955A-31DCCC92B04A}">
  <sheetPr codeName="Sheet41"/>
  <dimension ref="A1:G13"/>
  <sheetViews>
    <sheetView workbookViewId="0">
      <selection activeCell="G2" sqref="G2:G12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4618</v>
      </c>
      <c r="B2" s="2" t="s">
        <v>3892</v>
      </c>
      <c r="C2" s="2">
        <v>343</v>
      </c>
      <c r="D2" s="3">
        <v>14113</v>
      </c>
      <c r="E2" s="3">
        <v>61144</v>
      </c>
      <c r="F2" s="4">
        <v>1244073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 city",CHOOSE({1,2}, Super_CBSA!$E$2:$E$1917, Super_CBSA!$A$2:$A$1917), 2,FALSE), ""))</f>
        <v>39300</v>
      </c>
    </row>
    <row r="3" spans="1:7" ht="17">
      <c r="A3" s="1" t="s">
        <v>4619</v>
      </c>
      <c r="B3" s="2" t="s">
        <v>4620</v>
      </c>
      <c r="C3" s="2">
        <v>141</v>
      </c>
      <c r="D3" s="3">
        <v>5988</v>
      </c>
      <c r="E3" s="3">
        <v>21106</v>
      </c>
      <c r="F3" s="4">
        <v>650425</v>
      </c>
      <c r="G3" s="11" t="str" cm="1">
        <f t="array" aca="1" ref="G3" ca="1">IFERROR(VLOOKUP("*" &amp; B3  &amp; "*" &amp; (MID(CELL("filename",A2),FIND("]",CELL("filename",A2))+1,31)) &amp; "*",CHOOSE({1,2}, Super_CBSA!$B$2:$B$1917, Super_CBSA!$A$2:$A$1917), 2,FALSE), IFERROR(VLOOKUP(B3  &amp; " city",CHOOSE({1,2}, Super_CBSA!$E$2:$E$1917, Super_CBSA!$A$2:$A$1917), 2,FALSE), ""))</f>
        <v/>
      </c>
    </row>
    <row r="4" spans="1:7" ht="17">
      <c r="A4" s="1" t="s">
        <v>4621</v>
      </c>
      <c r="B4" s="2" t="s">
        <v>238</v>
      </c>
      <c r="C4" s="2">
        <v>129</v>
      </c>
      <c r="D4" s="3">
        <v>4431</v>
      </c>
      <c r="E4" s="3">
        <v>16589</v>
      </c>
      <c r="F4" s="4">
        <v>337158</v>
      </c>
      <c r="G4" s="11" t="str" cm="1">
        <f t="array" aca="1" ref="G4" ca="1">IFERROR(VLOOKUP("*" &amp; B4  &amp; "*" &amp; (MID(CELL("filename",A3),FIND("]",CELL("filename",A3))+1,31)) &amp; "*",CHOOSE({1,2}, Super_CBSA!$B$2:$B$1917, Super_CBSA!$A$2:$A$1917), 2,FALSE), IFERROR(VLOOKUP(B4  &amp; " city",CHOOSE({1,2}, Super_CBSA!$E$2:$E$1917, Super_CBSA!$A$2:$A$1917), 2,FALSE), ""))</f>
        <v/>
      </c>
    </row>
    <row r="5" spans="1:7" ht="17">
      <c r="A5" s="1" t="s">
        <v>4622</v>
      </c>
      <c r="B5" s="2" t="s">
        <v>4623</v>
      </c>
      <c r="C5" s="2">
        <v>312</v>
      </c>
      <c r="D5" s="3">
        <v>3504</v>
      </c>
      <c r="E5" s="3">
        <v>14709</v>
      </c>
      <c r="F5" s="4">
        <v>542753</v>
      </c>
      <c r="G5" s="11" t="str" cm="1">
        <f t="array" aca="1" ref="G5" ca="1">IFERROR(VLOOKUP("*" &amp; B5  &amp; "*" &amp; (MID(CELL("filename",A4),FIND("]",CELL("filename",A4))+1,31)) &amp; "*",CHOOSE({1,2}, Super_CBSA!$B$2:$B$1917, Super_CBSA!$A$2:$A$1917), 2,FALSE), IFERROR(VLOOKUP(B5  &amp; " city",CHOOSE({1,2}, Super_CBSA!$E$2:$E$1917, Super_CBSA!$A$2:$A$1917), 2,FALSE), ""))</f>
        <v/>
      </c>
    </row>
    <row r="6" spans="1:7" ht="17">
      <c r="A6" s="1" t="s">
        <v>4624</v>
      </c>
      <c r="B6" s="2" t="s">
        <v>4625</v>
      </c>
      <c r="C6" s="2">
        <v>0</v>
      </c>
      <c r="D6" s="2">
        <v>0</v>
      </c>
      <c r="E6" s="2">
        <v>0</v>
      </c>
      <c r="F6" s="4">
        <v>0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 city",CHOOSE({1,2}, Super_CBSA!$E$2:$E$1917, Super_CBSA!$A$2:$A$1917), 2,FALSE), ""))</f>
        <v>39300</v>
      </c>
    </row>
    <row r="7" spans="1:7" ht="17">
      <c r="A7" s="1" t="s">
        <v>4626</v>
      </c>
      <c r="B7" s="2" t="s">
        <v>4625</v>
      </c>
      <c r="C7" s="2">
        <v>704</v>
      </c>
      <c r="D7" s="3">
        <v>34671</v>
      </c>
      <c r="E7" s="3">
        <v>186327</v>
      </c>
      <c r="F7" s="4">
        <v>3800567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 city",CHOOSE({1,2}, Super_CBSA!$E$2:$E$1917, Super_CBSA!$A$2:$A$1917), 2,FALSE), ""))</f>
        <v>39300</v>
      </c>
    </row>
    <row r="8" spans="1:7" ht="17">
      <c r="A8" s="1" t="s">
        <v>4627</v>
      </c>
      <c r="B8" s="2" t="s">
        <v>4625</v>
      </c>
      <c r="C8" s="2">
        <v>160</v>
      </c>
      <c r="D8" s="3">
        <v>6526</v>
      </c>
      <c r="E8" s="3">
        <v>28185</v>
      </c>
      <c r="F8" s="4">
        <v>570237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 city",CHOOSE({1,2}, Super_CBSA!$E$2:$E$1917, Super_CBSA!$A$2:$A$1917), 2,FALSE), ""))</f>
        <v>39300</v>
      </c>
    </row>
    <row r="9" spans="1:7" ht="17">
      <c r="A9" s="1" t="s">
        <v>4628</v>
      </c>
      <c r="B9" s="2" t="s">
        <v>4629</v>
      </c>
      <c r="C9" s="2">
        <v>79</v>
      </c>
      <c r="D9" s="3">
        <v>6280</v>
      </c>
      <c r="E9" s="3">
        <v>21288</v>
      </c>
      <c r="F9" s="4">
        <v>559480</v>
      </c>
      <c r="G9" s="11" t="str" cm="1">
        <f t="array" aca="1" ref="G9" ca="1">IFERROR(VLOOKUP("*" &amp; B9  &amp; "*" &amp; (MID(CELL("filename",A8),FIND("]",CELL("filename",A8))+1,31)) &amp; "*",CHOOSE({1,2}, Super_CBSA!$B$2:$B$1917, Super_CBSA!$A$2:$A$1917), 2,FALSE), IFERROR(VLOOKUP(B9  &amp; " city",CHOOSE({1,2}, Super_CBSA!$E$2:$E$1917, Super_CBSA!$A$2:$A$1917), 2,FALSE), ""))</f>
        <v/>
      </c>
    </row>
    <row r="10" spans="1:7" ht="17">
      <c r="A10" s="1" t="s">
        <v>4630</v>
      </c>
      <c r="B10" s="2" t="s">
        <v>4625</v>
      </c>
      <c r="C10" s="2">
        <v>246</v>
      </c>
      <c r="D10" s="3">
        <v>19583</v>
      </c>
      <c r="E10" s="3">
        <v>74294</v>
      </c>
      <c r="F10" s="4">
        <v>1559245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 city",CHOOSE({1,2}, Super_CBSA!$E$2:$E$1917, Super_CBSA!$A$2:$A$1917), 2,FALSE), ""))</f>
        <v>39300</v>
      </c>
    </row>
    <row r="11" spans="1:7" ht="17">
      <c r="A11" s="1" t="s">
        <v>4631</v>
      </c>
      <c r="B11" s="2" t="s">
        <v>4632</v>
      </c>
      <c r="C11" s="2">
        <v>79</v>
      </c>
      <c r="D11" s="3">
        <v>2735</v>
      </c>
      <c r="E11" s="3">
        <v>11196</v>
      </c>
      <c r="F11" s="4">
        <v>243217</v>
      </c>
      <c r="G11" s="11" t="str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 city",CHOOSE({1,2}, Super_CBSA!$E$2:$E$1917, Super_CBSA!$A$2:$A$1917), 2,FALSE), ""))</f>
        <v/>
      </c>
    </row>
    <row r="12" spans="1:7" ht="17">
      <c r="A12" s="1" t="s">
        <v>4633</v>
      </c>
      <c r="B12" s="2" t="s">
        <v>4625</v>
      </c>
      <c r="C12" s="2">
        <v>247</v>
      </c>
      <c r="D12" s="3">
        <v>10951</v>
      </c>
      <c r="E12" s="3">
        <v>68801</v>
      </c>
      <c r="F12" s="4">
        <v>951583</v>
      </c>
      <c r="G12" s="11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 city",CHOOSE({1,2}, Super_CBSA!$E$2:$E$1917, Super_CBSA!$A$2:$A$1917), 2,FALSE), ""))</f>
        <v>39300</v>
      </c>
    </row>
    <row r="13" spans="1:7" ht="17">
      <c r="A13" s="2" t="s">
        <v>56</v>
      </c>
      <c r="B13" s="2"/>
      <c r="C13" s="3">
        <v>2440</v>
      </c>
      <c r="D13" s="3">
        <v>108782</v>
      </c>
      <c r="E13" s="3">
        <v>503639</v>
      </c>
      <c r="F13" s="4">
        <v>10458737</v>
      </c>
    </row>
  </sheetData>
  <hyperlinks>
    <hyperlink ref="A2" r:id="rId1" display="https://www.ahd.com/free_profile/410009/Kent_Hospital/Warwick/Rhode_Island/" xr:uid="{459080DB-98F4-0648-B365-DEC875DAF374}"/>
    <hyperlink ref="A3" r:id="rId2" display="https://www.ahd.com/free_profile/410011/Landmark_Medical_Center_/Woonsocket/Rhode_Island/" xr:uid="{E7C2D556-ECEA-214C-902E-4719475DC5DA}"/>
    <hyperlink ref="A4" r:id="rId3" display="https://www.ahd.com/free_profile/410006/Newport_Hospital/Newport/Rhode_Island/" xr:uid="{0890D6B6-9DA7-1F41-9CA2-081AA0ABFA7B}"/>
    <hyperlink ref="A5" r:id="rId4" display="https://www.ahd.com/free_profile/410005/Our_Lady_of_Fatima_Hospital/North_Providence/Rhode_Island/" xr:uid="{4BA89D10-2551-A045-A59E-53CA85FE6F55}"/>
    <hyperlink ref="A6" r:id="rId5" display="https://www.ahd.com/free_profile/41002F/Providence_VA_Medical_Center/Providence/Rhode_Island/" xr:uid="{7C50809E-2686-0742-A40B-9418DF827C70}"/>
    <hyperlink ref="A7" r:id="rId6" display="https://www.ahd.com/free_profile/410007/Rhode_Island_Hospital/Providence/Rhode_Island/" xr:uid="{93768666-E33C-FA49-8FF4-F83C04C2A04C}"/>
    <hyperlink ref="A8" r:id="rId7" display="https://www.ahd.com/free_profile/410004/Roger_Williams_Medical_Center/Providence/Rhode_Island/" xr:uid="{EF7CC359-A434-1548-A63C-C73AD7BA8699}"/>
    <hyperlink ref="A9" r:id="rId8" display="https://www.ahd.com/free_profile/410008/South_County_Health/Wakefield/Rhode_Island/" xr:uid="{1A34E01C-82D8-C145-9F0C-607F18B8FFDB}"/>
    <hyperlink ref="A10" r:id="rId9" display="https://www.ahd.com/free_profile/410012/The_Miriam_Hospital/Providence/Rhode_Island/" xr:uid="{5552392A-6828-6B49-B2C1-536C2438394C}"/>
    <hyperlink ref="A11" r:id="rId10" display="https://www.ahd.com/free_profile/410013/The_Westerly_Hospital/Westerly/Rhode_Island/" xr:uid="{0BD474AB-91BC-BC48-BD91-96F31B066D3D}"/>
    <hyperlink ref="A12" r:id="rId11" display="https://www.ahd.com/free_profile/410010/Women_%26_Infants_Hospital/Providence/Rhode_Island/" xr:uid="{E23D5B81-D544-064E-9762-E850A333667D}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2EA69-B495-D84B-B977-FDB92E30FE8A}">
  <sheetPr codeName="Sheet42"/>
  <dimension ref="A1:G68"/>
  <sheetViews>
    <sheetView topLeftCell="A54" workbookViewId="0">
      <selection activeCell="G67" sqref="G2:G67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4634</v>
      </c>
      <c r="B2" s="2" t="s">
        <v>4635</v>
      </c>
      <c r="C2" s="2">
        <v>266</v>
      </c>
      <c r="D2" s="3">
        <v>10569</v>
      </c>
      <c r="E2" s="3">
        <v>45532</v>
      </c>
      <c r="F2" s="4">
        <v>1118238</v>
      </c>
      <c r="G2" s="11" t="str" cm="1">
        <f t="array" aca="1" ref="G2" ca="1">IFERROR(VLOOKUP("*" &amp; B2  &amp; "*" &amp; (MID(CELL("filename",A1),FIND("]",CELL("filename",A1))+1,31)) &amp; "*",CHOOSE({1,2}, Super_CBSA!$B$2:$B$1917, Super_CBSA!$A$2:$A$1917), 2,FALSE), IFERROR(VLOOKUP(B2  &amp; " city",CHOOSE({1,2}, Super_CBSA!$E$2:$E$1917, Super_CBSA!$A$2:$A$1917), 2,FALSE), ""))</f>
        <v/>
      </c>
    </row>
    <row r="3" spans="1:7" ht="17">
      <c r="A3" s="1" t="s">
        <v>4636</v>
      </c>
      <c r="B3" s="2" t="s">
        <v>4637</v>
      </c>
      <c r="C3" s="2">
        <v>42</v>
      </c>
      <c r="D3" s="2">
        <v>749</v>
      </c>
      <c r="E3" s="3">
        <v>2551</v>
      </c>
      <c r="F3" s="4">
        <v>97469</v>
      </c>
      <c r="G3" s="11" t="str" cm="1">
        <f t="array" aca="1" ref="G3" ca="1">IFERROR(VLOOKUP("*" &amp; B3  &amp; "*" &amp; (MID(CELL("filename",A2),FIND("]",CELL("filename",A2))+1,31)) &amp; "*",CHOOSE({1,2}, Super_CBSA!$B$2:$B$1917, Super_CBSA!$A$2:$A$1917), 2,FALSE), IFERROR(VLOOKUP(B3  &amp; " city",CHOOSE({1,2}, Super_CBSA!$E$2:$E$1917, Super_CBSA!$A$2:$A$1917), 2,FALSE), ""))</f>
        <v/>
      </c>
    </row>
    <row r="4" spans="1:7" ht="17">
      <c r="A4" s="1" t="s">
        <v>4638</v>
      </c>
      <c r="B4" s="2" t="s">
        <v>2041</v>
      </c>
      <c r="C4" s="2">
        <v>396</v>
      </c>
      <c r="D4" s="3">
        <v>18401</v>
      </c>
      <c r="E4" s="3">
        <v>83722</v>
      </c>
      <c r="F4" s="4">
        <v>2376179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 city",CHOOSE({1,2}, Super_CBSA!$E$2:$E$1917, Super_CBSA!$A$2:$A$1917), 2,FALSE), ""))</f>
        <v>24860</v>
      </c>
    </row>
    <row r="5" spans="1:7" ht="17">
      <c r="A5" s="1" t="s">
        <v>4639</v>
      </c>
      <c r="B5" s="2" t="s">
        <v>4640</v>
      </c>
      <c r="C5" s="2">
        <v>69</v>
      </c>
      <c r="D5" s="3">
        <v>3216</v>
      </c>
      <c r="E5" s="3">
        <v>11851</v>
      </c>
      <c r="F5" s="4">
        <v>290280</v>
      </c>
      <c r="G5" s="11" t="str" cm="1">
        <f t="array" aca="1" ref="G5" ca="1">IFERROR(VLOOKUP("*" &amp; B5  &amp; "*" &amp; (MID(CELL("filename",A4),FIND("]",CELL("filename",A4))+1,31)) &amp; "*",CHOOSE({1,2}, Super_CBSA!$B$2:$B$1917, Super_CBSA!$A$2:$A$1917), 2,FALSE), IFERROR(VLOOKUP(B5  &amp; " city",CHOOSE({1,2}, Super_CBSA!$E$2:$E$1917, Super_CBSA!$A$2:$A$1917), 2,FALSE), ""))</f>
        <v/>
      </c>
    </row>
    <row r="6" spans="1:7" ht="17">
      <c r="A6" s="1" t="s">
        <v>4641</v>
      </c>
      <c r="B6" s="2" t="s">
        <v>4642</v>
      </c>
      <c r="C6" s="2">
        <v>195</v>
      </c>
      <c r="D6" s="3">
        <v>7758</v>
      </c>
      <c r="E6" s="3">
        <v>31466</v>
      </c>
      <c r="F6" s="4">
        <v>857787</v>
      </c>
      <c r="G6" s="11" t="str" cm="1">
        <f t="array" aca="1" ref="G6" ca="1">IFERROR(VLOOKUP("*" &amp; B6  &amp; "*" &amp; (MID(CELL("filename",A5),FIND("]",CELL("filename",A5))+1,31)) &amp; "*",CHOOSE({1,2}, Super_CBSA!$B$2:$B$1917, Super_CBSA!$A$2:$A$1917), 2,FALSE), IFERROR(VLOOKUP(B6  &amp; " city",CHOOSE({1,2}, Super_CBSA!$E$2:$E$1917, Super_CBSA!$A$2:$A$1917), 2,FALSE), ""))</f>
        <v/>
      </c>
    </row>
    <row r="7" spans="1:7" ht="17">
      <c r="A7" s="1" t="s">
        <v>4643</v>
      </c>
      <c r="B7" s="2" t="s">
        <v>4644</v>
      </c>
      <c r="C7" s="2">
        <v>189</v>
      </c>
      <c r="D7" s="3">
        <v>8655</v>
      </c>
      <c r="E7" s="3">
        <v>38419</v>
      </c>
      <c r="F7" s="4">
        <v>833803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 city",CHOOSE({1,2}, Super_CBSA!$E$2:$E$1917, Super_CBSA!$A$2:$A$1917), 2,FALSE), ""))</f>
        <v>16700</v>
      </c>
    </row>
    <row r="8" spans="1:7" ht="17">
      <c r="A8" s="1" t="s">
        <v>4645</v>
      </c>
      <c r="B8" s="2" t="s">
        <v>4646</v>
      </c>
      <c r="C8" s="2">
        <v>116</v>
      </c>
      <c r="D8" s="3">
        <v>4412</v>
      </c>
      <c r="E8" s="3">
        <v>15734</v>
      </c>
      <c r="F8" s="4">
        <v>518946</v>
      </c>
      <c r="G8" s="11" t="str" cm="1">
        <f t="array" aca="1" ref="G8" ca="1">IFERROR(VLOOKUP("*" &amp; B8  &amp; "*" &amp; (MID(CELL("filename",A7),FIND("]",CELL("filename",A7))+1,31)) &amp; "*",CHOOSE({1,2}, Super_CBSA!$B$2:$B$1917, Super_CBSA!$A$2:$A$1917), 2,FALSE), IFERROR(VLOOKUP(B8  &amp; " city",CHOOSE({1,2}, Super_CBSA!$E$2:$E$1917, Super_CBSA!$A$2:$A$1917), 2,FALSE), ""))</f>
        <v/>
      </c>
    </row>
    <row r="9" spans="1:7" ht="17">
      <c r="A9" s="1" t="s">
        <v>4647</v>
      </c>
      <c r="B9" s="2" t="s">
        <v>4648</v>
      </c>
      <c r="C9" s="2">
        <v>44</v>
      </c>
      <c r="D9" s="3">
        <v>1441</v>
      </c>
      <c r="E9" s="3">
        <v>5511</v>
      </c>
      <c r="F9" s="4">
        <v>189684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 city",CHOOSE({1,2}, Super_CBSA!$E$2:$E$1917, Super_CBSA!$A$2:$A$1917), 2,FALSE), ""))</f>
        <v>23500</v>
      </c>
    </row>
    <row r="10" spans="1:7" ht="17">
      <c r="A10" s="1" t="s">
        <v>4649</v>
      </c>
      <c r="B10" s="2" t="s">
        <v>4650</v>
      </c>
      <c r="C10" s="2">
        <v>41</v>
      </c>
      <c r="D10" s="3">
        <v>2916</v>
      </c>
      <c r="E10" s="3">
        <v>10330</v>
      </c>
      <c r="F10" s="4">
        <v>382939</v>
      </c>
      <c r="G10" s="11" t="str" cm="1">
        <f t="array" aca="1" ref="G10" ca="1">IFERROR(VLOOKUP("*" &amp; B10  &amp; "*" &amp; (MID(CELL("filename",A9),FIND("]",CELL("filename",A9))+1,31)) &amp; "*",CHOOSE({1,2}, Super_CBSA!$B$2:$B$1917, Super_CBSA!$A$2:$A$1917), 2,FALSE), IFERROR(VLOOKUP(B10  &amp; " city",CHOOSE({1,2}, Super_CBSA!$E$2:$E$1917, Super_CBSA!$A$2:$A$1917), 2,FALSE), ""))</f>
        <v/>
      </c>
    </row>
    <row r="11" spans="1:7" ht="17">
      <c r="A11" s="1" t="s">
        <v>4651</v>
      </c>
      <c r="B11" s="2" t="s">
        <v>4652</v>
      </c>
      <c r="C11" s="2">
        <v>135</v>
      </c>
      <c r="D11" s="3">
        <v>3662</v>
      </c>
      <c r="E11" s="3">
        <v>14434</v>
      </c>
      <c r="F11" s="4">
        <v>387294</v>
      </c>
      <c r="G11" s="11" t="str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 city",CHOOSE({1,2}, Super_CBSA!$E$2:$E$1917, Super_CBSA!$A$2:$A$1917), 2,FALSE), ""))</f>
        <v/>
      </c>
    </row>
    <row r="12" spans="1:7" ht="17">
      <c r="A12" s="1" t="s">
        <v>4653</v>
      </c>
      <c r="B12" s="2" t="s">
        <v>2340</v>
      </c>
      <c r="C12" s="2">
        <v>0</v>
      </c>
      <c r="D12" s="2">
        <v>0</v>
      </c>
      <c r="E12" s="2">
        <v>0</v>
      </c>
      <c r="F12" s="4">
        <v>0</v>
      </c>
      <c r="G12" s="11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 city",CHOOSE({1,2}, Super_CBSA!$E$2:$E$1917, Super_CBSA!$A$2:$A$1917), 2,FALSE), ""))</f>
        <v>17900</v>
      </c>
    </row>
    <row r="13" spans="1:7" ht="17">
      <c r="A13" s="1" t="s">
        <v>4654</v>
      </c>
      <c r="B13" s="2" t="s">
        <v>252</v>
      </c>
      <c r="C13" s="2">
        <v>166</v>
      </c>
      <c r="D13" s="3">
        <v>8954</v>
      </c>
      <c r="E13" s="3">
        <v>38252</v>
      </c>
      <c r="F13" s="4">
        <v>659949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 city",CHOOSE({1,2}, Super_CBSA!$E$2:$E$1917, Super_CBSA!$A$2:$A$1917), 2,FALSE), ""))</f>
        <v>34820</v>
      </c>
    </row>
    <row r="14" spans="1:7" ht="17">
      <c r="A14" s="1" t="s">
        <v>4655</v>
      </c>
      <c r="B14" s="2" t="s">
        <v>2819</v>
      </c>
      <c r="C14" s="2">
        <v>130</v>
      </c>
      <c r="D14" s="3">
        <v>4976</v>
      </c>
      <c r="E14" s="3">
        <v>17342</v>
      </c>
      <c r="F14" s="4">
        <v>741235</v>
      </c>
      <c r="G14" s="11" t="str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 city",CHOOSE({1,2}, Super_CBSA!$E$2:$E$1917, Super_CBSA!$A$2:$A$1917), 2,FALSE), ""))</f>
        <v/>
      </c>
    </row>
    <row r="15" spans="1:7" ht="17">
      <c r="A15" s="1" t="s">
        <v>4656</v>
      </c>
      <c r="B15" s="2" t="s">
        <v>4657</v>
      </c>
      <c r="C15" s="2">
        <v>369</v>
      </c>
      <c r="D15" s="3">
        <v>21789</v>
      </c>
      <c r="E15" s="3">
        <v>101610</v>
      </c>
      <c r="F15" s="4">
        <v>3220235</v>
      </c>
      <c r="G15" s="11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 city",CHOOSE({1,2}, Super_CBSA!$E$2:$E$1917, Super_CBSA!$A$2:$A$1917), 2,FALSE), ""))</f>
        <v>34820</v>
      </c>
    </row>
    <row r="16" spans="1:7" ht="17">
      <c r="A16" s="1" t="s">
        <v>4658</v>
      </c>
      <c r="B16" s="2" t="s">
        <v>200</v>
      </c>
      <c r="C16" s="2">
        <v>830</v>
      </c>
      <c r="D16" s="3">
        <v>34491</v>
      </c>
      <c r="E16" s="3">
        <v>198178</v>
      </c>
      <c r="F16" s="4">
        <v>3957275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 city",CHOOSE({1,2}, Super_CBSA!$E$2:$E$1917, Super_CBSA!$A$2:$A$1917), 2,FALSE), ""))</f>
        <v>24860</v>
      </c>
    </row>
    <row r="17" spans="1:7" ht="17">
      <c r="A17" s="1" t="s">
        <v>4659</v>
      </c>
      <c r="B17" s="2" t="s">
        <v>4660</v>
      </c>
      <c r="C17" s="2">
        <v>58</v>
      </c>
      <c r="D17" s="3">
        <v>3652</v>
      </c>
      <c r="E17" s="3">
        <v>10178</v>
      </c>
      <c r="F17" s="4">
        <v>368822</v>
      </c>
      <c r="G17" s="11" t="str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 city",CHOOSE({1,2}, Super_CBSA!$E$2:$E$1917, Super_CBSA!$A$2:$A$1917), 2,FALSE), ""))</f>
        <v/>
      </c>
    </row>
    <row r="18" spans="1:7" ht="17">
      <c r="A18" s="1" t="s">
        <v>4661</v>
      </c>
      <c r="B18" s="2" t="s">
        <v>4662</v>
      </c>
      <c r="C18" s="2">
        <v>32</v>
      </c>
      <c r="D18" s="2">
        <v>672</v>
      </c>
      <c r="E18" s="3">
        <v>2311</v>
      </c>
      <c r="F18" s="4">
        <v>64041</v>
      </c>
      <c r="G18" s="11" t="str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 city",CHOOSE({1,2}, Super_CBSA!$E$2:$E$1917, Super_CBSA!$A$2:$A$1917), 2,FALSE), ""))</f>
        <v/>
      </c>
    </row>
    <row r="19" spans="1:7" ht="17">
      <c r="A19" s="1" t="s">
        <v>4663</v>
      </c>
      <c r="B19" s="2" t="s">
        <v>4664</v>
      </c>
      <c r="C19" s="2">
        <v>39</v>
      </c>
      <c r="D19" s="3">
        <v>1774</v>
      </c>
      <c r="E19" s="3">
        <v>5370</v>
      </c>
      <c r="F19" s="4">
        <v>306749</v>
      </c>
      <c r="G19" s="11" t="str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 city",CHOOSE({1,2}, Super_CBSA!$E$2:$E$1917, Super_CBSA!$A$2:$A$1917), 2,FALSE), ""))</f>
        <v/>
      </c>
    </row>
    <row r="20" spans="1:7" ht="17">
      <c r="A20" s="1" t="s">
        <v>4665</v>
      </c>
      <c r="B20" s="2" t="s">
        <v>4666</v>
      </c>
      <c r="C20" s="2">
        <v>93</v>
      </c>
      <c r="D20" s="3">
        <v>6277</v>
      </c>
      <c r="E20" s="3">
        <v>22710</v>
      </c>
      <c r="F20" s="4">
        <v>654842</v>
      </c>
      <c r="G20" s="11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 city",CHOOSE({1,2}, Super_CBSA!$E$2:$E$1917, Super_CBSA!$A$2:$A$1917), 2,FALSE), ""))</f>
        <v>25940</v>
      </c>
    </row>
    <row r="21" spans="1:7" ht="17">
      <c r="A21" s="1" t="s">
        <v>4667</v>
      </c>
      <c r="B21" s="2" t="s">
        <v>160</v>
      </c>
      <c r="C21" s="2">
        <v>121</v>
      </c>
      <c r="D21" s="3">
        <v>3705</v>
      </c>
      <c r="E21" s="3">
        <v>15204</v>
      </c>
      <c r="F21" s="4">
        <v>410493</v>
      </c>
      <c r="G21" s="11" t="str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 city",CHOOSE({1,2}, Super_CBSA!$E$2:$E$1917, Super_CBSA!$A$2:$A$1917), 2,FALSE), ""))</f>
        <v/>
      </c>
    </row>
    <row r="22" spans="1:7" ht="17">
      <c r="A22" s="1" t="s">
        <v>4668</v>
      </c>
      <c r="B22" s="2" t="s">
        <v>1339</v>
      </c>
      <c r="C22" s="2">
        <v>26</v>
      </c>
      <c r="D22" s="2">
        <v>569</v>
      </c>
      <c r="E22" s="3">
        <v>2537</v>
      </c>
      <c r="F22" s="4">
        <v>54999</v>
      </c>
      <c r="G22" s="11" t="str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 city",CHOOSE({1,2}, Super_CBSA!$E$2:$E$1917, Super_CBSA!$A$2:$A$1917), 2,FALSE), ""))</f>
        <v/>
      </c>
    </row>
    <row r="23" spans="1:7" ht="17">
      <c r="A23" s="1" t="s">
        <v>4669</v>
      </c>
      <c r="B23" s="2" t="s">
        <v>1729</v>
      </c>
      <c r="C23" s="2">
        <v>61</v>
      </c>
      <c r="D23" s="3">
        <v>2168</v>
      </c>
      <c r="E23" s="3">
        <v>7780</v>
      </c>
      <c r="F23" s="4">
        <v>206215</v>
      </c>
      <c r="G23" s="11" t="str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 city",CHOOSE({1,2}, Super_CBSA!$E$2:$E$1917, Super_CBSA!$A$2:$A$1917), 2,FALSE), ""))</f>
        <v/>
      </c>
    </row>
    <row r="24" spans="1:7" ht="17">
      <c r="A24" s="1" t="s">
        <v>4670</v>
      </c>
      <c r="B24" s="2" t="s">
        <v>4671</v>
      </c>
      <c r="C24" s="2">
        <v>481</v>
      </c>
      <c r="D24" s="3">
        <v>24484</v>
      </c>
      <c r="E24" s="3">
        <v>131377</v>
      </c>
      <c r="F24" s="4">
        <v>4048097</v>
      </c>
      <c r="G24" s="11" t="str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 city",CHOOSE({1,2}, Super_CBSA!$E$2:$E$1917, Super_CBSA!$A$2:$A$1917), 2,FALSE), ""))</f>
        <v/>
      </c>
    </row>
    <row r="25" spans="1:7" ht="17">
      <c r="A25" s="1" t="s">
        <v>4672</v>
      </c>
      <c r="B25" s="2" t="s">
        <v>4673</v>
      </c>
      <c r="C25" s="2">
        <v>59</v>
      </c>
      <c r="D25" s="2">
        <v>42</v>
      </c>
      <c r="E25" s="2">
        <v>374</v>
      </c>
      <c r="F25" s="4">
        <v>42059</v>
      </c>
      <c r="G25" s="11" t="str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 city",CHOOSE({1,2}, Super_CBSA!$E$2:$E$1917, Super_CBSA!$A$2:$A$1917), 2,FALSE), ""))</f>
        <v/>
      </c>
    </row>
    <row r="26" spans="1:7" ht="17">
      <c r="A26" s="1" t="s">
        <v>4674</v>
      </c>
      <c r="B26" s="2" t="s">
        <v>4675</v>
      </c>
      <c r="C26" s="2">
        <v>48</v>
      </c>
      <c r="D26" s="3">
        <v>1927</v>
      </c>
      <c r="E26" s="3">
        <v>8730</v>
      </c>
      <c r="F26" s="4">
        <v>207831</v>
      </c>
      <c r="G26" s="11" t="str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 city",CHOOSE({1,2}, Super_CBSA!$E$2:$E$1917, Super_CBSA!$A$2:$A$1917), 2,FALSE), ""))</f>
        <v/>
      </c>
    </row>
    <row r="27" spans="1:7" ht="17">
      <c r="A27" s="1" t="s">
        <v>4676</v>
      </c>
      <c r="B27" s="2" t="s">
        <v>4677</v>
      </c>
      <c r="C27" s="2">
        <v>49</v>
      </c>
      <c r="D27" s="3">
        <v>2083</v>
      </c>
      <c r="E27" s="3">
        <v>7449</v>
      </c>
      <c r="F27" s="4">
        <v>207206</v>
      </c>
      <c r="G27" s="11" t="str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 city",CHOOSE({1,2}, Super_CBSA!$E$2:$E$1917, Super_CBSA!$A$2:$A$1917), 2,FALSE), ""))</f>
        <v/>
      </c>
    </row>
    <row r="28" spans="1:7" ht="17">
      <c r="A28" s="1" t="s">
        <v>4678</v>
      </c>
      <c r="B28" s="2" t="s">
        <v>4679</v>
      </c>
      <c r="C28" s="2">
        <v>72</v>
      </c>
      <c r="D28" s="3">
        <v>1793</v>
      </c>
      <c r="E28" s="3">
        <v>7642</v>
      </c>
      <c r="F28" s="4">
        <v>251878</v>
      </c>
      <c r="G28" s="11" t="str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 city",CHOOSE({1,2}, Super_CBSA!$E$2:$E$1917, Super_CBSA!$A$2:$A$1917), 2,FALSE), ""))</f>
        <v/>
      </c>
    </row>
    <row r="29" spans="1:7" ht="17">
      <c r="A29" s="1" t="s">
        <v>4680</v>
      </c>
      <c r="B29" s="2" t="s">
        <v>4681</v>
      </c>
      <c r="C29" s="2">
        <v>0</v>
      </c>
      <c r="D29" s="2">
        <v>0</v>
      </c>
      <c r="E29" s="2">
        <v>0</v>
      </c>
      <c r="F29" s="4">
        <v>0</v>
      </c>
      <c r="G29" s="11" t="str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 city",CHOOSE({1,2}, Super_CBSA!$E$2:$E$1917, Super_CBSA!$A$2:$A$1917), 2,FALSE), ""))</f>
        <v/>
      </c>
    </row>
    <row r="30" spans="1:7" ht="17">
      <c r="A30" s="1" t="s">
        <v>4682</v>
      </c>
      <c r="B30" s="2" t="s">
        <v>4683</v>
      </c>
      <c r="C30" s="2">
        <v>155</v>
      </c>
      <c r="D30" s="3">
        <v>6704</v>
      </c>
      <c r="E30" s="3">
        <v>28114</v>
      </c>
      <c r="F30" s="4">
        <v>818545</v>
      </c>
      <c r="G30" s="11" t="str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 city",CHOOSE({1,2}, Super_CBSA!$E$2:$E$1917, Super_CBSA!$A$2:$A$1917), 2,FALSE), ""))</f>
        <v/>
      </c>
    </row>
    <row r="31" spans="1:7" ht="17">
      <c r="A31" s="1" t="s">
        <v>4684</v>
      </c>
      <c r="B31" s="2" t="s">
        <v>186</v>
      </c>
      <c r="C31" s="2">
        <v>524</v>
      </c>
      <c r="D31" s="3">
        <v>24873</v>
      </c>
      <c r="E31" s="3">
        <v>145209</v>
      </c>
      <c r="F31" s="4">
        <v>3311647</v>
      </c>
      <c r="G31" s="11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 city",CHOOSE({1,2}, Super_CBSA!$E$2:$E$1917, Super_CBSA!$A$2:$A$1917), 2,FALSE), ""))</f>
        <v>22500</v>
      </c>
    </row>
    <row r="32" spans="1:7" ht="17">
      <c r="A32" s="1" t="s">
        <v>4685</v>
      </c>
      <c r="B32" s="2" t="s">
        <v>4644</v>
      </c>
      <c r="C32" s="2">
        <v>0</v>
      </c>
      <c r="D32" s="2">
        <v>0</v>
      </c>
      <c r="E32" s="2">
        <v>0</v>
      </c>
      <c r="F32" s="4">
        <v>0</v>
      </c>
      <c r="G32" s="11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 city",CHOOSE({1,2}, Super_CBSA!$E$2:$E$1917, Super_CBSA!$A$2:$A$1917), 2,FALSE), ""))</f>
        <v>16700</v>
      </c>
    </row>
    <row r="33" spans="1:7" ht="17">
      <c r="A33" s="1" t="s">
        <v>4686</v>
      </c>
      <c r="B33" s="2" t="s">
        <v>4687</v>
      </c>
      <c r="C33" s="2">
        <v>122</v>
      </c>
      <c r="D33" s="2">
        <v>888</v>
      </c>
      <c r="E33" s="3">
        <v>3123</v>
      </c>
      <c r="F33" s="4">
        <v>151583</v>
      </c>
      <c r="G33" s="11" t="str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 city",CHOOSE({1,2}, Super_CBSA!$E$2:$E$1917, Super_CBSA!$A$2:$A$1917), 2,FALSE), ""))</f>
        <v/>
      </c>
    </row>
    <row r="34" spans="1:7" ht="17">
      <c r="A34" s="1" t="s">
        <v>4688</v>
      </c>
      <c r="B34" s="2" t="s">
        <v>186</v>
      </c>
      <c r="C34" s="2">
        <v>396</v>
      </c>
      <c r="D34" s="3">
        <v>10477</v>
      </c>
      <c r="E34" s="3">
        <v>55350</v>
      </c>
      <c r="F34" s="4">
        <v>2142409</v>
      </c>
      <c r="G34" s="11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 city",CHOOSE({1,2}, Super_CBSA!$E$2:$E$1917, Super_CBSA!$A$2:$A$1917), 2,FALSE), ""))</f>
        <v>22500</v>
      </c>
    </row>
    <row r="35" spans="1:7" ht="17">
      <c r="A35" s="1" t="s">
        <v>4689</v>
      </c>
      <c r="B35" s="2" t="s">
        <v>483</v>
      </c>
      <c r="C35" s="2">
        <v>215</v>
      </c>
      <c r="D35" s="3">
        <v>4382</v>
      </c>
      <c r="E35" s="3">
        <v>18453</v>
      </c>
      <c r="F35" s="4">
        <v>1000576</v>
      </c>
      <c r="G35" s="11" t="str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 city",CHOOSE({1,2}, Super_CBSA!$E$2:$E$1917, Super_CBSA!$A$2:$A$1917), 2,FALSE), ""))</f>
        <v/>
      </c>
    </row>
    <row r="36" spans="1:7" ht="17">
      <c r="A36" s="1" t="s">
        <v>4690</v>
      </c>
      <c r="B36" s="2" t="s">
        <v>4691</v>
      </c>
      <c r="C36" s="2">
        <v>94</v>
      </c>
      <c r="D36" s="3">
        <v>1992</v>
      </c>
      <c r="E36" s="3">
        <v>8134</v>
      </c>
      <c r="F36" s="4">
        <v>241992</v>
      </c>
      <c r="G36" s="11" t="str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 city",CHOOSE({1,2}, Super_CBSA!$E$2:$E$1917, Super_CBSA!$A$2:$A$1917), 2,FALSE), ""))</f>
        <v/>
      </c>
    </row>
    <row r="37" spans="1:7" ht="17">
      <c r="A37" s="1" t="s">
        <v>4692</v>
      </c>
      <c r="B37" s="2" t="s">
        <v>4644</v>
      </c>
      <c r="C37" s="2">
        <v>783</v>
      </c>
      <c r="D37" s="3">
        <v>35919</v>
      </c>
      <c r="E37" s="3">
        <v>216912</v>
      </c>
      <c r="F37" s="4">
        <v>4915839</v>
      </c>
      <c r="G37" s="11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 city",CHOOSE({1,2}, Super_CBSA!$E$2:$E$1917, Super_CBSA!$A$2:$A$1917), 2,FALSE), ""))</f>
        <v>16700</v>
      </c>
    </row>
    <row r="38" spans="1:7" ht="17">
      <c r="A38" s="1" t="s">
        <v>4693</v>
      </c>
      <c r="B38" s="2" t="s">
        <v>4644</v>
      </c>
      <c r="C38" s="2">
        <v>0</v>
      </c>
      <c r="D38" s="2">
        <v>0</v>
      </c>
      <c r="E38" s="2">
        <v>0</v>
      </c>
      <c r="F38" s="4">
        <v>0</v>
      </c>
      <c r="G38" s="11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 city",CHOOSE({1,2}, Super_CBSA!$E$2:$E$1917, Super_CBSA!$A$2:$A$1917), 2,FALSE), ""))</f>
        <v>16700</v>
      </c>
    </row>
    <row r="39" spans="1:7" ht="17">
      <c r="A39" s="1" t="s">
        <v>4694</v>
      </c>
      <c r="B39" s="2" t="s">
        <v>4642</v>
      </c>
      <c r="C39" s="2">
        <v>0</v>
      </c>
      <c r="D39" s="2">
        <v>0</v>
      </c>
      <c r="E39" s="2">
        <v>0</v>
      </c>
      <c r="F39" s="4">
        <v>0</v>
      </c>
      <c r="G39" s="11" t="str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 city",CHOOSE({1,2}, Super_CBSA!$E$2:$E$1917, Super_CBSA!$A$2:$A$1917), 2,FALSE), ""))</f>
        <v/>
      </c>
    </row>
    <row r="40" spans="1:7" ht="17">
      <c r="A40" s="1" t="s">
        <v>4695</v>
      </c>
      <c r="B40" s="2" t="s">
        <v>4696</v>
      </c>
      <c r="C40" s="2">
        <v>48</v>
      </c>
      <c r="D40" s="3">
        <v>1934</v>
      </c>
      <c r="E40" s="3">
        <v>6713</v>
      </c>
      <c r="F40" s="4">
        <v>173095</v>
      </c>
      <c r="G40" s="11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 city",CHOOSE({1,2}, Super_CBSA!$E$2:$E$1917, Super_CBSA!$A$2:$A$1917), 2,FALSE), ""))</f>
        <v>35140</v>
      </c>
    </row>
    <row r="41" spans="1:7" ht="17">
      <c r="A41" s="1" t="s">
        <v>4697</v>
      </c>
      <c r="B41" s="2" t="s">
        <v>4580</v>
      </c>
      <c r="C41" s="2">
        <v>253</v>
      </c>
      <c r="D41" s="3">
        <v>4855</v>
      </c>
      <c r="E41" s="3">
        <v>20456</v>
      </c>
      <c r="F41" s="4">
        <v>484524</v>
      </c>
      <c r="G41" s="11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 city",CHOOSE({1,2}, Super_CBSA!$E$2:$E$1917, Super_CBSA!$A$2:$A$1917), 2,FALSE), ""))</f>
        <v>42860</v>
      </c>
    </row>
    <row r="42" spans="1:7" ht="17">
      <c r="A42" s="1" t="s">
        <v>4698</v>
      </c>
      <c r="B42" s="2" t="s">
        <v>200</v>
      </c>
      <c r="C42" s="2">
        <v>62</v>
      </c>
      <c r="D42" s="3">
        <v>5940</v>
      </c>
      <c r="E42" s="3">
        <v>10135</v>
      </c>
      <c r="F42" s="4">
        <v>480394</v>
      </c>
      <c r="G42" s="11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 city",CHOOSE({1,2}, Super_CBSA!$E$2:$E$1917, Super_CBSA!$A$2:$A$1917), 2,FALSE), ""))</f>
        <v>24860</v>
      </c>
    </row>
    <row r="43" spans="1:7" ht="17">
      <c r="A43" s="1" t="s">
        <v>4699</v>
      </c>
      <c r="B43" s="2" t="s">
        <v>4660</v>
      </c>
      <c r="C43" s="2">
        <v>48</v>
      </c>
      <c r="D43" s="3">
        <v>2599</v>
      </c>
      <c r="E43" s="3">
        <v>9727</v>
      </c>
      <c r="F43" s="4">
        <v>333947</v>
      </c>
      <c r="G43" s="11" t="str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 city",CHOOSE({1,2}, Super_CBSA!$E$2:$E$1917, Super_CBSA!$A$2:$A$1917), 2,FALSE), ""))</f>
        <v/>
      </c>
    </row>
    <row r="44" spans="1:7" ht="17">
      <c r="A44" s="1" t="s">
        <v>4700</v>
      </c>
      <c r="B44" s="2" t="s">
        <v>4701</v>
      </c>
      <c r="C44" s="2">
        <v>288</v>
      </c>
      <c r="D44" s="3">
        <v>14485</v>
      </c>
      <c r="E44" s="3">
        <v>70044</v>
      </c>
      <c r="F44" s="4">
        <v>1753560</v>
      </c>
      <c r="G44" s="11" t="str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 city",CHOOSE({1,2}, Super_CBSA!$E$2:$E$1917, Super_CBSA!$A$2:$A$1917), 2,FALSE), ""))</f>
        <v/>
      </c>
    </row>
    <row r="45" spans="1:7" ht="17">
      <c r="A45" s="1" t="s">
        <v>4702</v>
      </c>
      <c r="B45" s="2" t="s">
        <v>2340</v>
      </c>
      <c r="C45" s="2">
        <v>330</v>
      </c>
      <c r="D45" s="3">
        <v>11249</v>
      </c>
      <c r="E45" s="3">
        <v>62300</v>
      </c>
      <c r="F45" s="4">
        <v>1138935</v>
      </c>
      <c r="G45" s="11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 city",CHOOSE({1,2}, Super_CBSA!$E$2:$E$1917, Super_CBSA!$A$2:$A$1917), 2,FALSE), ""))</f>
        <v>17900</v>
      </c>
    </row>
    <row r="46" spans="1:7" ht="17">
      <c r="A46" s="1" t="s">
        <v>4703</v>
      </c>
      <c r="B46" s="2" t="s">
        <v>2340</v>
      </c>
      <c r="C46" s="2">
        <v>70</v>
      </c>
      <c r="D46" s="3">
        <v>3997</v>
      </c>
      <c r="E46" s="3">
        <v>16745</v>
      </c>
      <c r="F46" s="4">
        <v>596333</v>
      </c>
      <c r="G46" s="11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 city",CHOOSE({1,2}, Super_CBSA!$E$2:$E$1917, Super_CBSA!$A$2:$A$1917), 2,FALSE), ""))</f>
        <v>17900</v>
      </c>
    </row>
    <row r="47" spans="1:7" ht="17">
      <c r="A47" s="1" t="s">
        <v>4704</v>
      </c>
      <c r="B47" s="2" t="s">
        <v>2340</v>
      </c>
      <c r="C47" s="2">
        <v>0</v>
      </c>
      <c r="D47" s="2">
        <v>0</v>
      </c>
      <c r="E47" s="2">
        <v>0</v>
      </c>
      <c r="F47" s="4">
        <v>0</v>
      </c>
      <c r="G47" s="11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 city",CHOOSE({1,2}, Super_CBSA!$E$2:$E$1917, Super_CBSA!$A$2:$A$1917), 2,FALSE), ""))</f>
        <v>17900</v>
      </c>
    </row>
    <row r="48" spans="1:7" ht="17">
      <c r="A48" s="1" t="s">
        <v>4705</v>
      </c>
      <c r="B48" s="2" t="s">
        <v>2340</v>
      </c>
      <c r="C48" s="2">
        <v>657</v>
      </c>
      <c r="D48" s="3">
        <v>25097</v>
      </c>
      <c r="E48" s="3">
        <v>174126</v>
      </c>
      <c r="F48" s="4">
        <v>3412911</v>
      </c>
      <c r="G48" s="11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 city",CHOOSE({1,2}, Super_CBSA!$E$2:$E$1917, Super_CBSA!$A$2:$A$1917), 2,FALSE), ""))</f>
        <v>17900</v>
      </c>
    </row>
    <row r="49" spans="1:7" ht="17">
      <c r="A49" s="1" t="s">
        <v>4706</v>
      </c>
      <c r="B49" s="2" t="s">
        <v>4707</v>
      </c>
      <c r="C49" s="2">
        <v>196</v>
      </c>
      <c r="D49" s="3">
        <v>8602</v>
      </c>
      <c r="E49" s="3">
        <v>46760</v>
      </c>
      <c r="F49" s="4">
        <v>669656</v>
      </c>
      <c r="G49" s="11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 city",CHOOSE({1,2}, Super_CBSA!$E$2:$E$1917, Super_CBSA!$A$2:$A$1917), 2,FALSE), ""))</f>
        <v>44940</v>
      </c>
    </row>
    <row r="50" spans="1:7" ht="17">
      <c r="A50" s="1" t="s">
        <v>4708</v>
      </c>
      <c r="B50" s="2" t="s">
        <v>2340</v>
      </c>
      <c r="C50" s="2">
        <v>332</v>
      </c>
      <c r="D50" s="3">
        <v>6190</v>
      </c>
      <c r="E50" s="3">
        <v>39251</v>
      </c>
      <c r="F50" s="4">
        <v>1012656</v>
      </c>
      <c r="G50" s="11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 city",CHOOSE({1,2}, Super_CBSA!$E$2:$E$1917, Super_CBSA!$A$2:$A$1917), 2,FALSE), ""))</f>
        <v>17900</v>
      </c>
    </row>
    <row r="51" spans="1:7" ht="17">
      <c r="A51" s="1" t="s">
        <v>4709</v>
      </c>
      <c r="B51" s="2" t="s">
        <v>2340</v>
      </c>
      <c r="C51" s="2">
        <v>0</v>
      </c>
      <c r="D51" s="2">
        <v>0</v>
      </c>
      <c r="E51" s="2">
        <v>0</v>
      </c>
      <c r="F51" s="4">
        <v>0</v>
      </c>
      <c r="G51" s="11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 city",CHOOSE({1,2}, Super_CBSA!$E$2:$E$1917, Super_CBSA!$A$2:$A$1917), 2,FALSE), ""))</f>
        <v>17900</v>
      </c>
    </row>
    <row r="52" spans="1:7" ht="17">
      <c r="A52" s="1" t="s">
        <v>4710</v>
      </c>
      <c r="B52" s="2" t="s">
        <v>4644</v>
      </c>
      <c r="C52" s="2">
        <v>0</v>
      </c>
      <c r="D52" s="2">
        <v>0</v>
      </c>
      <c r="E52" s="2">
        <v>0</v>
      </c>
      <c r="F52" s="4">
        <v>0</v>
      </c>
      <c r="G52" s="11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 city",CHOOSE({1,2}, Super_CBSA!$E$2:$E$1917, Super_CBSA!$A$2:$A$1917), 2,FALSE), ""))</f>
        <v>16700</v>
      </c>
    </row>
    <row r="53" spans="1:7" ht="17">
      <c r="A53" s="1" t="s">
        <v>1034</v>
      </c>
      <c r="B53" s="2" t="s">
        <v>4711</v>
      </c>
      <c r="C53" s="2">
        <v>286</v>
      </c>
      <c r="D53" s="3">
        <v>8111</v>
      </c>
      <c r="E53" s="3">
        <v>43230</v>
      </c>
      <c r="F53" s="4">
        <v>804599</v>
      </c>
      <c r="G53" s="11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 city",CHOOSE({1,2}, Super_CBSA!$E$2:$E$1917, Super_CBSA!$A$2:$A$1917), 2,FALSE), ""))</f>
        <v>36700</v>
      </c>
    </row>
    <row r="54" spans="1:7" ht="17">
      <c r="A54" s="1" t="s">
        <v>4712</v>
      </c>
      <c r="B54" s="2" t="s">
        <v>4644</v>
      </c>
      <c r="C54" s="2">
        <v>382</v>
      </c>
      <c r="D54" s="3">
        <v>11062</v>
      </c>
      <c r="E54" s="3">
        <v>54369</v>
      </c>
      <c r="F54" s="4">
        <v>1164987</v>
      </c>
      <c r="G54" s="11" cm="1">
        <f t="array" aca="1" ref="G54" ca="1">IFERROR(VLOOKUP("*" &amp; B54  &amp; "*" &amp; (MID(CELL("filename",A53),FIND("]",CELL("filename",A53))+1,31)) &amp; "*",CHOOSE({1,2}, Super_CBSA!$B$2:$B$1917, Super_CBSA!$A$2:$A$1917), 2,FALSE), IFERROR(VLOOKUP(B54  &amp; " city",CHOOSE({1,2}, Super_CBSA!$E$2:$E$1917, Super_CBSA!$A$2:$A$1917), 2,FALSE), ""))</f>
        <v>16700</v>
      </c>
    </row>
    <row r="55" spans="1:7" ht="17">
      <c r="A55" s="1" t="s">
        <v>4713</v>
      </c>
      <c r="B55" s="2" t="s">
        <v>4644</v>
      </c>
      <c r="C55" s="2">
        <v>0</v>
      </c>
      <c r="D55" s="2">
        <v>0</v>
      </c>
      <c r="E55" s="2">
        <v>0</v>
      </c>
      <c r="F55" s="4">
        <v>0</v>
      </c>
      <c r="G55" s="11" cm="1">
        <f t="array" aca="1" ref="G55" ca="1">IFERROR(VLOOKUP("*" &amp; B55  &amp; "*" &amp; (MID(CELL("filename",A54),FIND("]",CELL("filename",A54))+1,31)) &amp; "*",CHOOSE({1,2}, Super_CBSA!$B$2:$B$1917, Super_CBSA!$A$2:$A$1917), 2,FALSE), IFERROR(VLOOKUP(B55  &amp; " city",CHOOSE({1,2}, Super_CBSA!$E$2:$E$1917, Super_CBSA!$A$2:$A$1917), 2,FALSE), ""))</f>
        <v>16700</v>
      </c>
    </row>
    <row r="56" spans="1:7" ht="17">
      <c r="A56" s="1" t="s">
        <v>4714</v>
      </c>
      <c r="B56" s="2" t="s">
        <v>4715</v>
      </c>
      <c r="C56" s="2">
        <v>0</v>
      </c>
      <c r="D56" s="2">
        <v>0</v>
      </c>
      <c r="E56" s="2">
        <v>0</v>
      </c>
      <c r="F56" s="4">
        <v>0</v>
      </c>
      <c r="G56" s="11" t="str" cm="1">
        <f t="array" aca="1" ref="G56" ca="1">IFERROR(VLOOKUP("*" &amp; B56  &amp; "*" &amp; (MID(CELL("filename",A55),FIND("]",CELL("filename",A55))+1,31)) &amp; "*",CHOOSE({1,2}, Super_CBSA!$B$2:$B$1917, Super_CBSA!$A$2:$A$1917), 2,FALSE), IFERROR(VLOOKUP(B56  &amp; " city",CHOOSE({1,2}, Super_CBSA!$E$2:$E$1917, Super_CBSA!$A$2:$A$1917), 2,FALSE), ""))</f>
        <v/>
      </c>
    </row>
    <row r="57" spans="1:7" ht="17">
      <c r="A57" s="1" t="s">
        <v>4716</v>
      </c>
      <c r="B57" s="2" t="s">
        <v>2819</v>
      </c>
      <c r="C57" s="2">
        <v>84</v>
      </c>
      <c r="D57" s="3">
        <v>2747</v>
      </c>
      <c r="E57" s="3">
        <v>9280</v>
      </c>
      <c r="F57" s="4">
        <v>252833</v>
      </c>
      <c r="G57" s="11" t="str" cm="1">
        <f t="array" aca="1" ref="G57" ca="1">IFERROR(VLOOKUP("*" &amp; B57  &amp; "*" &amp; (MID(CELL("filename",A56),FIND("]",CELL("filename",A56))+1,31)) &amp; "*",CHOOSE({1,2}, Super_CBSA!$B$2:$B$1917, Super_CBSA!$A$2:$A$1917), 2,FALSE), IFERROR(VLOOKUP(B57  &amp; " city",CHOOSE({1,2}, Super_CBSA!$E$2:$E$1917, Super_CBSA!$A$2:$A$1917), 2,FALSE), ""))</f>
        <v/>
      </c>
    </row>
    <row r="58" spans="1:7" ht="17">
      <c r="A58" s="1" t="s">
        <v>4717</v>
      </c>
      <c r="B58" s="2" t="s">
        <v>200</v>
      </c>
      <c r="C58" s="2">
        <v>338</v>
      </c>
      <c r="D58" s="3">
        <v>18978</v>
      </c>
      <c r="E58" s="3">
        <v>87037</v>
      </c>
      <c r="F58" s="4">
        <v>3447852</v>
      </c>
      <c r="G58" s="11" cm="1">
        <f t="array" aca="1" ref="G58" ca="1">IFERROR(VLOOKUP("*" &amp; B58  &amp; "*" &amp; (MID(CELL("filename",A57),FIND("]",CELL("filename",A57))+1,31)) &amp; "*",CHOOSE({1,2}, Super_CBSA!$B$2:$B$1917, Super_CBSA!$A$2:$A$1917), 2,FALSE), IFERROR(VLOOKUP(B58  &amp; " city",CHOOSE({1,2}, Super_CBSA!$E$2:$E$1917, Super_CBSA!$A$2:$A$1917), 2,FALSE), ""))</f>
        <v>24860</v>
      </c>
    </row>
    <row r="59" spans="1:7" ht="17">
      <c r="A59" s="1" t="s">
        <v>4718</v>
      </c>
      <c r="B59" s="2" t="s">
        <v>200</v>
      </c>
      <c r="C59" s="2">
        <v>0</v>
      </c>
      <c r="D59" s="2">
        <v>0</v>
      </c>
      <c r="E59" s="2">
        <v>0</v>
      </c>
      <c r="F59" s="4">
        <v>0</v>
      </c>
      <c r="G59" s="11" cm="1">
        <f t="array" aca="1" ref="G59" ca="1">IFERROR(VLOOKUP("*" &amp; B59  &amp; "*" &amp; (MID(CELL("filename",A58),FIND("]",CELL("filename",A58))+1,31)) &amp; "*",CHOOSE({1,2}, Super_CBSA!$B$2:$B$1917, Super_CBSA!$A$2:$A$1917), 2,FALSE), IFERROR(VLOOKUP(B59  &amp; " city",CHOOSE({1,2}, Super_CBSA!$E$2:$E$1917, Super_CBSA!$A$2:$A$1917), 2,FALSE), ""))</f>
        <v>24860</v>
      </c>
    </row>
    <row r="60" spans="1:7" ht="17">
      <c r="A60" s="1" t="s">
        <v>4719</v>
      </c>
      <c r="B60" s="2" t="s">
        <v>3143</v>
      </c>
      <c r="C60" s="2">
        <v>322</v>
      </c>
      <c r="D60" s="3">
        <v>10945</v>
      </c>
      <c r="E60" s="3">
        <v>54152</v>
      </c>
      <c r="F60" s="4">
        <v>1164141</v>
      </c>
      <c r="G60" s="11" cm="1">
        <f t="array" aca="1" ref="G60" ca="1">IFERROR(VLOOKUP("*" &amp; B60  &amp; "*" &amp; (MID(CELL("filename",A59),FIND("]",CELL("filename",A59))+1,31)) &amp; "*",CHOOSE({1,2}, Super_CBSA!$B$2:$B$1917, Super_CBSA!$A$2:$A$1917), 2,FALSE), IFERROR(VLOOKUP(B60  &amp; " city",CHOOSE({1,2}, Super_CBSA!$E$2:$E$1917, Super_CBSA!$A$2:$A$1917), 2,FALSE), ""))</f>
        <v>24940</v>
      </c>
    </row>
    <row r="61" spans="1:7" ht="17">
      <c r="A61" s="1" t="s">
        <v>4720</v>
      </c>
      <c r="B61" s="2" t="s">
        <v>4721</v>
      </c>
      <c r="C61" s="2">
        <v>668</v>
      </c>
      <c r="D61" s="3">
        <v>29891</v>
      </c>
      <c r="E61" s="3">
        <v>175056</v>
      </c>
      <c r="F61" s="4">
        <v>3495988</v>
      </c>
      <c r="G61" s="11" cm="1">
        <f t="array" aca="1" ref="G61" ca="1">IFERROR(VLOOKUP("*" &amp; B61  &amp; "*" &amp; (MID(CELL("filename",A60),FIND("]",CELL("filename",A60))+1,31)) &amp; "*",CHOOSE({1,2}, Super_CBSA!$B$2:$B$1917, Super_CBSA!$A$2:$A$1917), 2,FALSE), IFERROR(VLOOKUP(B61  &amp; " city",CHOOSE({1,2}, Super_CBSA!$E$2:$E$1917, Super_CBSA!$A$2:$A$1917), 2,FALSE), ""))</f>
        <v>43900</v>
      </c>
    </row>
    <row r="62" spans="1:7" ht="17">
      <c r="A62" s="1" t="s">
        <v>4722</v>
      </c>
      <c r="B62" s="2" t="s">
        <v>4721</v>
      </c>
      <c r="C62" s="2">
        <v>145</v>
      </c>
      <c r="D62" s="3">
        <v>5927</v>
      </c>
      <c r="E62" s="3">
        <v>20678</v>
      </c>
      <c r="F62" s="4">
        <v>790835</v>
      </c>
      <c r="G62" s="11" cm="1">
        <f t="array" aca="1" ref="G62" ca="1">IFERROR(VLOOKUP("*" &amp; B62  &amp; "*" &amp; (MID(CELL("filename",A61),FIND("]",CELL("filename",A61))+1,31)) &amp; "*",CHOOSE({1,2}, Super_CBSA!$B$2:$B$1917, Super_CBSA!$A$2:$A$1917), 2,FALSE), IFERROR(VLOOKUP(B62  &amp; " city",CHOOSE({1,2}, Super_CBSA!$E$2:$E$1917, Super_CBSA!$A$2:$A$1917), 2,FALSE), ""))</f>
        <v>43900</v>
      </c>
    </row>
    <row r="63" spans="1:7" ht="17">
      <c r="A63" s="1" t="s">
        <v>4723</v>
      </c>
      <c r="B63" s="2" t="s">
        <v>4715</v>
      </c>
      <c r="C63" s="2">
        <v>0</v>
      </c>
      <c r="D63" s="2">
        <v>0</v>
      </c>
      <c r="E63" s="2">
        <v>0</v>
      </c>
      <c r="F63" s="4">
        <v>0</v>
      </c>
      <c r="G63" s="11" t="str" cm="1">
        <f t="array" aca="1" ref="G63" ca="1">IFERROR(VLOOKUP("*" &amp; B63  &amp; "*" &amp; (MID(CELL("filename",A62),FIND("]",CELL("filename",A62))+1,31)) &amp; "*",CHOOSE({1,2}, Super_CBSA!$B$2:$B$1917, Super_CBSA!$A$2:$A$1917), 2,FALSE), IFERROR(VLOOKUP(B63  &amp; " city",CHOOSE({1,2}, Super_CBSA!$E$2:$E$1917, Super_CBSA!$A$2:$A$1917), 2,FALSE), ""))</f>
        <v/>
      </c>
    </row>
    <row r="64" spans="1:7" ht="17">
      <c r="A64" s="1" t="s">
        <v>4724</v>
      </c>
      <c r="B64" s="2" t="s">
        <v>2281</v>
      </c>
      <c r="C64" s="2">
        <v>131</v>
      </c>
      <c r="D64" s="3">
        <v>3838</v>
      </c>
      <c r="E64" s="3">
        <v>16600</v>
      </c>
      <c r="F64" s="4">
        <v>585714</v>
      </c>
      <c r="G64" s="11" cm="1">
        <f t="array" aca="1" ref="G64" ca="1">IFERROR(VLOOKUP("*" &amp; B64  &amp; "*" &amp; (MID(CELL("filename",A63),FIND("]",CELL("filename",A63))+1,31)) &amp; "*",CHOOSE({1,2}, Super_CBSA!$B$2:$B$1917, Super_CBSA!$A$2:$A$1917), 2,FALSE), IFERROR(VLOOKUP(B64  &amp; " city",CHOOSE({1,2}, Super_CBSA!$E$2:$E$1917, Super_CBSA!$A$2:$A$1917), 2,FALSE), ""))</f>
        <v>23860</v>
      </c>
    </row>
    <row r="65" spans="1:7" ht="17">
      <c r="A65" s="1" t="s">
        <v>4725</v>
      </c>
      <c r="B65" s="2" t="s">
        <v>4726</v>
      </c>
      <c r="C65" s="2">
        <v>124</v>
      </c>
      <c r="D65" s="3">
        <v>6894</v>
      </c>
      <c r="E65" s="3">
        <v>25197</v>
      </c>
      <c r="F65" s="4">
        <v>626589</v>
      </c>
      <c r="G65" s="11" t="str" cm="1">
        <f t="array" aca="1" ref="G65" ca="1">IFERROR(VLOOKUP("*" &amp; B65  &amp; "*" &amp; (MID(CELL("filename",A64),FIND("]",CELL("filename",A64))+1,31)) &amp; "*",CHOOSE({1,2}, Super_CBSA!$B$2:$B$1917, Super_CBSA!$A$2:$A$1917), 2,FALSE), IFERROR(VLOOKUP(B65  &amp; " city",CHOOSE({1,2}, Super_CBSA!$E$2:$E$1917, Super_CBSA!$A$2:$A$1917), 2,FALSE), ""))</f>
        <v/>
      </c>
    </row>
    <row r="66" spans="1:7" ht="17">
      <c r="A66" s="1" t="s">
        <v>4727</v>
      </c>
      <c r="B66" s="2" t="s">
        <v>4644</v>
      </c>
      <c r="C66" s="2">
        <v>451</v>
      </c>
      <c r="D66" s="3">
        <v>25401</v>
      </c>
      <c r="E66" s="3">
        <v>115709</v>
      </c>
      <c r="F66" s="4">
        <v>4155513</v>
      </c>
      <c r="G66" s="11" cm="1">
        <f t="array" aca="1" ref="G66" ca="1">IFERROR(VLOOKUP("*" &amp; B66  &amp; "*" &amp; (MID(CELL("filename",A65),FIND("]",CELL("filename",A65))+1,31)) &amp; "*",CHOOSE({1,2}, Super_CBSA!$B$2:$B$1917, Super_CBSA!$A$2:$A$1917), 2,FALSE), IFERROR(VLOOKUP(B66  &amp; " city",CHOOSE({1,2}, Super_CBSA!$E$2:$E$1917, Super_CBSA!$A$2:$A$1917), 2,FALSE), ""))</f>
        <v>16700</v>
      </c>
    </row>
    <row r="67" spans="1:7" ht="17">
      <c r="A67" s="1" t="s">
        <v>4728</v>
      </c>
      <c r="B67" s="2" t="s">
        <v>4729</v>
      </c>
      <c r="C67" s="2">
        <v>43</v>
      </c>
      <c r="D67" s="2">
        <v>379</v>
      </c>
      <c r="E67" s="3">
        <v>2413</v>
      </c>
      <c r="F67" s="4">
        <v>91327</v>
      </c>
      <c r="G67" s="11" cm="1">
        <f t="array" aca="1" ref="G67" ca="1">IFERROR(VLOOKUP("*" &amp; B67  &amp; "*" &amp; (MID(CELL("filename",A66),FIND("]",CELL("filename",A66))+1,31)) &amp; "*",CHOOSE({1,2}, Super_CBSA!$B$2:$B$1917, Super_CBSA!$A$2:$A$1917), 2,FALSE), IFERROR(VLOOKUP(B67  &amp; " city",CHOOSE({1,2}, Super_CBSA!$E$2:$E$1917, Super_CBSA!$A$2:$A$1917), 2,FALSE), ""))</f>
        <v>46420</v>
      </c>
    </row>
    <row r="68" spans="1:7" ht="17">
      <c r="A68" s="2" t="s">
        <v>56</v>
      </c>
      <c r="B68" s="2"/>
      <c r="C68" s="3">
        <v>11674</v>
      </c>
      <c r="D68" s="3">
        <v>475491</v>
      </c>
      <c r="E68" s="3">
        <v>2371867</v>
      </c>
      <c r="F68" s="4">
        <v>61673524</v>
      </c>
    </row>
  </sheetData>
  <hyperlinks>
    <hyperlink ref="A2" r:id="rId1" display="https://www.ahd.com/free_profile/420082/Aiken_Regional_Medical_Centers/Aiken/South_Carolina/" xr:uid="{DDFA6907-6978-124F-8B21-51FE29F614FA}"/>
    <hyperlink ref="A3" r:id="rId2" display="https://www.ahd.com/free_profile/420011/AnMed_Health_Cannon_/Pickens/South_Carolina/" xr:uid="{9C53A8D4-EB83-F247-8DBB-EBF891C42045}"/>
    <hyperlink ref="A4" r:id="rId3" display="https://www.ahd.com/free_profile/420027/AnMed_Health_Medical_Center/Anderson/South_Carolina/" xr:uid="{D2FB83C3-3269-C446-A477-F221B757166D}"/>
    <hyperlink ref="A5" r:id="rId4" display="https://www.ahd.com/free_profile/420015/Baptist_Easley_Hospital/Easley/South_Carolina/" xr:uid="{8A86D9F6-1463-9745-89F6-626668660908}"/>
    <hyperlink ref="A6" r:id="rId5" display="https://www.ahd.com/free_profile/420067/Beaufort_Memorial_Hospital/Beaufort/South_Carolina/" xr:uid="{2623D07B-064B-FB41-9B90-94B459C066BF}"/>
    <hyperlink ref="A7" r:id="rId6" display="https://www.ahd.com/free_profile/420065/Bon_Secours_Saint_Francis_Hospital/Charleston/South_Carolina/" xr:uid="{1852F015-5400-5F47-AA61-66D8F24ED845}"/>
    <hyperlink ref="A8" r:id="rId7" display="https://www.ahd.com/free_profile/420010/Carolina_Pines_Regional_Medical_Center/Hartsville/South_Carolina/" xr:uid="{7CA3B6D3-D624-B64C-A9C4-6AE513875333}"/>
    <hyperlink ref="A9" r:id="rId8" display="https://www.ahd.com/free_profile/420043/Cherokee_Medical_Center/Gaffney/South_Carolina/" xr:uid="{B7C07162-F0C2-0044-A189-D4C761E1A047}"/>
    <hyperlink ref="A10" r:id="rId9" display="https://www.ahd.com/free_profile/420101/Coastal_Carolina_Hospital/Hardeeville/South_Carolina/" xr:uid="{433E1C3D-C5E1-BB49-8A90-0600931423B2}"/>
    <hyperlink ref="A11" r:id="rId10" display="https://www.ahd.com/free_profile/420030/Colleton_Medical_Center/Walterboro/South_Carolina/" xr:uid="{BC081DCC-0B39-094A-BF7A-D4DF40C44DB9}"/>
    <hyperlink ref="A12" r:id="rId11" display="https://www.ahd.com/free_profile/42011F/Columbia_VA_Health_Care_System/Columbia/South_Carolina/" xr:uid="{DDEC3C50-EE28-C747-B246-BC9CFD5528E8}"/>
    <hyperlink ref="A13" r:id="rId12" display="https://www.ahd.com/free_profile/420049/Conway_Medical_Center/Conway/South_Carolina/" xr:uid="{93EB7A4C-C682-7E49-932E-55796CDEA134}"/>
    <hyperlink ref="A14" r:id="rId13" display="https://www.ahd.com/free_profile/420089/East_Cooper_Medical_Center/Mount_Pleasant/South_Carolina/" xr:uid="{7CB1F9BE-C3EB-B546-B2F1-CA9265DD9AC1}"/>
    <hyperlink ref="A15" r:id="rId14" display="https://www.ahd.com/free_profile/420085/Grand_Strand_Regional_Medical_Center/Myrtle_Beach/South_Carolina/" xr:uid="{03DDE8BE-86DA-174C-A9C5-03E7DE0862FE}"/>
    <hyperlink ref="A16" r:id="rId15" display="https://www.ahd.com/free_profile/420078/Greenville_Memorial_Hospital/Greenville/South_Carolina/" xr:uid="{FE535030-C8EC-8B44-B47B-69F25C28ADC7}"/>
    <hyperlink ref="A17" r:id="rId16" display="https://www.ahd.com/free_profile/420033/Greer_Memorial_Hospital/Greer/South_Carolina/" xr:uid="{8326915D-390A-A749-9692-D44ECAD54F10}"/>
    <hyperlink ref="A18" r:id="rId17" display="https://www.ahd.com/free_profile/420072/Hampton_Regional_Medical_Center/Varnville/South_Carolina/" xr:uid="{68691FFF-5B9F-2D42-A1DE-EF758D85981C}"/>
    <hyperlink ref="A19" r:id="rId18" display="https://www.ahd.com/free_profile/420037/Hillcrest_Memorial_Hospital/Simpsonville/South_Carolina/" xr:uid="{9B1554DF-8486-9B45-BAF3-F61F387192A5}"/>
    <hyperlink ref="A20" r:id="rId19" display="https://www.ahd.com/free_profile/420080/Hilton_Head_Hospital/Hilton_Head/South_Carolina/" xr:uid="{AB3420D7-2D21-874B-91A4-4DC890AFBC92}"/>
    <hyperlink ref="A21" r:id="rId20" display="https://www.ahd.com/free_profile/420048/Kershaw_Health_Medical_Center/Camden/South_Carolina/" xr:uid="{A123F8A8-02A4-604E-A936-6A834113ECF5}"/>
    <hyperlink ref="A22" r:id="rId21" display="https://www.ahd.com/free_profile/420066/Lake_City_Community_Hospital/Lake_City/South_Carolina/" xr:uid="{6BC55270-4DDA-F941-B9D0-60E278D9F222}"/>
    <hyperlink ref="A23" r:id="rId22" display="https://www.ahd.com/free_profile/420038/Laurens_County_Hospital/Clinton/South_Carolina/" xr:uid="{94B08975-5CC9-5E40-8068-5721701C4D4D}"/>
    <hyperlink ref="A24" r:id="rId23" display="https://www.ahd.com/free_profile/420073/Lexington_Medical_Center/West_Columbia/South_Carolina/" xr:uid="{365409E1-9395-A04F-B046-A3F4E8AADCFA}"/>
    <hyperlink ref="A25" r:id="rId24" display="https://www.ahd.com/free_profile/420057/McLeod_Darlington/Darlington/South_Carolina/" xr:uid="{71E1D1B4-D222-BA49-94F4-A65378747AA6}"/>
    <hyperlink ref="A26" r:id="rId25" display="https://www.ahd.com/free_profile/420107/McLeod_Health_Cheraw/Cheraw/South_Carolina/" xr:uid="{867748F6-3C10-5441-91D4-6717BE7F9FBA}"/>
    <hyperlink ref="A27" r:id="rId26" display="https://www.ahd.com/free_profile/420109/McLeod_Health_Clarendon/Manning/South_Carolina/" xr:uid="{21660E5C-9731-9946-A365-510E52C43621}"/>
    <hyperlink ref="A28" r:id="rId27" display="https://www.ahd.com/free_profile/420005/McLeod_Health_Dillon/Dillon/South_Carolina/" xr:uid="{084CF130-A0D8-0745-BD25-8D9F7B425BAA}"/>
    <hyperlink ref="A29" r:id="rId28" display="https://www.ahd.com/free_profile/I41827/McLeod_Health_Seacoast/Little_River/South_Carolina/" xr:uid="{A47AA090-63BA-1C42-A5C1-6E251F5B5591}"/>
    <hyperlink ref="A30" r:id="rId29" display="https://www.ahd.com/free_profile/420105/McLeod_Loris/Loris/South_Carolina/" xr:uid="{EE3840E7-79B2-9647-A864-B3D2AC4DE09A}"/>
    <hyperlink ref="A31" r:id="rId30" display="https://www.ahd.com/free_profile/420051/McLeod_Regional_Medical_Center/Florence/South_Carolina/" xr:uid="{B480176D-89A1-3649-AED9-062A315206BA}"/>
    <hyperlink ref="A32" r:id="rId31" display="https://www.ahd.com/free_profile/I41685/MUSC_Health_Ashley_River_Tower/Charleston/South_Carolina/" xr:uid="{B6FB4CBC-5528-CC41-843F-EE6C3D90F973}"/>
    <hyperlink ref="A33" r:id="rId32" display="https://www.ahd.com/free_profile/420019/MUSC_Health_Chester_Medical_Center/Chester/South_Carolina/" xr:uid="{C5268863-9DDA-0347-B3D5-6EB466B4CEE0}"/>
    <hyperlink ref="A34" r:id="rId33" display="https://www.ahd.com/free_profile/420091/MUSC_Health_Florence_Medical_Center/Florence/South_Carolina/" xr:uid="{CDD9FB2E-3A29-D34C-9D09-19DACF048131}"/>
    <hyperlink ref="A35" r:id="rId34" display="https://www.ahd.com/free_profile/420036/MUSC_Health_Lancaster_Medical_Center/Lancaster/South_Carolina/" xr:uid="{96241A56-4B91-9C48-854B-66170099795F}"/>
    <hyperlink ref="A36" r:id="rId35" display="https://www.ahd.com/free_profile/420055/MUSC_Health_Marion_Medical_Center/Mullins/South_Carolina/" xr:uid="{F27FABA1-B498-CE4A-B3A5-6B2EB884E13A}"/>
    <hyperlink ref="A37" r:id="rId36" display="https://www.ahd.com/free_profile/420004/MUSC_Health_University_Hospital/Charleston/South_Carolina/" xr:uid="{4EE5BA46-A7B3-D546-BE41-A57BD461F6E4}"/>
    <hyperlink ref="A38" r:id="rId37" display="https://www.ahd.com/free_profile/I42374/MUSC_Shawn_Jenkins_Children%27s_Hospital_and_Pearl_Tourville_Women%27s_Pavilion/Charleston/South_Carolina/" xr:uid="{3E3498CC-72E0-F046-B46C-93BE324F597E}"/>
    <hyperlink ref="A39" r:id="rId38" display="https://www.ahd.com/free_profile/42009F/Naval_Hospital_Beaufort/Beaufort/South_Carolina/" xr:uid="{D357659E-ED7E-C641-8B03-F553C1215CDC}"/>
    <hyperlink ref="A40" r:id="rId39" display="https://www.ahd.com/free_profile/420053/Newberry_County_Memorial_Hospital/Newberry/South_Carolina/" xr:uid="{93B23CCB-CE11-1740-90D3-CAFBE3021C0C}"/>
    <hyperlink ref="A41" r:id="rId40" display="https://www.ahd.com/free_profile/420009/Oconee_Memorial_Hospital/Seneca/South_Carolina/" xr:uid="{AD6D3E06-B878-6F43-B326-F5F36A54FAD6}"/>
    <hyperlink ref="A42" r:id="rId41" display="https://www.ahd.com/free_profile/420102/Patewood_Hospital/Greenville/South_Carolina/" xr:uid="{89160C3A-4243-2D48-A29E-1CCC27CBFAAE}"/>
    <hyperlink ref="A43" r:id="rId42" display="https://www.ahd.com/free_profile/420103/Pelham_Medical_Center/Greer/South_Carolina/" xr:uid="{6EC04C87-7E47-AD42-B6C8-C338A87316F4}"/>
    <hyperlink ref="A44" r:id="rId43" display="https://www.ahd.com/free_profile/420002/Piedmont_Medical_Center/Rock_Hill/South_Carolina/" xr:uid="{78BD7C62-A9F3-D943-951B-C922781B08D0}"/>
    <hyperlink ref="A45" r:id="rId44" display="https://www.ahd.com/free_profile/420086/Prisma_Health_Baptist_Hospital/Columbia/South_Carolina/" xr:uid="{2AD7AB27-E97D-B049-8B67-F6926FC5D11E}"/>
    <hyperlink ref="A46" r:id="rId45" display="https://www.ahd.com/free_profile/420106/Prisma_Health_Baptist_Parkridge_Hospital_/Columbia/South_Carolina/" xr:uid="{D577BFBD-935B-054A-89A9-231D35B7856F}"/>
    <hyperlink ref="A47" r:id="rId46" display="https://www.ahd.com/free_profile/I41998/Prisma_Health_Heart_Hospital/Columbia/South_Carolina/" xr:uid="{88E27AF3-A74D-7443-BC50-5C2B7BE95BD2}"/>
    <hyperlink ref="A48" r:id="rId47" display="https://www.ahd.com/free_profile/420018/Prisma_Health_Richland_Hospital/Columbia/South_Carolina/" xr:uid="{5C7C8BFE-33AA-C544-B38C-0443E3C84B05}"/>
    <hyperlink ref="A49" r:id="rId48" display="https://www.ahd.com/free_profile/420070/Prisma_Health_Tuomey/Sumter/South_Carolina/" xr:uid="{EC22A3BE-46BD-6A45-93B4-48797DA14B4D}"/>
    <hyperlink ref="A50" r:id="rId49" display="https://www.ahd.com/free_profile/420026/Providence_Health/Columbia/South_Carolina/" xr:uid="{6D036F9E-2823-074C-8B73-18DB5226D0BF}"/>
    <hyperlink ref="A51" r:id="rId50" display="https://www.ahd.com/free_profile/I40993/Providence_Health_Northeast/Columbia/South_Carolina/" xr:uid="{F6C14CD1-7AD2-D84C-A133-DA1C245BDE6A}"/>
    <hyperlink ref="A52" r:id="rId51" display="https://www.ahd.com/free_profile/42029F/Ralph_H_Johnson_VA_Medical_Center/Charleston/South_Carolina/" xr:uid="{4E9946F4-EF82-A446-B8FF-66791B0CE06F}"/>
    <hyperlink ref="A53" r:id="rId52" display="https://www.ahd.com/free_profile/420068/Regional_Medical_Center_/Orangeburg/South_Carolina/" xr:uid="{180A489A-8814-354F-94C4-ABF65DA3F3A8}"/>
    <hyperlink ref="A54" r:id="rId53" display="https://www.ahd.com/free_profile/420087/Roper_Hospital/Charleston/South_Carolina/" xr:uid="{9B85A1E2-BA21-6F45-A280-058717B7B301}"/>
    <hyperlink ref="A55" r:id="rId54" display="https://www.ahd.com/free_profile/I42355/Roper_Rehabilitation_Hospital/Charleston/South_Carolina/" xr:uid="{BCC41C69-7BB2-A54C-AC3F-1A01D3EB0E60}"/>
    <hyperlink ref="A56" r:id="rId55" display="https://www.ahd.com/free_profile/420110/Roper_St_Francis_Berkeley_Hospital/Summerville/South_Carolina/" xr:uid="{4C77DCA8-AE06-E34B-9556-94C9FB2B846D}"/>
    <hyperlink ref="A57" r:id="rId56" display="https://www.ahd.com/free_profile/420104/Roper_St_Francis_Mount_Pleasant_Hospital/Mount_Pleasant/South_Carolina/" xr:uid="{3201FE65-A223-5F4D-AEAF-C357DF217038}"/>
    <hyperlink ref="A58" r:id="rId57" display="https://www.ahd.com/free_profile/420023/Saint_Francis_Downtown/Greenville/South_Carolina/" xr:uid="{4AC04E91-2563-264B-814E-95A4F6E583AD}"/>
    <hyperlink ref="A59" r:id="rId58" display="https://www.ahd.com/free_profile/I41418/Saint_Francis_Eastside/Greenville/South_Carolina/" xr:uid="{9BB76FB7-55F9-FF4E-8D3C-2335456FE54B}"/>
    <hyperlink ref="A60" r:id="rId59" display="https://www.ahd.com/free_profile/420071/Self_Regional_Healthcare/Greenwood/South_Carolina/" xr:uid="{702F521A-2467-A040-A73F-21E8F6CF615F}"/>
    <hyperlink ref="A61" r:id="rId60" display="https://www.ahd.com/free_profile/420007/Spartanburg_Medical_Center/Spartanburg/South_Carolina/" xr:uid="{14D2D8AD-482F-7D40-8F8E-7F0D70D48E12}"/>
    <hyperlink ref="A62" r:id="rId61" display="https://www.ahd.com/free_profile/420083/Spartanburg_Medical_Center_-_Mary_Black_Campus/Spartanburg/South_Carolina/" xr:uid="{F51AF68B-D9E7-EF42-8C83-9A6ACF2DF046}"/>
    <hyperlink ref="A63" r:id="rId62" display="https://www.ahd.com/free_profile/I07833/Summerville_Medical_Center/Summerville/South_Carolina/" xr:uid="{736D900A-162C-4345-BF31-F987C0ABA9C5}"/>
    <hyperlink ref="A64" r:id="rId63" display="https://www.ahd.com/free_profile/420020/Tidelands_Georgetown_Memorial_Hospital/Georgetown/South_Carolina/" xr:uid="{7C23AE02-0DC4-824E-BFA7-B0E3E3041A1C}"/>
    <hyperlink ref="A65" r:id="rId64" display="https://www.ahd.com/free_profile/420098/Tidelands_Waccamaw_Community_Hospital/Murrells_Inlet/South_Carolina/" xr:uid="{5C38D781-AF67-E848-A451-14F8348C3253}"/>
    <hyperlink ref="A66" r:id="rId65" display="https://www.ahd.com/free_profile/420079/Trident_Medical_Center/Charleston/South_Carolina/" xr:uid="{496FE5B9-AA21-824A-BD3E-51A50FC64189}"/>
    <hyperlink ref="A67" r:id="rId66" display="https://www.ahd.com/free_profile/420108/Union_Medical_Center/Union/South_Carolina/" xr:uid="{DFBCAAEA-51C0-494C-AB11-228B33141CC4}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8D456-9198-8941-A08C-ADA7E07BBA49}">
  <sheetPr codeName="Sheet43"/>
  <dimension ref="A1:G26"/>
  <sheetViews>
    <sheetView workbookViewId="0">
      <selection activeCell="G2" sqref="G2:G25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4730</v>
      </c>
      <c r="B2" s="2" t="s">
        <v>4731</v>
      </c>
      <c r="C2" s="2">
        <v>15</v>
      </c>
      <c r="D2" s="2">
        <v>290</v>
      </c>
      <c r="E2" s="2">
        <v>770</v>
      </c>
      <c r="F2" s="4">
        <v>29256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 city",CHOOSE({1,2}, Super_CBSA!$E$2:$E$1917, Super_CBSA!$A$2:$A$1917), 2,FALSE), ""))</f>
        <v>10100</v>
      </c>
    </row>
    <row r="3" spans="1:7" ht="17">
      <c r="A3" s="1" t="s">
        <v>4732</v>
      </c>
      <c r="B3" s="2" t="s">
        <v>4733</v>
      </c>
      <c r="C3" s="2">
        <v>10</v>
      </c>
      <c r="D3" s="2">
        <v>89</v>
      </c>
      <c r="E3" s="2">
        <v>206</v>
      </c>
      <c r="F3" s="4">
        <v>17836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 city",CHOOSE({1,2}, Super_CBSA!$E$2:$E$1917, Super_CBSA!$A$2:$A$1917), 2,FALSE), ""))</f>
        <v>49460</v>
      </c>
    </row>
    <row r="4" spans="1:7" ht="17">
      <c r="A4" s="1" t="s">
        <v>4734</v>
      </c>
      <c r="B4" s="2" t="s">
        <v>4735</v>
      </c>
      <c r="C4" s="2">
        <v>53</v>
      </c>
      <c r="D4" s="3">
        <v>2239</v>
      </c>
      <c r="E4" s="3">
        <v>8640</v>
      </c>
      <c r="F4" s="4">
        <v>412060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 city",CHOOSE({1,2}, Super_CBSA!$E$2:$E$1917, Super_CBSA!$A$2:$A$1917), 2,FALSE), ""))</f>
        <v>43620</v>
      </c>
    </row>
    <row r="5" spans="1:7" ht="17">
      <c r="A5" s="1" t="s">
        <v>4736</v>
      </c>
      <c r="B5" s="2" t="s">
        <v>4735</v>
      </c>
      <c r="C5" s="2">
        <v>607</v>
      </c>
      <c r="D5" s="3">
        <v>24800</v>
      </c>
      <c r="E5" s="3">
        <v>120894</v>
      </c>
      <c r="F5" s="4">
        <v>3216089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 city",CHOOSE({1,2}, Super_CBSA!$E$2:$E$1917, Super_CBSA!$A$2:$A$1917), 2,FALSE), ""))</f>
        <v>43620</v>
      </c>
    </row>
    <row r="6" spans="1:7" ht="17">
      <c r="A6" s="1" t="s">
        <v>4737</v>
      </c>
      <c r="B6" s="2" t="s">
        <v>4738</v>
      </c>
      <c r="C6" s="2">
        <v>134</v>
      </c>
      <c r="D6" s="3">
        <v>1741</v>
      </c>
      <c r="E6" s="3">
        <v>6050</v>
      </c>
      <c r="F6" s="4">
        <v>269437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 city",CHOOSE({1,2}, Super_CBSA!$E$2:$E$1917, Super_CBSA!$A$2:$A$1917), 2,FALSE), ""))</f>
        <v>33580</v>
      </c>
    </row>
    <row r="7" spans="1:7" ht="17">
      <c r="A7" s="1" t="s">
        <v>4739</v>
      </c>
      <c r="B7" s="2" t="s">
        <v>4733</v>
      </c>
      <c r="C7" s="2">
        <v>262</v>
      </c>
      <c r="D7" s="3">
        <v>3113</v>
      </c>
      <c r="E7" s="3">
        <v>10220</v>
      </c>
      <c r="F7" s="4">
        <v>325976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 city",CHOOSE({1,2}, Super_CBSA!$E$2:$E$1917, Super_CBSA!$A$2:$A$1917), 2,FALSE), ""))</f>
        <v>49460</v>
      </c>
    </row>
    <row r="8" spans="1:7" ht="17">
      <c r="A8" s="1" t="s">
        <v>4740</v>
      </c>
      <c r="B8" s="2" t="s">
        <v>4731</v>
      </c>
      <c r="C8" s="2">
        <v>196</v>
      </c>
      <c r="D8" s="3">
        <v>4083</v>
      </c>
      <c r="E8" s="3">
        <v>11098</v>
      </c>
      <c r="F8" s="4">
        <v>498437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 city",CHOOSE({1,2}, Super_CBSA!$E$2:$E$1917, Super_CBSA!$A$2:$A$1917), 2,FALSE), ""))</f>
        <v>10100</v>
      </c>
    </row>
    <row r="9" spans="1:7" ht="17">
      <c r="A9" s="1" t="s">
        <v>4741</v>
      </c>
      <c r="B9" s="2" t="s">
        <v>4742</v>
      </c>
      <c r="C9" s="2">
        <v>130</v>
      </c>
      <c r="D9" s="3">
        <v>1655</v>
      </c>
      <c r="E9" s="3">
        <v>4963</v>
      </c>
      <c r="F9" s="4">
        <v>258264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 city",CHOOSE({1,2}, Super_CBSA!$E$2:$E$1917, Super_CBSA!$A$2:$A$1917), 2,FALSE), ""))</f>
        <v>38180</v>
      </c>
    </row>
    <row r="10" spans="1:7" ht="17">
      <c r="A10" s="1" t="s">
        <v>4743</v>
      </c>
      <c r="B10" s="2" t="s">
        <v>4744</v>
      </c>
      <c r="C10" s="2">
        <v>26</v>
      </c>
      <c r="D10" s="3">
        <v>1799</v>
      </c>
      <c r="E10" s="3">
        <v>3899</v>
      </c>
      <c r="F10" s="4">
        <v>209185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 city",CHOOSE({1,2}, Super_CBSA!$E$2:$E$1917, Super_CBSA!$A$2:$A$1917), 2,FALSE), ""))</f>
        <v>39660</v>
      </c>
    </row>
    <row r="11" spans="1:7" ht="17">
      <c r="A11" s="1" t="s">
        <v>4745</v>
      </c>
      <c r="B11" s="2" t="s">
        <v>4746</v>
      </c>
      <c r="C11" s="2">
        <v>128</v>
      </c>
      <c r="D11" s="3">
        <v>1137</v>
      </c>
      <c r="E11" s="3">
        <v>3634</v>
      </c>
      <c r="F11" s="4">
        <v>132399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 city",CHOOSE({1,2}, Super_CBSA!$E$2:$E$1917, Super_CBSA!$A$2:$A$1917), 2,FALSE), ""))</f>
        <v>15100</v>
      </c>
    </row>
    <row r="12" spans="1:7" ht="17">
      <c r="A12" s="1" t="s">
        <v>4747</v>
      </c>
      <c r="B12" s="2" t="s">
        <v>4748</v>
      </c>
      <c r="C12" s="2">
        <v>8</v>
      </c>
      <c r="D12" s="2">
        <v>189</v>
      </c>
      <c r="E12" s="2">
        <v>829</v>
      </c>
      <c r="F12" s="4">
        <v>0</v>
      </c>
      <c r="G12" s="11" t="str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 city",CHOOSE({1,2}, Super_CBSA!$E$2:$E$1917, Super_CBSA!$A$2:$A$1917), 2,FALSE), ""))</f>
        <v/>
      </c>
    </row>
    <row r="13" spans="1:7" ht="17">
      <c r="A13" s="1" t="s">
        <v>4749</v>
      </c>
      <c r="B13" s="2" t="s">
        <v>4750</v>
      </c>
      <c r="C13" s="2">
        <v>38</v>
      </c>
      <c r="D13" s="3">
        <v>1443</v>
      </c>
      <c r="E13" s="3">
        <v>3140</v>
      </c>
      <c r="F13" s="4">
        <v>286751</v>
      </c>
      <c r="G13" s="11" t="str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 city",CHOOSE({1,2}, Super_CBSA!$E$2:$E$1917, Super_CBSA!$A$2:$A$1917), 2,FALSE), ""))</f>
        <v/>
      </c>
    </row>
    <row r="14" spans="1:7" ht="17">
      <c r="A14" s="1" t="s">
        <v>4751</v>
      </c>
      <c r="B14" s="2" t="s">
        <v>4744</v>
      </c>
      <c r="C14" s="2">
        <v>386</v>
      </c>
      <c r="D14" s="3">
        <v>18361</v>
      </c>
      <c r="E14" s="3">
        <v>83900</v>
      </c>
      <c r="F14" s="4">
        <v>1600121</v>
      </c>
      <c r="G14" s="11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 city",CHOOSE({1,2}, Super_CBSA!$E$2:$E$1917, Super_CBSA!$A$2:$A$1917), 2,FALSE), ""))</f>
        <v>39660</v>
      </c>
    </row>
    <row r="15" spans="1:7" ht="17">
      <c r="A15" s="1" t="s">
        <v>4752</v>
      </c>
      <c r="B15" s="2" t="s">
        <v>4753</v>
      </c>
      <c r="C15" s="2">
        <v>27</v>
      </c>
      <c r="D15" s="3">
        <v>1514</v>
      </c>
      <c r="E15" s="3">
        <v>3936</v>
      </c>
      <c r="F15" s="4">
        <v>203636</v>
      </c>
      <c r="G15" s="11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 city",CHOOSE({1,2}, Super_CBSA!$E$2:$E$1917, Super_CBSA!$A$2:$A$1917), 2,FALSE), ""))</f>
        <v>43940</v>
      </c>
    </row>
    <row r="16" spans="1:7" ht="17">
      <c r="A16" s="1" t="s">
        <v>4754</v>
      </c>
      <c r="B16" s="2" t="s">
        <v>4755</v>
      </c>
      <c r="C16" s="2">
        <v>45</v>
      </c>
      <c r="D16" s="3">
        <v>1347</v>
      </c>
      <c r="E16" s="3">
        <v>4193</v>
      </c>
      <c r="F16" s="4">
        <v>0</v>
      </c>
      <c r="G16" s="11" t="str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 city",CHOOSE({1,2}, Super_CBSA!$E$2:$E$1917, Super_CBSA!$A$2:$A$1917), 2,FALSE), ""))</f>
        <v/>
      </c>
    </row>
    <row r="17" spans="1:7" ht="17">
      <c r="A17" s="1" t="s">
        <v>4756</v>
      </c>
      <c r="B17" s="2" t="s">
        <v>3914</v>
      </c>
      <c r="C17" s="2">
        <v>81</v>
      </c>
      <c r="D17" s="3">
        <v>2714</v>
      </c>
      <c r="E17" s="3">
        <v>9033</v>
      </c>
      <c r="F17" s="4">
        <v>221260</v>
      </c>
      <c r="G17" s="11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 city",CHOOSE({1,2}, Super_CBSA!$E$2:$E$1917, Super_CBSA!$A$2:$A$1917), 2,FALSE), ""))</f>
        <v>47980</v>
      </c>
    </row>
    <row r="18" spans="1:7" ht="17">
      <c r="A18" s="1" t="s">
        <v>4757</v>
      </c>
      <c r="B18" s="2" t="s">
        <v>4758</v>
      </c>
      <c r="C18" s="2">
        <v>35</v>
      </c>
      <c r="D18" s="2">
        <v>322</v>
      </c>
      <c r="E18" s="3">
        <v>1311</v>
      </c>
      <c r="F18" s="4">
        <v>0</v>
      </c>
      <c r="G18" s="11" t="str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 city",CHOOSE({1,2}, Super_CBSA!$E$2:$E$1917, Super_CBSA!$A$2:$A$1917), 2,FALSE), ""))</f>
        <v/>
      </c>
    </row>
    <row r="19" spans="1:7" ht="17">
      <c r="A19" s="1" t="s">
        <v>4759</v>
      </c>
      <c r="B19" s="2" t="s">
        <v>4744</v>
      </c>
      <c r="C19" s="2">
        <v>6</v>
      </c>
      <c r="D19" s="2">
        <v>70</v>
      </c>
      <c r="E19" s="2">
        <v>133</v>
      </c>
      <c r="F19" s="4">
        <v>34954</v>
      </c>
      <c r="G19" s="11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 city",CHOOSE({1,2}, Super_CBSA!$E$2:$E$1917, Super_CBSA!$A$2:$A$1917), 2,FALSE), ""))</f>
        <v>39660</v>
      </c>
    </row>
    <row r="20" spans="1:7" ht="17">
      <c r="A20" s="1" t="s">
        <v>4760</v>
      </c>
      <c r="B20" s="2" t="s">
        <v>4731</v>
      </c>
      <c r="C20" s="2">
        <v>48</v>
      </c>
      <c r="D20" s="3">
        <v>1569</v>
      </c>
      <c r="E20" s="3">
        <v>3817</v>
      </c>
      <c r="F20" s="4">
        <v>141412</v>
      </c>
      <c r="G20" s="11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 city",CHOOSE({1,2}, Super_CBSA!$E$2:$E$1917, Super_CBSA!$A$2:$A$1917), 2,FALSE), ""))</f>
        <v>10100</v>
      </c>
    </row>
    <row r="21" spans="1:7" ht="17">
      <c r="A21" s="1" t="s">
        <v>4761</v>
      </c>
      <c r="B21" s="2" t="s">
        <v>4735</v>
      </c>
      <c r="C21" s="2">
        <v>473</v>
      </c>
      <c r="D21" s="3">
        <v>24964</v>
      </c>
      <c r="E21" s="3">
        <v>116338</v>
      </c>
      <c r="F21" s="4">
        <v>3638342</v>
      </c>
      <c r="G21" s="11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 city",CHOOSE({1,2}, Super_CBSA!$E$2:$E$1917, Super_CBSA!$A$2:$A$1917), 2,FALSE), ""))</f>
        <v>43620</v>
      </c>
    </row>
    <row r="22" spans="1:7" ht="17">
      <c r="A22" s="1" t="s">
        <v>4762</v>
      </c>
      <c r="B22" s="2" t="s">
        <v>4735</v>
      </c>
      <c r="C22" s="2">
        <v>26</v>
      </c>
      <c r="D22" s="3">
        <v>2054</v>
      </c>
      <c r="E22" s="3">
        <v>3002</v>
      </c>
      <c r="F22" s="4">
        <v>362841</v>
      </c>
      <c r="G22" s="11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 city",CHOOSE({1,2}, Super_CBSA!$E$2:$E$1917, Super_CBSA!$A$2:$A$1917), 2,FALSE), ""))</f>
        <v>43620</v>
      </c>
    </row>
    <row r="23" spans="1:7" ht="17">
      <c r="A23" s="1" t="s">
        <v>4763</v>
      </c>
      <c r="B23" s="2" t="s">
        <v>4735</v>
      </c>
      <c r="C23" s="2">
        <v>0</v>
      </c>
      <c r="D23" s="2">
        <v>0</v>
      </c>
      <c r="E23" s="2">
        <v>0</v>
      </c>
      <c r="F23" s="4">
        <v>0</v>
      </c>
      <c r="G23" s="11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 city",CHOOSE({1,2}, Super_CBSA!$E$2:$E$1917, Super_CBSA!$A$2:$A$1917), 2,FALSE), ""))</f>
        <v>43620</v>
      </c>
    </row>
    <row r="24" spans="1:7" ht="17">
      <c r="A24" s="1" t="s">
        <v>4764</v>
      </c>
      <c r="B24" s="2" t="s">
        <v>4765</v>
      </c>
      <c r="C24" s="2">
        <v>0</v>
      </c>
      <c r="D24" s="2">
        <v>0</v>
      </c>
      <c r="E24" s="2">
        <v>0</v>
      </c>
      <c r="F24" s="4">
        <v>0</v>
      </c>
      <c r="G24" s="11" t="str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 city",CHOOSE({1,2}, Super_CBSA!$E$2:$E$1917, Super_CBSA!$A$2:$A$1917), 2,FALSE), ""))</f>
        <v/>
      </c>
    </row>
    <row r="25" spans="1:7" ht="17">
      <c r="A25" s="1" t="s">
        <v>4766</v>
      </c>
      <c r="B25" s="2" t="s">
        <v>266</v>
      </c>
      <c r="C25" s="2">
        <v>0</v>
      </c>
      <c r="D25" s="2">
        <v>0</v>
      </c>
      <c r="E25" s="2">
        <v>0</v>
      </c>
      <c r="F25" s="4">
        <v>0</v>
      </c>
      <c r="G25" s="11" t="str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 city",CHOOSE({1,2}, Super_CBSA!$E$2:$E$1917, Super_CBSA!$A$2:$A$1917), 2,FALSE), ""))</f>
        <v/>
      </c>
    </row>
    <row r="26" spans="1:7" ht="17">
      <c r="A26" s="2" t="s">
        <v>56</v>
      </c>
      <c r="B26" s="2"/>
      <c r="C26" s="3">
        <v>2734</v>
      </c>
      <c r="D26" s="3">
        <v>95493</v>
      </c>
      <c r="E26" s="3">
        <v>400006</v>
      </c>
      <c r="F26" s="4">
        <v>11858256</v>
      </c>
    </row>
  </sheetData>
  <hyperlinks>
    <hyperlink ref="A2" r:id="rId1" display="https://www.ahd.com/free_profile/430092/_Avera_Dakota_Plains_Surgery_Center/Aberdeen/South_Dakota/" xr:uid="{91DA36BC-1D15-0A4B-8BDB-FAA8E92005A3}"/>
    <hyperlink ref="A3" r:id="rId2" display="https://www.ahd.com/free_profile/430096/Avera_Fox_Run_Health_Campus/Yankton/South_Dakota/" xr:uid="{9DB3EC0D-9A37-154D-B7E0-3DE178F53628}"/>
    <hyperlink ref="A4" r:id="rId3" display="https://www.ahd.com/free_profile/430095/Avera_Heart_Hospital/Sioux_Falls/South_Dakota/" xr:uid="{3196C46E-DCC1-C944-8784-3F791F60924F}"/>
    <hyperlink ref="A5" r:id="rId4" display="https://www.ahd.com/free_profile/430016/Avera_McKennan_Hospital_%26_University_Health_Center/Sioux_Falls/South_Dakota/" xr:uid="{29C709BC-4236-7C4C-A7A3-7444C144BB75}"/>
    <hyperlink ref="A6" r:id="rId5" display="https://www.ahd.com/free_profile/430013/Avera_Queen_of_Peace_Hospital/Mitchell/South_Dakota/" xr:uid="{C57A9844-157D-AE48-8D23-21778ED86E8D}"/>
    <hyperlink ref="A7" r:id="rId6" display="https://www.ahd.com/free_profile/430012/Avera_Sacred_Heart_Hospital/Yankton/South_Dakota/" xr:uid="{B94F65F9-0966-9F49-91D7-98EF147534F2}"/>
    <hyperlink ref="A8" r:id="rId7" display="https://www.ahd.com/free_profile/430014/Avera_Saint_Luke%27s_Hospital/Aberdeen/South_Dakota/" xr:uid="{12963145-E0F7-B243-81C7-EE5F1E631BD1}"/>
    <hyperlink ref="A9" r:id="rId8" display="https://www.ahd.com/free_profile/430015/Avera_Saint_Mary%27s_Hospital_/Pierre/South_Dakota/" xr:uid="{CE9BE3A5-2D97-724C-8C62-F9E6A656C864}"/>
    <hyperlink ref="A10" r:id="rId9" display="https://www.ahd.com/free_profile/430091/Black_Hills_Surgical_Hospital/Rapid_City/South_Dakota/" xr:uid="{85A197A3-C664-B140-B60B-460B73843886}"/>
    <hyperlink ref="A11" r:id="rId10" display="https://www.ahd.com/free_profile/430008/Brookings_Hospital_/Brookings/South_Dakota/" xr:uid="{F4DBC931-4237-1647-8A10-7C5FC6BFEDFA}"/>
    <hyperlink ref="A12" r:id="rId11" display="https://www.ahd.com/free_profile/430083/Cheyenne_River_Health_Service/Eagle_Butte/South_Dakota/" xr:uid="{3D1BB4F2-1D0B-9143-8CB1-A9C404DBFD59}"/>
    <hyperlink ref="A13" r:id="rId12" display="https://www.ahd.com/free_profile/430089/Dunes_Surgery_Hospital/Dakota_Dunes/South_Dakota/" xr:uid="{9713AB3B-C9C8-3343-AB0F-797A680607B6}"/>
    <hyperlink ref="A14" r:id="rId13" display="https://www.ahd.com/free_profile/430077/Monument_Health_Rapid_City_Hospital/Rapid_City/South_Dakota/" xr:uid="{1F6D3C0C-CA53-B646-8B50-6EE35DA82291}"/>
    <hyperlink ref="A15" r:id="rId14" display="https://www.ahd.com/free_profile/430048/Monument_Health_Spearfish_Hospital/Spearfish/South_Dakota/" xr:uid="{20385FC5-CB71-4441-844C-0A9DACD6A621}"/>
    <hyperlink ref="A16" r:id="rId15" display="https://www.ahd.com/free_profile/430081/Pine_Ridge_Hospital_/Pine_Ridge/South_Dakota/" xr:uid="{6664A7A0-F3C3-6E48-8E65-E73008D9546B}"/>
    <hyperlink ref="A17" r:id="rId16" display="https://www.ahd.com/free_profile/430005/Prairie_Lakes_Hospital/Watertown/South_Dakota/" xr:uid="{8A61A719-4490-6F46-BA95-3C464FADDECF}"/>
    <hyperlink ref="A18" r:id="rId17" display="https://www.ahd.com/free_profile/430084/Rosebud_Hospital/Rosebud/South_Dakota/" xr:uid="{15814CEC-6E68-B441-8110-E8291159416B}"/>
    <hyperlink ref="A19" r:id="rId18" display="https://www.ahd.com/free_profile/430093/Same_Day_Surgery_Center/Rapid_City/South_Dakota/" xr:uid="{75BF78D6-4EC8-A341-A888-1D79B26E25CC}"/>
    <hyperlink ref="A20" r:id="rId19" display="https://www.ahd.com/free_profile/430097/Sanford_Aberdeen_Medical_Center/Aberdeen/South_Dakota/" xr:uid="{7DCE9FD7-CB3C-1744-8520-BEA3481C962E}"/>
    <hyperlink ref="A21" r:id="rId20" display="https://www.ahd.com/free_profile/430027/Sanford_USD_Medical_Center/Sioux_Falls/South_Dakota/" xr:uid="{F52D13A7-B5D8-9C48-BE48-B0C607D34A58}"/>
    <hyperlink ref="A22" r:id="rId21" display="https://www.ahd.com/free_profile/430090/Sioux_Falls_Specialty_Hospital/Sioux_Falls/South_Dakota/" xr:uid="{FCC40C4A-8207-064F-A85C-C91C74242135}"/>
    <hyperlink ref="A23" r:id="rId22" display="https://www.ahd.com/free_profile/43005F/Sioux_Falls_VA_Medical_Center/Sioux_Falls/South_Dakota/" xr:uid="{B58A7BE2-D5C6-E14D-8357-F283F20BC4D0}"/>
    <hyperlink ref="A24" r:id="rId23" display="https://www.ahd.com/free_profile/43002F/VA_Black_Hills_Health_Care_System_-_Fort_Meade_Campus/Fort_Meade/South_Dakota/" xr:uid="{390C1EDF-851C-4A4B-9592-DD800DCC5BED}"/>
    <hyperlink ref="A25" r:id="rId24" display="https://www.ahd.com/free_profile/I41041/VA_Black_Hills_Health_Care_System_-_Hot_Springs_Campus/Hot_Springs/South_Dakota/" xr:uid="{DA5C2580-490F-384D-BE2D-719EE683F3EB}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029A6-3C87-D249-9EFE-5E9FBCFA9F3B}">
  <sheetPr codeName="Sheet44"/>
  <dimension ref="A1:G102"/>
  <sheetViews>
    <sheetView topLeftCell="A88" workbookViewId="0">
      <selection activeCell="G101" sqref="G2:G101"/>
    </sheetView>
  </sheetViews>
  <sheetFormatPr baseColWidth="10" defaultColWidth="27.6640625" defaultRowHeight="16"/>
  <cols>
    <col min="1" max="1" width="43.33203125" customWidth="1"/>
    <col min="3" max="3" width="14.1640625" customWidth="1"/>
    <col min="4" max="4" width="18.6640625" customWidth="1"/>
    <col min="5" max="5" width="15.6640625" customWidth="1"/>
    <col min="6" max="6" width="24.83203125" customWidth="1"/>
  </cols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4767</v>
      </c>
      <c r="B2" s="2" t="s">
        <v>4768</v>
      </c>
      <c r="C2" s="2">
        <v>423</v>
      </c>
      <c r="D2" s="3">
        <v>22379</v>
      </c>
      <c r="E2" s="3">
        <v>112291</v>
      </c>
      <c r="F2" s="4">
        <v>2598179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 city",CHOOSE({1,2}, Super_CBSA!$E$2:$E$1917, Super_CBSA!$A$2:$A$1917), 2,FALSE), ""))</f>
        <v>16860</v>
      </c>
    </row>
    <row r="3" spans="1:7" ht="17">
      <c r="A3" s="1" t="s">
        <v>4769</v>
      </c>
      <c r="B3" s="2" t="s">
        <v>4770</v>
      </c>
      <c r="C3" s="2">
        <v>46</v>
      </c>
      <c r="D3" s="2">
        <v>478</v>
      </c>
      <c r="E3" s="3">
        <v>1368</v>
      </c>
      <c r="F3" s="4">
        <v>105122</v>
      </c>
      <c r="G3" s="11" t="str" cm="1">
        <f t="array" aca="1" ref="G3" ca="1">IFERROR(VLOOKUP("*" &amp; B3  &amp; "*" &amp; (MID(CELL("filename",A2),FIND("]",CELL("filename",A2))+1,31)) &amp; "*",CHOOSE({1,2}, Super_CBSA!$B$2:$B$1917, Super_CBSA!$A$2:$A$1917), 2,FALSE), IFERROR(VLOOKUP(B3  &amp; " city",CHOOSE({1,2}, Super_CBSA!$E$2:$E$1917, Super_CBSA!$A$2:$A$1917), 2,FALSE), ""))</f>
        <v/>
      </c>
    </row>
    <row r="4" spans="1:7" ht="17">
      <c r="A4" s="1" t="s">
        <v>4771</v>
      </c>
      <c r="B4" s="2" t="s">
        <v>2992</v>
      </c>
      <c r="C4" s="2">
        <v>52</v>
      </c>
      <c r="D4" s="2">
        <v>409</v>
      </c>
      <c r="E4" s="3">
        <v>2397</v>
      </c>
      <c r="F4" s="4">
        <v>34326</v>
      </c>
      <c r="G4" s="11" t="str" cm="1">
        <f t="array" aca="1" ref="G4" ca="1">IFERROR(VLOOKUP("*" &amp; B4  &amp; "*" &amp; (MID(CELL("filename",A3),FIND("]",CELL("filename",A3))+1,31)) &amp; "*",CHOOSE({1,2}, Super_CBSA!$B$2:$B$1917, Super_CBSA!$A$2:$A$1917), 2,FALSE), IFERROR(VLOOKUP(B4  &amp; " city",CHOOSE({1,2}, Super_CBSA!$E$2:$E$1917, Super_CBSA!$A$2:$A$1917), 2,FALSE), ""))</f>
        <v/>
      </c>
    </row>
    <row r="5" spans="1:7" ht="17">
      <c r="A5" s="1" t="s">
        <v>4772</v>
      </c>
      <c r="B5" s="2" t="s">
        <v>1629</v>
      </c>
      <c r="C5" s="2">
        <v>340</v>
      </c>
      <c r="D5" s="3">
        <v>17952</v>
      </c>
      <c r="E5" s="3">
        <v>96361</v>
      </c>
      <c r="F5" s="4">
        <v>2219908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 city",CHOOSE({1,2}, Super_CBSA!$E$2:$E$1917, Super_CBSA!$A$2:$A$1917), 2,FALSE), ""))</f>
        <v>34980</v>
      </c>
    </row>
    <row r="6" spans="1:7" ht="17">
      <c r="A6" s="1" t="s">
        <v>4773</v>
      </c>
      <c r="B6" s="2" t="s">
        <v>4511</v>
      </c>
      <c r="C6" s="2">
        <v>54</v>
      </c>
      <c r="D6" s="2">
        <v>870</v>
      </c>
      <c r="E6" s="3">
        <v>2805</v>
      </c>
      <c r="F6" s="4">
        <v>101696</v>
      </c>
      <c r="G6" s="11" t="str" cm="1">
        <f t="array" aca="1" ref="G6" ca="1">IFERROR(VLOOKUP("*" &amp; B6  &amp; "*" &amp; (MID(CELL("filename",A5),FIND("]",CELL("filename",A5))+1,31)) &amp; "*",CHOOSE({1,2}, Super_CBSA!$B$2:$B$1917, Super_CBSA!$A$2:$A$1917), 2,FALSE), IFERROR(VLOOKUP(B6  &amp; " city",CHOOSE({1,2}, Super_CBSA!$E$2:$E$1917, Super_CBSA!$A$2:$A$1917), 2,FALSE), ""))</f>
        <v/>
      </c>
    </row>
    <row r="7" spans="1:7" ht="17">
      <c r="A7" s="1" t="s">
        <v>4774</v>
      </c>
      <c r="B7" s="2" t="s">
        <v>4775</v>
      </c>
      <c r="C7" s="2">
        <v>81</v>
      </c>
      <c r="D7" s="3">
        <v>2501</v>
      </c>
      <c r="E7" s="3">
        <v>11190</v>
      </c>
      <c r="F7" s="4">
        <v>109860</v>
      </c>
      <c r="G7" s="11" t="str" cm="1">
        <f t="array" aca="1" ref="G7" ca="1">IFERROR(VLOOKUP("*" &amp; B7  &amp; "*" &amp; (MID(CELL("filename",A6),FIND("]",CELL("filename",A6))+1,31)) &amp; "*",CHOOSE({1,2}, Super_CBSA!$B$2:$B$1917, Super_CBSA!$A$2:$A$1917), 2,FALSE), IFERROR(VLOOKUP(B7  &amp; " city",CHOOSE({1,2}, Super_CBSA!$E$2:$E$1917, Super_CBSA!$A$2:$A$1917), 2,FALSE), ""))</f>
        <v/>
      </c>
    </row>
    <row r="8" spans="1:7" ht="17">
      <c r="A8" s="1" t="s">
        <v>4776</v>
      </c>
      <c r="B8" s="2" t="s">
        <v>4777</v>
      </c>
      <c r="C8" s="2">
        <v>793</v>
      </c>
      <c r="D8" s="3">
        <v>36277</v>
      </c>
      <c r="E8" s="3">
        <v>225144</v>
      </c>
      <c r="F8" s="4">
        <v>3658058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 city",CHOOSE({1,2}, Super_CBSA!$E$2:$E$1917, Super_CBSA!$A$2:$A$1917), 2,FALSE), ""))</f>
        <v>32820</v>
      </c>
    </row>
    <row r="9" spans="1:7" ht="17">
      <c r="A9" s="1" t="s">
        <v>4778</v>
      </c>
      <c r="B9" s="2" t="s">
        <v>1620</v>
      </c>
      <c r="C9" s="2">
        <v>47</v>
      </c>
      <c r="D9" s="3">
        <v>1166</v>
      </c>
      <c r="E9" s="3">
        <v>2508</v>
      </c>
      <c r="F9" s="4">
        <v>511331</v>
      </c>
      <c r="G9" s="11" t="str" cm="1">
        <f t="array" aca="1" ref="G9" ca="1">IFERROR(VLOOKUP("*" &amp; B9  &amp; "*" &amp; (MID(CELL("filename",A8),FIND("]",CELL("filename",A8))+1,31)) &amp; "*",CHOOSE({1,2}, Super_CBSA!$B$2:$B$1917, Super_CBSA!$A$2:$A$1917), 2,FALSE), IFERROR(VLOOKUP(B9  &amp; " city",CHOOSE({1,2}, Super_CBSA!$E$2:$E$1917, Super_CBSA!$A$2:$A$1917), 2,FALSE), ""))</f>
        <v/>
      </c>
    </row>
    <row r="10" spans="1:7" ht="17">
      <c r="A10" s="1" t="s">
        <v>4779</v>
      </c>
      <c r="B10" s="2" t="s">
        <v>4780</v>
      </c>
      <c r="C10" s="2">
        <v>63</v>
      </c>
      <c r="D10" s="3">
        <v>2333</v>
      </c>
      <c r="E10" s="3">
        <v>7329</v>
      </c>
      <c r="F10" s="4">
        <v>224574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 city",CHOOSE({1,2}, Super_CBSA!$E$2:$E$1917, Super_CBSA!$A$2:$A$1917), 2,FALSE), ""))</f>
        <v>46460</v>
      </c>
    </row>
    <row r="11" spans="1:7" ht="17">
      <c r="A11" s="1" t="s">
        <v>4781</v>
      </c>
      <c r="B11" s="2" t="s">
        <v>4777</v>
      </c>
      <c r="C11" s="2">
        <v>140</v>
      </c>
      <c r="D11" s="3">
        <v>12250</v>
      </c>
      <c r="E11" s="3">
        <v>36273</v>
      </c>
      <c r="F11" s="4">
        <v>128972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 city",CHOOSE({1,2}, Super_CBSA!$E$2:$E$1917, Super_CBSA!$A$2:$A$1917), 2,FALSE), ""))</f>
        <v>32820</v>
      </c>
    </row>
    <row r="12" spans="1:7" ht="17">
      <c r="A12" s="1" t="s">
        <v>4782</v>
      </c>
      <c r="B12" s="2" t="s">
        <v>3873</v>
      </c>
      <c r="C12" s="2">
        <v>25</v>
      </c>
      <c r="D12" s="2">
        <v>427</v>
      </c>
      <c r="E12" s="3">
        <v>1639</v>
      </c>
      <c r="F12" s="4">
        <v>36027</v>
      </c>
      <c r="G12" s="11" t="str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 city",CHOOSE({1,2}, Super_CBSA!$E$2:$E$1917, Super_CBSA!$A$2:$A$1917), 2,FALSE), ""))</f>
        <v/>
      </c>
    </row>
    <row r="13" spans="1:7" ht="17">
      <c r="A13" s="1" t="s">
        <v>4783</v>
      </c>
      <c r="B13" s="2" t="s">
        <v>1849</v>
      </c>
      <c r="C13" s="2">
        <v>279</v>
      </c>
      <c r="D13" s="3">
        <v>11177</v>
      </c>
      <c r="E13" s="3">
        <v>49933</v>
      </c>
      <c r="F13" s="4">
        <v>1162583</v>
      </c>
      <c r="G13" s="11" t="str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 city",CHOOSE({1,2}, Super_CBSA!$E$2:$E$1917, Super_CBSA!$A$2:$A$1917), 2,FALSE), ""))</f>
        <v/>
      </c>
    </row>
    <row r="14" spans="1:7" ht="17">
      <c r="A14" s="1" t="s">
        <v>4784</v>
      </c>
      <c r="B14" s="2" t="s">
        <v>1078</v>
      </c>
      <c r="C14" s="2">
        <v>269</v>
      </c>
      <c r="D14" s="3">
        <v>15255</v>
      </c>
      <c r="E14" s="3">
        <v>66616</v>
      </c>
      <c r="F14" s="4">
        <v>934662</v>
      </c>
      <c r="G14" s="11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 city",CHOOSE({1,2}, Super_CBSA!$E$2:$E$1917, Super_CBSA!$A$2:$A$1917), 2,FALSE), ""))</f>
        <v>28700</v>
      </c>
    </row>
    <row r="15" spans="1:7" ht="17">
      <c r="A15" s="1" t="s">
        <v>4785</v>
      </c>
      <c r="B15" s="2" t="s">
        <v>4786</v>
      </c>
      <c r="C15" s="2">
        <v>78</v>
      </c>
      <c r="D15" s="3">
        <v>2940</v>
      </c>
      <c r="E15" s="3">
        <v>11445</v>
      </c>
      <c r="F15" s="4">
        <v>68716</v>
      </c>
      <c r="G15" s="11" t="str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 city",CHOOSE({1,2}, Super_CBSA!$E$2:$E$1917, Super_CBSA!$A$2:$A$1917), 2,FALSE), ""))</f>
        <v/>
      </c>
    </row>
    <row r="16" spans="1:7" ht="17">
      <c r="A16" s="1" t="s">
        <v>4787</v>
      </c>
      <c r="B16" s="2" t="s">
        <v>4788</v>
      </c>
      <c r="C16" s="2">
        <v>128</v>
      </c>
      <c r="D16" s="3">
        <v>1113</v>
      </c>
      <c r="E16" s="3">
        <v>3646</v>
      </c>
      <c r="F16" s="4">
        <v>79233</v>
      </c>
      <c r="G16" s="11" t="str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 city",CHOOSE({1,2}, Super_CBSA!$E$2:$E$1917, Super_CBSA!$A$2:$A$1917), 2,FALSE), ""))</f>
        <v/>
      </c>
    </row>
    <row r="17" spans="1:7" ht="17">
      <c r="A17" s="1" t="s">
        <v>4789</v>
      </c>
      <c r="B17" s="2" t="s">
        <v>4790</v>
      </c>
      <c r="C17" s="2">
        <v>231</v>
      </c>
      <c r="D17" s="3">
        <v>13256</v>
      </c>
      <c r="E17" s="3">
        <v>57800</v>
      </c>
      <c r="F17" s="4">
        <v>860259</v>
      </c>
      <c r="G17" s="11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 city",CHOOSE({1,2}, Super_CBSA!$E$2:$E$1917, Super_CBSA!$A$2:$A$1917), 2,FALSE), ""))</f>
        <v>18260</v>
      </c>
    </row>
    <row r="18" spans="1:7" ht="17">
      <c r="A18" s="1" t="s">
        <v>4791</v>
      </c>
      <c r="B18" s="2" t="s">
        <v>4792</v>
      </c>
      <c r="C18" s="2">
        <v>73</v>
      </c>
      <c r="D18" s="3">
        <v>5105</v>
      </c>
      <c r="E18" s="3">
        <v>19382</v>
      </c>
      <c r="F18" s="4">
        <v>249890</v>
      </c>
      <c r="G18" s="11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 city",CHOOSE({1,2}, Super_CBSA!$E$2:$E$1917, Super_CBSA!$A$2:$A$1917), 2,FALSE), ""))</f>
        <v>18900</v>
      </c>
    </row>
    <row r="19" spans="1:7" ht="17">
      <c r="A19" s="1" t="s">
        <v>4793</v>
      </c>
      <c r="B19" s="2" t="s">
        <v>4777</v>
      </c>
      <c r="C19" s="2">
        <v>223</v>
      </c>
      <c r="D19" s="2">
        <v>127</v>
      </c>
      <c r="E19" s="3">
        <v>1335</v>
      </c>
      <c r="F19" s="4">
        <v>94990</v>
      </c>
      <c r="G19" s="11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 city",CHOOSE({1,2}, Super_CBSA!$E$2:$E$1917, Super_CBSA!$A$2:$A$1917), 2,FALSE), ""))</f>
        <v>32820</v>
      </c>
    </row>
    <row r="20" spans="1:7" ht="17">
      <c r="A20" s="1" t="s">
        <v>4794</v>
      </c>
      <c r="B20" s="2" t="s">
        <v>4795</v>
      </c>
      <c r="C20" s="2">
        <v>109</v>
      </c>
      <c r="D20" s="3">
        <v>4462</v>
      </c>
      <c r="E20" s="3">
        <v>16848</v>
      </c>
      <c r="F20" s="4">
        <v>704450</v>
      </c>
      <c r="G20" s="11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 city",CHOOSE({1,2}, Super_CBSA!$E$2:$E$1917, Super_CBSA!$A$2:$A$1917), 2,FALSE), ""))</f>
        <v>20540</v>
      </c>
    </row>
    <row r="21" spans="1:7" ht="17">
      <c r="A21" s="1" t="s">
        <v>4796</v>
      </c>
      <c r="B21" s="2" t="s">
        <v>4768</v>
      </c>
      <c r="C21" s="2">
        <v>674</v>
      </c>
      <c r="D21" s="3">
        <v>39766</v>
      </c>
      <c r="E21" s="3">
        <v>183327</v>
      </c>
      <c r="F21" s="4">
        <v>3539179</v>
      </c>
      <c r="G21" s="11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 city",CHOOSE({1,2}, Super_CBSA!$E$2:$E$1917, Super_CBSA!$A$2:$A$1917), 2,FALSE), ""))</f>
        <v>16860</v>
      </c>
    </row>
    <row r="22" spans="1:7" ht="17">
      <c r="A22" s="1" t="s">
        <v>4797</v>
      </c>
      <c r="B22" s="2" t="s">
        <v>4768</v>
      </c>
      <c r="C22" s="2">
        <v>0</v>
      </c>
      <c r="D22" s="2">
        <v>0</v>
      </c>
      <c r="E22" s="2">
        <v>0</v>
      </c>
      <c r="F22" s="4">
        <v>0</v>
      </c>
      <c r="G22" s="11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 city",CHOOSE({1,2}, Super_CBSA!$E$2:$E$1917, Super_CBSA!$A$2:$A$1917), 2,FALSE), ""))</f>
        <v>16860</v>
      </c>
    </row>
    <row r="23" spans="1:7" ht="17">
      <c r="A23" s="1" t="s">
        <v>4798</v>
      </c>
      <c r="B23" s="2" t="s">
        <v>4768</v>
      </c>
      <c r="C23" s="2">
        <v>0</v>
      </c>
      <c r="D23" s="2">
        <v>0</v>
      </c>
      <c r="E23" s="2">
        <v>0</v>
      </c>
      <c r="F23" s="4">
        <v>0</v>
      </c>
      <c r="G23" s="11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 city",CHOOSE({1,2}, Super_CBSA!$E$2:$E$1917, Super_CBSA!$A$2:$A$1917), 2,FALSE), ""))</f>
        <v>16860</v>
      </c>
    </row>
    <row r="24" spans="1:7" ht="17">
      <c r="A24" s="1" t="s">
        <v>4799</v>
      </c>
      <c r="B24" s="2" t="s">
        <v>4800</v>
      </c>
      <c r="C24" s="2">
        <v>30</v>
      </c>
      <c r="D24" s="3">
        <v>2285</v>
      </c>
      <c r="E24" s="3">
        <v>9594</v>
      </c>
      <c r="F24" s="4">
        <v>118964</v>
      </c>
      <c r="G24" s="11" t="str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 city",CHOOSE({1,2}, Super_CBSA!$E$2:$E$1917, Super_CBSA!$A$2:$A$1917), 2,FALSE), ""))</f>
        <v/>
      </c>
    </row>
    <row r="25" spans="1:7" ht="17">
      <c r="A25" s="1" t="s">
        <v>4801</v>
      </c>
      <c r="B25" s="2" t="s">
        <v>4802</v>
      </c>
      <c r="C25" s="2">
        <v>352</v>
      </c>
      <c r="D25" s="3">
        <v>16497</v>
      </c>
      <c r="E25" s="3">
        <v>83737</v>
      </c>
      <c r="F25" s="4">
        <v>997453</v>
      </c>
      <c r="G25" s="11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 city",CHOOSE({1,2}, Super_CBSA!$E$2:$E$1917, Super_CBSA!$A$2:$A$1917), 2,FALSE), ""))</f>
        <v>28940</v>
      </c>
    </row>
    <row r="26" spans="1:7" ht="17">
      <c r="A26" s="1" t="s">
        <v>4803</v>
      </c>
      <c r="B26" s="2" t="s">
        <v>3945</v>
      </c>
      <c r="C26" s="2">
        <v>111</v>
      </c>
      <c r="D26" s="3">
        <v>4983</v>
      </c>
      <c r="E26" s="3">
        <v>19013</v>
      </c>
      <c r="F26" s="4">
        <v>534299</v>
      </c>
      <c r="G26" s="11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 city",CHOOSE({1,2}, Super_CBSA!$E$2:$E$1917, Super_CBSA!$A$2:$A$1917), 2,FALSE), ""))</f>
        <v>27740</v>
      </c>
    </row>
    <row r="27" spans="1:7" ht="17">
      <c r="A27" s="1" t="s">
        <v>4804</v>
      </c>
      <c r="B27" s="2" t="s">
        <v>4805</v>
      </c>
      <c r="C27" s="2">
        <v>230</v>
      </c>
      <c r="D27" s="3">
        <v>2596</v>
      </c>
      <c r="E27" s="3">
        <v>10367</v>
      </c>
      <c r="F27" s="4">
        <v>210299</v>
      </c>
      <c r="G27" s="11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 city",CHOOSE({1,2}, Super_CBSA!$E$2:$E$1917, Super_CBSA!$A$2:$A$1917), 2,FALSE), ""))</f>
        <v>24620</v>
      </c>
    </row>
    <row r="28" spans="1:7" ht="17">
      <c r="A28" s="1" t="s">
        <v>4806</v>
      </c>
      <c r="B28" s="2" t="s">
        <v>1511</v>
      </c>
      <c r="C28" s="2">
        <v>122</v>
      </c>
      <c r="D28" s="3">
        <v>1249</v>
      </c>
      <c r="E28" s="3">
        <v>4430</v>
      </c>
      <c r="F28" s="4">
        <v>173922</v>
      </c>
      <c r="G28" s="11" t="str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 city",CHOOSE({1,2}, Super_CBSA!$E$2:$E$1917, Super_CBSA!$A$2:$A$1917), 2,FALSE), ""))</f>
        <v/>
      </c>
    </row>
    <row r="29" spans="1:7" ht="17">
      <c r="A29" s="1" t="s">
        <v>4807</v>
      </c>
      <c r="B29" s="2" t="s">
        <v>4808</v>
      </c>
      <c r="C29" s="2">
        <v>32</v>
      </c>
      <c r="D29" s="2">
        <v>786</v>
      </c>
      <c r="E29" s="3">
        <v>2565</v>
      </c>
      <c r="F29" s="4">
        <v>68971</v>
      </c>
      <c r="G29" s="11" t="str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 city",CHOOSE({1,2}, Super_CBSA!$E$2:$E$1917, Super_CBSA!$A$2:$A$1917), 2,FALSE), ""))</f>
        <v/>
      </c>
    </row>
    <row r="30" spans="1:7" ht="17">
      <c r="A30" s="1" t="s">
        <v>4809</v>
      </c>
      <c r="B30" s="2" t="s">
        <v>2252</v>
      </c>
      <c r="C30" s="2">
        <v>36</v>
      </c>
      <c r="D30" s="2">
        <v>396</v>
      </c>
      <c r="E30" s="3">
        <v>1030</v>
      </c>
      <c r="F30" s="4">
        <v>93673</v>
      </c>
      <c r="G30" s="11" t="str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 city",CHOOSE({1,2}, Super_CBSA!$E$2:$E$1917, Super_CBSA!$A$2:$A$1917), 2,FALSE), ""))</f>
        <v/>
      </c>
    </row>
    <row r="31" spans="1:7" ht="17">
      <c r="A31" s="1" t="s">
        <v>4810</v>
      </c>
      <c r="B31" s="2" t="s">
        <v>2262</v>
      </c>
      <c r="C31" s="2">
        <v>86</v>
      </c>
      <c r="D31" s="3">
        <v>3716</v>
      </c>
      <c r="E31" s="3">
        <v>10641</v>
      </c>
      <c r="F31" s="4">
        <v>298482</v>
      </c>
      <c r="G31" s="11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 city",CHOOSE({1,2}, Super_CBSA!$E$2:$E$1917, Super_CBSA!$A$2:$A$1917), 2,FALSE), ""))</f>
        <v>37540</v>
      </c>
    </row>
    <row r="32" spans="1:7" ht="17">
      <c r="A32" s="1" t="s">
        <v>4811</v>
      </c>
      <c r="B32" s="2" t="s">
        <v>4812</v>
      </c>
      <c r="C32" s="2">
        <v>316</v>
      </c>
      <c r="D32" s="3">
        <v>18407</v>
      </c>
      <c r="E32" s="3">
        <v>81455</v>
      </c>
      <c r="F32" s="4">
        <v>1323063</v>
      </c>
      <c r="G32" s="11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 city",CHOOSE({1,2}, Super_CBSA!$E$2:$E$1917, Super_CBSA!$A$2:$A$1917), 2,FALSE), ""))</f>
        <v>28700</v>
      </c>
    </row>
    <row r="33" spans="1:7" ht="17">
      <c r="A33" s="1" t="s">
        <v>4813</v>
      </c>
      <c r="B33" s="2" t="s">
        <v>4812</v>
      </c>
      <c r="C33" s="2">
        <v>148</v>
      </c>
      <c r="D33" s="3">
        <v>4044</v>
      </c>
      <c r="E33" s="3">
        <v>17348</v>
      </c>
      <c r="F33" s="4">
        <v>548882</v>
      </c>
      <c r="G33" s="11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 city",CHOOSE({1,2}, Super_CBSA!$E$2:$E$1917, Super_CBSA!$A$2:$A$1917), 2,FALSE), ""))</f>
        <v>28700</v>
      </c>
    </row>
    <row r="34" spans="1:7" ht="17">
      <c r="A34" s="1" t="s">
        <v>4814</v>
      </c>
      <c r="B34" s="2" t="s">
        <v>158</v>
      </c>
      <c r="C34" s="2">
        <v>777</v>
      </c>
      <c r="D34" s="3">
        <v>28588</v>
      </c>
      <c r="E34" s="3">
        <v>157395</v>
      </c>
      <c r="F34" s="4">
        <v>2296247</v>
      </c>
      <c r="G34" s="11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 city",CHOOSE({1,2}, Super_CBSA!$E$2:$E$1917, Super_CBSA!$A$2:$A$1917), 2,FALSE), ""))</f>
        <v>27180</v>
      </c>
    </row>
    <row r="35" spans="1:7" ht="17">
      <c r="A35" s="1" t="s">
        <v>4815</v>
      </c>
      <c r="B35" s="2" t="s">
        <v>262</v>
      </c>
      <c r="C35" s="2">
        <v>0</v>
      </c>
      <c r="D35" s="2">
        <v>0</v>
      </c>
      <c r="E35" s="2">
        <v>0</v>
      </c>
      <c r="F35" s="4">
        <v>0</v>
      </c>
      <c r="G35" s="11" t="str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 city",CHOOSE({1,2}, Super_CBSA!$E$2:$E$1917, Super_CBSA!$A$2:$A$1917), 2,FALSE), ""))</f>
        <v/>
      </c>
    </row>
    <row r="36" spans="1:7" ht="17">
      <c r="A36" s="1" t="s">
        <v>4816</v>
      </c>
      <c r="B36" s="2" t="s">
        <v>3009</v>
      </c>
      <c r="C36" s="2">
        <v>58</v>
      </c>
      <c r="D36" s="3">
        <v>2351</v>
      </c>
      <c r="E36" s="3">
        <v>9440</v>
      </c>
      <c r="F36" s="4">
        <v>337253</v>
      </c>
      <c r="G36" s="11" t="str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 city",CHOOSE({1,2}, Super_CBSA!$E$2:$E$1917, Super_CBSA!$A$2:$A$1917), 2,FALSE), ""))</f>
        <v/>
      </c>
    </row>
    <row r="37" spans="1:7" ht="17">
      <c r="A37" s="1" t="s">
        <v>4817</v>
      </c>
      <c r="B37" s="2" t="s">
        <v>4818</v>
      </c>
      <c r="C37" s="2">
        <v>34</v>
      </c>
      <c r="D37" s="2">
        <v>558</v>
      </c>
      <c r="E37" s="3">
        <v>1872</v>
      </c>
      <c r="F37" s="4">
        <v>42300</v>
      </c>
      <c r="G37" s="11" t="str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 city",CHOOSE({1,2}, Super_CBSA!$E$2:$E$1917, Super_CBSA!$A$2:$A$1917), 2,FALSE), ""))</f>
        <v/>
      </c>
    </row>
    <row r="38" spans="1:7" ht="17">
      <c r="A38" s="1" t="s">
        <v>4819</v>
      </c>
      <c r="B38" s="2" t="s">
        <v>3945</v>
      </c>
      <c r="C38" s="2">
        <v>528</v>
      </c>
      <c r="D38" s="3">
        <v>26139</v>
      </c>
      <c r="E38" s="3">
        <v>135810</v>
      </c>
      <c r="F38" s="4">
        <v>2989594</v>
      </c>
      <c r="G38" s="11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 city",CHOOSE({1,2}, Super_CBSA!$E$2:$E$1917, Super_CBSA!$A$2:$A$1917), 2,FALSE), ""))</f>
        <v>27740</v>
      </c>
    </row>
    <row r="39" spans="1:7" ht="17">
      <c r="A39" s="1" t="s">
        <v>4820</v>
      </c>
      <c r="B39" s="2" t="s">
        <v>4821</v>
      </c>
      <c r="C39" s="2">
        <v>156</v>
      </c>
      <c r="D39" s="3">
        <v>1456</v>
      </c>
      <c r="E39" s="3">
        <v>7873</v>
      </c>
      <c r="F39" s="4">
        <v>236726</v>
      </c>
      <c r="G39" s="11" t="str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 city",CHOOSE({1,2}, Super_CBSA!$E$2:$E$1917, Super_CBSA!$A$2:$A$1917), 2,FALSE), ""))</f>
        <v/>
      </c>
    </row>
    <row r="40" spans="1:7" ht="17">
      <c r="A40" s="1" t="s">
        <v>4822</v>
      </c>
      <c r="B40" s="2" t="s">
        <v>4823</v>
      </c>
      <c r="C40" s="2">
        <v>109</v>
      </c>
      <c r="D40" s="3">
        <v>4538</v>
      </c>
      <c r="E40" s="3">
        <v>16040</v>
      </c>
      <c r="F40" s="4">
        <v>390808</v>
      </c>
      <c r="G40" s="11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 city",CHOOSE({1,2}, Super_CBSA!$E$2:$E$1917, Super_CBSA!$A$2:$A$1917), 2,FALSE), ""))</f>
        <v>42940</v>
      </c>
    </row>
    <row r="41" spans="1:7" ht="17">
      <c r="A41" s="1" t="s">
        <v>4824</v>
      </c>
      <c r="B41" s="2" t="s">
        <v>236</v>
      </c>
      <c r="C41" s="2">
        <v>49</v>
      </c>
      <c r="D41" s="3">
        <v>1102</v>
      </c>
      <c r="E41" s="3">
        <v>3612</v>
      </c>
      <c r="F41" s="4">
        <v>94762</v>
      </c>
      <c r="G41" s="11" t="str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 city",CHOOSE({1,2}, Super_CBSA!$E$2:$E$1917, Super_CBSA!$A$2:$A$1917), 2,FALSE), ""))</f>
        <v/>
      </c>
    </row>
    <row r="42" spans="1:7" ht="17">
      <c r="A42" s="1" t="s">
        <v>4825</v>
      </c>
      <c r="B42" s="2" t="s">
        <v>3573</v>
      </c>
      <c r="C42" s="2">
        <v>114</v>
      </c>
      <c r="D42" s="3">
        <v>1680</v>
      </c>
      <c r="E42" s="3">
        <v>5722</v>
      </c>
      <c r="F42" s="4">
        <v>165652</v>
      </c>
      <c r="G42" s="11" t="str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 city",CHOOSE({1,2}, Super_CBSA!$E$2:$E$1917, Super_CBSA!$A$2:$A$1917), 2,FALSE), ""))</f>
        <v/>
      </c>
    </row>
    <row r="43" spans="1:7" ht="17">
      <c r="A43" s="1" t="s">
        <v>4826</v>
      </c>
      <c r="B43" s="2" t="s">
        <v>2340</v>
      </c>
      <c r="C43" s="2">
        <v>265</v>
      </c>
      <c r="D43" s="3">
        <v>12573</v>
      </c>
      <c r="E43" s="3">
        <v>53169</v>
      </c>
      <c r="F43" s="4">
        <v>1146014</v>
      </c>
      <c r="G43" s="11" t="str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 city",CHOOSE({1,2}, Super_CBSA!$E$2:$E$1917, Super_CBSA!$A$2:$A$1917), 2,FALSE), ""))</f>
        <v/>
      </c>
    </row>
    <row r="44" spans="1:7" ht="17">
      <c r="A44" s="1" t="s">
        <v>4827</v>
      </c>
      <c r="B44" s="2" t="s">
        <v>4777</v>
      </c>
      <c r="C44" s="2">
        <v>0</v>
      </c>
      <c r="D44" s="2">
        <v>0</v>
      </c>
      <c r="E44" s="2">
        <v>0</v>
      </c>
      <c r="F44" s="4">
        <v>0</v>
      </c>
      <c r="G44" s="11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 city",CHOOSE({1,2}, Super_CBSA!$E$2:$E$1917, Super_CBSA!$A$2:$A$1917), 2,FALSE), ""))</f>
        <v>32820</v>
      </c>
    </row>
    <row r="45" spans="1:7" ht="17">
      <c r="A45" s="1" t="s">
        <v>4828</v>
      </c>
      <c r="B45" s="2" t="s">
        <v>2650</v>
      </c>
      <c r="C45" s="2">
        <v>0</v>
      </c>
      <c r="D45" s="2">
        <v>0</v>
      </c>
      <c r="E45" s="2">
        <v>0</v>
      </c>
      <c r="F45" s="4">
        <v>0</v>
      </c>
      <c r="G45" s="11" t="str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 city",CHOOSE({1,2}, Super_CBSA!$E$2:$E$1917, Super_CBSA!$A$2:$A$1917), 2,FALSE), ""))</f>
        <v/>
      </c>
    </row>
    <row r="46" spans="1:7" ht="17">
      <c r="A46" s="1" t="s">
        <v>4829</v>
      </c>
      <c r="B46" s="2" t="s">
        <v>4830</v>
      </c>
      <c r="C46" s="2">
        <v>204</v>
      </c>
      <c r="D46" s="3">
        <v>10414</v>
      </c>
      <c r="E46" s="3">
        <v>45860</v>
      </c>
      <c r="F46" s="4">
        <v>550692</v>
      </c>
      <c r="G46" s="11" t="str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 city",CHOOSE({1,2}, Super_CBSA!$E$2:$E$1917, Super_CBSA!$A$2:$A$1917), 2,FALSE), ""))</f>
        <v/>
      </c>
    </row>
    <row r="47" spans="1:7" ht="17">
      <c r="A47" s="1" t="s">
        <v>4831</v>
      </c>
      <c r="B47" s="2" t="s">
        <v>4777</v>
      </c>
      <c r="C47" s="2">
        <v>0</v>
      </c>
      <c r="D47" s="2">
        <v>0</v>
      </c>
      <c r="E47" s="2">
        <v>0</v>
      </c>
      <c r="F47" s="4">
        <v>0</v>
      </c>
      <c r="G47" s="11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 city",CHOOSE({1,2}, Super_CBSA!$E$2:$E$1917, Super_CBSA!$A$2:$A$1917), 2,FALSE), ""))</f>
        <v>32820</v>
      </c>
    </row>
    <row r="48" spans="1:7" ht="17">
      <c r="A48" s="1" t="s">
        <v>4832</v>
      </c>
      <c r="B48" s="2" t="s">
        <v>4777</v>
      </c>
      <c r="C48" s="2">
        <v>0</v>
      </c>
      <c r="D48" s="2">
        <v>0</v>
      </c>
      <c r="E48" s="2">
        <v>0</v>
      </c>
      <c r="F48" s="4">
        <v>0</v>
      </c>
      <c r="G48" s="11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 city",CHOOSE({1,2}, Super_CBSA!$E$2:$E$1917, Super_CBSA!$A$2:$A$1917), 2,FALSE), ""))</f>
        <v>32820</v>
      </c>
    </row>
    <row r="49" spans="1:7" ht="17">
      <c r="A49" s="1" t="s">
        <v>4833</v>
      </c>
      <c r="B49" s="2" t="s">
        <v>4777</v>
      </c>
      <c r="C49" s="3">
        <v>1362</v>
      </c>
      <c r="D49" s="3">
        <v>61866</v>
      </c>
      <c r="E49" s="3">
        <v>307135</v>
      </c>
      <c r="F49" s="4">
        <v>7426318</v>
      </c>
      <c r="G49" s="11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 city",CHOOSE({1,2}, Super_CBSA!$E$2:$E$1917, Super_CBSA!$A$2:$A$1917), 2,FALSE), ""))</f>
        <v>32820</v>
      </c>
    </row>
    <row r="50" spans="1:7" ht="17">
      <c r="A50" s="1" t="s">
        <v>4834</v>
      </c>
      <c r="B50" s="2" t="s">
        <v>4835</v>
      </c>
      <c r="C50" s="2">
        <v>47</v>
      </c>
      <c r="D50" s="2">
        <v>480</v>
      </c>
      <c r="E50" s="3">
        <v>1707</v>
      </c>
      <c r="F50" s="4">
        <v>44662</v>
      </c>
      <c r="G50" s="11" t="str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 city",CHOOSE({1,2}, Super_CBSA!$E$2:$E$1917, Super_CBSA!$A$2:$A$1917), 2,FALSE), ""))</f>
        <v/>
      </c>
    </row>
    <row r="51" spans="1:7" ht="17">
      <c r="A51" s="1" t="s">
        <v>4836</v>
      </c>
      <c r="B51" s="2" t="s">
        <v>3551</v>
      </c>
      <c r="C51" s="2">
        <v>128</v>
      </c>
      <c r="D51" s="3">
        <v>7458</v>
      </c>
      <c r="E51" s="3">
        <v>27047</v>
      </c>
      <c r="F51" s="4">
        <v>366620</v>
      </c>
      <c r="G51" s="11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 city",CHOOSE({1,2}, Super_CBSA!$E$2:$E$1917, Super_CBSA!$A$2:$A$1917), 2,FALSE), ""))</f>
        <v>34100</v>
      </c>
    </row>
    <row r="52" spans="1:7" ht="17">
      <c r="A52" s="1" t="s">
        <v>4837</v>
      </c>
      <c r="B52" s="2" t="s">
        <v>1629</v>
      </c>
      <c r="C52" s="2">
        <v>114</v>
      </c>
      <c r="D52" s="3">
        <v>2116</v>
      </c>
      <c r="E52" s="3">
        <v>10463</v>
      </c>
      <c r="F52" s="4">
        <v>214798</v>
      </c>
      <c r="G52" s="11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 city",CHOOSE({1,2}, Super_CBSA!$E$2:$E$1917, Super_CBSA!$A$2:$A$1917), 2,FALSE), ""))</f>
        <v>34980</v>
      </c>
    </row>
    <row r="53" spans="1:7" ht="17">
      <c r="A53" s="1" t="s">
        <v>4838</v>
      </c>
      <c r="B53" s="2" t="s">
        <v>238</v>
      </c>
      <c r="C53" s="2">
        <v>88</v>
      </c>
      <c r="D53" s="3">
        <v>2023</v>
      </c>
      <c r="E53" s="3">
        <v>7542</v>
      </c>
      <c r="F53" s="4">
        <v>237170</v>
      </c>
      <c r="G53" s="11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 city",CHOOSE({1,2}, Super_CBSA!$E$2:$E$1917, Super_CBSA!$A$2:$A$1917), 2,FALSE), ""))</f>
        <v>35460</v>
      </c>
    </row>
    <row r="54" spans="1:7" ht="17">
      <c r="A54" s="1" t="s">
        <v>4839</v>
      </c>
      <c r="B54" s="2" t="s">
        <v>4840</v>
      </c>
      <c r="C54" s="2">
        <v>0</v>
      </c>
      <c r="D54" s="2">
        <v>0</v>
      </c>
      <c r="E54" s="2">
        <v>0</v>
      </c>
      <c r="F54" s="4">
        <v>0</v>
      </c>
      <c r="G54" s="11" t="str" cm="1">
        <f t="array" aca="1" ref="G54" ca="1">IFERROR(VLOOKUP("*" &amp; B54  &amp; "*" &amp; (MID(CELL("filename",A53),FIND("]",CELL("filename",A53))+1,31)) &amp; "*",CHOOSE({1,2}, Super_CBSA!$B$2:$B$1917, Super_CBSA!$A$2:$A$1917), 2,FALSE), IFERROR(VLOOKUP(B54  &amp; " city",CHOOSE({1,2}, Super_CBSA!$E$2:$E$1917, Super_CBSA!$A$2:$A$1917), 2,FALSE), ""))</f>
        <v/>
      </c>
    </row>
    <row r="55" spans="1:7" ht="17">
      <c r="A55" s="1" t="s">
        <v>4841</v>
      </c>
      <c r="B55" s="2" t="s">
        <v>1901</v>
      </c>
      <c r="C55" s="2">
        <v>109</v>
      </c>
      <c r="D55" s="3">
        <v>2255</v>
      </c>
      <c r="E55" s="3">
        <v>10799</v>
      </c>
      <c r="F55" s="4">
        <v>263076</v>
      </c>
      <c r="G55" s="11" t="str" cm="1">
        <f t="array" aca="1" ref="G55" ca="1">IFERROR(VLOOKUP("*" &amp; B55  &amp; "*" &amp; (MID(CELL("filename",A54),FIND("]",CELL("filename",A54))+1,31)) &amp; "*",CHOOSE({1,2}, Super_CBSA!$B$2:$B$1917, Super_CBSA!$A$2:$A$1917), 2,FALSE), IFERROR(VLOOKUP(B55  &amp; " city",CHOOSE({1,2}, Super_CBSA!$E$2:$E$1917, Super_CBSA!$A$2:$A$1917), 2,FALSE), ""))</f>
        <v/>
      </c>
    </row>
    <row r="56" spans="1:7" ht="17">
      <c r="A56" s="1" t="s">
        <v>4842</v>
      </c>
      <c r="B56" s="2" t="s">
        <v>4768</v>
      </c>
      <c r="C56" s="2">
        <v>0</v>
      </c>
      <c r="D56" s="2">
        <v>0</v>
      </c>
      <c r="E56" s="2">
        <v>0</v>
      </c>
      <c r="F56" s="4">
        <v>0</v>
      </c>
      <c r="G56" s="11" cm="1">
        <f t="array" aca="1" ref="G56" ca="1">IFERROR(VLOOKUP("*" &amp; B56  &amp; "*" &amp; (MID(CELL("filename",A55),FIND("]",CELL("filename",A55))+1,31)) &amp; "*",CHOOSE({1,2}, Super_CBSA!$B$2:$B$1917, Super_CBSA!$A$2:$A$1917), 2,FALSE), IFERROR(VLOOKUP(B56  &amp; " city",CHOOSE({1,2}, Super_CBSA!$E$2:$E$1917, Super_CBSA!$A$2:$A$1917), 2,FALSE), ""))</f>
        <v>16860</v>
      </c>
    </row>
    <row r="57" spans="1:7" ht="17">
      <c r="A57" s="1" t="s">
        <v>4843</v>
      </c>
      <c r="B57" s="2" t="s">
        <v>4768</v>
      </c>
      <c r="C57" s="2">
        <v>460</v>
      </c>
      <c r="D57" s="3">
        <v>16725</v>
      </c>
      <c r="E57" s="3">
        <v>92732</v>
      </c>
      <c r="F57" s="4">
        <v>1950124</v>
      </c>
      <c r="G57" s="11" cm="1">
        <f t="array" aca="1" ref="G57" ca="1">IFERROR(VLOOKUP("*" &amp; B57  &amp; "*" &amp; (MID(CELL("filename",A56),FIND("]",CELL("filename",A56))+1,31)) &amp; "*",CHOOSE({1,2}, Super_CBSA!$B$2:$B$1917, Super_CBSA!$A$2:$A$1917), 2,FALSE), IFERROR(VLOOKUP(B57  &amp; " city",CHOOSE({1,2}, Super_CBSA!$E$2:$E$1917, Super_CBSA!$A$2:$A$1917), 2,FALSE), ""))</f>
        <v>16860</v>
      </c>
    </row>
    <row r="58" spans="1:7" ht="17">
      <c r="A58" s="1" t="s">
        <v>4844</v>
      </c>
      <c r="B58" s="2" t="s">
        <v>4802</v>
      </c>
      <c r="C58" s="2">
        <v>370</v>
      </c>
      <c r="D58" s="3">
        <v>22847</v>
      </c>
      <c r="E58" s="3">
        <v>109417</v>
      </c>
      <c r="F58" s="4">
        <v>1177989</v>
      </c>
      <c r="G58" s="11" cm="1">
        <f t="array" aca="1" ref="G58" ca="1">IFERROR(VLOOKUP("*" &amp; B58  &amp; "*" &amp; (MID(CELL("filename",A57),FIND("]",CELL("filename",A57))+1,31)) &amp; "*",CHOOSE({1,2}, Super_CBSA!$B$2:$B$1917, Super_CBSA!$A$2:$A$1917), 2,FALSE), IFERROR(VLOOKUP(B58  &amp; " city",CHOOSE({1,2}, Super_CBSA!$E$2:$E$1917, Super_CBSA!$A$2:$A$1917), 2,FALSE), ""))</f>
        <v>28940</v>
      </c>
    </row>
    <row r="59" spans="1:7" ht="17">
      <c r="A59" s="1" t="s">
        <v>4845</v>
      </c>
      <c r="B59" s="2" t="s">
        <v>4846</v>
      </c>
      <c r="C59" s="2">
        <v>33</v>
      </c>
      <c r="D59" s="2">
        <v>334</v>
      </c>
      <c r="E59" s="3">
        <v>1420</v>
      </c>
      <c r="F59" s="4">
        <v>18509</v>
      </c>
      <c r="G59" s="11" t="str" cm="1">
        <f t="array" aca="1" ref="G59" ca="1">IFERROR(VLOOKUP("*" &amp; B59  &amp; "*" &amp; (MID(CELL("filename",A58),FIND("]",CELL("filename",A58))+1,31)) &amp; "*",CHOOSE({1,2}, Super_CBSA!$B$2:$B$1917, Super_CBSA!$A$2:$A$1917), 2,FALSE), IFERROR(VLOOKUP(B59  &amp; " city",CHOOSE({1,2}, Super_CBSA!$E$2:$E$1917, Super_CBSA!$A$2:$A$1917), 2,FALSE), ""))</f>
        <v/>
      </c>
    </row>
    <row r="60" spans="1:7" ht="17">
      <c r="A60" s="1" t="s">
        <v>4847</v>
      </c>
      <c r="B60" s="2" t="s">
        <v>2340</v>
      </c>
      <c r="C60" s="2">
        <v>0</v>
      </c>
      <c r="D60" s="2">
        <v>0</v>
      </c>
      <c r="E60" s="2">
        <v>0</v>
      </c>
      <c r="F60" s="4">
        <v>0</v>
      </c>
      <c r="G60" s="11" t="str" cm="1">
        <f t="array" aca="1" ref="G60" ca="1">IFERROR(VLOOKUP("*" &amp; B60  &amp; "*" &amp; (MID(CELL("filename",A59),FIND("]",CELL("filename",A59))+1,31)) &amp; "*",CHOOSE({1,2}, Super_CBSA!$B$2:$B$1917, Super_CBSA!$A$2:$A$1917), 2,FALSE), IFERROR(VLOOKUP(B60  &amp; " city",CHOOSE({1,2}, Super_CBSA!$E$2:$E$1917, Super_CBSA!$A$2:$A$1917), 2,FALSE), ""))</f>
        <v/>
      </c>
    </row>
    <row r="61" spans="1:7" ht="17">
      <c r="A61" s="1" t="s">
        <v>4848</v>
      </c>
      <c r="B61" s="2" t="s">
        <v>4777</v>
      </c>
      <c r="C61" s="2">
        <v>326</v>
      </c>
      <c r="D61" s="3">
        <v>10840</v>
      </c>
      <c r="E61" s="3">
        <v>61141</v>
      </c>
      <c r="F61" s="4">
        <v>1666482</v>
      </c>
      <c r="G61" s="11" cm="1">
        <f t="array" aca="1" ref="G61" ca="1">IFERROR(VLOOKUP("*" &amp; B61  &amp; "*" &amp; (MID(CELL("filename",A60),FIND("]",CELL("filename",A60))+1,31)) &amp; "*",CHOOSE({1,2}, Super_CBSA!$B$2:$B$1917, Super_CBSA!$A$2:$A$1917), 2,FALSE), IFERROR(VLOOKUP(B61  &amp; " city",CHOOSE({1,2}, Super_CBSA!$E$2:$E$1917, Super_CBSA!$A$2:$A$1917), 2,FALSE), ""))</f>
        <v>32820</v>
      </c>
    </row>
    <row r="62" spans="1:7" ht="17">
      <c r="A62" s="1" t="s">
        <v>4849</v>
      </c>
      <c r="B62" s="2" t="s">
        <v>4850</v>
      </c>
      <c r="C62" s="2">
        <v>52</v>
      </c>
      <c r="D62" s="3">
        <v>2743</v>
      </c>
      <c r="E62" s="3">
        <v>10156</v>
      </c>
      <c r="F62" s="4">
        <v>123472</v>
      </c>
      <c r="G62" s="11" t="str" cm="1">
        <f t="array" aca="1" ref="G62" ca="1">IFERROR(VLOOKUP("*" &amp; B62  &amp; "*" &amp; (MID(CELL("filename",A61),FIND("]",CELL("filename",A61))+1,31)) &amp; "*",CHOOSE({1,2}, Super_CBSA!$B$2:$B$1917, Super_CBSA!$A$2:$A$1917), 2,FALSE), IFERROR(VLOOKUP(B62  &amp; " city",CHOOSE({1,2}, Super_CBSA!$E$2:$E$1917, Super_CBSA!$A$2:$A$1917), 2,FALSE), ""))</f>
        <v/>
      </c>
    </row>
    <row r="63" spans="1:7" ht="17">
      <c r="A63" s="1" t="s">
        <v>4851</v>
      </c>
      <c r="B63" s="2" t="s">
        <v>4852</v>
      </c>
      <c r="C63" s="2">
        <v>156</v>
      </c>
      <c r="D63" s="3">
        <v>8019</v>
      </c>
      <c r="E63" s="3">
        <v>35560</v>
      </c>
      <c r="F63" s="4">
        <v>1016705</v>
      </c>
      <c r="G63" s="11" t="str" cm="1">
        <f t="array" aca="1" ref="G63" ca="1">IFERROR(VLOOKUP("*" &amp; B63  &amp; "*" &amp; (MID(CELL("filename",A62),FIND("]",CELL("filename",A62))+1,31)) &amp; "*",CHOOSE({1,2}, Super_CBSA!$B$2:$B$1917, Super_CBSA!$A$2:$A$1917), 2,FALSE), IFERROR(VLOOKUP(B63  &amp; " city",CHOOSE({1,2}, Super_CBSA!$E$2:$E$1917, Super_CBSA!$A$2:$A$1917), 2,FALSE), ""))</f>
        <v/>
      </c>
    </row>
    <row r="64" spans="1:7" ht="17">
      <c r="A64" s="1" t="s">
        <v>4853</v>
      </c>
      <c r="B64" s="2" t="s">
        <v>4777</v>
      </c>
      <c r="C64" s="2">
        <v>393</v>
      </c>
      <c r="D64" s="3">
        <v>14664</v>
      </c>
      <c r="E64" s="3">
        <v>69519</v>
      </c>
      <c r="F64" s="4">
        <v>2065352</v>
      </c>
      <c r="G64" s="11" cm="1">
        <f t="array" aca="1" ref="G64" ca="1">IFERROR(VLOOKUP("*" &amp; B64  &amp; "*" &amp; (MID(CELL("filename",A63),FIND("]",CELL("filename",A63))+1,31)) &amp; "*",CHOOSE({1,2}, Super_CBSA!$B$2:$B$1917, Super_CBSA!$A$2:$A$1917), 2,FALSE), IFERROR(VLOOKUP(B64  &amp; " city",CHOOSE({1,2}, Super_CBSA!$E$2:$E$1917, Super_CBSA!$A$2:$A$1917), 2,FALSE), ""))</f>
        <v>32820</v>
      </c>
    </row>
    <row r="65" spans="1:7" ht="17">
      <c r="A65" s="1" t="s">
        <v>4854</v>
      </c>
      <c r="B65" s="2" t="s">
        <v>3084</v>
      </c>
      <c r="C65" s="2">
        <v>52</v>
      </c>
      <c r="D65" s="2">
        <v>444</v>
      </c>
      <c r="E65" s="3">
        <v>1425</v>
      </c>
      <c r="F65" s="4">
        <v>60146</v>
      </c>
      <c r="G65" s="11" t="str" cm="1">
        <f t="array" aca="1" ref="G65" ca="1">IFERROR(VLOOKUP("*" &amp; B65  &amp; "*" &amp; (MID(CELL("filename",A64),FIND("]",CELL("filename",A64))+1,31)) &amp; "*",CHOOSE({1,2}, Super_CBSA!$B$2:$B$1917, Super_CBSA!$A$2:$A$1917), 2,FALSE), IFERROR(VLOOKUP(B65  &amp; " city",CHOOSE({1,2}, Super_CBSA!$E$2:$E$1917, Super_CBSA!$A$2:$A$1917), 2,FALSE), ""))</f>
        <v/>
      </c>
    </row>
    <row r="66" spans="1:7" ht="17">
      <c r="A66" s="1" t="s">
        <v>4855</v>
      </c>
      <c r="B66" s="2" t="s">
        <v>1629</v>
      </c>
      <c r="C66" s="2">
        <v>23</v>
      </c>
      <c r="D66" s="3">
        <v>1945</v>
      </c>
      <c r="E66" s="3">
        <v>2848</v>
      </c>
      <c r="F66" s="4">
        <v>174167</v>
      </c>
      <c r="G66" s="11" cm="1">
        <f t="array" aca="1" ref="G66" ca="1">IFERROR(VLOOKUP("*" &amp; B66  &amp; "*" &amp; (MID(CELL("filename",A65),FIND("]",CELL("filename",A65))+1,31)) &amp; "*",CHOOSE({1,2}, Super_CBSA!$B$2:$B$1917, Super_CBSA!$A$2:$A$1917), 2,FALSE), IFERROR(VLOOKUP(B66  &amp; " city",CHOOSE({1,2}, Super_CBSA!$E$2:$E$1917, Super_CBSA!$A$2:$A$1917), 2,FALSE), ""))</f>
        <v>34980</v>
      </c>
    </row>
    <row r="67" spans="1:7" ht="17">
      <c r="A67" s="1" t="s">
        <v>4856</v>
      </c>
      <c r="B67" s="2" t="s">
        <v>1629</v>
      </c>
      <c r="C67" s="2">
        <v>419</v>
      </c>
      <c r="D67" s="3">
        <v>21325</v>
      </c>
      <c r="E67" s="3">
        <v>105176</v>
      </c>
      <c r="F67" s="4">
        <v>1892992</v>
      </c>
      <c r="G67" s="11" cm="1">
        <f t="array" aca="1" ref="G67" ca="1">IFERROR(VLOOKUP("*" &amp; B67  &amp; "*" &amp; (MID(CELL("filename",A66),FIND("]",CELL("filename",A66))+1,31)) &amp; "*",CHOOSE({1,2}, Super_CBSA!$B$2:$B$1917, Super_CBSA!$A$2:$A$1917), 2,FALSE), IFERROR(VLOOKUP(B67  &amp; " city",CHOOSE({1,2}, Super_CBSA!$E$2:$E$1917, Super_CBSA!$A$2:$A$1917), 2,FALSE), ""))</f>
        <v>34980</v>
      </c>
    </row>
    <row r="68" spans="1:7" ht="17">
      <c r="A68" s="1" t="s">
        <v>4857</v>
      </c>
      <c r="B68" s="2" t="s">
        <v>4353</v>
      </c>
      <c r="C68" s="2">
        <v>125</v>
      </c>
      <c r="D68" s="3">
        <v>1824</v>
      </c>
      <c r="E68" s="3">
        <v>5223</v>
      </c>
      <c r="F68" s="4">
        <v>242472</v>
      </c>
      <c r="G68" s="11" cm="1">
        <f t="array" aca="1" ref="G68" ca="1">IFERROR(VLOOKUP("*" &amp; B68  &amp; "*" &amp; (MID(CELL("filename",A67),FIND("]",CELL("filename",A67))+1,31)) &amp; "*",CHOOSE({1,2}, Super_CBSA!$B$2:$B$1917, Super_CBSA!$A$2:$A$1917), 2,FALSE), IFERROR(VLOOKUP(B68  &amp; " city",CHOOSE({1,2}, Super_CBSA!$E$2:$E$1917, Super_CBSA!$A$2:$A$1917), 2,FALSE), ""))</f>
        <v>32660</v>
      </c>
    </row>
    <row r="69" spans="1:7" ht="17">
      <c r="A69" s="1" t="s">
        <v>4858</v>
      </c>
      <c r="B69" s="2" t="s">
        <v>4859</v>
      </c>
      <c r="C69" s="2">
        <v>287</v>
      </c>
      <c r="D69" s="3">
        <v>19370</v>
      </c>
      <c r="E69" s="3">
        <v>84741</v>
      </c>
      <c r="F69" s="4">
        <v>1486609</v>
      </c>
      <c r="G69" s="11" cm="1">
        <f t="array" aca="1" ref="G69" ca="1">IFERROR(VLOOKUP("*" &amp; B69  &amp; "*" &amp; (MID(CELL("filename",A68),FIND("]",CELL("filename",A68))+1,31)) &amp; "*",CHOOSE({1,2}, Super_CBSA!$B$2:$B$1917, Super_CBSA!$A$2:$A$1917), 2,FALSE), IFERROR(VLOOKUP(B69  &amp; " city",CHOOSE({1,2}, Super_CBSA!$E$2:$E$1917, Super_CBSA!$A$2:$A$1917), 2,FALSE), ""))</f>
        <v>34980</v>
      </c>
    </row>
    <row r="70" spans="1:7" ht="17">
      <c r="A70" s="1" t="s">
        <v>4860</v>
      </c>
      <c r="B70" s="2" t="s">
        <v>2081</v>
      </c>
      <c r="C70" s="2">
        <v>99</v>
      </c>
      <c r="D70" s="3">
        <v>1796</v>
      </c>
      <c r="E70" s="3">
        <v>6010</v>
      </c>
      <c r="F70" s="4">
        <v>225733</v>
      </c>
      <c r="G70" s="11" cm="1">
        <f t="array" aca="1" ref="G70" ca="1">IFERROR(VLOOKUP("*" &amp; B70  &amp; "*" &amp; (MID(CELL("filename",A69),FIND("]",CELL("filename",A69))+1,31)) &amp; "*",CHOOSE({1,2}, Super_CBSA!$B$2:$B$1917, Super_CBSA!$A$2:$A$1917), 2,FALSE), IFERROR(VLOOKUP(B70  &amp; " city",CHOOSE({1,2}, Super_CBSA!$E$2:$E$1917, Super_CBSA!$A$2:$A$1917), 2,FALSE), ""))</f>
        <v>29980</v>
      </c>
    </row>
    <row r="71" spans="1:7" ht="17">
      <c r="A71" s="1" t="s">
        <v>4861</v>
      </c>
      <c r="B71" s="2" t="s">
        <v>2270</v>
      </c>
      <c r="C71" s="2">
        <v>198</v>
      </c>
      <c r="D71" s="3">
        <v>3318</v>
      </c>
      <c r="E71" s="3">
        <v>11575</v>
      </c>
      <c r="F71" s="4">
        <v>481122</v>
      </c>
      <c r="G71" s="11" cm="1">
        <f t="array" aca="1" ref="G71" ca="1">IFERROR(VLOOKUP("*" &amp; B71  &amp; "*" &amp; (MID(CELL("filename",A70),FIND("]",CELL("filename",A70))+1,31)) &amp; "*",CHOOSE({1,2}, Super_CBSA!$B$2:$B$1917, Super_CBSA!$A$2:$A$1917), 2,FALSE), IFERROR(VLOOKUP(B71  &amp; " city",CHOOSE({1,2}, Super_CBSA!$E$2:$E$1917, Super_CBSA!$A$2:$A$1917), 2,FALSE), ""))</f>
        <v>49020</v>
      </c>
    </row>
    <row r="72" spans="1:7" ht="17">
      <c r="A72" s="1" t="s">
        <v>4862</v>
      </c>
      <c r="B72" s="2" t="s">
        <v>4863</v>
      </c>
      <c r="C72" s="2">
        <v>95</v>
      </c>
      <c r="D72" s="3">
        <v>1677</v>
      </c>
      <c r="E72" s="3">
        <v>5637</v>
      </c>
      <c r="F72" s="4">
        <v>188707</v>
      </c>
      <c r="G72" s="11" t="str" cm="1">
        <f t="array" aca="1" ref="G72" ca="1">IFERROR(VLOOKUP("*" &amp; B72  &amp; "*" &amp; (MID(CELL("filename",A71),FIND("]",CELL("filename",A71))+1,31)) &amp; "*",CHOOSE({1,2}, Super_CBSA!$B$2:$B$1917, Super_CBSA!$A$2:$A$1917), 2,FALSE), IFERROR(VLOOKUP(B72  &amp; " city",CHOOSE({1,2}, Super_CBSA!$E$2:$E$1917, Super_CBSA!$A$2:$A$1917), 2,FALSE), ""))</f>
        <v/>
      </c>
    </row>
    <row r="73" spans="1:7" ht="17">
      <c r="A73" s="1" t="s">
        <v>4864</v>
      </c>
      <c r="B73" s="2" t="s">
        <v>4865</v>
      </c>
      <c r="C73" s="2">
        <v>0</v>
      </c>
      <c r="D73" s="2">
        <v>0</v>
      </c>
      <c r="E73" s="2">
        <v>0</v>
      </c>
      <c r="F73" s="4">
        <v>0</v>
      </c>
      <c r="G73" s="11" t="str" cm="1">
        <f t="array" aca="1" ref="G73" ca="1">IFERROR(VLOOKUP("*" &amp; B73  &amp; "*" &amp; (MID(CELL("filename",A72),FIND("]",CELL("filename",A72))+1,31)) &amp; "*",CHOOSE({1,2}, Super_CBSA!$B$2:$B$1917, Super_CBSA!$A$2:$A$1917), 2,FALSE), IFERROR(VLOOKUP(B73  &amp; " city",CHOOSE({1,2}, Super_CBSA!$E$2:$E$1917, Super_CBSA!$A$2:$A$1917), 2,FALSE), ""))</f>
        <v/>
      </c>
    </row>
    <row r="74" spans="1:7" ht="17">
      <c r="A74" s="1" t="s">
        <v>4866</v>
      </c>
      <c r="B74" s="2" t="s">
        <v>83</v>
      </c>
      <c r="C74" s="2">
        <v>194</v>
      </c>
      <c r="D74" s="3">
        <v>2543</v>
      </c>
      <c r="E74" s="3">
        <v>10163</v>
      </c>
      <c r="F74" s="4">
        <v>510327</v>
      </c>
      <c r="G74" s="11" cm="1">
        <f t="array" aca="1" ref="G74" ca="1">IFERROR(VLOOKUP("*" &amp; B74  &amp; "*" &amp; (MID(CELL("filename",A73),FIND("]",CELL("filename",A73))+1,31)) &amp; "*",CHOOSE({1,2}, Super_CBSA!$B$2:$B$1917, Super_CBSA!$A$2:$A$1917), 2,FALSE), IFERROR(VLOOKUP(B74  &amp; " city",CHOOSE({1,2}, Super_CBSA!$E$2:$E$1917, Super_CBSA!$A$2:$A$1917), 2,FALSE), ""))</f>
        <v>11940</v>
      </c>
    </row>
    <row r="75" spans="1:7" ht="17">
      <c r="A75" s="1" t="s">
        <v>4867</v>
      </c>
      <c r="B75" s="2" t="s">
        <v>4868</v>
      </c>
      <c r="C75" s="2">
        <v>155</v>
      </c>
      <c r="D75" s="3">
        <v>6801</v>
      </c>
      <c r="E75" s="3">
        <v>27484</v>
      </c>
      <c r="F75" s="4">
        <v>891817</v>
      </c>
      <c r="G75" s="11" t="str" cm="1">
        <f t="array" aca="1" ref="G75" ca="1">IFERROR(VLOOKUP("*" &amp; B75  &amp; "*" &amp; (MID(CELL("filename",A74),FIND("]",CELL("filename",A74))+1,31)) &amp; "*",CHOOSE({1,2}, Super_CBSA!$B$2:$B$1917, Super_CBSA!$A$2:$A$1917), 2,FALSE), IFERROR(VLOOKUP(B75  &amp; " city",CHOOSE({1,2}, Super_CBSA!$E$2:$E$1917, Super_CBSA!$A$2:$A$1917), 2,FALSE), ""))</f>
        <v/>
      </c>
    </row>
    <row r="76" spans="1:7" ht="17">
      <c r="A76" s="1" t="s">
        <v>4869</v>
      </c>
      <c r="B76" s="2" t="s">
        <v>4870</v>
      </c>
      <c r="C76" s="2">
        <v>59</v>
      </c>
      <c r="D76" s="3">
        <v>1942</v>
      </c>
      <c r="E76" s="3">
        <v>9690</v>
      </c>
      <c r="F76" s="4">
        <v>223045</v>
      </c>
      <c r="G76" s="11" t="str" cm="1">
        <f t="array" aca="1" ref="G76" ca="1">IFERROR(VLOOKUP("*" &amp; B76  &amp; "*" &amp; (MID(CELL("filename",A75),FIND("]",CELL("filename",A75))+1,31)) &amp; "*",CHOOSE({1,2}, Super_CBSA!$B$2:$B$1917, Super_CBSA!$A$2:$A$1917), 2,FALSE), IFERROR(VLOOKUP(B76  &amp; " city",CHOOSE({1,2}, Super_CBSA!$E$2:$E$1917, Super_CBSA!$A$2:$A$1917), 2,FALSE), ""))</f>
        <v/>
      </c>
    </row>
    <row r="77" spans="1:7" ht="17">
      <c r="A77" s="1" t="s">
        <v>4871</v>
      </c>
      <c r="B77" s="2" t="s">
        <v>4872</v>
      </c>
      <c r="C77" s="2">
        <v>121</v>
      </c>
      <c r="D77" s="3">
        <v>3101</v>
      </c>
      <c r="E77" s="3">
        <v>11747</v>
      </c>
      <c r="F77" s="4">
        <v>328462</v>
      </c>
      <c r="G77" s="11" t="str" cm="1">
        <f t="array" aca="1" ref="G77" ca="1">IFERROR(VLOOKUP("*" &amp; B77  &amp; "*" &amp; (MID(CELL("filename",A76),FIND("]",CELL("filename",A76))+1,31)) &amp; "*",CHOOSE({1,2}, Super_CBSA!$B$2:$B$1917, Super_CBSA!$A$2:$A$1917), 2,FALSE), IFERROR(VLOOKUP(B77  &amp; " city",CHOOSE({1,2}, Super_CBSA!$E$2:$E$1917, Super_CBSA!$A$2:$A$1917), 2,FALSE), ""))</f>
        <v/>
      </c>
    </row>
    <row r="78" spans="1:7" ht="17">
      <c r="A78" s="1" t="s">
        <v>4873</v>
      </c>
      <c r="B78" s="2" t="s">
        <v>3130</v>
      </c>
      <c r="C78" s="2">
        <v>177</v>
      </c>
      <c r="D78" s="3">
        <v>9201</v>
      </c>
      <c r="E78" s="3">
        <v>41071</v>
      </c>
      <c r="F78" s="4">
        <v>1469512</v>
      </c>
      <c r="G78" s="11" cm="1">
        <f t="array" aca="1" ref="G78" ca="1">IFERROR(VLOOKUP("*" &amp; B78  &amp; "*" &amp; (MID(CELL("filename",A77),FIND("]",CELL("filename",A77))+1,31)) &amp; "*",CHOOSE({1,2}, Super_CBSA!$B$2:$B$1917, Super_CBSA!$A$2:$A$1917), 2,FALSE), IFERROR(VLOOKUP(B78  &amp; " city",CHOOSE({1,2}, Super_CBSA!$E$2:$E$1917, Super_CBSA!$A$2:$A$1917), 2,FALSE), ""))</f>
        <v>17420</v>
      </c>
    </row>
    <row r="79" spans="1:7" ht="17">
      <c r="A79" s="1" t="s">
        <v>4874</v>
      </c>
      <c r="B79" s="2" t="s">
        <v>4875</v>
      </c>
      <c r="C79" s="2">
        <v>74</v>
      </c>
      <c r="D79" s="3">
        <v>3538</v>
      </c>
      <c r="E79" s="3">
        <v>13865</v>
      </c>
      <c r="F79" s="4">
        <v>572743</v>
      </c>
      <c r="G79" s="11" cm="1">
        <f t="array" aca="1" ref="G79" ca="1">IFERROR(VLOOKUP("*" &amp; B79  &amp; "*" &amp; (MID(CELL("filename",A78),FIND("]",CELL("filename",A78))+1,31)) &amp; "*",CHOOSE({1,2}, Super_CBSA!$B$2:$B$1917, Super_CBSA!$A$2:$A$1917), 2,FALSE), IFERROR(VLOOKUP(B79  &amp; " city",CHOOSE({1,2}, Super_CBSA!$E$2:$E$1917, Super_CBSA!$A$2:$A$1917), 2,FALSE), ""))</f>
        <v>46100</v>
      </c>
    </row>
    <row r="80" spans="1:7" ht="17">
      <c r="A80" s="1" t="s">
        <v>4876</v>
      </c>
      <c r="B80" s="2" t="s">
        <v>1894</v>
      </c>
      <c r="C80" s="2">
        <v>44</v>
      </c>
      <c r="D80" s="3">
        <v>1278</v>
      </c>
      <c r="E80" s="3">
        <v>3325</v>
      </c>
      <c r="F80" s="4">
        <v>205657</v>
      </c>
      <c r="G80" s="11" cm="1">
        <f t="array" aca="1" ref="G80" ca="1">IFERROR(VLOOKUP("*" &amp; B80  &amp; "*" &amp; (MID(CELL("filename",A79),FIND("]",CELL("filename",A79))+1,31)) &amp; "*",CHOOSE({1,2}, Super_CBSA!$B$2:$B$1917, Super_CBSA!$A$2:$A$1917), 2,FALSE), IFERROR(VLOOKUP(B80  &amp; " city",CHOOSE({1,2}, Super_CBSA!$E$2:$E$1917, Super_CBSA!$A$2:$A$1917), 2,FALSE), ""))</f>
        <v>43180</v>
      </c>
    </row>
    <row r="81" spans="1:7" ht="17">
      <c r="A81" s="1" t="s">
        <v>4877</v>
      </c>
      <c r="B81" s="2" t="s">
        <v>285</v>
      </c>
      <c r="C81" s="2">
        <v>254</v>
      </c>
      <c r="D81" s="3">
        <v>9528</v>
      </c>
      <c r="E81" s="3">
        <v>40793</v>
      </c>
      <c r="F81" s="4">
        <v>1235069</v>
      </c>
      <c r="G81" s="11" cm="1">
        <f t="array" aca="1" ref="G81" ca="1">IFERROR(VLOOKUP("*" &amp; B81  &amp; "*" &amp; (MID(CELL("filename",A80),FIND("]",CELL("filename",A80))+1,31)) &amp; "*",CHOOSE({1,2}, Super_CBSA!$B$2:$B$1917, Super_CBSA!$A$2:$A$1917), 2,FALSE), IFERROR(VLOOKUP(B81  &amp; " city",CHOOSE({1,2}, Super_CBSA!$E$2:$E$1917, Super_CBSA!$A$2:$A$1917), 2,FALSE), ""))</f>
        <v>17300</v>
      </c>
    </row>
    <row r="82" spans="1:7" ht="17">
      <c r="A82" s="1" t="s">
        <v>4878</v>
      </c>
      <c r="B82" s="2" t="s">
        <v>1629</v>
      </c>
      <c r="C82" s="2">
        <v>604</v>
      </c>
      <c r="D82" s="3">
        <v>30644</v>
      </c>
      <c r="E82" s="3">
        <v>154623</v>
      </c>
      <c r="F82" s="4">
        <v>4700043</v>
      </c>
      <c r="G82" s="11" cm="1">
        <f t="array" aca="1" ref="G82" ca="1">IFERROR(VLOOKUP("*" &amp; B82  &amp; "*" &amp; (MID(CELL("filename",A81),FIND("]",CELL("filename",A81))+1,31)) &amp; "*",CHOOSE({1,2}, Super_CBSA!$B$2:$B$1917, Super_CBSA!$A$2:$A$1917), 2,FALSE), IFERROR(VLOOKUP(B82  &amp; " city",CHOOSE({1,2}, Super_CBSA!$E$2:$E$1917, Super_CBSA!$A$2:$A$1917), 2,FALSE), ""))</f>
        <v>34980</v>
      </c>
    </row>
    <row r="83" spans="1:7" ht="17">
      <c r="A83" s="1" t="s">
        <v>4879</v>
      </c>
      <c r="B83" s="2" t="s">
        <v>3245</v>
      </c>
      <c r="C83" s="2">
        <v>129</v>
      </c>
      <c r="D83" s="3">
        <v>7454</v>
      </c>
      <c r="E83" s="3">
        <v>26168</v>
      </c>
      <c r="F83" s="4">
        <v>1129091</v>
      </c>
      <c r="G83" s="11" t="str" cm="1">
        <f t="array" aca="1" ref="G83" ca="1">IFERROR(VLOOKUP("*" &amp; B83  &amp; "*" &amp; (MID(CELL("filename",A82),FIND("]",CELL("filename",A82))+1,31)) &amp; "*",CHOOSE({1,2}, Super_CBSA!$B$2:$B$1917, Super_CBSA!$A$2:$A$1917), 2,FALSE), IFERROR(VLOOKUP(B83  &amp; " city",CHOOSE({1,2}, Super_CBSA!$E$2:$E$1917, Super_CBSA!$A$2:$A$1917), 2,FALSE), ""))</f>
        <v/>
      </c>
    </row>
    <row r="84" spans="1:7" ht="17">
      <c r="A84" s="1" t="s">
        <v>4880</v>
      </c>
      <c r="B84" s="2" t="s">
        <v>4881</v>
      </c>
      <c r="C84" s="2">
        <v>103</v>
      </c>
      <c r="D84" s="3">
        <v>5408</v>
      </c>
      <c r="E84" s="3">
        <v>19925</v>
      </c>
      <c r="F84" s="4">
        <v>659979</v>
      </c>
      <c r="G84" s="11" t="str" cm="1">
        <f t="array" aca="1" ref="G84" ca="1">IFERROR(VLOOKUP("*" &amp; B84  &amp; "*" &amp; (MID(CELL("filename",A83),FIND("]",CELL("filename",A83))+1,31)) &amp; "*",CHOOSE({1,2}, Super_CBSA!$B$2:$B$1917, Super_CBSA!$A$2:$A$1917), 2,FALSE), IFERROR(VLOOKUP(B84  &amp; " city",CHOOSE({1,2}, Super_CBSA!$E$2:$E$1917, Super_CBSA!$A$2:$A$1917), 2,FALSE), ""))</f>
        <v/>
      </c>
    </row>
    <row r="85" spans="1:7" ht="17">
      <c r="A85" s="1" t="s">
        <v>4882</v>
      </c>
      <c r="B85" s="2" t="s">
        <v>168</v>
      </c>
      <c r="C85" s="2">
        <v>230</v>
      </c>
      <c r="D85" s="3">
        <v>4149</v>
      </c>
      <c r="E85" s="3">
        <v>19412</v>
      </c>
      <c r="F85" s="4">
        <v>71062</v>
      </c>
      <c r="G85" s="11" t="str" cm="1">
        <f t="array" aca="1" ref="G85" ca="1">IFERROR(VLOOKUP("*" &amp; B85  &amp; "*" &amp; (MID(CELL("filename",A84),FIND("]",CELL("filename",A84))+1,31)) &amp; "*",CHOOSE({1,2}, Super_CBSA!$B$2:$B$1917, Super_CBSA!$A$2:$A$1917), 2,FALSE), IFERROR(VLOOKUP(B85  &amp; " city",CHOOSE({1,2}, Super_CBSA!$E$2:$E$1917, Super_CBSA!$A$2:$A$1917), 2,FALSE), ""))</f>
        <v/>
      </c>
    </row>
    <row r="86" spans="1:7" ht="17">
      <c r="A86" s="1" t="s">
        <v>4883</v>
      </c>
      <c r="B86" s="2" t="s">
        <v>1629</v>
      </c>
      <c r="C86" s="2">
        <v>353</v>
      </c>
      <c r="D86" s="3">
        <v>16673</v>
      </c>
      <c r="E86" s="3">
        <v>89226</v>
      </c>
      <c r="F86" s="4">
        <v>2207071</v>
      </c>
      <c r="G86" s="11" cm="1">
        <f t="array" aca="1" ref="G86" ca="1">IFERROR(VLOOKUP("*" &amp; B86  &amp; "*" &amp; (MID(CELL("filename",A85),FIND("]",CELL("filename",A85))+1,31)) &amp; "*",CHOOSE({1,2}, Super_CBSA!$B$2:$B$1917, Super_CBSA!$A$2:$A$1917), 2,FALSE), IFERROR(VLOOKUP(B86  &amp; " city",CHOOSE({1,2}, Super_CBSA!$E$2:$E$1917, Super_CBSA!$A$2:$A$1917), 2,FALSE), ""))</f>
        <v>34980</v>
      </c>
    </row>
    <row r="87" spans="1:7" ht="17">
      <c r="A87" s="1" t="s">
        <v>4884</v>
      </c>
      <c r="B87" s="2" t="s">
        <v>1629</v>
      </c>
      <c r="C87" s="2">
        <v>119</v>
      </c>
      <c r="D87" s="3">
        <v>4445</v>
      </c>
      <c r="E87" s="3">
        <v>18779</v>
      </c>
      <c r="F87" s="4">
        <v>791332</v>
      </c>
      <c r="G87" s="11" cm="1">
        <f t="array" aca="1" ref="G87" ca="1">IFERROR(VLOOKUP("*" &amp; B87  &amp; "*" &amp; (MID(CELL("filename",A86),FIND("]",CELL("filename",A86))+1,31)) &amp; "*",CHOOSE({1,2}, Super_CBSA!$B$2:$B$1917, Super_CBSA!$A$2:$A$1917), 2,FALSE), IFERROR(VLOOKUP(B87  &amp; " city",CHOOSE({1,2}, Super_CBSA!$E$2:$E$1917, Super_CBSA!$A$2:$A$1917), 2,FALSE), ""))</f>
        <v>34980</v>
      </c>
    </row>
    <row r="88" spans="1:7" ht="17">
      <c r="A88" s="1" t="s">
        <v>4885</v>
      </c>
      <c r="B88" s="2" t="s">
        <v>4886</v>
      </c>
      <c r="C88" s="2">
        <v>109</v>
      </c>
      <c r="D88" s="3">
        <v>5875</v>
      </c>
      <c r="E88" s="3">
        <v>21112</v>
      </c>
      <c r="F88" s="4">
        <v>805138</v>
      </c>
      <c r="G88" s="11" t="str" cm="1">
        <f t="array" aca="1" ref="G88" ca="1">IFERROR(VLOOKUP("*" &amp; B88  &amp; "*" &amp; (MID(CELL("filename",A87),FIND("]",CELL("filename",A87))+1,31)) &amp; "*",CHOOSE({1,2}, Super_CBSA!$B$2:$B$1917, Super_CBSA!$A$2:$A$1917), 2,FALSE), IFERROR(VLOOKUP(B88  &amp; " city",CHOOSE({1,2}, Super_CBSA!$E$2:$E$1917, Super_CBSA!$A$2:$A$1917), 2,FALSE), ""))</f>
        <v/>
      </c>
    </row>
    <row r="89" spans="1:7" ht="17">
      <c r="A89" s="1" t="s">
        <v>4887</v>
      </c>
      <c r="B89" s="2" t="s">
        <v>4888</v>
      </c>
      <c r="C89" s="2">
        <v>190</v>
      </c>
      <c r="D89" s="3">
        <v>12275</v>
      </c>
      <c r="E89" s="3">
        <v>47583</v>
      </c>
      <c r="F89" s="4">
        <v>1544674</v>
      </c>
      <c r="G89" s="11" t="str" cm="1">
        <f t="array" aca="1" ref="G89" ca="1">IFERROR(VLOOKUP("*" &amp; B89  &amp; "*" &amp; (MID(CELL("filename",A88),FIND("]",CELL("filename",A88))+1,31)) &amp; "*",CHOOSE({1,2}, Super_CBSA!$B$2:$B$1917, Super_CBSA!$A$2:$A$1917), 2,FALSE), IFERROR(VLOOKUP(B89  &amp; " city",CHOOSE({1,2}, Super_CBSA!$E$2:$E$1917, Super_CBSA!$A$2:$A$1917), 2,FALSE), ""))</f>
        <v/>
      </c>
    </row>
    <row r="90" spans="1:7" ht="17">
      <c r="A90" s="1" t="s">
        <v>4889</v>
      </c>
      <c r="B90" s="2" t="s">
        <v>4859</v>
      </c>
      <c r="C90" s="2">
        <v>217</v>
      </c>
      <c r="D90" s="2">
        <v>1</v>
      </c>
      <c r="E90" s="2">
        <v>18</v>
      </c>
      <c r="F90" s="4">
        <v>71060</v>
      </c>
      <c r="G90" s="11" cm="1">
        <f t="array" aca="1" ref="G90" ca="1">IFERROR(VLOOKUP("*" &amp; B90  &amp; "*" &amp; (MID(CELL("filename",A89),FIND("]",CELL("filename",A89))+1,31)) &amp; "*",CHOOSE({1,2}, Super_CBSA!$B$2:$B$1917, Super_CBSA!$A$2:$A$1917), 2,FALSE), IFERROR(VLOOKUP(B90  &amp; " city",CHOOSE({1,2}, Super_CBSA!$E$2:$E$1917, Super_CBSA!$A$2:$A$1917), 2,FALSE), ""))</f>
        <v>34980</v>
      </c>
    </row>
    <row r="91" spans="1:7" ht="17">
      <c r="A91" s="1" t="s">
        <v>4890</v>
      </c>
      <c r="B91" s="2" t="s">
        <v>4802</v>
      </c>
      <c r="C91" s="2">
        <v>107</v>
      </c>
      <c r="D91" s="3">
        <v>5475</v>
      </c>
      <c r="E91" s="3">
        <v>22660</v>
      </c>
      <c r="F91" s="4">
        <v>305217</v>
      </c>
      <c r="G91" s="11" cm="1">
        <f t="array" aca="1" ref="G91" ca="1">IFERROR(VLOOKUP("*" &amp; B91  &amp; "*" &amp; (MID(CELL("filename",A90),FIND("]",CELL("filename",A90))+1,31)) &amp; "*",CHOOSE({1,2}, Super_CBSA!$B$2:$B$1917, Super_CBSA!$A$2:$A$1917), 2,FALSE), IFERROR(VLOOKUP(B91  &amp; " city",CHOOSE({1,2}, Super_CBSA!$E$2:$E$1917, Super_CBSA!$A$2:$A$1917), 2,FALSE), ""))</f>
        <v>28940</v>
      </c>
    </row>
    <row r="92" spans="1:7" ht="17">
      <c r="A92" s="1" t="s">
        <v>4891</v>
      </c>
      <c r="B92" s="2" t="s">
        <v>4892</v>
      </c>
      <c r="C92" s="2">
        <v>56</v>
      </c>
      <c r="D92" s="2">
        <v>442</v>
      </c>
      <c r="E92" s="3">
        <v>1395</v>
      </c>
      <c r="F92" s="4">
        <v>61826</v>
      </c>
      <c r="G92" s="11" t="str" cm="1">
        <f t="array" aca="1" ref="G92" ca="1">IFERROR(VLOOKUP("*" &amp; B92  &amp; "*" &amp; (MID(CELL("filename",A91),FIND("]",CELL("filename",A91))+1,31)) &amp; "*",CHOOSE({1,2}, Super_CBSA!$B$2:$B$1917, Super_CBSA!$A$2:$A$1917), 2,FALSE), IFERROR(VLOOKUP(B92  &amp; " city",CHOOSE({1,2}, Super_CBSA!$E$2:$E$1917, Super_CBSA!$A$2:$A$1917), 2,FALSE), ""))</f>
        <v/>
      </c>
    </row>
    <row r="93" spans="1:7" ht="17">
      <c r="A93" s="1" t="s">
        <v>4893</v>
      </c>
      <c r="B93" s="2" t="s">
        <v>1096</v>
      </c>
      <c r="C93" s="2">
        <v>49</v>
      </c>
      <c r="D93" s="2">
        <v>957</v>
      </c>
      <c r="E93" s="3">
        <v>3242</v>
      </c>
      <c r="F93" s="4">
        <v>61596</v>
      </c>
      <c r="G93" s="11" cm="1">
        <f t="array" aca="1" ref="G93" ca="1">IFERROR(VLOOKUP("*" &amp; B93  &amp; "*" &amp; (MID(CELL("filename",A92),FIND("]",CELL("filename",A92))+1,31)) &amp; "*",CHOOSE({1,2}, Super_CBSA!$B$2:$B$1917, Super_CBSA!$A$2:$A$1917), 2,FALSE), IFERROR(VLOOKUP(B93  &amp; " city",CHOOSE({1,2}, Super_CBSA!$E$2:$E$1917, Super_CBSA!$A$2:$A$1917), 2,FALSE), ""))</f>
        <v>46100</v>
      </c>
    </row>
    <row r="94" spans="1:7" ht="17">
      <c r="A94" s="1" t="s">
        <v>4894</v>
      </c>
      <c r="B94" s="2" t="s">
        <v>4802</v>
      </c>
      <c r="C94" s="2">
        <v>632</v>
      </c>
      <c r="D94" s="3">
        <v>30393</v>
      </c>
      <c r="E94" s="3">
        <v>171796</v>
      </c>
      <c r="F94" s="4">
        <v>3319870</v>
      </c>
      <c r="G94" s="11" cm="1">
        <f t="array" aca="1" ref="G94" ca="1">IFERROR(VLOOKUP("*" &amp; B94  &amp; "*" &amp; (MID(CELL("filename",A93),FIND("]",CELL("filename",A93))+1,31)) &amp; "*",CHOOSE({1,2}, Super_CBSA!$B$2:$B$1917, Super_CBSA!$A$2:$A$1917), 2,FALSE), IFERROR(VLOOKUP(B94  &amp; " city",CHOOSE({1,2}, Super_CBSA!$E$2:$E$1917, Super_CBSA!$A$2:$A$1917), 2,FALSE), ""))</f>
        <v>28940</v>
      </c>
    </row>
    <row r="95" spans="1:7" ht="17">
      <c r="A95" s="1" t="s">
        <v>4895</v>
      </c>
      <c r="B95" s="2" t="s">
        <v>1629</v>
      </c>
      <c r="C95" s="2">
        <v>0</v>
      </c>
      <c r="D95" s="2">
        <v>0</v>
      </c>
      <c r="E95" s="2">
        <v>0</v>
      </c>
      <c r="F95" s="4">
        <v>0</v>
      </c>
      <c r="G95" s="11" cm="1">
        <f t="array" aca="1" ref="G95" ca="1">IFERROR(VLOOKUP("*" &amp; B95  &amp; "*" &amp; (MID(CELL("filename",A94),FIND("]",CELL("filename",A94))+1,31)) &amp; "*",CHOOSE({1,2}, Super_CBSA!$B$2:$B$1917, Super_CBSA!$A$2:$A$1917), 2,FALSE), IFERROR(VLOOKUP(B95  &amp; " city",CHOOSE({1,2}, Super_CBSA!$E$2:$E$1917, Super_CBSA!$A$2:$A$1917), 2,FALSE), ""))</f>
        <v>34980</v>
      </c>
    </row>
    <row r="96" spans="1:7" ht="17">
      <c r="A96" s="1" t="s">
        <v>4896</v>
      </c>
      <c r="B96" s="2" t="s">
        <v>1629</v>
      </c>
      <c r="C96" s="3">
        <v>1046</v>
      </c>
      <c r="D96" s="3">
        <v>61271</v>
      </c>
      <c r="E96" s="3">
        <v>325118</v>
      </c>
      <c r="F96" s="4">
        <v>12575367</v>
      </c>
      <c r="G96" s="11" cm="1">
        <f t="array" aca="1" ref="G96" ca="1">IFERROR(VLOOKUP("*" &amp; B96  &amp; "*" &amp; (MID(CELL("filename",A95),FIND("]",CELL("filename",A95))+1,31)) &amp; "*",CHOOSE({1,2}, Super_CBSA!$B$2:$B$1917, Super_CBSA!$A$2:$A$1917), 2,FALSE), IFERROR(VLOOKUP(B96  &amp; " city",CHOOSE({1,2}, Super_CBSA!$E$2:$E$1917, Super_CBSA!$A$2:$A$1917), 2,FALSE), ""))</f>
        <v>34980</v>
      </c>
    </row>
    <row r="97" spans="1:7" ht="17">
      <c r="A97" s="1" t="s">
        <v>4897</v>
      </c>
      <c r="B97" s="2" t="s">
        <v>2162</v>
      </c>
      <c r="C97" s="2">
        <v>245</v>
      </c>
      <c r="D97" s="3">
        <v>3398</v>
      </c>
      <c r="E97" s="3">
        <v>13387</v>
      </c>
      <c r="F97" s="4">
        <v>707630</v>
      </c>
      <c r="G97" s="11" t="str" cm="1">
        <f t="array" aca="1" ref="G97" ca="1">IFERROR(VLOOKUP("*" &amp; B97  &amp; "*" &amp; (MID(CELL("filename",A96),FIND("]",CELL("filename",A96))+1,31)) &amp; "*",CHOOSE({1,2}, Super_CBSA!$B$2:$B$1917, Super_CBSA!$A$2:$A$1917), 2,FALSE), IFERROR(VLOOKUP(B97  &amp; " city",CHOOSE({1,2}, Super_CBSA!$E$2:$E$1917, Super_CBSA!$A$2:$A$1917), 2,FALSE), ""))</f>
        <v/>
      </c>
    </row>
    <row r="98" spans="1:7" ht="17">
      <c r="A98" s="1" t="s">
        <v>4898</v>
      </c>
      <c r="B98" s="2" t="s">
        <v>4899</v>
      </c>
      <c r="C98" s="2">
        <v>38</v>
      </c>
      <c r="D98" s="3">
        <v>1171</v>
      </c>
      <c r="E98" s="3">
        <v>3282</v>
      </c>
      <c r="F98" s="4">
        <v>165700</v>
      </c>
      <c r="G98" s="11" cm="1">
        <f t="array" aca="1" ref="G98" ca="1">IFERROR(VLOOKUP("*" &amp; B98  &amp; "*" &amp; (MID(CELL("filename",A97),FIND("]",CELL("filename",A97))+1,31)) &amp; "*",CHOOSE({1,2}, Super_CBSA!$B$2:$B$1917, Super_CBSA!$A$2:$A$1917), 2,FALSE), IFERROR(VLOOKUP(B98  &amp; " city",CHOOSE({1,2}, Super_CBSA!$E$2:$E$1917, Super_CBSA!$A$2:$A$1917), 2,FALSE), ""))</f>
        <v>32280</v>
      </c>
    </row>
    <row r="99" spans="1:7" ht="17">
      <c r="A99" s="1" t="s">
        <v>4900</v>
      </c>
      <c r="B99" s="2" t="s">
        <v>1507</v>
      </c>
      <c r="C99" s="2">
        <v>30</v>
      </c>
      <c r="D99" s="2">
        <v>435</v>
      </c>
      <c r="E99" s="3">
        <v>1276</v>
      </c>
      <c r="F99" s="4">
        <v>42628</v>
      </c>
      <c r="G99" s="11" cm="1">
        <f t="array" aca="1" ref="G99" ca="1">IFERROR(VLOOKUP("*" &amp; B99  &amp; "*" &amp; (MID(CELL("filename",A98),FIND("]",CELL("filename",A98))+1,31)) &amp; "*",CHOOSE({1,2}, Super_CBSA!$B$2:$B$1917, Super_CBSA!$A$2:$A$1917), 2,FALSE), IFERROR(VLOOKUP(B99  &amp; " city",CHOOSE({1,2}, Super_CBSA!$E$2:$E$1917, Super_CBSA!$A$2:$A$1917), 2,FALSE), ""))</f>
        <v>44420</v>
      </c>
    </row>
    <row r="100" spans="1:7" ht="17">
      <c r="A100" s="1" t="s">
        <v>4901</v>
      </c>
      <c r="B100" s="2" t="s">
        <v>158</v>
      </c>
      <c r="C100" s="2">
        <v>115</v>
      </c>
      <c r="D100" s="3">
        <v>3549</v>
      </c>
      <c r="E100" s="3">
        <v>16129</v>
      </c>
      <c r="F100" s="4">
        <v>659445</v>
      </c>
      <c r="G100" s="11" cm="1">
        <f t="array" aca="1" ref="G100" ca="1">IFERROR(VLOOKUP("*" &amp; B100  &amp; "*" &amp; (MID(CELL("filename",A99),FIND("]",CELL("filename",A99))+1,31)) &amp; "*",CHOOSE({1,2}, Super_CBSA!$B$2:$B$1917, Super_CBSA!$A$2:$A$1917), 2,FALSE), IFERROR(VLOOKUP(B100  &amp; " city",CHOOSE({1,2}, Super_CBSA!$E$2:$E$1917, Super_CBSA!$A$2:$A$1917), 2,FALSE), ""))</f>
        <v>27180</v>
      </c>
    </row>
    <row r="101" spans="1:7" ht="17">
      <c r="A101" s="1" t="s">
        <v>4902</v>
      </c>
      <c r="B101" s="2" t="s">
        <v>2092</v>
      </c>
      <c r="C101" s="2">
        <v>185</v>
      </c>
      <c r="D101" s="3">
        <v>8523</v>
      </c>
      <c r="E101" s="3">
        <v>34370</v>
      </c>
      <c r="F101" s="4">
        <v>714018</v>
      </c>
      <c r="G101" s="11" cm="1">
        <f t="array" aca="1" ref="G101" ca="1">IFERROR(VLOOKUP("*" &amp; B101  &amp; "*" &amp; (MID(CELL("filename",A100),FIND("]",CELL("filename",A100))+1,31)) &amp; "*",CHOOSE({1,2}, Super_CBSA!$B$2:$B$1917, Super_CBSA!$A$2:$A$1917), 2,FALSE), IFERROR(VLOOKUP(B101  &amp; " city",CHOOSE({1,2}, Super_CBSA!$E$2:$E$1917, Super_CBSA!$A$2:$A$1917), 2,FALSE), ""))</f>
        <v>34980</v>
      </c>
    </row>
    <row r="102" spans="1:7" ht="17">
      <c r="A102" s="2" t="s">
        <v>56</v>
      </c>
      <c r="B102" s="2"/>
      <c r="C102" s="3">
        <v>18456</v>
      </c>
      <c r="D102" s="3">
        <v>779140</v>
      </c>
      <c r="E102" s="3">
        <v>3701522</v>
      </c>
      <c r="F102" s="4">
        <v>87392676</v>
      </c>
    </row>
  </sheetData>
  <hyperlinks>
    <hyperlink ref="A2" r:id="rId1" display="https://www.ahd.com/free_profile/440091/_CHI_Memorial_Hospital_Chattanooga/Chattanooga/Tennessee/" xr:uid="{99288F23-ADA6-8C40-814C-CD1450ED8A85}"/>
    <hyperlink ref="A3" r:id="rId2" display="https://www.ahd.com/free_profile/440192/Ascension_Saint_Thomas_Highlands_Hospital/Sparta/Tennessee/" xr:uid="{8CD81575-1CCC-B549-97DF-CDFEDBA74A4B}"/>
    <hyperlink ref="A4" r:id="rId3" display="https://www.ahd.com/free_profile/440200/Ascension_Saint_Thomas_Stones_River_Hospital/Woodbury/Tennessee/" xr:uid="{D1E3FE57-3C1B-9E46-AA4A-729CF2180F63}"/>
    <hyperlink ref="A5" r:id="rId4" display="https://www.ahd.com/free_profile/440082/Ascension_Saint_Thomas_West/Nashville/Tennessee/" xr:uid="{A18AA787-7D6C-594E-8807-06B5B418EECC}"/>
    <hyperlink ref="A6" r:id="rId5" display="https://www.ahd.com/free_profile/440016/Baptist_Memorial_Hospital_-_Caroll_County/Huntingdon/Tennessee/" xr:uid="{90E3AD1D-347B-9F4E-8B32-DB315ECEA25F}"/>
    <hyperlink ref="A7" r:id="rId6" display="https://www.ahd.com/free_profile/440217/Baptist_Memorial_Hospital_-_Collierville/Collierville/Tennessee/" xr:uid="{9A545AE0-5FFB-FF41-950C-8240483A2467}"/>
    <hyperlink ref="A8" r:id="rId7" display="https://www.ahd.com/free_profile/440048/Baptist_Memorial_Hospital_-_Memphis/Memphis/Tennessee/" xr:uid="{A42F9336-3569-B444-A5D6-AE1956F6C520}"/>
    <hyperlink ref="A9" r:id="rId8" display="https://www.ahd.com/free_profile/440131/Baptist_Memorial_Hospital_-_Tipton/Covington/Tennessee/" xr:uid="{4488267D-C84A-5642-BDB1-E1EE627493B7}"/>
    <hyperlink ref="A10" r:id="rId9" display="https://www.ahd.com/free_profile/440130/Baptist_Memorial_Hospital_-_Union_City/Union_City/Tennessee/" xr:uid="{CB39D8C9-A8BE-864A-8CFC-37E5A124049C}"/>
    <hyperlink ref="A11" r:id="rId10" display="https://www.ahd.com/free_profile/440222/Baptist_Memorial_Hospital_for_Women/Memphis/Tennessee/" xr:uid="{A2C33C65-AC96-9C41-B862-3281BCBBBA3C}"/>
    <hyperlink ref="A12" r:id="rId11" display="https://www.ahd.com/free_profile/440235/Big_South_Fork_Medical_Center/Oneida/Tennessee/" xr:uid="{2D553186-8C51-1347-82E6-64344D9D60CD}"/>
    <hyperlink ref="A13" r:id="rId12" display="https://www.ahd.com/free_profile/440011/Blount_Memorial_Hospital/Maryville/Tennessee/" xr:uid="{DD37855F-9670-524B-8D19-4D7E8B1A9C67}"/>
    <hyperlink ref="A14" r:id="rId13" display="https://www.ahd.com/free_profile/440012/Bristol_Regional_Medical_Center/Bristol/Tennessee/" xr:uid="{8454D6AA-4A10-B549-98AB-379A901BFFDD}"/>
    <hyperlink ref="A15" r:id="rId14" display="https://www.ahd.com/free_profile/440103/CHI_Memorial_Hospital_Hixson/Hixson/Tennessee/" xr:uid="{AEAB459F-F157-0D4A-9426-27168BF86DD0}"/>
    <hyperlink ref="A16" r:id="rId15" display="https://www.ahd.com/free_profile/440057/Claiborne_Medical_Center/Tazewell/Tennessee/" xr:uid="{F7DE5224-17F2-F549-AA20-032C39DDBA88}"/>
    <hyperlink ref="A17" r:id="rId16" display="https://www.ahd.com/free_profile/440059/Cookeville_Regional_Medical_Center/Cookeville/Tennessee/" xr:uid="{D0AB4BBC-0EA5-CE42-A40A-65FCF89BE531}"/>
    <hyperlink ref="A18" r:id="rId17" display="https://www.ahd.com/free_profile/440009/Cumberland_Medical_Center/Crossville/Tennessee/" xr:uid="{791682B0-FA69-8440-9610-19D44F4400CC}"/>
    <hyperlink ref="A19" r:id="rId18" display="https://www.ahd.com/free_profile/440159/Delta_Medical_Center/Memphis/Tennessee/" xr:uid="{AF8060F2-D38D-B34C-A075-B8CDE1AE4A21}"/>
    <hyperlink ref="A20" r:id="rId19" display="https://www.ahd.com/free_profile/440072/Dyersburg_Hospital/Dyersburg/Tennessee/" xr:uid="{62641EDD-5FD1-EE44-8F1A-0DC0E84D7EE5}"/>
    <hyperlink ref="A21" r:id="rId20" display="https://www.ahd.com/free_profile/440104/Erlanger_Baroness_Hospital/Chattanooga/Tennessee/" xr:uid="{05086C84-F72E-6140-843C-F3A49061DA54}"/>
    <hyperlink ref="A22" r:id="rId21" display="https://www.ahd.com/free_profile/I42078/Erlanger_East_Hospital/Chattanooga/Tennessee/" xr:uid="{36A01E84-EA81-614F-AB16-052D615CA690}"/>
    <hyperlink ref="A23" r:id="rId22" display="https://www.ahd.com/free_profile/I41054/Erlanger_North_Hospital/Chattanooga/Tennessee/" xr:uid="{75ACB716-67F8-C541-9F1C-F26D65946A46}"/>
    <hyperlink ref="A24" r:id="rId23" display="https://www.ahd.com/free_profile/440110/Fort_Loudoun_Medical_Center/Lenoir_City/Tennessee/" xr:uid="{F6BB4670-408B-A648-A9FA-0724ACBFA33B}"/>
    <hyperlink ref="A25" r:id="rId24" display="https://www.ahd.com/free_profile/440125/Fort_Sanders_Regional_Medical_Center/Knoxville/Tennessee/" xr:uid="{EDFED5F5-028C-1F49-84ED-82FA5813230F}"/>
    <hyperlink ref="A26" r:id="rId25" display="https://www.ahd.com/free_profile/440184/Franklin_Woods_Community_Hospital/Johnson_City/Tennessee/" xr:uid="{A6BB385E-1D5D-FF43-99C6-E07D5D6397B4}"/>
    <hyperlink ref="A27" r:id="rId26" display="https://www.ahd.com/free_profile/440025/Greeneville_Community_Hospital_East/Greeneville/Tennessee/" xr:uid="{56CAB564-9C68-8443-83CD-7A76EA1DBDD8}"/>
    <hyperlink ref="A28" r:id="rId27" display="https://www.ahd.com/free_profile/440109/Hardin_Medical_Center/Savannah/Tennessee/" xr:uid="{8DB5FB55-BC96-2446-B259-E6593E37007C}"/>
    <hyperlink ref="A29" r:id="rId28" display="https://www.ahd.com/free_profile/440032/Hawkins_County_Memorial_Hospital/Rogersville/Tennessee/" xr:uid="{82B94880-55BB-9F48-9F37-7A8C709CA381}"/>
    <hyperlink ref="A30" r:id="rId29" display="https://www.ahd.com/free_profile/440008/Henderson_County_Community_Hospital/Lexington/Tennessee/" xr:uid="{9036DF70-9AF7-5C47-AF61-376218FF03D8}"/>
    <hyperlink ref="A31" r:id="rId30" display="https://www.ahd.com/free_profile/440132/Henry_County_Medical_Center/Paris/Tennessee/" xr:uid="{0D357102-11CF-0948-B8FF-A5889AD8576C}"/>
    <hyperlink ref="A32" r:id="rId31" display="https://www.ahd.com/free_profile/440017/Holston_Valley_Medical_Center/Kingsport/Tennessee/" xr:uid="{C953B44E-3648-694A-8873-E2E1DC95F54D}"/>
    <hyperlink ref="A33" r:id="rId32" display="https://www.ahd.com/free_profile/440176/Indian_Path_Community_Hospital/Kingsport/Tennessee/" xr:uid="{C48D1991-A50B-4740-BDEB-B723BFC3B1F6}"/>
    <hyperlink ref="A34" r:id="rId33" display="https://www.ahd.com/free_profile/440002/Jackson-Madison_County_General_Hospital/Jackson/Tennessee/" xr:uid="{C2D3F62A-8C7C-1A40-B253-26AA865D9B8A}"/>
    <hyperlink ref="A35" r:id="rId34" display="https://www.ahd.com/free_profile/44016F/James_H_Quillen_VA_Medical_Center/Mountain_Home/Tennessee/" xr:uid="{2D5EB2A6-E566-494D-84F3-A885205E1331}"/>
    <hyperlink ref="A36" r:id="rId35" display="https://www.ahd.com/free_profile/440056/Jefferson_Memorial_Hospital/Jefferson_City/Tennessee/" xr:uid="{C4FBEB40-FADB-ED40-A510-24C03349A14A}"/>
    <hyperlink ref="A37" r:id="rId36" display="https://www.ahd.com/free_profile/440180/Jellico_Community_Hospital/Jellico/Tennessee/" xr:uid="{AC637357-AC93-2847-B5B7-B333CDD477CC}"/>
    <hyperlink ref="A38" r:id="rId37" display="https://www.ahd.com/free_profile/440063/Johnson_City_Medical_Center/Johnson_City/Tennessee/" xr:uid="{6FAB07B0-B179-B944-A900-A6F0E9C3ECEA}"/>
    <hyperlink ref="A39" r:id="rId38" display="https://www.ahd.com/free_profile/440033/LaFollette_Medical_Center/LaFollette/Tennessee/" xr:uid="{8064A92D-7561-BA4D-9BA0-DF921076F214}"/>
    <hyperlink ref="A40" r:id="rId39" display="https://www.ahd.com/free_profile/440081/LeConte_Medical_Center/Sevierville/Tennessee/" xr:uid="{0BCB9746-E88E-6046-B5E5-70090CC39177}"/>
    <hyperlink ref="A41" r:id="rId40" display="https://www.ahd.com/free_profile/440102/Lincoln_Medical_Center/Fayetteville/Tennessee/" xr:uid="{C9EB4CF8-4DD1-2142-9B85-B08D07AEE137}"/>
    <hyperlink ref="A42" r:id="rId41" display="https://www.ahd.com/free_profile/440187/Livingston_Regional_Hospital/Livingston/Tennessee/" xr:uid="{51B53470-A8F3-BC4B-B453-4013032C7046}"/>
    <hyperlink ref="A43" r:id="rId42" display="https://www.ahd.com/free_profile/440073/Maury_Regional_Medical_Center/Columbia/Tennessee/" xr:uid="{DCBE1334-2BFE-7041-A7DB-3C66309D733C}"/>
    <hyperlink ref="A44" r:id="rId43" display="https://www.ahd.com/free_profile/44013F/Memphis_VA_Medical_Center/Memphis/Tennessee/" xr:uid="{F89FCCEE-51CE-AA4D-8C62-1FA3EB75448C}"/>
    <hyperlink ref="A45" r:id="rId44" display="https://www.ahd.com/free_profile/I08211/Methodist_Le_Bonheur_Germantown_Hospital/Germantown/Tennessee/" xr:uid="{9F6A714D-0389-0844-82E6-9F088FDE2D27}"/>
    <hyperlink ref="A46" r:id="rId45" display="https://www.ahd.com/free_profile/440034/Methodist_Medical_Center_of_Oak_Ridge/Oak_Ridge/Tennessee/" xr:uid="{31761A63-7398-EE4B-BC8B-87CC090F1D45}"/>
    <hyperlink ref="A47" r:id="rId46" display="https://www.ahd.com/free_profile/I08212/Methodist_North_Hospital/Memphis/Tennessee/" xr:uid="{A44689CF-D438-B649-80A4-73F918D9AA34}"/>
    <hyperlink ref="A48" r:id="rId47" display="https://www.ahd.com/free_profile/I08213/Methodist_South_Hospital/Memphis/Tennessee/" xr:uid="{FC4DD303-DF0E-3540-B07E-C321DBDA9DC5}"/>
    <hyperlink ref="A49" r:id="rId48" display="https://www.ahd.com/free_profile/440049/Methodist_University_Hospital/Memphis/Tennessee/" xr:uid="{22A82D16-8677-1845-B531-6FC20116E2F7}"/>
    <hyperlink ref="A50" r:id="rId49" display="https://www.ahd.com/free_profile/440060/Milan_Hospital/Milan/Tennessee/" xr:uid="{42C96195-D8A9-394F-9A11-D36362CA4AF1}"/>
    <hyperlink ref="A51" r:id="rId50" display="https://www.ahd.com/free_profile/440030/Morristown-Hamblen_Hospital/Morristown/Tennessee/" xr:uid="{9B771D79-E906-8342-ACE1-D46C55CB0C37}"/>
    <hyperlink ref="A52" r:id="rId51" display="https://www.ahd.com/free_profile/440111/Nashville_General_Hospital_at_Meharry/Nashville/Tennessee/" xr:uid="{0A216993-56EE-284F-97F5-8CB778CD4CD8}"/>
    <hyperlink ref="A53" r:id="rId52" display="https://www.ahd.com/free_profile/440153/Newport_Medical_Center/Newport/Tennessee/" xr:uid="{4E2EC38D-86B1-154F-9F5A-71F59B922397}"/>
    <hyperlink ref="A54" r:id="rId53" display="https://www.ahd.com/free_profile/I41403/North_Knoxville_Medical_Center/Powell/Tennessee/" xr:uid="{D864632A-96F8-8F48-8D1C-158E28F14ADB}"/>
    <hyperlink ref="A55" r:id="rId54" display="https://www.ahd.com/free_profile/440065/NorthCrest_Medical_Center/Springfield/Tennessee/" xr:uid="{C6DE45FE-01B7-7A4B-87B7-20CE60037BE5}"/>
    <hyperlink ref="A56" r:id="rId55" display="https://www.ahd.com/free_profile/I41077/Parkridge_East_Hospital/Chattanooga/Tennessee/" xr:uid="{5CA8BD33-205A-124E-A1CB-3093DD6BD5F8}"/>
    <hyperlink ref="A57" r:id="rId56" display="https://www.ahd.com/free_profile/440156/Parkridge_Medical_Center/Chattanooga/Tennessee/" xr:uid="{C65067D8-59AF-3D47-8D39-1FF022BEDD50}"/>
    <hyperlink ref="A58" r:id="rId57" display="https://www.ahd.com/free_profile/440173/Parkwest_Medical_Center/Knoxville/Tennessee/" xr:uid="{1AFA05CE-1C54-D249-BFB6-BB77181A8F21}"/>
    <hyperlink ref="A59" r:id="rId58" display="https://www.ahd.com/free_profile/440040/Perry_Community_Hospital/Linden/Tennessee/" xr:uid="{D6AEDD51-7627-454A-84C0-D5122607F581}"/>
    <hyperlink ref="A60" r:id="rId59" display="https://www.ahd.com/free_profile/444029/Pinewood_Springs/Columbia/Tennessee/" xr:uid="{B02B645F-6085-2644-ADB5-AFABEB11333B}"/>
    <hyperlink ref="A61" r:id="rId60" display="https://www.ahd.com/free_profile/440152/Regional__One_Medical_Center_/Memphis/Tennessee/" xr:uid="{0602A01E-F15F-2445-BC6A-D57DC61A9B50}"/>
    <hyperlink ref="A62" r:id="rId61" display="https://www.ahd.com/free_profile/440031/Roane_Medical_Center/Harriman/Tennessee/" xr:uid="{334595F3-CF3E-0945-A83B-0D470AF4B449}"/>
    <hyperlink ref="A63" r:id="rId62" display="https://www.ahd.com/free_profile/440228/Saint_Francis_Hospital_-_Bartlett/Bartlett/Tennessee/" xr:uid="{D5ABC222-6568-5A48-90FE-E425555F23E6}"/>
    <hyperlink ref="A64" r:id="rId63" display="https://www.ahd.com/free_profile/440183/Saint_Francis_Hospital-Memphis/Memphis/Tennessee/" xr:uid="{A6EC2030-8CE4-DD4A-B7BF-CD8743E77320}"/>
    <hyperlink ref="A65" r:id="rId64" display="https://www.ahd.com/free_profile/440148/Saint_Thomas_DeKalb_Hospital/Smithville/Tennessee/" xr:uid="{6199ADD1-E304-6848-9D4D-8879BE6DABE9}"/>
    <hyperlink ref="A66" r:id="rId65" display="https://www.ahd.com/free_profile/440218/Saint_Thomas_Hospital_for_Specialty_Surgery/Nashville/Tennessee/" xr:uid="{DB7032DF-6389-A84C-B346-7E679CA4FFD8}"/>
    <hyperlink ref="A67" r:id="rId66" display="https://www.ahd.com/free_profile/440133/Saint_Thomas_Midtown_Hospital/Nashville/Tennessee/" xr:uid="{C337EC6B-256B-7B43-9FCA-5DD581B05DC8}"/>
    <hyperlink ref="A68" r:id="rId67" display="https://www.ahd.com/free_profile/440151/Saint_Thomas_River_Park_Hospital/McMinnville/Tennessee/" xr:uid="{4911B1EC-2EA4-8D4D-957C-200077EAD596}"/>
    <hyperlink ref="A69" r:id="rId68" display="https://www.ahd.com/free_profile/440053/Saint_Thomas_Rutherford_Hospital_/Murfreesboro/Tennessee/" xr:uid="{E2959F75-D456-C746-9745-EEF776DE1085}"/>
    <hyperlink ref="A70" r:id="rId69" display="https://www.ahd.com/free_profile/440175/Southern_Tennessee_-_Lawrenceburg/Lawrenceburg/Tennessee/" xr:uid="{70088BD7-34C1-7B48-B13C-E6DAACE2EEF9}"/>
    <hyperlink ref="A71" r:id="rId70" display="https://www.ahd.com/free_profile/440058/Southern_Tennessee_-_Winchester/Winchester/Tennessee/" xr:uid="{D57764D7-C94A-174D-BE99-659FAB0FB645}"/>
    <hyperlink ref="A72" r:id="rId71" display="https://www.ahd.com/free_profile/440020/Southern_Tennessee_Regional_Health_System/Pulaski/Tennessee/" xr:uid="{4CC701DD-9FA9-4746-8512-823651BFF36C}"/>
    <hyperlink ref="A73" r:id="rId72" display="https://www.ahd.com/free_profile/I41300/Southern_Tennessee_Regional_Health_System_Sewanee/Sewanee/Tennessee/" xr:uid="{4D91CD6E-9CFF-CA41-96A8-072CD83D6DA4}"/>
    <hyperlink ref="A74" r:id="rId73" display="https://www.ahd.com/free_profile/440068/Starr_Regional_Medical_Center_-_Athens/Athens/Tennessee/" xr:uid="{A0408789-357A-F14C-ABC9-1B8F7893E6DA}"/>
    <hyperlink ref="A75" r:id="rId74" display="https://www.ahd.com/free_profile/440003/Sumner_Regional_Medical_Center/Gallatin/Tennessee/" xr:uid="{128BED94-6B14-A64E-A9FB-BA4271C59650}"/>
    <hyperlink ref="A76" r:id="rId75" display="https://www.ahd.com/free_profile/440084/Sweetwater_Hospital_Association/Sweetwater/Tennessee/" xr:uid="{636C3C60-AA58-5743-82E1-B1CEAA17E307}"/>
    <hyperlink ref="A77" r:id="rId76" display="https://www.ahd.com/free_profile/440018/Sycamore_Shoals_Hospital/Elizabethton/Tennessee/" xr:uid="{F2C51C6C-4A08-CB40-BA5A-9476ADF046AE}"/>
    <hyperlink ref="A78" r:id="rId77" display="https://www.ahd.com/free_profile/440185/Tennova_Healthcare_-_Cleveland_Main_Campus/Cleveland/Tennessee/" xr:uid="{0B357925-3164-3942-9719-A17ED3DAABC1}"/>
    <hyperlink ref="A79" r:id="rId78" display="https://www.ahd.com/free_profile/440144/Tennova_Healthcare_-_Harton/Tullahoma/Tennessee/" xr:uid="{B646E5BF-25A2-9344-B2BD-2C2FE72CA62B}"/>
    <hyperlink ref="A80" r:id="rId79" display="https://www.ahd.com/free_profile/440137/Tennova_Healthcare_-_Shelbyville/Shelbyville/Tennessee/" xr:uid="{39171C38-3EC7-D64C-B611-CE31C2B093E2}"/>
    <hyperlink ref="A81" r:id="rId80" display="https://www.ahd.com/free_profile/440035/Tennova_Healthcare_Clarksville/Clarksville/Tennessee/" xr:uid="{6C18C7A1-31A7-464D-A211-72C9F71A5DA0}"/>
    <hyperlink ref="A82" r:id="rId81" display="https://www.ahd.com/free_profile/440161/TriStar_Centennial_Medical_Center/Nashville/Tennessee/" xr:uid="{6468B428-463F-7D47-A5A1-4EB957A007C6}"/>
    <hyperlink ref="A83" r:id="rId82" display="https://www.ahd.com/free_profile/440194/TriStar_Hendersonville_Medical_Center/Hendersonville/Tennessee/" xr:uid="{5344FF06-0F70-AA46-BA95-30300AB3F6C2}"/>
    <hyperlink ref="A84" r:id="rId83" display="https://www.ahd.com/free_profile/440046/TriStar_Horizon_Medical_Center/Dickson/Tennessee/" xr:uid="{FD29E3EA-2029-6C4F-AFAF-DEA66B4EF44F}"/>
    <hyperlink ref="A85" r:id="rId84" display="https://www.ahd.com/free_profile/440135/TriStar_Skyline_Madison_Campus/Madison/Tennessee/" xr:uid="{3EE97B50-F893-7A4E-8F38-E68A55F5522B}"/>
    <hyperlink ref="A86" r:id="rId85" display="https://www.ahd.com/free_profile/440006/TriStar_Skyline_Medical_Center/Nashville/Tennessee/" xr:uid="{E7130BD3-73D2-1E41-A548-BA138CE7150B}"/>
    <hyperlink ref="A87" r:id="rId86" display="https://www.ahd.com/free_profile/440197/TriStar_Southern_Hills_Medical_Center/Nashville/Tennessee/" xr:uid="{58F17C19-D5E4-5746-BCD5-C9F2128E7556}"/>
    <hyperlink ref="A88" r:id="rId87" display="https://www.ahd.com/free_profile/440227/TriStar_StoneCrest_Medical_Center/Smyrna/Tennessee/" xr:uid="{92E3537C-2A3E-9C4F-AAFA-96B6761FCBCA}"/>
    <hyperlink ref="A89" r:id="rId88" display="https://www.ahd.com/free_profile/440150/TriStar_Summit_Medical_Center/Hermitage/Tennessee/" xr:uid="{55DA11D3-5A4C-B147-A80D-320CE83C726C}"/>
    <hyperlink ref="A90" r:id="rId89" display="https://www.ahd.com/free_profile/440231/TrustPoint_Hospital_/Murfreesboro/Tennessee/" xr:uid="{7DE24992-98A9-EB47-AC13-C9CB424F6400}"/>
    <hyperlink ref="A91" r:id="rId90" display="https://www.ahd.com/free_profile/440226/Turkey_Creek_Medical_Center/Knoxville/Tennessee/" xr:uid="{4D73FE5F-6388-4149-9F3E-D19A098B9184}"/>
    <hyperlink ref="A92" r:id="rId91" display="https://www.ahd.com/free_profile/440001/Unicoi_County_Hospital/Erwin/Tennessee/" xr:uid="{963F4E57-44A9-B243-B303-65A663DF6E31}"/>
    <hyperlink ref="A93" r:id="rId92" display="https://www.ahd.com/free_profile/440007/Unity_Medical_Center/Manchester/Tennessee/" xr:uid="{2E9F97C2-91FA-BF41-81FA-54F931EB22DD}"/>
    <hyperlink ref="A94" r:id="rId93" display="https://www.ahd.com/free_profile/440015/University_of_Tennessee_Medical_Center/Knoxville/Tennessee/" xr:uid="{6FBC498F-E893-DB4C-8C58-42B283B0D957}"/>
    <hyperlink ref="A95" r:id="rId94" display="https://www.ahd.com/free_profile/44018F/VA_Tennessee_Valley_Healthcare_System_-_Nashville_Campus/Nashville/Tennessee/" xr:uid="{38C25B7D-4B65-D34F-B760-DE047F21431C}"/>
    <hyperlink ref="A96" r:id="rId95" display="https://www.ahd.com/free_profile/440039/Vanderbilt_University_Hospital/Nashville/Tennessee/" xr:uid="{74A0DDCD-B67C-5241-90AE-374C2DC59D42}"/>
    <hyperlink ref="A97" r:id="rId96" display="https://www.ahd.com/free_profile/440193/Vanderbilt_Wilson_County_Hospital/Lebanon/Tennessee/" xr:uid="{927D9FFA-C3A8-F040-8A71-18CFEDBD37C4}"/>
    <hyperlink ref="A98" r:id="rId97" display="https://www.ahd.com/free_profile/440061/Volunteer_Hospital/Martin/Tennessee/" xr:uid="{12187F25-F2D1-4C4A-8B3B-A1BF3F699CE6}"/>
    <hyperlink ref="A99" r:id="rId98" display="https://www.ahd.com/free_profile/440010/Wayne_Medical_Center/Waynesboro/Tennessee/" xr:uid="{D9D71D99-A440-234E-85F7-6A25E6C6F7A4}"/>
    <hyperlink ref="A100" r:id="rId99" display="https://www.ahd.com/free_profile/440189/West_Tennessee_Healthcare_North_Hospital_/Jackson/Tennessee/" xr:uid="{5984CDD6-1B32-0D4E-9799-C7EF240183D8}"/>
    <hyperlink ref="A101" r:id="rId100" display="https://www.ahd.com/free_profile/440029/Williamson_Medical_Center/Franklin/Tennessee/" xr:uid="{7B8796A6-6F8F-214B-9615-A72B557DE7F0}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FDE5A-8BCA-5D42-8C1E-8D52179DF75D}">
  <sheetPr codeName="Sheet45"/>
  <dimension ref="A1:I363"/>
  <sheetViews>
    <sheetView workbookViewId="0">
      <pane ySplit="1" topLeftCell="A2" activePane="bottomLeft" state="frozen"/>
      <selection pane="bottomLeft" activeCell="G50" sqref="G50:G255"/>
    </sheetView>
  </sheetViews>
  <sheetFormatPr baseColWidth="10" defaultRowHeight="16"/>
  <cols>
    <col min="1" max="1" width="43.33203125" style="11" customWidth="1"/>
    <col min="2" max="2" width="27.6640625" style="11"/>
    <col min="3" max="3" width="14.1640625" style="11" customWidth="1"/>
    <col min="4" max="4" width="18.6640625" style="11" customWidth="1"/>
    <col min="5" max="5" width="15.6640625" style="11" customWidth="1"/>
    <col min="6" max="6" width="24.83203125" style="11" customWidth="1"/>
  </cols>
  <sheetData>
    <row r="1" spans="1:9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9" ht="17">
      <c r="A2" s="1" t="s">
        <v>4960</v>
      </c>
      <c r="B2" s="2" t="s">
        <v>4961</v>
      </c>
      <c r="C2" s="2">
        <v>377</v>
      </c>
      <c r="D2" s="3">
        <v>21332</v>
      </c>
      <c r="E2" s="3">
        <v>102875</v>
      </c>
      <c r="F2" s="4">
        <v>1287980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"*",CHOOSE({1,2}, Super_CBSA!$E$2:$E$1917, Super_CBSA!$A$2:$A$1917), 2,FALSE), ""))</f>
        <v>19100</v>
      </c>
      <c r="I2" s="3"/>
    </row>
    <row r="3" spans="1:9" ht="17">
      <c r="A3" s="1" t="s">
        <v>4976</v>
      </c>
      <c r="B3" s="2" t="s">
        <v>4977</v>
      </c>
      <c r="C3" s="2">
        <v>53</v>
      </c>
      <c r="D3" s="3">
        <v>2628</v>
      </c>
      <c r="E3" s="3">
        <v>8845</v>
      </c>
      <c r="F3" s="4">
        <v>752629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"*",CHOOSE({1,2}, Super_CBSA!$E$2:$E$1917, Super_CBSA!$A$2:$A$1917), 2,FALSE), ""))</f>
        <v>19100</v>
      </c>
    </row>
    <row r="4" spans="1:9" ht="17">
      <c r="A4" s="1" t="s">
        <v>5006</v>
      </c>
      <c r="B4" s="2" t="s">
        <v>4977</v>
      </c>
      <c r="C4" s="2">
        <v>24</v>
      </c>
      <c r="D4" s="3">
        <v>1071</v>
      </c>
      <c r="E4" s="3">
        <v>2027</v>
      </c>
      <c r="F4" s="4">
        <v>174820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"*",CHOOSE({1,2}, Super_CBSA!$E$2:$E$1917, Super_CBSA!$A$2:$A$1917), 2,FALSE), ""))</f>
        <v>19100</v>
      </c>
    </row>
    <row r="5" spans="1:9" ht="17">
      <c r="A5" s="1" t="s">
        <v>5009</v>
      </c>
      <c r="B5" s="2" t="s">
        <v>5010</v>
      </c>
      <c r="C5" s="2">
        <v>24</v>
      </c>
      <c r="D5" s="2">
        <v>1704</v>
      </c>
      <c r="E5" s="3">
        <v>3895</v>
      </c>
      <c r="F5" s="4">
        <v>270662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"*",CHOOSE({1,2}, Super_CBSA!$E$2:$E$1917, Super_CBSA!$A$2:$A$1917), 2,FALSE), ""))</f>
        <v>19100</v>
      </c>
    </row>
    <row r="6" spans="1:9" ht="17">
      <c r="A6" s="1" t="s">
        <v>5013</v>
      </c>
      <c r="B6" s="2" t="s">
        <v>4961</v>
      </c>
      <c r="C6" s="2">
        <v>30</v>
      </c>
      <c r="D6" s="3">
        <v>1669</v>
      </c>
      <c r="E6" s="3">
        <v>3685</v>
      </c>
      <c r="F6" s="4">
        <v>271907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"*",CHOOSE({1,2}, Super_CBSA!$E$2:$E$1917, Super_CBSA!$A$2:$A$1917), 2,FALSE), ""))</f>
        <v>19100</v>
      </c>
    </row>
    <row r="7" spans="1:9" ht="17">
      <c r="A7" s="1" t="s">
        <v>5021</v>
      </c>
      <c r="B7" s="2" t="s">
        <v>4977</v>
      </c>
      <c r="C7" s="2">
        <v>824</v>
      </c>
      <c r="D7" s="2">
        <v>74926</v>
      </c>
      <c r="E7" s="3">
        <v>233574</v>
      </c>
      <c r="F7" s="4">
        <v>3204636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"*",CHOOSE({1,2}, Super_CBSA!$E$2:$E$1917, Super_CBSA!$A$2:$A$1917), 2,FALSE), ""))</f>
        <v>19100</v>
      </c>
    </row>
    <row r="8" spans="1:9" ht="17">
      <c r="A8" s="1" t="s">
        <v>5081</v>
      </c>
      <c r="B8" s="2" t="s">
        <v>4977</v>
      </c>
      <c r="C8" s="2">
        <v>187</v>
      </c>
      <c r="D8" s="3">
        <v>6755</v>
      </c>
      <c r="E8" s="3">
        <v>26564</v>
      </c>
      <c r="F8" s="4">
        <v>692916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"*",CHOOSE({1,2}, Super_CBSA!$E$2:$E$1917, Super_CBSA!$A$2:$A$1917), 2,FALSE), ""))</f>
        <v>19100</v>
      </c>
    </row>
    <row r="9" spans="1:9" ht="17">
      <c r="A9" s="1" t="s">
        <v>5101</v>
      </c>
      <c r="B9" s="2" t="s">
        <v>4977</v>
      </c>
      <c r="C9" s="2">
        <v>119</v>
      </c>
      <c r="D9" s="3">
        <v>2600</v>
      </c>
      <c r="E9" s="3">
        <v>10302</v>
      </c>
      <c r="F9" s="4">
        <v>399421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"*",CHOOSE({1,2}, Super_CBSA!$E$2:$E$1917, Super_CBSA!$A$2:$A$1917), 2,FALSE), ""))</f>
        <v>19100</v>
      </c>
    </row>
    <row r="10" spans="1:9" ht="17">
      <c r="A10" s="1" t="s">
        <v>5104</v>
      </c>
      <c r="B10" s="2" t="s">
        <v>4977</v>
      </c>
      <c r="C10" s="2">
        <v>0</v>
      </c>
      <c r="D10" s="3">
        <v>0</v>
      </c>
      <c r="E10" s="3">
        <v>0</v>
      </c>
      <c r="F10" s="4">
        <v>0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"*",CHOOSE({1,2}, Super_CBSA!$E$2:$E$1917, Super_CBSA!$A$2:$A$1917), 2,FALSE), ""))</f>
        <v>19100</v>
      </c>
    </row>
    <row r="11" spans="1:9" ht="17">
      <c r="A11" s="1" t="s">
        <v>5173</v>
      </c>
      <c r="B11" s="2" t="s">
        <v>4961</v>
      </c>
      <c r="C11" s="2">
        <v>555</v>
      </c>
      <c r="D11" s="3">
        <v>29141</v>
      </c>
      <c r="E11" s="3">
        <v>150941</v>
      </c>
      <c r="F11" s="4">
        <v>2620625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"*",CHOOSE({1,2}, Super_CBSA!$E$2:$E$1917, Super_CBSA!$A$2:$A$1917), 2,FALSE), ""))</f>
        <v>19100</v>
      </c>
    </row>
    <row r="12" spans="1:9" ht="17">
      <c r="A12" s="1" t="s">
        <v>5198</v>
      </c>
      <c r="B12" s="2" t="s">
        <v>4961</v>
      </c>
      <c r="C12" s="2">
        <v>75</v>
      </c>
      <c r="D12" s="2">
        <v>4241</v>
      </c>
      <c r="E12" s="2">
        <v>17279</v>
      </c>
      <c r="F12" s="4">
        <v>607227</v>
      </c>
      <c r="G12" s="11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"*",CHOOSE({1,2}, Super_CBSA!$E$2:$E$1917, Super_CBSA!$A$2:$A$1917), 2,FALSE), ""))</f>
        <v>19100</v>
      </c>
    </row>
    <row r="13" spans="1:9" ht="17">
      <c r="A13" s="1" t="s">
        <v>5199</v>
      </c>
      <c r="B13" s="2" t="s">
        <v>5010</v>
      </c>
      <c r="C13" s="2">
        <v>351</v>
      </c>
      <c r="D13" s="2">
        <v>17979</v>
      </c>
      <c r="E13" s="2">
        <v>90963</v>
      </c>
      <c r="F13" s="4">
        <v>2798696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"*",CHOOSE({1,2}, Super_CBSA!$E$2:$E$1917, Super_CBSA!$A$2:$A$1917), 2,FALSE), ""))</f>
        <v>19100</v>
      </c>
    </row>
    <row r="14" spans="1:9" ht="17">
      <c r="A14" s="1" t="s">
        <v>5200</v>
      </c>
      <c r="B14" s="2" t="s">
        <v>4977</v>
      </c>
      <c r="C14" s="2">
        <v>793</v>
      </c>
      <c r="D14" s="3">
        <v>30537</v>
      </c>
      <c r="E14" s="3">
        <v>193230</v>
      </c>
      <c r="F14" s="4">
        <v>6516749</v>
      </c>
      <c r="G14" s="11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"*",CHOOSE({1,2}, Super_CBSA!$E$2:$E$1917, Super_CBSA!$A$2:$A$1917), 2,FALSE), ""))</f>
        <v>19100</v>
      </c>
    </row>
    <row r="15" spans="1:9" ht="17">
      <c r="A15" s="1" t="s">
        <v>5202</v>
      </c>
      <c r="B15" s="2" t="s">
        <v>4961</v>
      </c>
      <c r="C15" s="2">
        <v>218</v>
      </c>
      <c r="D15" s="3">
        <v>9488</v>
      </c>
      <c r="E15" s="3">
        <v>49978</v>
      </c>
      <c r="F15" s="4">
        <v>2050260</v>
      </c>
      <c r="G15" s="11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"*",CHOOSE({1,2}, Super_CBSA!$E$2:$E$1917, Super_CBSA!$A$2:$A$1917), 2,FALSE), ""))</f>
        <v>19100</v>
      </c>
    </row>
    <row r="16" spans="1:9" ht="17">
      <c r="A16" s="1" t="s">
        <v>5230</v>
      </c>
      <c r="B16" s="2" t="s">
        <v>4977</v>
      </c>
      <c r="C16" s="2">
        <v>317</v>
      </c>
      <c r="D16" s="3">
        <v>13736</v>
      </c>
      <c r="E16" s="3">
        <v>71017</v>
      </c>
      <c r="F16" s="4">
        <v>1156358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"*",CHOOSE({1,2}, Super_CBSA!$E$2:$E$1917, Super_CBSA!$A$2:$A$1917), 2,FALSE), ""))</f>
        <v>19100</v>
      </c>
    </row>
    <row r="17" spans="1:7" ht="17">
      <c r="A17" s="1" t="s">
        <v>5232</v>
      </c>
      <c r="B17" s="2" t="s">
        <v>4977</v>
      </c>
      <c r="C17" s="2">
        <v>378</v>
      </c>
      <c r="D17" s="3">
        <v>15989</v>
      </c>
      <c r="E17" s="3">
        <v>85653</v>
      </c>
      <c r="F17" s="4">
        <v>1731845</v>
      </c>
      <c r="G17" s="11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"*",CHOOSE({1,2}, Super_CBSA!$E$2:$E$1917, Super_CBSA!$A$2:$A$1917), 2,FALSE), ""))</f>
        <v>19100</v>
      </c>
    </row>
    <row r="18" spans="1:7" ht="17">
      <c r="A18" s="1" t="s">
        <v>5260</v>
      </c>
      <c r="B18" s="2" t="s">
        <v>4977</v>
      </c>
      <c r="C18" s="2">
        <v>24</v>
      </c>
      <c r="D18" s="3">
        <v>1430</v>
      </c>
      <c r="E18" s="3">
        <v>2990</v>
      </c>
      <c r="F18" s="4">
        <v>232881</v>
      </c>
      <c r="G18" s="11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"*",CHOOSE({1,2}, Super_CBSA!$E$2:$E$1917, Super_CBSA!$A$2:$A$1917), 2,FALSE), ""))</f>
        <v>19100</v>
      </c>
    </row>
    <row r="19" spans="1:7" ht="17">
      <c r="A19" s="1" t="s">
        <v>5277</v>
      </c>
      <c r="B19" s="2" t="s">
        <v>4977</v>
      </c>
      <c r="C19" s="2">
        <v>817</v>
      </c>
      <c r="D19" s="3">
        <v>49381</v>
      </c>
      <c r="E19" s="3">
        <v>233595</v>
      </c>
      <c r="F19" s="4">
        <v>7435319</v>
      </c>
      <c r="G19" s="11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"*",CHOOSE({1,2}, Super_CBSA!$E$2:$E$1917, Super_CBSA!$A$2:$A$1917), 2,FALSE), ""))</f>
        <v>19100</v>
      </c>
    </row>
    <row r="20" spans="1:7" ht="17">
      <c r="A20" s="1" t="s">
        <v>5319</v>
      </c>
      <c r="B20" s="2" t="s">
        <v>4961</v>
      </c>
      <c r="C20" s="2">
        <v>101</v>
      </c>
      <c r="D20" s="3">
        <v>6567</v>
      </c>
      <c r="E20" s="3">
        <v>25611</v>
      </c>
      <c r="F20" s="4">
        <v>406434</v>
      </c>
      <c r="G20" s="11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"*",CHOOSE({1,2}, Super_CBSA!$E$2:$E$1917, Super_CBSA!$A$2:$A$1917), 2,FALSE), ""))</f>
        <v>19100</v>
      </c>
    </row>
    <row r="21" spans="1:7" ht="17">
      <c r="A21" s="1" t="s">
        <v>5320</v>
      </c>
      <c r="B21" s="2" t="s">
        <v>5010</v>
      </c>
      <c r="C21" s="2">
        <v>229</v>
      </c>
      <c r="D21" s="3">
        <v>11410</v>
      </c>
      <c r="E21" s="3">
        <v>57333</v>
      </c>
      <c r="F21" s="4">
        <v>1036470</v>
      </c>
      <c r="G21" s="11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"*",CHOOSE({1,2}, Super_CBSA!$E$2:$E$1917, Super_CBSA!$A$2:$A$1917), 2,FALSE), ""))</f>
        <v>19100</v>
      </c>
    </row>
    <row r="22" spans="1:7" ht="17">
      <c r="A22" s="1" t="s">
        <v>5326</v>
      </c>
      <c r="B22" s="2" t="s">
        <v>4977</v>
      </c>
      <c r="C22" s="2">
        <v>629</v>
      </c>
      <c r="D22" s="2">
        <v>25050</v>
      </c>
      <c r="E22" s="2">
        <v>134103</v>
      </c>
      <c r="F22" s="4">
        <v>2177082</v>
      </c>
      <c r="G22" s="11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"*",CHOOSE({1,2}, Super_CBSA!$E$2:$E$1917, Super_CBSA!$A$2:$A$1917), 2,FALSE), ""))</f>
        <v>19100</v>
      </c>
    </row>
    <row r="23" spans="1:7" ht="17">
      <c r="A23" s="1" t="s">
        <v>5328</v>
      </c>
      <c r="B23" s="2" t="s">
        <v>4961</v>
      </c>
      <c r="C23" s="2">
        <v>651</v>
      </c>
      <c r="D23" s="3">
        <v>36876</v>
      </c>
      <c r="E23" s="3">
        <v>192724</v>
      </c>
      <c r="F23" s="4">
        <v>3240520</v>
      </c>
      <c r="G23" s="11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"*",CHOOSE({1,2}, Super_CBSA!$E$2:$E$1917, Super_CBSA!$A$2:$A$1917), 2,FALSE), ""))</f>
        <v>19100</v>
      </c>
    </row>
    <row r="24" spans="1:7" ht="17">
      <c r="A24" s="1" t="s">
        <v>5330</v>
      </c>
      <c r="B24" s="2" t="s">
        <v>5010</v>
      </c>
      <c r="C24" s="2">
        <v>47</v>
      </c>
      <c r="D24" s="3">
        <v>1042</v>
      </c>
      <c r="E24" s="3">
        <v>4794</v>
      </c>
      <c r="F24" s="4">
        <v>196126</v>
      </c>
      <c r="G24" s="11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"*",CHOOSE({1,2}, Super_CBSA!$E$2:$E$1917, Super_CBSA!$A$2:$A$1917), 2,FALSE), ""))</f>
        <v>19100</v>
      </c>
    </row>
    <row r="25" spans="1:7" ht="17">
      <c r="A25" s="1" t="s">
        <v>5338</v>
      </c>
      <c r="B25" s="2" t="s">
        <v>4961</v>
      </c>
      <c r="C25" s="2">
        <v>245</v>
      </c>
      <c r="D25" s="3">
        <v>13216</v>
      </c>
      <c r="E25" s="3">
        <v>45321</v>
      </c>
      <c r="F25" s="4">
        <v>1116879</v>
      </c>
      <c r="G25" s="11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"*",CHOOSE({1,2}, Super_CBSA!$E$2:$E$1917, Super_CBSA!$A$2:$A$1917), 2,FALSE), ""))</f>
        <v>19100</v>
      </c>
    </row>
    <row r="26" spans="1:7" ht="17">
      <c r="A26" s="1" t="s">
        <v>5341</v>
      </c>
      <c r="B26" s="2" t="s">
        <v>4977</v>
      </c>
      <c r="C26" s="2">
        <v>9</v>
      </c>
      <c r="D26" s="2">
        <v>560</v>
      </c>
      <c r="E26" s="3">
        <v>1139</v>
      </c>
      <c r="F26" s="4">
        <v>178510</v>
      </c>
      <c r="G26" s="11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"*",CHOOSE({1,2}, Super_CBSA!$E$2:$E$1917, Super_CBSA!$A$2:$A$1917), 2,FALSE), ""))</f>
        <v>19100</v>
      </c>
    </row>
    <row r="27" spans="1:7" ht="17">
      <c r="A27" s="1" t="s">
        <v>5368</v>
      </c>
      <c r="B27" s="2" t="s">
        <v>5010</v>
      </c>
      <c r="C27" s="2">
        <v>34</v>
      </c>
      <c r="D27" s="3">
        <v>1351</v>
      </c>
      <c r="E27" s="3">
        <v>4453</v>
      </c>
      <c r="F27" s="4">
        <v>295796</v>
      </c>
      <c r="G27" s="11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"*",CHOOSE({1,2}, Super_CBSA!$E$2:$E$1917, Super_CBSA!$A$2:$A$1917), 2,FALSE), ""))</f>
        <v>19100</v>
      </c>
    </row>
    <row r="28" spans="1:7" ht="17">
      <c r="A28" s="1" t="s">
        <v>5387</v>
      </c>
      <c r="B28" s="2" t="s">
        <v>4977</v>
      </c>
      <c r="C28" s="2">
        <v>459</v>
      </c>
      <c r="D28" s="3">
        <v>23313</v>
      </c>
      <c r="E28" s="3">
        <v>138167</v>
      </c>
      <c r="F28" s="4">
        <v>3179096</v>
      </c>
      <c r="G28" s="11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"*",CHOOSE({1,2}, Super_CBSA!$E$2:$E$1917, Super_CBSA!$A$2:$A$1917), 2,FALSE), ""))</f>
        <v>19100</v>
      </c>
    </row>
    <row r="29" spans="1:7" ht="17">
      <c r="A29" s="1" t="s">
        <v>5391</v>
      </c>
      <c r="B29" s="2" t="s">
        <v>4961</v>
      </c>
      <c r="C29" s="2">
        <v>36</v>
      </c>
      <c r="D29" s="3">
        <v>370</v>
      </c>
      <c r="E29" s="3">
        <v>1039</v>
      </c>
      <c r="F29" s="4">
        <v>185928</v>
      </c>
      <c r="G29" s="11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"*",CHOOSE({1,2}, Super_CBSA!$E$2:$E$1917, Super_CBSA!$A$2:$A$1917), 2,FALSE), ""))</f>
        <v>19100</v>
      </c>
    </row>
    <row r="30" spans="1:7" ht="17">
      <c r="A30" s="1" t="s">
        <v>5395</v>
      </c>
      <c r="B30" s="2" t="s">
        <v>4977</v>
      </c>
      <c r="C30" s="2">
        <v>148</v>
      </c>
      <c r="D30" s="3">
        <v>4809</v>
      </c>
      <c r="E30" s="3">
        <v>25358</v>
      </c>
      <c r="F30" s="4">
        <v>494592</v>
      </c>
      <c r="G30" s="11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"*",CHOOSE({1,2}, Super_CBSA!$E$2:$E$1917, Super_CBSA!$A$2:$A$1917), 2,FALSE), ""))</f>
        <v>19100</v>
      </c>
    </row>
    <row r="31" spans="1:7" ht="17">
      <c r="A31" s="1" t="s">
        <v>4918</v>
      </c>
      <c r="B31" s="2" t="s">
        <v>3107</v>
      </c>
      <c r="C31" s="2">
        <v>133</v>
      </c>
      <c r="D31" s="2">
        <v>3166</v>
      </c>
      <c r="E31" s="3">
        <v>18092</v>
      </c>
      <c r="F31" s="4">
        <v>721114</v>
      </c>
      <c r="G31" s="11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"*",CHOOSE({1,2}, Super_CBSA!$E$2:$E$1917, Super_CBSA!$A$2:$A$1917), 2,FALSE), ""))</f>
        <v>26420</v>
      </c>
    </row>
    <row r="32" spans="1:7" ht="17">
      <c r="A32" s="1" t="s">
        <v>4927</v>
      </c>
      <c r="B32" s="2" t="s">
        <v>3107</v>
      </c>
      <c r="C32" s="2">
        <v>4</v>
      </c>
      <c r="D32" s="3">
        <v>468</v>
      </c>
      <c r="E32" s="3">
        <v>1255</v>
      </c>
      <c r="F32" s="4">
        <v>314543</v>
      </c>
      <c r="G32" s="11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"*",CHOOSE({1,2}, Super_CBSA!$E$2:$E$1917, Super_CBSA!$A$2:$A$1917), 2,FALSE), ""))</f>
        <v>26420</v>
      </c>
    </row>
    <row r="33" spans="1:7" ht="17">
      <c r="A33" s="1" t="s">
        <v>4932</v>
      </c>
      <c r="B33" s="2" t="s">
        <v>3107</v>
      </c>
      <c r="C33" s="2">
        <v>0</v>
      </c>
      <c r="D33" s="3">
        <v>0</v>
      </c>
      <c r="E33" s="3">
        <v>0</v>
      </c>
      <c r="F33" s="4">
        <v>0</v>
      </c>
      <c r="G33" s="11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"*",CHOOSE({1,2}, Super_CBSA!$E$2:$E$1917, Super_CBSA!$A$2:$A$1917), 2,FALSE), ""))</f>
        <v>26420</v>
      </c>
    </row>
    <row r="34" spans="1:7" ht="17">
      <c r="A34" s="1" t="s">
        <v>5022</v>
      </c>
      <c r="B34" s="2" t="s">
        <v>3107</v>
      </c>
      <c r="C34" s="2">
        <v>684</v>
      </c>
      <c r="D34" s="3">
        <v>28163</v>
      </c>
      <c r="E34" s="3">
        <v>145212</v>
      </c>
      <c r="F34" s="4">
        <v>2755729</v>
      </c>
      <c r="G34" s="11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"*",CHOOSE({1,2}, Super_CBSA!$E$2:$E$1917, Super_CBSA!$A$2:$A$1917), 2,FALSE), ""))</f>
        <v>26420</v>
      </c>
    </row>
    <row r="35" spans="1:7" ht="17">
      <c r="A35" s="1" t="s">
        <v>5038</v>
      </c>
      <c r="B35" s="2" t="s">
        <v>5039</v>
      </c>
      <c r="C35" s="2">
        <v>234</v>
      </c>
      <c r="D35" s="3">
        <v>11026</v>
      </c>
      <c r="E35" s="3">
        <v>48950</v>
      </c>
      <c r="F35" s="4">
        <v>1108524</v>
      </c>
      <c r="G35" s="11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"*",CHOOSE({1,2}, Super_CBSA!$E$2:$E$1917, Super_CBSA!$A$2:$A$1917), 2,FALSE), ""))</f>
        <v>26420</v>
      </c>
    </row>
    <row r="36" spans="1:7" ht="17">
      <c r="A36" s="1" t="s">
        <v>5040</v>
      </c>
      <c r="B36" s="2" t="s">
        <v>5039</v>
      </c>
      <c r="C36" s="2">
        <v>30</v>
      </c>
      <c r="D36" s="3">
        <v>796</v>
      </c>
      <c r="E36" s="3">
        <v>1628</v>
      </c>
      <c r="F36" s="4">
        <v>189264</v>
      </c>
      <c r="G36" s="11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"*",CHOOSE({1,2}, Super_CBSA!$E$2:$E$1917, Super_CBSA!$A$2:$A$1917), 2,FALSE), ""))</f>
        <v>26420</v>
      </c>
    </row>
    <row r="37" spans="1:7" ht="17">
      <c r="A37" s="2" t="s">
        <v>5041</v>
      </c>
      <c r="B37" s="2" t="s">
        <v>3107</v>
      </c>
      <c r="C37" s="3">
        <v>661</v>
      </c>
      <c r="D37" s="3">
        <v>23114</v>
      </c>
      <c r="E37" s="3">
        <v>148532</v>
      </c>
      <c r="F37" s="4">
        <v>3902548</v>
      </c>
      <c r="G37" s="11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"*",CHOOSE({1,2}, Super_CBSA!$E$2:$E$1917, Super_CBSA!$A$2:$A$1917), 2,FALSE), ""))</f>
        <v>26420</v>
      </c>
    </row>
    <row r="38" spans="1:7">
      <c r="A38" s="11" t="s">
        <v>5046</v>
      </c>
      <c r="B38" s="11" t="s">
        <v>3107</v>
      </c>
      <c r="C38" s="11">
        <v>86</v>
      </c>
      <c r="D38" s="11">
        <v>4069</v>
      </c>
      <c r="E38" s="11">
        <v>16210</v>
      </c>
      <c r="F38" s="11">
        <v>389930</v>
      </c>
      <c r="G38" s="11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"*",CHOOSE({1,2}, Super_CBSA!$E$2:$E$1917, Super_CBSA!$A$2:$A$1917), 2,FALSE), ""))</f>
        <v>26420</v>
      </c>
    </row>
    <row r="39" spans="1:7">
      <c r="A39" s="11" t="s">
        <v>5048</v>
      </c>
      <c r="B39" s="11" t="s">
        <v>5049</v>
      </c>
      <c r="C39" s="11">
        <v>100</v>
      </c>
      <c r="D39" s="11">
        <v>4380</v>
      </c>
      <c r="E39" s="11">
        <v>20406</v>
      </c>
      <c r="F39" s="11">
        <v>345249</v>
      </c>
      <c r="G39" s="11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"*",CHOOSE({1,2}, Super_CBSA!$E$2:$E$1917, Super_CBSA!$A$2:$A$1917), 2,FALSE), ""))</f>
        <v>26420</v>
      </c>
    </row>
    <row r="40" spans="1:7">
      <c r="A40" s="11" t="s">
        <v>5126</v>
      </c>
      <c r="B40" s="11" t="s">
        <v>3107</v>
      </c>
      <c r="C40" s="11">
        <v>12</v>
      </c>
      <c r="D40" s="11">
        <v>232</v>
      </c>
      <c r="E40" s="11">
        <v>654</v>
      </c>
      <c r="F40" s="11">
        <v>398230</v>
      </c>
      <c r="G40" s="11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"*",CHOOSE({1,2}, Super_CBSA!$E$2:$E$1917, Super_CBSA!$A$2:$A$1917), 2,FALSE), ""))</f>
        <v>26420</v>
      </c>
    </row>
    <row r="41" spans="1:7">
      <c r="A41" s="11" t="s">
        <v>5147</v>
      </c>
      <c r="B41" s="11" t="s">
        <v>3107</v>
      </c>
      <c r="C41" s="11">
        <v>312</v>
      </c>
      <c r="D41" s="11">
        <v>15465</v>
      </c>
      <c r="E41" s="11">
        <v>69055</v>
      </c>
      <c r="F41" s="11">
        <v>2292024</v>
      </c>
      <c r="G41" s="11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"*",CHOOSE({1,2}, Super_CBSA!$E$2:$E$1917, Super_CBSA!$A$2:$A$1917), 2,FALSE), ""))</f>
        <v>26420</v>
      </c>
    </row>
    <row r="42" spans="1:7">
      <c r="A42" s="11" t="s">
        <v>5153</v>
      </c>
      <c r="B42" s="11" t="s">
        <v>3107</v>
      </c>
      <c r="C42" s="11">
        <v>256</v>
      </c>
      <c r="D42" s="11">
        <v>11650</v>
      </c>
      <c r="E42" s="11">
        <v>60807</v>
      </c>
      <c r="F42" s="11">
        <v>1752612</v>
      </c>
      <c r="G42" s="11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"*",CHOOSE({1,2}, Super_CBSA!$E$2:$E$1917, Super_CBSA!$A$2:$A$1917), 2,FALSE), ""))</f>
        <v>26420</v>
      </c>
    </row>
    <row r="43" spans="1:7">
      <c r="A43" s="11" t="s">
        <v>5165</v>
      </c>
      <c r="B43" s="11" t="s">
        <v>3107</v>
      </c>
      <c r="C43" s="11">
        <v>1043</v>
      </c>
      <c r="D43" s="11">
        <v>36931</v>
      </c>
      <c r="E43" s="11">
        <v>239898</v>
      </c>
      <c r="F43" s="11">
        <v>8267468</v>
      </c>
      <c r="G43" s="11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"*",CHOOSE({1,2}, Super_CBSA!$E$2:$E$1917, Super_CBSA!$A$2:$A$1917), 2,FALSE), ""))</f>
        <v>26420</v>
      </c>
    </row>
    <row r="44" spans="1:7">
      <c r="A44" s="11" t="s">
        <v>5166</v>
      </c>
      <c r="B44" s="11" t="s">
        <v>5049</v>
      </c>
      <c r="C44" s="11">
        <v>347</v>
      </c>
      <c r="D44" s="11">
        <v>16995</v>
      </c>
      <c r="E44" s="11">
        <v>81221</v>
      </c>
      <c r="F44" s="11">
        <v>2230922</v>
      </c>
      <c r="G44" s="11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"*",CHOOSE({1,2}, Super_CBSA!$E$2:$E$1917, Super_CBSA!$A$2:$A$1917), 2,FALSE), ""))</f>
        <v>26420</v>
      </c>
    </row>
    <row r="45" spans="1:7">
      <c r="A45" s="11" t="s">
        <v>5167</v>
      </c>
      <c r="B45" s="11" t="s">
        <v>5039</v>
      </c>
      <c r="C45" s="11">
        <v>146</v>
      </c>
      <c r="D45" s="11">
        <v>7808</v>
      </c>
      <c r="E45" s="11">
        <v>26721</v>
      </c>
      <c r="F45" s="11">
        <v>1183183</v>
      </c>
      <c r="G45" s="11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"*",CHOOSE({1,2}, Super_CBSA!$E$2:$E$1917, Super_CBSA!$A$2:$A$1917), 2,FALSE), ""))</f>
        <v>26420</v>
      </c>
    </row>
    <row r="46" spans="1:7">
      <c r="A46" s="11" t="s">
        <v>5168</v>
      </c>
      <c r="B46" s="11" t="s">
        <v>3107</v>
      </c>
      <c r="C46" s="11">
        <v>193</v>
      </c>
      <c r="D46" s="11">
        <v>11827</v>
      </c>
      <c r="E46" s="11">
        <v>47997</v>
      </c>
      <c r="F46" s="11">
        <v>1559806</v>
      </c>
      <c r="G46" s="11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"*",CHOOSE({1,2}, Super_CBSA!$E$2:$E$1917, Super_CBSA!$A$2:$A$1917), 2,FALSE), ""))</f>
        <v>26420</v>
      </c>
    </row>
    <row r="47" spans="1:7">
      <c r="A47" s="11" t="s">
        <v>5169</v>
      </c>
      <c r="B47" s="11" t="s">
        <v>3107</v>
      </c>
      <c r="C47" s="11">
        <v>313</v>
      </c>
      <c r="D47" s="11">
        <v>18255</v>
      </c>
      <c r="E47" s="11">
        <v>83797</v>
      </c>
      <c r="F47" s="11">
        <v>2252185</v>
      </c>
      <c r="G47" s="11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"*",CHOOSE({1,2}, Super_CBSA!$E$2:$E$1917, Super_CBSA!$A$2:$A$1917), 2,FALSE), ""))</f>
        <v>26420</v>
      </c>
    </row>
    <row r="48" spans="1:7">
      <c r="A48" s="11" t="s">
        <v>5189</v>
      </c>
      <c r="B48" s="11" t="s">
        <v>3107</v>
      </c>
      <c r="C48" s="11">
        <v>0</v>
      </c>
      <c r="D48" s="11">
        <v>0</v>
      </c>
      <c r="E48" s="11">
        <v>0</v>
      </c>
      <c r="F48" s="11">
        <v>0</v>
      </c>
      <c r="G48" s="11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"*",CHOOSE({1,2}, Super_CBSA!$E$2:$E$1917, Super_CBSA!$A$2:$A$1917), 2,FALSE), ""))</f>
        <v>26420</v>
      </c>
    </row>
    <row r="49" spans="1:7">
      <c r="A49" s="11" t="s">
        <v>5211</v>
      </c>
      <c r="B49" s="11" t="s">
        <v>3107</v>
      </c>
      <c r="C49" s="11">
        <v>1014</v>
      </c>
      <c r="D49" s="11">
        <v>45540</v>
      </c>
      <c r="E49" s="11">
        <v>264792</v>
      </c>
      <c r="F49" s="11">
        <v>6903256</v>
      </c>
      <c r="G49" s="11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"*",CHOOSE({1,2}, Super_CBSA!$E$2:$E$1917, Super_CBSA!$A$2:$A$1917), 2,FALSE), ""))</f>
        <v>26420</v>
      </c>
    </row>
    <row r="50" spans="1:7">
      <c r="A50" s="11" t="s">
        <v>5213</v>
      </c>
      <c r="B50" s="11" t="s">
        <v>3107</v>
      </c>
      <c r="C50" s="11">
        <v>0</v>
      </c>
      <c r="D50" s="11">
        <v>0</v>
      </c>
      <c r="E50" s="11">
        <v>0</v>
      </c>
      <c r="F50" s="11">
        <v>0</v>
      </c>
      <c r="G50" s="11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 city",CHOOSE({1,2}, Super_CBSA!$E$2:$E$1917, Super_CBSA!$A$2:$A$1917), 2,FALSE), ""))</f>
        <v>26420</v>
      </c>
    </row>
    <row r="51" spans="1:7">
      <c r="A51" s="11" t="s">
        <v>5216</v>
      </c>
      <c r="B51" s="11" t="s">
        <v>3107</v>
      </c>
      <c r="C51" s="11">
        <v>444</v>
      </c>
      <c r="D51" s="11">
        <v>23043</v>
      </c>
      <c r="E51" s="11">
        <v>90692</v>
      </c>
      <c r="F51" s="11">
        <v>2097714</v>
      </c>
      <c r="G51" s="11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 city",CHOOSE({1,2}, Super_CBSA!$E$2:$E$1917, Super_CBSA!$A$2:$A$1917), 2,FALSE), ""))</f>
        <v>26420</v>
      </c>
    </row>
    <row r="52" spans="1:7">
      <c r="A52" s="11" t="s">
        <v>5221</v>
      </c>
      <c r="B52" s="11" t="s">
        <v>3107</v>
      </c>
      <c r="C52" s="11">
        <v>0</v>
      </c>
      <c r="D52" s="11">
        <v>0</v>
      </c>
      <c r="E52" s="11">
        <v>0</v>
      </c>
      <c r="F52" s="11">
        <v>0</v>
      </c>
      <c r="G52" s="11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 city",CHOOSE({1,2}, Super_CBSA!$E$2:$E$1917, Super_CBSA!$A$2:$A$1917), 2,FALSE), ""))</f>
        <v>26420</v>
      </c>
    </row>
    <row r="53" spans="1:7">
      <c r="A53" s="11" t="s">
        <v>5222</v>
      </c>
      <c r="B53" s="11" t="s">
        <v>3107</v>
      </c>
      <c r="C53" s="11">
        <v>1388</v>
      </c>
      <c r="D53" s="11">
        <v>80012</v>
      </c>
      <c r="E53" s="11">
        <v>331391</v>
      </c>
      <c r="F53" s="11">
        <v>7230819</v>
      </c>
      <c r="G53" s="11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 city",CHOOSE({1,2}, Super_CBSA!$E$2:$E$1917, Super_CBSA!$A$2:$A$1917), 2,FALSE), ""))</f>
        <v>26420</v>
      </c>
    </row>
    <row r="54" spans="1:7">
      <c r="A54" s="11" t="s">
        <v>5223</v>
      </c>
      <c r="B54" s="11" t="s">
        <v>5049</v>
      </c>
      <c r="C54" s="11">
        <v>145</v>
      </c>
      <c r="D54" s="11">
        <v>10467</v>
      </c>
      <c r="E54" s="11">
        <v>31129</v>
      </c>
      <c r="F54" s="11">
        <v>945270</v>
      </c>
      <c r="G54" s="11" cm="1">
        <f t="array" aca="1" ref="G54" ca="1">IFERROR(VLOOKUP("*" &amp; B54  &amp; "*" &amp; (MID(CELL("filename",A53),FIND("]",CELL("filename",A53))+1,31)) &amp; "*",CHOOSE({1,2}, Super_CBSA!$B$2:$B$1917, Super_CBSA!$A$2:$A$1917), 2,FALSE), IFERROR(VLOOKUP(B54  &amp; " city",CHOOSE({1,2}, Super_CBSA!$E$2:$E$1917, Super_CBSA!$A$2:$A$1917), 2,FALSE), ""))</f>
        <v>26420</v>
      </c>
    </row>
    <row r="55" spans="1:7">
      <c r="A55" s="11" t="s">
        <v>5224</v>
      </c>
      <c r="B55" s="11" t="s">
        <v>5049</v>
      </c>
      <c r="C55" s="11">
        <v>7</v>
      </c>
      <c r="D55" s="11">
        <v>116</v>
      </c>
      <c r="E55" s="11">
        <v>444</v>
      </c>
      <c r="F55" s="11">
        <v>23599</v>
      </c>
      <c r="G55" s="11" cm="1">
        <f t="array" aca="1" ref="G55" ca="1">IFERROR(VLOOKUP("*" &amp; B55  &amp; "*" &amp; (MID(CELL("filename",A54),FIND("]",CELL("filename",A54))+1,31)) &amp; "*",CHOOSE({1,2}, Super_CBSA!$B$2:$B$1917, Super_CBSA!$A$2:$A$1917), 2,FALSE), IFERROR(VLOOKUP(B55  &amp; " city",CHOOSE({1,2}, Super_CBSA!$E$2:$E$1917, Super_CBSA!$A$2:$A$1917), 2,FALSE), ""))</f>
        <v>26420</v>
      </c>
    </row>
    <row r="56" spans="1:7">
      <c r="A56" s="11" t="s">
        <v>5226</v>
      </c>
      <c r="B56" s="11" t="s">
        <v>5049</v>
      </c>
      <c r="C56" s="11">
        <v>6</v>
      </c>
      <c r="D56" s="11">
        <v>475</v>
      </c>
      <c r="E56" s="11">
        <v>852</v>
      </c>
      <c r="F56" s="11">
        <v>113666</v>
      </c>
      <c r="G56" s="11" cm="1">
        <f t="array" aca="1" ref="G56" ca="1">IFERROR(VLOOKUP("*" &amp; B56  &amp; "*" &amp; (MID(CELL("filename",A55),FIND("]",CELL("filename",A55))+1,31)) &amp; "*",CHOOSE({1,2}, Super_CBSA!$B$2:$B$1917, Super_CBSA!$A$2:$A$1917), 2,FALSE), IFERROR(VLOOKUP(B56  &amp; " city",CHOOSE({1,2}, Super_CBSA!$E$2:$E$1917, Super_CBSA!$A$2:$A$1917), 2,FALSE), ""))</f>
        <v>26420</v>
      </c>
    </row>
    <row r="57" spans="1:7">
      <c r="A57" s="11" t="s">
        <v>5227</v>
      </c>
      <c r="B57" s="11" t="s">
        <v>5039</v>
      </c>
      <c r="C57" s="11">
        <v>0</v>
      </c>
      <c r="D57" s="11">
        <v>0</v>
      </c>
      <c r="E57" s="11">
        <v>0</v>
      </c>
      <c r="F57" s="11">
        <v>0</v>
      </c>
      <c r="G57" s="11" cm="1">
        <f t="array" aca="1" ref="G57" ca="1">IFERROR(VLOOKUP("*" &amp; B57  &amp; "*" &amp; (MID(CELL("filename",A56),FIND("]",CELL("filename",A56))+1,31)) &amp; "*",CHOOSE({1,2}, Super_CBSA!$B$2:$B$1917, Super_CBSA!$A$2:$A$1917), 2,FALSE), IFERROR(VLOOKUP(B57  &amp; " city",CHOOSE({1,2}, Super_CBSA!$E$2:$E$1917, Super_CBSA!$A$2:$A$1917), 2,FALSE), ""))</f>
        <v>26420</v>
      </c>
    </row>
    <row r="58" spans="1:7">
      <c r="A58" s="11" t="s">
        <v>5247</v>
      </c>
      <c r="B58" s="11" t="s">
        <v>3107</v>
      </c>
      <c r="C58" s="11">
        <v>0</v>
      </c>
      <c r="D58" s="11">
        <v>0</v>
      </c>
      <c r="E58" s="11">
        <v>0</v>
      </c>
      <c r="F58" s="11">
        <v>0</v>
      </c>
      <c r="G58" s="11" cm="1">
        <f t="array" aca="1" ref="G58" ca="1">IFERROR(VLOOKUP("*" &amp; B58  &amp; "*" &amp; (MID(CELL("filename",A57),FIND("]",CELL("filename",A57))+1,31)) &amp; "*",CHOOSE({1,2}, Super_CBSA!$B$2:$B$1917, Super_CBSA!$A$2:$A$1917), 2,FALSE), IFERROR(VLOOKUP(B58  &amp; " city",CHOOSE({1,2}, Super_CBSA!$E$2:$E$1917, Super_CBSA!$A$2:$A$1917), 2,FALSE), ""))</f>
        <v>26420</v>
      </c>
    </row>
    <row r="59" spans="1:7">
      <c r="A59" s="11" t="s">
        <v>5283</v>
      </c>
      <c r="B59" s="11" t="s">
        <v>3107</v>
      </c>
      <c r="C59" s="11">
        <v>16</v>
      </c>
      <c r="D59" s="11">
        <v>274</v>
      </c>
      <c r="E59" s="11">
        <v>959</v>
      </c>
      <c r="F59" s="11">
        <v>225723</v>
      </c>
      <c r="G59" s="11" cm="1">
        <f t="array" aca="1" ref="G59" ca="1">IFERROR(VLOOKUP("*" &amp; B59  &amp; "*" &amp; (MID(CELL("filename",A58),FIND("]",CELL("filename",A58))+1,31)) &amp; "*",CHOOSE({1,2}, Super_CBSA!$B$2:$B$1917, Super_CBSA!$A$2:$A$1917), 2,FALSE), IFERROR(VLOOKUP(B59  &amp; " city",CHOOSE({1,2}, Super_CBSA!$E$2:$E$1917, Super_CBSA!$A$2:$A$1917), 2,FALSE), ""))</f>
        <v>26420</v>
      </c>
    </row>
    <row r="60" spans="1:7">
      <c r="A60" s="11" t="s">
        <v>3077</v>
      </c>
      <c r="B60" s="11" t="s">
        <v>3107</v>
      </c>
      <c r="C60" s="11">
        <v>378</v>
      </c>
      <c r="D60" s="11">
        <v>11587</v>
      </c>
      <c r="E60" s="11">
        <v>54519</v>
      </c>
      <c r="F60" s="11">
        <v>1424262</v>
      </c>
      <c r="G60" s="11" cm="1">
        <f t="array" aca="1" ref="G60" ca="1">IFERROR(VLOOKUP("*" &amp; B60  &amp; "*" &amp; (MID(CELL("filename",A59),FIND("]",CELL("filename",A59))+1,31)) &amp; "*",CHOOSE({1,2}, Super_CBSA!$B$2:$B$1917, Super_CBSA!$A$2:$A$1917), 2,FALSE), IFERROR(VLOOKUP(B60  &amp; " city",CHOOSE({1,2}, Super_CBSA!$E$2:$E$1917, Super_CBSA!$A$2:$A$1917), 2,FALSE), ""))</f>
        <v>26420</v>
      </c>
    </row>
    <row r="61" spans="1:7">
      <c r="A61" s="11" t="s">
        <v>5295</v>
      </c>
      <c r="B61" s="11" t="s">
        <v>3107</v>
      </c>
      <c r="C61" s="11">
        <v>0</v>
      </c>
      <c r="D61" s="11">
        <v>0</v>
      </c>
      <c r="E61" s="11">
        <v>0</v>
      </c>
      <c r="F61" s="11">
        <v>0</v>
      </c>
      <c r="G61" s="11" cm="1">
        <f t="array" aca="1" ref="G61" ca="1">IFERROR(VLOOKUP("*" &amp; B61  &amp; "*" &amp; (MID(CELL("filename",A60),FIND("]",CELL("filename",A60))+1,31)) &amp; "*",CHOOSE({1,2}, Super_CBSA!$B$2:$B$1917, Super_CBSA!$A$2:$A$1917), 2,FALSE), IFERROR(VLOOKUP(B61  &amp; " city",CHOOSE({1,2}, Super_CBSA!$E$2:$E$1917, Super_CBSA!$A$2:$A$1917), 2,FALSE), ""))</f>
        <v>26420</v>
      </c>
    </row>
    <row r="62" spans="1:7">
      <c r="A62" s="11" t="s">
        <v>5342</v>
      </c>
      <c r="B62" s="11" t="s">
        <v>3107</v>
      </c>
      <c r="C62" s="11">
        <v>49</v>
      </c>
      <c r="D62" s="11">
        <v>3717</v>
      </c>
      <c r="E62" s="11">
        <v>7436</v>
      </c>
      <c r="F62" s="11">
        <v>916005</v>
      </c>
      <c r="G62" s="11" cm="1">
        <f t="array" aca="1" ref="G62" ca="1">IFERROR(VLOOKUP("*" &amp; B62  &amp; "*" &amp; (MID(CELL("filename",A61),FIND("]",CELL("filename",A61))+1,31)) &amp; "*",CHOOSE({1,2}, Super_CBSA!$B$2:$B$1917, Super_CBSA!$A$2:$A$1917), 2,FALSE), IFERROR(VLOOKUP(B62  &amp; " city",CHOOSE({1,2}, Super_CBSA!$E$2:$E$1917, Super_CBSA!$A$2:$A$1917), 2,FALSE), ""))</f>
        <v>26420</v>
      </c>
    </row>
    <row r="63" spans="1:7">
      <c r="A63" s="11" t="s">
        <v>5356</v>
      </c>
      <c r="B63" s="11" t="s">
        <v>3107</v>
      </c>
      <c r="C63" s="11">
        <v>670</v>
      </c>
      <c r="D63" s="11">
        <v>30374</v>
      </c>
      <c r="E63" s="11">
        <v>217863</v>
      </c>
      <c r="F63" s="11">
        <v>8320923</v>
      </c>
      <c r="G63" s="11" cm="1">
        <f t="array" aca="1" ref="G63" ca="1">IFERROR(VLOOKUP("*" &amp; B63  &amp; "*" &amp; (MID(CELL("filename",A62),FIND("]",CELL("filename",A62))+1,31)) &amp; "*",CHOOSE({1,2}, Super_CBSA!$B$2:$B$1917, Super_CBSA!$A$2:$A$1917), 2,FALSE), IFERROR(VLOOKUP(B63  &amp; " city",CHOOSE({1,2}, Super_CBSA!$E$2:$E$1917, Super_CBSA!$A$2:$A$1917), 2,FALSE), ""))</f>
        <v>26420</v>
      </c>
    </row>
    <row r="64" spans="1:7">
      <c r="A64" s="11" t="s">
        <v>5359</v>
      </c>
      <c r="B64" s="11" t="s">
        <v>3107</v>
      </c>
      <c r="C64" s="11">
        <v>257</v>
      </c>
      <c r="D64" s="11">
        <v>14055</v>
      </c>
      <c r="E64" s="11">
        <v>112999</v>
      </c>
      <c r="F64" s="11">
        <v>2053905</v>
      </c>
      <c r="G64" s="11" cm="1">
        <f t="array" aca="1" ref="G64" ca="1">IFERROR(VLOOKUP("*" &amp; B64  &amp; "*" &amp; (MID(CELL("filename",A63),FIND("]",CELL("filename",A63))+1,31)) &amp; "*",CHOOSE({1,2}, Super_CBSA!$B$2:$B$1917, Super_CBSA!$A$2:$A$1917), 2,FALSE), IFERROR(VLOOKUP(B64  &amp; " city",CHOOSE({1,2}, Super_CBSA!$E$2:$E$1917, Super_CBSA!$A$2:$A$1917), 2,FALSE), ""))</f>
        <v>26420</v>
      </c>
    </row>
    <row r="65" spans="1:7">
      <c r="A65" s="11" t="s">
        <v>5362</v>
      </c>
      <c r="B65" s="11" t="s">
        <v>3107</v>
      </c>
      <c r="C65" s="11">
        <v>16</v>
      </c>
      <c r="D65" s="11">
        <v>640</v>
      </c>
      <c r="E65" s="11">
        <v>1270</v>
      </c>
      <c r="F65" s="11">
        <v>174802</v>
      </c>
      <c r="G65" s="11" cm="1">
        <f t="array" aca="1" ref="G65" ca="1">IFERROR(VLOOKUP("*" &amp; B65  &amp; "*" &amp; (MID(CELL("filename",A64),FIND("]",CELL("filename",A64))+1,31)) &amp; "*",CHOOSE({1,2}, Super_CBSA!$B$2:$B$1917, Super_CBSA!$A$2:$A$1917), 2,FALSE), IFERROR(VLOOKUP(B65  &amp; " city",CHOOSE({1,2}, Super_CBSA!$E$2:$E$1917, Super_CBSA!$A$2:$A$1917), 2,FALSE), ""))</f>
        <v>26420</v>
      </c>
    </row>
    <row r="66" spans="1:7">
      <c r="A66" s="11" t="s">
        <v>3946</v>
      </c>
      <c r="B66" s="11" t="s">
        <v>3107</v>
      </c>
      <c r="C66" s="11">
        <v>97</v>
      </c>
      <c r="D66" s="11">
        <v>982</v>
      </c>
      <c r="E66" s="11">
        <v>8096</v>
      </c>
      <c r="F66" s="11">
        <v>225143</v>
      </c>
      <c r="G66" s="11" cm="1">
        <f t="array" aca="1" ref="G66" ca="1">IFERROR(VLOOKUP("*" &amp; B66  &amp; "*" &amp; (MID(CELL("filename",A65),FIND("]",CELL("filename",A65))+1,31)) &amp; "*",CHOOSE({1,2}, Super_CBSA!$B$2:$B$1917, Super_CBSA!$A$2:$A$1917), 2,FALSE), IFERROR(VLOOKUP(B66  &amp; " city",CHOOSE({1,2}, Super_CBSA!$E$2:$E$1917, Super_CBSA!$A$2:$A$1917), 2,FALSE), ""))</f>
        <v>26420</v>
      </c>
    </row>
    <row r="67" spans="1:7">
      <c r="A67" s="11" t="s">
        <v>5393</v>
      </c>
      <c r="B67" s="11" t="s">
        <v>3107</v>
      </c>
      <c r="C67" s="11">
        <v>0</v>
      </c>
      <c r="D67" s="11">
        <v>0</v>
      </c>
      <c r="E67" s="11">
        <v>0</v>
      </c>
      <c r="F67" s="11">
        <v>0</v>
      </c>
      <c r="G67" s="11" cm="1">
        <f t="array" aca="1" ref="G67" ca="1">IFERROR(VLOOKUP("*" &amp; B67  &amp; "*" &amp; (MID(CELL("filename",A66),FIND("]",CELL("filename",A66))+1,31)) &amp; "*",CHOOSE({1,2}, Super_CBSA!$B$2:$B$1917, Super_CBSA!$A$2:$A$1917), 2,FALSE), IFERROR(VLOOKUP(B67  &amp; " city",CHOOSE({1,2}, Super_CBSA!$E$2:$E$1917, Super_CBSA!$A$2:$A$1917), 2,FALSE), ""))</f>
        <v>26420</v>
      </c>
    </row>
    <row r="68" spans="1:7">
      <c r="A68" s="11" t="s">
        <v>4948</v>
      </c>
      <c r="B68" s="11" t="s">
        <v>4949</v>
      </c>
      <c r="C68" s="11">
        <v>0</v>
      </c>
      <c r="D68" s="11">
        <v>0</v>
      </c>
      <c r="E68" s="11">
        <v>0</v>
      </c>
      <c r="F68" s="11">
        <v>0</v>
      </c>
      <c r="G68" s="11" cm="1">
        <f t="array" aca="1" ref="G68" ca="1">IFERROR(VLOOKUP("*" &amp; B68  &amp; "*" &amp; (MID(CELL("filename",A67),FIND("]",CELL("filename",A67))+1,31)) &amp; "*",CHOOSE({1,2}, Super_CBSA!$B$2:$B$1917, Super_CBSA!$A$2:$A$1917), 2,FALSE), IFERROR(VLOOKUP(B68  &amp; " city",CHOOSE({1,2}, Super_CBSA!$E$2:$E$1917, Super_CBSA!$A$2:$A$1917), 2,FALSE), ""))</f>
        <v>41700</v>
      </c>
    </row>
    <row r="69" spans="1:7">
      <c r="A69" s="11" t="s">
        <v>4950</v>
      </c>
      <c r="B69" s="11" t="s">
        <v>4949</v>
      </c>
      <c r="C69" s="11">
        <v>0</v>
      </c>
      <c r="D69" s="11">
        <v>0</v>
      </c>
      <c r="E69" s="11">
        <v>0</v>
      </c>
      <c r="F69" s="11">
        <v>0</v>
      </c>
      <c r="G69" s="11" cm="1">
        <f t="array" aca="1" ref="G69" ca="1">IFERROR(VLOOKUP("*" &amp; B69  &amp; "*" &amp; (MID(CELL("filename",A68),FIND("]",CELL("filename",A68))+1,31)) &amp; "*",CHOOSE({1,2}, Super_CBSA!$B$2:$B$1917, Super_CBSA!$A$2:$A$1917), 2,FALSE), IFERROR(VLOOKUP(B69  &amp; " city",CHOOSE({1,2}, Super_CBSA!$E$2:$E$1917, Super_CBSA!$A$2:$A$1917), 2,FALSE), ""))</f>
        <v>41700</v>
      </c>
    </row>
    <row r="70" spans="1:7">
      <c r="A70" s="11" t="s">
        <v>4951</v>
      </c>
      <c r="B70" s="11" t="s">
        <v>4949</v>
      </c>
      <c r="C70" s="11">
        <v>0</v>
      </c>
      <c r="D70" s="11">
        <v>0</v>
      </c>
      <c r="E70" s="11">
        <v>0</v>
      </c>
      <c r="F70" s="11">
        <v>0</v>
      </c>
      <c r="G70" s="11" cm="1">
        <f t="array" aca="1" ref="G70" ca="1">IFERROR(VLOOKUP("*" &amp; B70  &amp; "*" &amp; (MID(CELL("filename",A69),FIND("]",CELL("filename",A69))+1,31)) &amp; "*",CHOOSE({1,2}, Super_CBSA!$B$2:$B$1917, Super_CBSA!$A$2:$A$1917), 2,FALSE), IFERROR(VLOOKUP(B70  &amp; " city",CHOOSE({1,2}, Super_CBSA!$E$2:$E$1917, Super_CBSA!$A$2:$A$1917), 2,FALSE), ""))</f>
        <v>41700</v>
      </c>
    </row>
    <row r="71" spans="1:7">
      <c r="A71" s="11" t="s">
        <v>4952</v>
      </c>
      <c r="B71" s="11" t="s">
        <v>4949</v>
      </c>
      <c r="C71" s="11">
        <v>0</v>
      </c>
      <c r="D71" s="11">
        <v>0</v>
      </c>
      <c r="E71" s="11">
        <v>0</v>
      </c>
      <c r="F71" s="11">
        <v>0</v>
      </c>
      <c r="G71" s="11" cm="1">
        <f t="array" aca="1" ref="G71" ca="1">IFERROR(VLOOKUP("*" &amp; B71  &amp; "*" &amp; (MID(CELL("filename",A70),FIND("]",CELL("filename",A70))+1,31)) &amp; "*",CHOOSE({1,2}, Super_CBSA!$B$2:$B$1917, Super_CBSA!$A$2:$A$1917), 2,FALSE), IFERROR(VLOOKUP(B71  &amp; " city",CHOOSE({1,2}, Super_CBSA!$E$2:$E$1917, Super_CBSA!$A$2:$A$1917), 2,FALSE), ""))</f>
        <v>41700</v>
      </c>
    </row>
    <row r="72" spans="1:7">
      <c r="A72" s="11" t="s">
        <v>4955</v>
      </c>
      <c r="B72" s="11" t="s">
        <v>4949</v>
      </c>
      <c r="C72" s="11">
        <v>0</v>
      </c>
      <c r="D72" s="11">
        <v>0</v>
      </c>
      <c r="E72" s="11">
        <v>0</v>
      </c>
      <c r="F72" s="11">
        <v>0</v>
      </c>
      <c r="G72" s="11" cm="1">
        <f t="array" aca="1" ref="G72" ca="1">IFERROR(VLOOKUP("*" &amp; B72  &amp; "*" &amp; (MID(CELL("filename",A71),FIND("]",CELL("filename",A71))+1,31)) &amp; "*",CHOOSE({1,2}, Super_CBSA!$B$2:$B$1917, Super_CBSA!$A$2:$A$1917), 2,FALSE), IFERROR(VLOOKUP(B72  &amp; " city",CHOOSE({1,2}, Super_CBSA!$E$2:$E$1917, Super_CBSA!$A$2:$A$1917), 2,FALSE), ""))</f>
        <v>41700</v>
      </c>
    </row>
    <row r="73" spans="1:7">
      <c r="A73" s="11" t="s">
        <v>4956</v>
      </c>
      <c r="B73" s="11" t="s">
        <v>4949</v>
      </c>
      <c r="C73" s="11">
        <v>50</v>
      </c>
      <c r="D73" s="11">
        <v>1269</v>
      </c>
      <c r="E73" s="11">
        <v>2568</v>
      </c>
      <c r="F73" s="11">
        <v>776452</v>
      </c>
      <c r="G73" s="11" cm="1">
        <f t="array" aca="1" ref="G73" ca="1">IFERROR(VLOOKUP("*" &amp; B73  &amp; "*" &amp; (MID(CELL("filename",A72),FIND("]",CELL("filename",A72))+1,31)) &amp; "*",CHOOSE({1,2}, Super_CBSA!$B$2:$B$1917, Super_CBSA!$A$2:$A$1917), 2,FALSE), IFERROR(VLOOKUP(B73  &amp; " city",CHOOSE({1,2}, Super_CBSA!$E$2:$E$1917, Super_CBSA!$A$2:$A$1917), 2,FALSE), ""))</f>
        <v>41700</v>
      </c>
    </row>
    <row r="74" spans="1:7">
      <c r="A74" s="11" t="s">
        <v>4959</v>
      </c>
      <c r="B74" s="11" t="s">
        <v>4949</v>
      </c>
      <c r="C74" s="11">
        <v>1567</v>
      </c>
      <c r="D74" s="11">
        <v>58575</v>
      </c>
      <c r="E74" s="11">
        <v>271393</v>
      </c>
      <c r="F74" s="11">
        <v>8648534</v>
      </c>
      <c r="G74" s="11" cm="1">
        <f t="array" aca="1" ref="G74" ca="1">IFERROR(VLOOKUP("*" &amp; B74  &amp; "*" &amp; (MID(CELL("filename",A73),FIND("]",CELL("filename",A73))+1,31)) &amp; "*",CHOOSE({1,2}, Super_CBSA!$B$2:$B$1917, Super_CBSA!$A$2:$A$1917), 2,FALSE), IFERROR(VLOOKUP(B74  &amp; " city",CHOOSE({1,2}, Super_CBSA!$E$2:$E$1917, Super_CBSA!$A$2:$A$1917), 2,FALSE), ""))</f>
        <v>41700</v>
      </c>
    </row>
    <row r="75" spans="1:7">
      <c r="A75" s="11" t="s">
        <v>5062</v>
      </c>
      <c r="B75" s="11" t="s">
        <v>4949</v>
      </c>
      <c r="C75" s="11">
        <v>0</v>
      </c>
      <c r="D75" s="11">
        <v>0</v>
      </c>
      <c r="E75" s="11">
        <v>0</v>
      </c>
      <c r="F75" s="11">
        <v>0</v>
      </c>
      <c r="G75" s="11" cm="1">
        <f t="array" aca="1" ref="G75" ca="1">IFERROR(VLOOKUP("*" &amp; B75  &amp; "*" &amp; (MID(CELL("filename",A74),FIND("]",CELL("filename",A74))+1,31)) &amp; "*",CHOOSE({1,2}, Super_CBSA!$B$2:$B$1917, Super_CBSA!$A$2:$A$1917), 2,FALSE), IFERROR(VLOOKUP(B75  &amp; " city",CHOOSE({1,2}, Super_CBSA!$E$2:$E$1917, Super_CBSA!$A$2:$A$1917), 2,FALSE), ""))</f>
        <v>41700</v>
      </c>
    </row>
    <row r="76" spans="1:7">
      <c r="A76" s="11" t="s">
        <v>5063</v>
      </c>
      <c r="B76" s="11" t="s">
        <v>4949</v>
      </c>
      <c r="C76" s="11">
        <v>377</v>
      </c>
      <c r="D76" s="11">
        <v>20679</v>
      </c>
      <c r="E76" s="11">
        <v>84354</v>
      </c>
      <c r="F76" s="11">
        <v>2244054</v>
      </c>
      <c r="G76" s="11" cm="1">
        <f t="array" aca="1" ref="G76" ca="1">IFERROR(VLOOKUP("*" &amp; B76  &amp; "*" &amp; (MID(CELL("filename",A75),FIND("]",CELL("filename",A75))+1,31)) &amp; "*",CHOOSE({1,2}, Super_CBSA!$B$2:$B$1917, Super_CBSA!$A$2:$A$1917), 2,FALSE), IFERROR(VLOOKUP(B76  &amp; " city",CHOOSE({1,2}, Super_CBSA!$E$2:$E$1917, Super_CBSA!$A$2:$A$1917), 2,FALSE), ""))</f>
        <v>41700</v>
      </c>
    </row>
    <row r="77" spans="1:7">
      <c r="A77" s="11" t="s">
        <v>5064</v>
      </c>
      <c r="B77" s="11" t="s">
        <v>5065</v>
      </c>
      <c r="C77" s="11">
        <v>0</v>
      </c>
      <c r="D77" s="11">
        <v>0</v>
      </c>
      <c r="E77" s="11">
        <v>0</v>
      </c>
      <c r="F77" s="11">
        <v>0</v>
      </c>
      <c r="G77" s="11" cm="1">
        <f t="array" aca="1" ref="G77" ca="1">IFERROR(VLOOKUP("*" &amp; B77  &amp; "*" &amp; (MID(CELL("filename",A76),FIND("]",CELL("filename",A76))+1,31)) &amp; "*",CHOOSE({1,2}, Super_CBSA!$B$2:$B$1917, Super_CBSA!$A$2:$A$1917), 2,FALSE), IFERROR(VLOOKUP(B77  &amp; " city",CHOOSE({1,2}, Super_CBSA!$E$2:$E$1917, Super_CBSA!$A$2:$A$1917), 2,FALSE), ""))</f>
        <v>41700</v>
      </c>
    </row>
    <row r="78" spans="1:7">
      <c r="A78" s="11" t="s">
        <v>5068</v>
      </c>
      <c r="B78" s="11" t="s">
        <v>4949</v>
      </c>
      <c r="C78" s="11">
        <v>0</v>
      </c>
      <c r="D78" s="11">
        <v>0</v>
      </c>
      <c r="E78" s="11">
        <v>0</v>
      </c>
      <c r="F78" s="11">
        <v>0</v>
      </c>
      <c r="G78" s="11" cm="1">
        <f t="array" aca="1" ref="G78" ca="1">IFERROR(VLOOKUP("*" &amp; B78  &amp; "*" &amp; (MID(CELL("filename",A77),FIND("]",CELL("filename",A77))+1,31)) &amp; "*",CHOOSE({1,2}, Super_CBSA!$B$2:$B$1917, Super_CBSA!$A$2:$A$1917), 2,FALSE), IFERROR(VLOOKUP(B78  &amp; " city",CHOOSE({1,2}, Super_CBSA!$E$2:$E$1917, Super_CBSA!$A$2:$A$1917), 2,FALSE), ""))</f>
        <v>41700</v>
      </c>
    </row>
    <row r="79" spans="1:7">
      <c r="A79" s="11" t="s">
        <v>5130</v>
      </c>
      <c r="B79" s="11" t="s">
        <v>4949</v>
      </c>
      <c r="C79" s="11">
        <v>20</v>
      </c>
      <c r="D79" s="11">
        <v>1216</v>
      </c>
      <c r="E79" s="11">
        <v>2145</v>
      </c>
      <c r="F79" s="11">
        <v>204237</v>
      </c>
      <c r="G79" s="11" cm="1">
        <f t="array" aca="1" ref="G79" ca="1">IFERROR(VLOOKUP("*" &amp; B79  &amp; "*" &amp; (MID(CELL("filename",A78),FIND("]",CELL("filename",A78))+1,31)) &amp; "*",CHOOSE({1,2}, Super_CBSA!$B$2:$B$1917, Super_CBSA!$A$2:$A$1917), 2,FALSE), IFERROR(VLOOKUP(B79  &amp; " city",CHOOSE({1,2}, Super_CBSA!$E$2:$E$1917, Super_CBSA!$A$2:$A$1917), 2,FALSE), ""))</f>
        <v>41700</v>
      </c>
    </row>
    <row r="80" spans="1:7">
      <c r="A80" s="11" t="s">
        <v>5186</v>
      </c>
      <c r="B80" s="11" t="s">
        <v>4949</v>
      </c>
      <c r="C80" s="11">
        <v>26</v>
      </c>
      <c r="D80" s="11">
        <v>853</v>
      </c>
      <c r="E80" s="11">
        <v>1245</v>
      </c>
      <c r="F80" s="11">
        <v>159504</v>
      </c>
      <c r="G80" s="11" cm="1">
        <f t="array" aca="1" ref="G80" ca="1">IFERROR(VLOOKUP("*" &amp; B80  &amp; "*" &amp; (MID(CELL("filename",A79),FIND("]",CELL("filename",A79))+1,31)) &amp; "*",CHOOSE({1,2}, Super_CBSA!$B$2:$B$1917, Super_CBSA!$A$2:$A$1917), 2,FALSE), IFERROR(VLOOKUP(B80  &amp; " city",CHOOSE({1,2}, Super_CBSA!$E$2:$E$1917, Super_CBSA!$A$2:$A$1917), 2,FALSE), ""))</f>
        <v>41700</v>
      </c>
    </row>
    <row r="81" spans="1:7">
      <c r="A81" s="11" t="s">
        <v>5229</v>
      </c>
      <c r="B81" s="11" t="s">
        <v>4949</v>
      </c>
      <c r="C81" s="11">
        <v>22</v>
      </c>
      <c r="D81" s="11">
        <v>459</v>
      </c>
      <c r="E81" s="11">
        <v>939</v>
      </c>
      <c r="F81" s="11">
        <v>119156</v>
      </c>
      <c r="G81" s="11" cm="1">
        <f t="array" aca="1" ref="G81" ca="1">IFERROR(VLOOKUP("*" &amp; B81  &amp; "*" &amp; (MID(CELL("filename",A80),FIND("]",CELL("filename",A80))+1,31)) &amp; "*",CHOOSE({1,2}, Super_CBSA!$B$2:$B$1917, Super_CBSA!$A$2:$A$1917), 2,FALSE), IFERROR(VLOOKUP(B81  &amp; " city",CHOOSE({1,2}, Super_CBSA!$E$2:$E$1917, Super_CBSA!$A$2:$A$1917), 2,FALSE), ""))</f>
        <v>41700</v>
      </c>
    </row>
    <row r="82" spans="1:7">
      <c r="A82" s="11" t="s">
        <v>5231</v>
      </c>
      <c r="B82" s="11" t="s">
        <v>4949</v>
      </c>
      <c r="C82" s="11">
        <v>198</v>
      </c>
      <c r="D82" s="11">
        <v>7602</v>
      </c>
      <c r="E82" s="11">
        <v>31427</v>
      </c>
      <c r="F82" s="11">
        <v>74260</v>
      </c>
      <c r="G82" s="11" cm="1">
        <f t="array" aca="1" ref="G82" ca="1">IFERROR(VLOOKUP("*" &amp; B82  &amp; "*" &amp; (MID(CELL("filename",A81),FIND("]",CELL("filename",A81))+1,31)) &amp; "*",CHOOSE({1,2}, Super_CBSA!$B$2:$B$1917, Super_CBSA!$A$2:$A$1917), 2,FALSE), IFERROR(VLOOKUP(B82  &amp; " city",CHOOSE({1,2}, Super_CBSA!$E$2:$E$1917, Super_CBSA!$A$2:$A$1917), 2,FALSE), ""))</f>
        <v>41700</v>
      </c>
    </row>
    <row r="83" spans="1:7">
      <c r="A83" s="11" t="s">
        <v>708</v>
      </c>
      <c r="B83" s="11" t="s">
        <v>4949</v>
      </c>
      <c r="C83" s="11">
        <v>1637</v>
      </c>
      <c r="D83" s="11">
        <v>83063</v>
      </c>
      <c r="E83" s="11">
        <v>439847</v>
      </c>
      <c r="F83" s="11">
        <v>10934901</v>
      </c>
      <c r="G83" s="11" cm="1">
        <f t="array" aca="1" ref="G83" ca="1">IFERROR(VLOOKUP("*" &amp; B83  &amp; "*" &amp; (MID(CELL("filename",A82),FIND("]",CELL("filename",A82))+1,31)) &amp; "*",CHOOSE({1,2}, Super_CBSA!$B$2:$B$1917, Super_CBSA!$A$2:$A$1917), 2,FALSE), IFERROR(VLOOKUP(B83  &amp; " city",CHOOSE({1,2}, Super_CBSA!$E$2:$E$1917, Super_CBSA!$A$2:$A$1917), 2,FALSE), ""))</f>
        <v>41700</v>
      </c>
    </row>
    <row r="84" spans="1:7">
      <c r="A84" s="11" t="s">
        <v>5243</v>
      </c>
      <c r="B84" s="11" t="s">
        <v>4949</v>
      </c>
      <c r="C84" s="11">
        <v>217</v>
      </c>
      <c r="D84" s="11">
        <v>8551</v>
      </c>
      <c r="E84" s="11">
        <v>40895</v>
      </c>
      <c r="F84" s="11">
        <v>227541</v>
      </c>
      <c r="G84" s="11" cm="1">
        <f t="array" aca="1" ref="G84" ca="1">IFERROR(VLOOKUP("*" &amp; B84  &amp; "*" &amp; (MID(CELL("filename",A83),FIND("]",CELL("filename",A83))+1,31)) &amp; "*",CHOOSE({1,2}, Super_CBSA!$B$2:$B$1917, Super_CBSA!$A$2:$A$1917), 2,FALSE), IFERROR(VLOOKUP(B84  &amp; " city",CHOOSE({1,2}, Super_CBSA!$E$2:$E$1917, Super_CBSA!$A$2:$A$1917), 2,FALSE), ""))</f>
        <v>41700</v>
      </c>
    </row>
    <row r="85" spans="1:7">
      <c r="A85" s="11" t="s">
        <v>5244</v>
      </c>
      <c r="B85" s="11" t="s">
        <v>4949</v>
      </c>
      <c r="C85" s="11">
        <v>242</v>
      </c>
      <c r="D85" s="11">
        <v>12864</v>
      </c>
      <c r="E85" s="11">
        <v>60682</v>
      </c>
      <c r="F85" s="11">
        <v>1430274</v>
      </c>
      <c r="G85" s="11" cm="1">
        <f t="array" aca="1" ref="G85" ca="1">IFERROR(VLOOKUP("*" &amp; B85  &amp; "*" &amp; (MID(CELL("filename",A84),FIND("]",CELL("filename",A84))+1,31)) &amp; "*",CHOOSE({1,2}, Super_CBSA!$B$2:$B$1917, Super_CBSA!$A$2:$A$1917), 2,FALSE), IFERROR(VLOOKUP(B85  &amp; " city",CHOOSE({1,2}, Super_CBSA!$E$2:$E$1917, Super_CBSA!$A$2:$A$1917), 2,FALSE), ""))</f>
        <v>41700</v>
      </c>
    </row>
    <row r="86" spans="1:7">
      <c r="A86" s="11" t="s">
        <v>5245</v>
      </c>
      <c r="B86" s="11" t="s">
        <v>4949</v>
      </c>
      <c r="C86" s="11">
        <v>120</v>
      </c>
      <c r="D86" s="11">
        <v>2749</v>
      </c>
      <c r="E86" s="11">
        <v>11069</v>
      </c>
      <c r="F86" s="11">
        <v>261947</v>
      </c>
      <c r="G86" s="11" cm="1">
        <f t="array" aca="1" ref="G86" ca="1">IFERROR(VLOOKUP("*" &amp; B86  &amp; "*" &amp; (MID(CELL("filename",A85),FIND("]",CELL("filename",A85))+1,31)) &amp; "*",CHOOSE({1,2}, Super_CBSA!$B$2:$B$1917, Super_CBSA!$A$2:$A$1917), 2,FALSE), IFERROR(VLOOKUP(B86  &amp; " city",CHOOSE({1,2}, Super_CBSA!$E$2:$E$1917, Super_CBSA!$A$2:$A$1917), 2,FALSE), ""))</f>
        <v>41700</v>
      </c>
    </row>
    <row r="87" spans="1:7">
      <c r="A87" s="11" t="s">
        <v>5246</v>
      </c>
      <c r="B87" s="11" t="s">
        <v>4949</v>
      </c>
      <c r="C87" s="11">
        <v>279</v>
      </c>
      <c r="D87" s="11">
        <v>11451</v>
      </c>
      <c r="E87" s="11">
        <v>44364</v>
      </c>
      <c r="F87" s="11">
        <v>188530</v>
      </c>
      <c r="G87" s="11" cm="1">
        <f t="array" aca="1" ref="G87" ca="1">IFERROR(VLOOKUP("*" &amp; B87  &amp; "*" &amp; (MID(CELL("filename",A86),FIND("]",CELL("filename",A86))+1,31)) &amp; "*",CHOOSE({1,2}, Super_CBSA!$B$2:$B$1917, Super_CBSA!$A$2:$A$1917), 2,FALSE), IFERROR(VLOOKUP(B87  &amp; " city",CHOOSE({1,2}, Super_CBSA!$E$2:$E$1917, Super_CBSA!$A$2:$A$1917), 2,FALSE), ""))</f>
        <v>41700</v>
      </c>
    </row>
    <row r="88" spans="1:7">
      <c r="A88" s="11" t="s">
        <v>5251</v>
      </c>
      <c r="B88" s="11" t="s">
        <v>4949</v>
      </c>
      <c r="C88" s="11">
        <v>0</v>
      </c>
      <c r="D88" s="11">
        <v>0</v>
      </c>
      <c r="E88" s="11">
        <v>0</v>
      </c>
      <c r="F88" s="11">
        <v>0</v>
      </c>
      <c r="G88" s="11" cm="1">
        <f t="array" aca="1" ref="G88" ca="1">IFERROR(VLOOKUP("*" &amp; B88  &amp; "*" &amp; (MID(CELL("filename",A87),FIND("]",CELL("filename",A87))+1,31)) &amp; "*",CHOOSE({1,2}, Super_CBSA!$B$2:$B$1917, Super_CBSA!$A$2:$A$1917), 2,FALSE), IFERROR(VLOOKUP(B88  &amp; " city",CHOOSE({1,2}, Super_CBSA!$E$2:$E$1917, Super_CBSA!$A$2:$A$1917), 2,FALSE), ""))</f>
        <v>41700</v>
      </c>
    </row>
    <row r="89" spans="1:7">
      <c r="A89" s="11" t="s">
        <v>5259</v>
      </c>
      <c r="B89" s="11" t="s">
        <v>4949</v>
      </c>
      <c r="C89" s="11">
        <v>0</v>
      </c>
      <c r="D89" s="11">
        <v>0</v>
      </c>
      <c r="E89" s="11">
        <v>0</v>
      </c>
      <c r="F89" s="11">
        <v>0</v>
      </c>
      <c r="G89" s="11" cm="1">
        <f t="array" aca="1" ref="G89" ca="1">IFERROR(VLOOKUP("*" &amp; B89  &amp; "*" &amp; (MID(CELL("filename",A88),FIND("]",CELL("filename",A88))+1,31)) &amp; "*",CHOOSE({1,2}, Super_CBSA!$B$2:$B$1917, Super_CBSA!$A$2:$A$1917), 2,FALSE), IFERROR(VLOOKUP(B89  &amp; " city",CHOOSE({1,2}, Super_CBSA!$E$2:$E$1917, Super_CBSA!$A$2:$A$1917), 2,FALSE), ""))</f>
        <v>41700</v>
      </c>
    </row>
    <row r="90" spans="1:7">
      <c r="A90" s="11" t="s">
        <v>5262</v>
      </c>
      <c r="B90" s="11" t="s">
        <v>4949</v>
      </c>
      <c r="C90" s="11">
        <v>0</v>
      </c>
      <c r="D90" s="11">
        <v>0</v>
      </c>
      <c r="E90" s="11">
        <v>0</v>
      </c>
      <c r="F90" s="11">
        <v>0</v>
      </c>
      <c r="G90" s="11" cm="1">
        <f t="array" aca="1" ref="G90" ca="1">IFERROR(VLOOKUP("*" &amp; B90  &amp; "*" &amp; (MID(CELL("filename",A89),FIND("]",CELL("filename",A89))+1,31)) &amp; "*",CHOOSE({1,2}, Super_CBSA!$B$2:$B$1917, Super_CBSA!$A$2:$A$1917), 2,FALSE), IFERROR(VLOOKUP(B90  &amp; " city",CHOOSE({1,2}, Super_CBSA!$E$2:$E$1917, Super_CBSA!$A$2:$A$1917), 2,FALSE), ""))</f>
        <v>41700</v>
      </c>
    </row>
    <row r="91" spans="1:7">
      <c r="A91" s="11" t="s">
        <v>5263</v>
      </c>
      <c r="B91" s="11" t="s">
        <v>4949</v>
      </c>
      <c r="C91" s="11">
        <v>116</v>
      </c>
      <c r="D91" s="11">
        <v>5418</v>
      </c>
      <c r="E91" s="11">
        <v>23435</v>
      </c>
      <c r="F91" s="11">
        <v>163926</v>
      </c>
      <c r="G91" s="11" cm="1">
        <f t="array" aca="1" ref="G91" ca="1">IFERROR(VLOOKUP("*" &amp; B91  &amp; "*" &amp; (MID(CELL("filename",A90),FIND("]",CELL("filename",A90))+1,31)) &amp; "*",CHOOSE({1,2}, Super_CBSA!$B$2:$B$1917, Super_CBSA!$A$2:$A$1917), 2,FALSE), IFERROR(VLOOKUP(B91  &amp; " city",CHOOSE({1,2}, Super_CBSA!$E$2:$E$1917, Super_CBSA!$A$2:$A$1917), 2,FALSE), ""))</f>
        <v>41700</v>
      </c>
    </row>
    <row r="92" spans="1:7">
      <c r="A92" s="11" t="s">
        <v>5285</v>
      </c>
      <c r="B92" s="11" t="s">
        <v>5065</v>
      </c>
      <c r="C92" s="11">
        <v>112</v>
      </c>
      <c r="D92" s="11">
        <v>4420</v>
      </c>
      <c r="E92" s="11">
        <v>17191</v>
      </c>
      <c r="F92" s="11">
        <v>558413</v>
      </c>
      <c r="G92" s="11" cm="1">
        <f t="array" aca="1" ref="G92" ca="1">IFERROR(VLOOKUP("*" &amp; B92  &amp; "*" &amp; (MID(CELL("filename",A91),FIND("]",CELL("filename",A91))+1,31)) &amp; "*",CHOOSE({1,2}, Super_CBSA!$B$2:$B$1917, Super_CBSA!$A$2:$A$1917), 2,FALSE), IFERROR(VLOOKUP(B92  &amp; " city",CHOOSE({1,2}, Super_CBSA!$E$2:$E$1917, Super_CBSA!$A$2:$A$1917), 2,FALSE), ""))</f>
        <v>41700</v>
      </c>
    </row>
    <row r="93" spans="1:7">
      <c r="A93" s="11" t="s">
        <v>5296</v>
      </c>
      <c r="B93" s="11" t="s">
        <v>4949</v>
      </c>
      <c r="C93" s="11">
        <v>0</v>
      </c>
      <c r="D93" s="11">
        <v>0</v>
      </c>
      <c r="E93" s="11">
        <v>0</v>
      </c>
      <c r="F93" s="11">
        <v>0</v>
      </c>
      <c r="G93" s="11" cm="1">
        <f t="array" aca="1" ref="G93" ca="1">IFERROR(VLOOKUP("*" &amp; B93  &amp; "*" &amp; (MID(CELL("filename",A92),FIND("]",CELL("filename",A92))+1,31)) &amp; "*",CHOOSE({1,2}, Super_CBSA!$B$2:$B$1917, Super_CBSA!$A$2:$A$1917), 2,FALSE), IFERROR(VLOOKUP(B93  &amp; " city",CHOOSE({1,2}, Super_CBSA!$E$2:$E$1917, Super_CBSA!$A$2:$A$1917), 2,FALSE), ""))</f>
        <v>41700</v>
      </c>
    </row>
    <row r="94" spans="1:7">
      <c r="A94" s="11" t="s">
        <v>5306</v>
      </c>
      <c r="B94" s="11" t="s">
        <v>4949</v>
      </c>
      <c r="C94" s="11">
        <v>30</v>
      </c>
      <c r="D94" s="11">
        <v>1467</v>
      </c>
      <c r="E94" s="11">
        <v>2969</v>
      </c>
      <c r="F94" s="11">
        <v>146067</v>
      </c>
      <c r="G94" s="11" cm="1">
        <f t="array" aca="1" ref="G94" ca="1">IFERROR(VLOOKUP("*" &amp; B94  &amp; "*" &amp; (MID(CELL("filename",A93),FIND("]",CELL("filename",A93))+1,31)) &amp; "*",CHOOSE({1,2}, Super_CBSA!$B$2:$B$1917, Super_CBSA!$A$2:$A$1917), 2,FALSE), IFERROR(VLOOKUP(B94  &amp; " city",CHOOSE({1,2}, Super_CBSA!$E$2:$E$1917, Super_CBSA!$A$2:$A$1917), 2,FALSE), ""))</f>
        <v>41700</v>
      </c>
    </row>
    <row r="95" spans="1:7">
      <c r="A95" s="11" t="s">
        <v>5308</v>
      </c>
      <c r="B95" s="11" t="s">
        <v>4949</v>
      </c>
      <c r="C95" s="11">
        <v>225</v>
      </c>
      <c r="D95" s="11">
        <v>8334</v>
      </c>
      <c r="E95" s="11">
        <v>32557</v>
      </c>
      <c r="F95" s="11">
        <v>641962</v>
      </c>
      <c r="G95" s="11" cm="1">
        <f t="array" aca="1" ref="G95" ca="1">IFERROR(VLOOKUP("*" &amp; B95  &amp; "*" &amp; (MID(CELL("filename",A94),FIND("]",CELL("filename",A94))+1,31)) &amp; "*",CHOOSE({1,2}, Super_CBSA!$B$2:$B$1917, Super_CBSA!$A$2:$A$1917), 2,FALSE), IFERROR(VLOOKUP(B95  &amp; " city",CHOOSE({1,2}, Super_CBSA!$E$2:$E$1917, Super_CBSA!$A$2:$A$1917), 2,FALSE), ""))</f>
        <v>41700</v>
      </c>
    </row>
    <row r="96" spans="1:7">
      <c r="A96" s="11" t="s">
        <v>5315</v>
      </c>
      <c r="B96" s="11" t="s">
        <v>4949</v>
      </c>
      <c r="C96" s="11">
        <v>50</v>
      </c>
      <c r="D96" s="11">
        <v>87</v>
      </c>
      <c r="E96" s="11">
        <v>12561</v>
      </c>
      <c r="F96" s="11">
        <v>17523</v>
      </c>
      <c r="G96" s="11" cm="1">
        <f t="array" aca="1" ref="G96" ca="1">IFERROR(VLOOKUP("*" &amp; B96  &amp; "*" &amp; (MID(CELL("filename",A95),FIND("]",CELL("filename",A95))+1,31)) &amp; "*",CHOOSE({1,2}, Super_CBSA!$B$2:$B$1917, Super_CBSA!$A$2:$A$1917), 2,FALSE), IFERROR(VLOOKUP(B96  &amp; " city",CHOOSE({1,2}, Super_CBSA!$E$2:$E$1917, Super_CBSA!$A$2:$A$1917), 2,FALSE), ""))</f>
        <v>41700</v>
      </c>
    </row>
    <row r="97" spans="1:7">
      <c r="A97" s="11" t="s">
        <v>1654</v>
      </c>
      <c r="B97" s="11" t="s">
        <v>4949</v>
      </c>
      <c r="C97" s="11">
        <v>633</v>
      </c>
      <c r="D97" s="11">
        <v>29631</v>
      </c>
      <c r="E97" s="11">
        <v>174087</v>
      </c>
      <c r="F97" s="11">
        <v>3419322</v>
      </c>
      <c r="G97" s="11" cm="1">
        <f t="array" aca="1" ref="G97" ca="1">IFERROR(VLOOKUP("*" &amp; B97  &amp; "*" &amp; (MID(CELL("filename",A96),FIND("]",CELL("filename",A96))+1,31)) &amp; "*",CHOOSE({1,2}, Super_CBSA!$B$2:$B$1917, Super_CBSA!$A$2:$A$1917), 2,FALSE), IFERROR(VLOOKUP(B97  &amp; " city",CHOOSE({1,2}, Super_CBSA!$E$2:$E$1917, Super_CBSA!$A$2:$A$1917), 2,FALSE), ""))</f>
        <v>41700</v>
      </c>
    </row>
    <row r="98" spans="1:7">
      <c r="A98" s="11" t="s">
        <v>4935</v>
      </c>
      <c r="B98" s="11" t="s">
        <v>2951</v>
      </c>
      <c r="C98" s="11">
        <v>21</v>
      </c>
      <c r="D98" s="11">
        <v>535</v>
      </c>
      <c r="E98" s="11">
        <v>989</v>
      </c>
      <c r="F98" s="11">
        <v>84106</v>
      </c>
      <c r="G98" s="11" cm="1">
        <f t="array" aca="1" ref="G98" ca="1">IFERROR(VLOOKUP("*" &amp; B98  &amp; "*" &amp; (MID(CELL("filename",A97),FIND("]",CELL("filename",A97))+1,31)) &amp; "*",CHOOSE({1,2}, Super_CBSA!$B$2:$B$1917, Super_CBSA!$A$2:$A$1917), 2,FALSE), IFERROR(VLOOKUP(B98  &amp; " city",CHOOSE({1,2}, Super_CBSA!$E$2:$E$1917, Super_CBSA!$A$2:$A$1917), 2,FALSE), ""))</f>
        <v>12420</v>
      </c>
    </row>
    <row r="99" spans="1:7">
      <c r="A99" s="11" t="s">
        <v>4940</v>
      </c>
      <c r="B99" s="11" t="s">
        <v>2951</v>
      </c>
      <c r="C99" s="11">
        <v>430</v>
      </c>
      <c r="D99" s="11">
        <v>18629</v>
      </c>
      <c r="E99" s="11">
        <v>105384</v>
      </c>
      <c r="F99" s="11">
        <v>2681968</v>
      </c>
      <c r="G99" s="11" cm="1">
        <f t="array" aca="1" ref="G99" ca="1">IFERROR(VLOOKUP("*" &amp; B99  &amp; "*" &amp; (MID(CELL("filename",A98),FIND("]",CELL("filename",A98))+1,31)) &amp; "*",CHOOSE({1,2}, Super_CBSA!$B$2:$B$1917, Super_CBSA!$A$2:$A$1917), 2,FALSE), IFERROR(VLOOKUP(B99  &amp; " city",CHOOSE({1,2}, Super_CBSA!$E$2:$E$1917, Super_CBSA!$A$2:$A$1917), 2,FALSE), ""))</f>
        <v>12420</v>
      </c>
    </row>
    <row r="100" spans="1:7">
      <c r="A100" s="11" t="s">
        <v>4941</v>
      </c>
      <c r="B100" s="11" t="s">
        <v>2951</v>
      </c>
      <c r="C100" s="11">
        <v>106</v>
      </c>
      <c r="D100" s="11">
        <v>4933</v>
      </c>
      <c r="E100" s="11">
        <v>18733</v>
      </c>
      <c r="F100" s="11">
        <v>627978</v>
      </c>
      <c r="G100" s="11" cm="1">
        <f t="array" aca="1" ref="G100" ca="1">IFERROR(VLOOKUP("*" &amp; B100  &amp; "*" &amp; (MID(CELL("filename",A99),FIND("]",CELL("filename",A99))+1,31)) &amp; "*",CHOOSE({1,2}, Super_CBSA!$B$2:$B$1917, Super_CBSA!$A$2:$A$1917), 2,FALSE), IFERROR(VLOOKUP(B100  &amp; " city",CHOOSE({1,2}, Super_CBSA!$E$2:$E$1917, Super_CBSA!$A$2:$A$1917), 2,FALSE), ""))</f>
        <v>12420</v>
      </c>
    </row>
    <row r="101" spans="1:7">
      <c r="A101" s="11" t="s">
        <v>4943</v>
      </c>
      <c r="B101" s="11" t="s">
        <v>2951</v>
      </c>
      <c r="C101" s="11">
        <v>28</v>
      </c>
      <c r="D101" s="11">
        <v>241</v>
      </c>
      <c r="E101" s="11">
        <v>655</v>
      </c>
      <c r="F101" s="11">
        <v>155340</v>
      </c>
      <c r="G101" s="11" cm="1">
        <f t="array" aca="1" ref="G101" ca="1">IFERROR(VLOOKUP("*" &amp; B101  &amp; "*" &amp; (MID(CELL("filename",A100),FIND("]",CELL("filename",A100))+1,31)) &amp; "*",CHOOSE({1,2}, Super_CBSA!$B$2:$B$1917, Super_CBSA!$A$2:$A$1917), 2,FALSE), IFERROR(VLOOKUP(B101  &amp; " city",CHOOSE({1,2}, Super_CBSA!$E$2:$E$1917, Super_CBSA!$A$2:$A$1917), 2,FALSE), ""))</f>
        <v>12420</v>
      </c>
    </row>
    <row r="102" spans="1:7">
      <c r="A102" s="11" t="s">
        <v>4944</v>
      </c>
      <c r="B102" s="11" t="s">
        <v>4945</v>
      </c>
      <c r="C102" s="11">
        <v>119</v>
      </c>
      <c r="D102" s="11">
        <v>7351</v>
      </c>
      <c r="E102" s="11">
        <v>34491</v>
      </c>
      <c r="F102" s="11">
        <v>1042399</v>
      </c>
      <c r="G102" s="11" cm="1">
        <f t="array" aca="1" ref="G102" ca="1">IFERROR(VLOOKUP("*" &amp; B102  &amp; "*" &amp; (MID(CELL("filename",A101),FIND("]",CELL("filename",A101))+1,31)) &amp; "*",CHOOSE({1,2}, Super_CBSA!$B$2:$B$1917, Super_CBSA!$A$2:$A$1917), 2,FALSE), IFERROR(VLOOKUP(B102  &amp; " city",CHOOSE({1,2}, Super_CBSA!$E$2:$E$1917, Super_CBSA!$A$2:$A$1917), 2,FALSE), ""))</f>
        <v>12420</v>
      </c>
    </row>
    <row r="103" spans="1:7">
      <c r="A103" s="11" t="s">
        <v>4983</v>
      </c>
      <c r="B103" s="11" t="s">
        <v>2951</v>
      </c>
      <c r="C103" s="11">
        <v>0</v>
      </c>
      <c r="D103" s="11">
        <v>0</v>
      </c>
      <c r="E103" s="11">
        <v>0</v>
      </c>
      <c r="F103" s="11">
        <v>0</v>
      </c>
      <c r="G103" s="11" cm="1">
        <f t="array" aca="1" ref="G103" ca="1">IFERROR(VLOOKUP("*" &amp; B103  &amp; "*" &amp; (MID(CELL("filename",A102),FIND("]",CELL("filename",A102))+1,31)) &amp; "*",CHOOSE({1,2}, Super_CBSA!$B$2:$B$1917, Super_CBSA!$A$2:$A$1917), 2,FALSE), IFERROR(VLOOKUP(B103  &amp; " city",CHOOSE({1,2}, Super_CBSA!$E$2:$E$1917, Super_CBSA!$A$2:$A$1917), 2,FALSE), ""))</f>
        <v>12420</v>
      </c>
    </row>
    <row r="104" spans="1:7">
      <c r="A104" s="11" t="s">
        <v>5003</v>
      </c>
      <c r="B104" s="11" t="s">
        <v>4945</v>
      </c>
      <c r="C104" s="11">
        <v>167</v>
      </c>
      <c r="D104" s="11">
        <v>10117</v>
      </c>
      <c r="E104" s="11">
        <v>38501</v>
      </c>
      <c r="F104" s="11">
        <v>1853089</v>
      </c>
      <c r="G104" s="11" cm="1">
        <f t="array" aca="1" ref="G104" ca="1">IFERROR(VLOOKUP("*" &amp; B104  &amp; "*" &amp; (MID(CELL("filename",A103),FIND("]",CELL("filename",A103))+1,31)) &amp; "*",CHOOSE({1,2}, Super_CBSA!$B$2:$B$1917, Super_CBSA!$A$2:$A$1917), 2,FALSE), IFERROR(VLOOKUP(B104  &amp; " city",CHOOSE({1,2}, Super_CBSA!$E$2:$E$1917, Super_CBSA!$A$2:$A$1917), 2,FALSE), ""))</f>
        <v>12420</v>
      </c>
    </row>
    <row r="105" spans="1:7">
      <c r="A105" s="11" t="s">
        <v>5106</v>
      </c>
      <c r="B105" s="11" t="s">
        <v>2951</v>
      </c>
      <c r="C105" s="11">
        <v>0</v>
      </c>
      <c r="D105" s="11">
        <v>0</v>
      </c>
      <c r="E105" s="11">
        <v>0</v>
      </c>
      <c r="F105" s="11">
        <v>0</v>
      </c>
      <c r="G105" s="11" cm="1">
        <f t="array" aca="1" ref="G105" ca="1">IFERROR(VLOOKUP("*" &amp; B105  &amp; "*" &amp; (MID(CELL("filename",A104),FIND("]",CELL("filename",A104))+1,31)) &amp; "*",CHOOSE({1,2}, Super_CBSA!$B$2:$B$1917, Super_CBSA!$A$2:$A$1917), 2,FALSE), IFERROR(VLOOKUP(B105  &amp; " city",CHOOSE({1,2}, Super_CBSA!$E$2:$E$1917, Super_CBSA!$A$2:$A$1917), 2,FALSE), ""))</f>
        <v>12420</v>
      </c>
    </row>
    <row r="106" spans="1:7">
      <c r="A106" s="11" t="s">
        <v>5154</v>
      </c>
      <c r="B106" s="11" t="s">
        <v>2951</v>
      </c>
      <c r="C106" s="11">
        <v>58</v>
      </c>
      <c r="D106" s="11">
        <v>4104</v>
      </c>
      <c r="E106" s="11">
        <v>13646</v>
      </c>
      <c r="F106" s="11">
        <v>376118</v>
      </c>
      <c r="G106" s="11" cm="1">
        <f t="array" aca="1" ref="G106" ca="1">IFERROR(VLOOKUP("*" &amp; B106  &amp; "*" &amp; (MID(CELL("filename",A105),FIND("]",CELL("filename",A105))+1,31)) &amp; "*",CHOOSE({1,2}, Super_CBSA!$B$2:$B$1917, Super_CBSA!$A$2:$A$1917), 2,FALSE), IFERROR(VLOOKUP(B106  &amp; " city",CHOOSE({1,2}, Super_CBSA!$E$2:$E$1917, Super_CBSA!$A$2:$A$1917), 2,FALSE), ""))</f>
        <v>12420</v>
      </c>
    </row>
    <row r="107" spans="1:7">
      <c r="A107" s="11" t="s">
        <v>5264</v>
      </c>
      <c r="B107" s="11" t="s">
        <v>2951</v>
      </c>
      <c r="C107" s="11">
        <v>8</v>
      </c>
      <c r="D107" s="11">
        <v>515</v>
      </c>
      <c r="E107" s="11">
        <v>626</v>
      </c>
      <c r="F107" s="11">
        <v>162478</v>
      </c>
      <c r="G107" s="11" cm="1">
        <f t="array" aca="1" ref="G107" ca="1">IFERROR(VLOOKUP("*" &amp; B107  &amp; "*" &amp; (MID(CELL("filename",A106),FIND("]",CELL("filename",A106))+1,31)) &amp; "*",CHOOSE({1,2}, Super_CBSA!$B$2:$B$1917, Super_CBSA!$A$2:$A$1917), 2,FALSE), IFERROR(VLOOKUP(B107  &amp; " city",CHOOSE({1,2}, Super_CBSA!$E$2:$E$1917, Super_CBSA!$A$2:$A$1917), 2,FALSE), ""))</f>
        <v>12420</v>
      </c>
    </row>
    <row r="108" spans="1:7">
      <c r="A108" s="11" t="s">
        <v>5292</v>
      </c>
      <c r="B108" s="11" t="s">
        <v>2951</v>
      </c>
      <c r="C108" s="11">
        <v>393</v>
      </c>
      <c r="D108" s="11">
        <v>22544</v>
      </c>
      <c r="E108" s="11">
        <v>117386</v>
      </c>
      <c r="F108" s="11">
        <v>2681397</v>
      </c>
      <c r="G108" s="11" cm="1">
        <f t="array" aca="1" ref="G108" ca="1">IFERROR(VLOOKUP("*" &amp; B108  &amp; "*" &amp; (MID(CELL("filename",A107),FIND("]",CELL("filename",A107))+1,31)) &amp; "*",CHOOSE({1,2}, Super_CBSA!$B$2:$B$1917, Super_CBSA!$A$2:$A$1917), 2,FALSE), IFERROR(VLOOKUP(B108  &amp; " city",CHOOSE({1,2}, Super_CBSA!$E$2:$E$1917, Super_CBSA!$A$2:$A$1917), 2,FALSE), ""))</f>
        <v>12420</v>
      </c>
    </row>
    <row r="109" spans="1:7">
      <c r="A109" s="11" t="s">
        <v>5293</v>
      </c>
      <c r="B109" s="11" t="s">
        <v>4945</v>
      </c>
      <c r="C109" s="11">
        <v>169</v>
      </c>
      <c r="D109" s="11">
        <v>9782</v>
      </c>
      <c r="E109" s="11">
        <v>44148</v>
      </c>
      <c r="F109" s="11">
        <v>1461593</v>
      </c>
      <c r="G109" s="11" cm="1">
        <f t="array" aca="1" ref="G109" ca="1">IFERROR(VLOOKUP("*" &amp; B109  &amp; "*" &amp; (MID(CELL("filename",A108),FIND("]",CELL("filename",A108))+1,31)) &amp; "*",CHOOSE({1,2}, Super_CBSA!$B$2:$B$1917, Super_CBSA!$A$2:$A$1917), 2,FALSE), IFERROR(VLOOKUP(B109  &amp; " city",CHOOSE({1,2}, Super_CBSA!$E$2:$E$1917, Super_CBSA!$A$2:$A$1917), 2,FALSE), ""))</f>
        <v>12420</v>
      </c>
    </row>
    <row r="110" spans="1:7">
      <c r="A110" s="11" t="s">
        <v>5294</v>
      </c>
      <c r="B110" s="11" t="s">
        <v>2951</v>
      </c>
      <c r="C110" s="11">
        <v>299</v>
      </c>
      <c r="D110" s="11">
        <v>19649</v>
      </c>
      <c r="E110" s="11">
        <v>98035</v>
      </c>
      <c r="F110" s="11">
        <v>2609585</v>
      </c>
      <c r="G110" s="11" cm="1">
        <f t="array" aca="1" ref="G110" ca="1">IFERROR(VLOOKUP("*" &amp; B110  &amp; "*" &amp; (MID(CELL("filename",A109),FIND("]",CELL("filename",A109))+1,31)) &amp; "*",CHOOSE({1,2}, Super_CBSA!$B$2:$B$1917, Super_CBSA!$A$2:$A$1917), 2,FALSE), IFERROR(VLOOKUP(B110  &amp; " city",CHOOSE({1,2}, Super_CBSA!$E$2:$E$1917, Super_CBSA!$A$2:$A$1917), 2,FALSE), ""))</f>
        <v>12420</v>
      </c>
    </row>
    <row r="111" spans="1:7">
      <c r="A111" s="11" t="s">
        <v>5309</v>
      </c>
      <c r="B111" s="11" t="s">
        <v>2951</v>
      </c>
      <c r="C111" s="11">
        <v>588</v>
      </c>
      <c r="D111" s="11">
        <v>26462</v>
      </c>
      <c r="E111" s="11">
        <v>130992</v>
      </c>
      <c r="F111" s="11">
        <v>4263307</v>
      </c>
      <c r="G111" s="11" cm="1">
        <f t="array" aca="1" ref="G111" ca="1">IFERROR(VLOOKUP("*" &amp; B111  &amp; "*" &amp; (MID(CELL("filename",A110),FIND("]",CELL("filename",A110))+1,31)) &amp; "*",CHOOSE({1,2}, Super_CBSA!$B$2:$B$1917, Super_CBSA!$A$2:$A$1917), 2,FALSE), IFERROR(VLOOKUP(B111  &amp; " city",CHOOSE({1,2}, Super_CBSA!$E$2:$E$1917, Super_CBSA!$A$2:$A$1917), 2,FALSE), ""))</f>
        <v>12420</v>
      </c>
    </row>
    <row r="112" spans="1:7">
      <c r="A112" s="11" t="s">
        <v>5085</v>
      </c>
      <c r="B112" s="11" t="s">
        <v>5086</v>
      </c>
      <c r="C112" s="11">
        <v>0</v>
      </c>
      <c r="D112" s="11">
        <v>0</v>
      </c>
      <c r="E112" s="11">
        <v>0</v>
      </c>
      <c r="F112" s="11">
        <v>0</v>
      </c>
      <c r="G112" s="11" cm="1">
        <f t="array" aca="1" ref="G112" ca="1">IFERROR(VLOOKUP("*" &amp; B112  &amp; "*" &amp; (MID(CELL("filename",A111),FIND("]",CELL("filename",A111))+1,31)) &amp; "*",CHOOSE({1,2}, Super_CBSA!$B$2:$B$1917, Super_CBSA!$A$2:$A$1917), 2,FALSE), IFERROR(VLOOKUP(B112  &amp; " city",CHOOSE({1,2}, Super_CBSA!$E$2:$E$1917, Super_CBSA!$A$2:$A$1917), 2,FALSE), ""))</f>
        <v>21340</v>
      </c>
    </row>
    <row r="113" spans="1:7">
      <c r="A113" s="11" t="s">
        <v>5105</v>
      </c>
      <c r="B113" s="11" t="s">
        <v>5086</v>
      </c>
      <c r="C113" s="11">
        <v>314</v>
      </c>
      <c r="D113" s="11">
        <v>14214</v>
      </c>
      <c r="E113" s="11">
        <v>72436</v>
      </c>
      <c r="F113" s="11">
        <v>1227731</v>
      </c>
      <c r="G113" s="11" cm="1">
        <f t="array" aca="1" ref="G113" ca="1">IFERROR(VLOOKUP("*" &amp; B113  &amp; "*" &amp; (MID(CELL("filename",A112),FIND("]",CELL("filename",A112))+1,31)) &amp; "*",CHOOSE({1,2}, Super_CBSA!$B$2:$B$1917, Super_CBSA!$A$2:$A$1917), 2,FALSE), IFERROR(VLOOKUP(B113  &amp; " city",CHOOSE({1,2}, Super_CBSA!$E$2:$E$1917, Super_CBSA!$A$2:$A$1917), 2,FALSE), ""))</f>
        <v>21340</v>
      </c>
    </row>
    <row r="114" spans="1:7">
      <c r="A114" s="11" t="s">
        <v>5117</v>
      </c>
      <c r="B114" s="11" t="s">
        <v>5086</v>
      </c>
      <c r="C114" s="11">
        <v>33</v>
      </c>
      <c r="D114" s="11">
        <v>229</v>
      </c>
      <c r="E114" s="11">
        <v>3738</v>
      </c>
      <c r="F114" s="11">
        <v>16861</v>
      </c>
      <c r="G114" s="11" cm="1">
        <f t="array" aca="1" ref="G114" ca="1">IFERROR(VLOOKUP("*" &amp; B114  &amp; "*" &amp; (MID(CELL("filename",A113),FIND("]",CELL("filename",A113))+1,31)) &amp; "*",CHOOSE({1,2}, Super_CBSA!$B$2:$B$1917, Super_CBSA!$A$2:$A$1917), 2,FALSE), IFERROR(VLOOKUP(B114  &amp; " city",CHOOSE({1,2}, Super_CBSA!$E$2:$E$1917, Super_CBSA!$A$2:$A$1917), 2,FALSE), ""))</f>
        <v>21340</v>
      </c>
    </row>
    <row r="115" spans="1:7">
      <c r="A115" s="11" t="s">
        <v>5129</v>
      </c>
      <c r="B115" s="11" t="s">
        <v>5086</v>
      </c>
      <c r="C115" s="11">
        <v>40</v>
      </c>
      <c r="D115" s="11">
        <v>567</v>
      </c>
      <c r="E115" s="11">
        <v>1302</v>
      </c>
      <c r="F115" s="11">
        <v>237806</v>
      </c>
      <c r="G115" s="11" cm="1">
        <f t="array" aca="1" ref="G115" ca="1">IFERROR(VLOOKUP("*" &amp; B115  &amp; "*" &amp; (MID(CELL("filename",A114),FIND("]",CELL("filename",A114))+1,31)) &amp; "*",CHOOSE({1,2}, Super_CBSA!$B$2:$B$1917, Super_CBSA!$A$2:$A$1917), 2,FALSE), IFERROR(VLOOKUP(B115  &amp; " city",CHOOSE({1,2}, Super_CBSA!$E$2:$E$1917, Super_CBSA!$A$2:$A$1917), 2,FALSE), ""))</f>
        <v>21340</v>
      </c>
    </row>
    <row r="116" spans="1:7">
      <c r="A116" s="11" t="s">
        <v>5185</v>
      </c>
      <c r="B116" s="11" t="s">
        <v>5086</v>
      </c>
      <c r="C116" s="11">
        <v>577</v>
      </c>
      <c r="D116" s="11">
        <v>25527</v>
      </c>
      <c r="E116" s="11">
        <v>122793</v>
      </c>
      <c r="F116" s="11">
        <v>4925731</v>
      </c>
      <c r="G116" s="11" cm="1">
        <f t="array" aca="1" ref="G116" ca="1">IFERROR(VLOOKUP("*" &amp; B116  &amp; "*" &amp; (MID(CELL("filename",A115),FIND("]",CELL("filename",A115))+1,31)) &amp; "*",CHOOSE({1,2}, Super_CBSA!$B$2:$B$1917, Super_CBSA!$A$2:$A$1917), 2,FALSE), IFERROR(VLOOKUP(B116  &amp; " city",CHOOSE({1,2}, Super_CBSA!$E$2:$E$1917, Super_CBSA!$A$2:$A$1917), 2,FALSE), ""))</f>
        <v>21340</v>
      </c>
    </row>
    <row r="117" spans="1:7">
      <c r="A117" s="11" t="s">
        <v>5347</v>
      </c>
      <c r="B117" s="11" t="s">
        <v>5086</v>
      </c>
      <c r="C117" s="11">
        <v>182</v>
      </c>
      <c r="D117" s="11">
        <v>12879</v>
      </c>
      <c r="E117" s="11">
        <v>58354</v>
      </c>
      <c r="F117" s="11">
        <v>1912476</v>
      </c>
      <c r="G117" s="11" cm="1">
        <f t="array" aca="1" ref="G117" ca="1">IFERROR(VLOOKUP("*" &amp; B117  &amp; "*" &amp; (MID(CELL("filename",A116),FIND("]",CELL("filename",A116))+1,31)) &amp; "*",CHOOSE({1,2}, Super_CBSA!$B$2:$B$1917, Super_CBSA!$A$2:$A$1917), 2,FALSE), IFERROR(VLOOKUP(B117  &amp; " city",CHOOSE({1,2}, Super_CBSA!$E$2:$E$1917, Super_CBSA!$A$2:$A$1917), 2,FALSE), ""))</f>
        <v>21340</v>
      </c>
    </row>
    <row r="118" spans="1:7">
      <c r="A118" s="11" t="s">
        <v>5350</v>
      </c>
      <c r="B118" s="11" t="s">
        <v>5086</v>
      </c>
      <c r="C118" s="11">
        <v>320</v>
      </c>
      <c r="D118" s="11">
        <v>15171</v>
      </c>
      <c r="E118" s="11">
        <v>64399</v>
      </c>
      <c r="F118" s="11">
        <v>2202208</v>
      </c>
      <c r="G118" s="11" cm="1">
        <f t="array" aca="1" ref="G118" ca="1">IFERROR(VLOOKUP("*" &amp; B118  &amp; "*" &amp; (MID(CELL("filename",A117),FIND("]",CELL("filename",A117))+1,31)) &amp; "*",CHOOSE({1,2}, Super_CBSA!$B$2:$B$1917, Super_CBSA!$A$2:$A$1917), 2,FALSE), IFERROR(VLOOKUP(B118  &amp; " city",CHOOSE({1,2}, Super_CBSA!$E$2:$E$1917, Super_CBSA!$A$2:$A$1917), 2,FALSE), ""))</f>
        <v>21340</v>
      </c>
    </row>
    <row r="119" spans="1:7">
      <c r="A119" s="11" t="s">
        <v>5351</v>
      </c>
      <c r="B119" s="11" t="s">
        <v>5086</v>
      </c>
      <c r="C119" s="11">
        <v>258</v>
      </c>
      <c r="D119" s="11">
        <v>7477</v>
      </c>
      <c r="E119" s="11">
        <v>34944</v>
      </c>
      <c r="F119" s="11">
        <v>1651479</v>
      </c>
      <c r="G119" s="11" cm="1">
        <f t="array" aca="1" ref="G119" ca="1">IFERROR(VLOOKUP("*" &amp; B119  &amp; "*" &amp; (MID(CELL("filename",A118),FIND("]",CELL("filename",A118))+1,31)) &amp; "*",CHOOSE({1,2}, Super_CBSA!$B$2:$B$1917, Super_CBSA!$A$2:$A$1917), 2,FALSE), IFERROR(VLOOKUP(B119  &amp; " city",CHOOSE({1,2}, Super_CBSA!$E$2:$E$1917, Super_CBSA!$A$2:$A$1917), 2,FALSE), ""))</f>
        <v>21340</v>
      </c>
    </row>
    <row r="120" spans="1:7">
      <c r="A120" s="11" t="s">
        <v>5352</v>
      </c>
      <c r="B120" s="11" t="s">
        <v>5086</v>
      </c>
      <c r="C120" s="11">
        <v>106</v>
      </c>
      <c r="D120" s="11">
        <v>4389</v>
      </c>
      <c r="E120" s="11">
        <v>17609</v>
      </c>
      <c r="F120" s="11">
        <v>672309</v>
      </c>
      <c r="G120" s="11" cm="1">
        <f t="array" aca="1" ref="G120" ca="1">IFERROR(VLOOKUP("*" &amp; B120  &amp; "*" &amp; (MID(CELL("filename",A119),FIND("]",CELL("filename",A119))+1,31)) &amp; "*",CHOOSE({1,2}, Super_CBSA!$B$2:$B$1917, Super_CBSA!$A$2:$A$1917), 2,FALSE), IFERROR(VLOOKUP(B120  &amp; " city",CHOOSE({1,2}, Super_CBSA!$E$2:$E$1917, Super_CBSA!$A$2:$A$1917), 2,FALSE), ""))</f>
        <v>21340</v>
      </c>
    </row>
    <row r="121" spans="1:7">
      <c r="A121" s="11" t="s">
        <v>5367</v>
      </c>
      <c r="B121" s="11" t="s">
        <v>5086</v>
      </c>
      <c r="C121" s="11">
        <v>290</v>
      </c>
      <c r="D121" s="11">
        <v>15825</v>
      </c>
      <c r="E121" s="11">
        <v>77368</v>
      </c>
      <c r="F121" s="11">
        <v>1350776</v>
      </c>
      <c r="G121" s="11" cm="1">
        <f t="array" aca="1" ref="G121" ca="1">IFERROR(VLOOKUP("*" &amp; B121  &amp; "*" &amp; (MID(CELL("filename",A120),FIND("]",CELL("filename",A120))+1,31)) &amp; "*",CHOOSE({1,2}, Super_CBSA!$B$2:$B$1917, Super_CBSA!$A$2:$A$1917), 2,FALSE), IFERROR(VLOOKUP(B121  &amp; " city",CHOOSE({1,2}, Super_CBSA!$E$2:$E$1917, Super_CBSA!$A$2:$A$1917), 2,FALSE), ""))</f>
        <v>21340</v>
      </c>
    </row>
    <row r="122" spans="1:7">
      <c r="A122" s="11" t="s">
        <v>5386</v>
      </c>
      <c r="B122" s="11" t="s">
        <v>5086</v>
      </c>
      <c r="C122" s="11">
        <v>0</v>
      </c>
      <c r="D122" s="11">
        <v>0</v>
      </c>
      <c r="E122" s="11">
        <v>0</v>
      </c>
      <c r="F122" s="11">
        <v>0</v>
      </c>
      <c r="G122" s="11" cm="1">
        <f t="array" aca="1" ref="G122" ca="1">IFERROR(VLOOKUP("*" &amp; B122  &amp; "*" &amp; (MID(CELL("filename",A121),FIND("]",CELL("filename",A121))+1,31)) &amp; "*",CHOOSE({1,2}, Super_CBSA!$B$2:$B$1917, Super_CBSA!$A$2:$A$1917), 2,FALSE), IFERROR(VLOOKUP(B122  &amp; " city",CHOOSE({1,2}, Super_CBSA!$E$2:$E$1917, Super_CBSA!$A$2:$A$1917), 2,FALSE), ""))</f>
        <v>21340</v>
      </c>
    </row>
    <row r="123" spans="1:7">
      <c r="A123" s="11" t="s">
        <v>5317</v>
      </c>
      <c r="B123" s="11" t="s">
        <v>5318</v>
      </c>
      <c r="C123" s="11">
        <v>44</v>
      </c>
      <c r="D123" s="11">
        <v>3380</v>
      </c>
      <c r="E123" s="11">
        <v>9382</v>
      </c>
      <c r="F123" s="11">
        <v>280417</v>
      </c>
      <c r="G123" s="11" cm="1">
        <f t="array" aca="1" ref="G123" ca="1">IFERROR(VLOOKUP("*" &amp; B123  &amp; "*" &amp; (MID(CELL("filename",A122),FIND("]",CELL("filename",A122))+1,31)) &amp; "*",CHOOSE({1,2}, Super_CBSA!$B$2:$B$1917, Super_CBSA!$A$2:$A$1917), 2,FALSE), IFERROR(VLOOKUP(B123  &amp; " city",CHOOSE({1,2}, Super_CBSA!$E$2:$E$1917, Super_CBSA!$A$2:$A$1917), 2,FALSE), ""))</f>
        <v>32580</v>
      </c>
    </row>
    <row r="124" spans="1:7">
      <c r="A124" s="11" t="s">
        <v>5089</v>
      </c>
      <c r="B124" s="11" t="s">
        <v>5090</v>
      </c>
      <c r="C124" s="11">
        <v>14</v>
      </c>
      <c r="D124" s="11">
        <v>490</v>
      </c>
      <c r="E124" s="11">
        <v>977</v>
      </c>
      <c r="F124" s="11">
        <v>81277</v>
      </c>
      <c r="G124" s="11" cm="1">
        <f t="array" aca="1" ref="G124" ca="1">IFERROR(VLOOKUP("*" &amp; B124  &amp; "*" &amp; (MID(CELL("filename",A123),FIND("]",CELL("filename",A123))+1,31)) &amp; "*",CHOOSE({1,2}, Super_CBSA!$B$2:$B$1917, Super_CBSA!$A$2:$A$1917), 2,FALSE), IFERROR(VLOOKUP(B124  &amp; " city",CHOOSE({1,2}, Super_CBSA!$E$2:$E$1917, Super_CBSA!$A$2:$A$1917), 2,FALSE), ""))</f>
        <v>32580</v>
      </c>
    </row>
    <row r="125" spans="1:7">
      <c r="A125" s="11" t="s">
        <v>5109</v>
      </c>
      <c r="B125" s="11" t="s">
        <v>5090</v>
      </c>
      <c r="C125" s="11">
        <v>519</v>
      </c>
      <c r="D125" s="11">
        <v>25921</v>
      </c>
      <c r="E125" s="11">
        <v>120659</v>
      </c>
      <c r="F125" s="11">
        <v>2878061</v>
      </c>
      <c r="G125" s="11" cm="1">
        <f t="array" aca="1" ref="G125" ca="1">IFERROR(VLOOKUP("*" &amp; B125  &amp; "*" &amp; (MID(CELL("filename",A124),FIND("]",CELL("filename",A124))+1,31)) &amp; "*",CHOOSE({1,2}, Super_CBSA!$B$2:$B$1917, Super_CBSA!$A$2:$A$1917), 2,FALSE), IFERROR(VLOOKUP(B125  &amp; " city",CHOOSE({1,2}, Super_CBSA!$E$2:$E$1917, Super_CBSA!$A$2:$A$1917), 2,FALSE), ""))</f>
        <v>32580</v>
      </c>
    </row>
    <row r="126" spans="1:7">
      <c r="A126" s="11" t="s">
        <v>5114</v>
      </c>
      <c r="B126" s="11" t="s">
        <v>5090</v>
      </c>
      <c r="C126" s="11">
        <v>838</v>
      </c>
      <c r="D126" s="11">
        <v>25903</v>
      </c>
      <c r="E126" s="11">
        <v>125007</v>
      </c>
      <c r="F126" s="11">
        <v>4345090</v>
      </c>
      <c r="G126" s="11" cm="1">
        <f t="array" aca="1" ref="G126" ca="1">IFERROR(VLOOKUP("*" &amp; B126  &amp; "*" &amp; (MID(CELL("filename",A125),FIND("]",CELL("filename",A125))+1,31)) &amp; "*",CHOOSE({1,2}, Super_CBSA!$B$2:$B$1917, Super_CBSA!$A$2:$A$1917), 2,FALSE), IFERROR(VLOOKUP(B126  &amp; " city",CHOOSE({1,2}, Super_CBSA!$E$2:$E$1917, Super_CBSA!$A$2:$A$1917), 2,FALSE), ""))</f>
        <v>32580</v>
      </c>
    </row>
    <row r="127" spans="1:7">
      <c r="A127" s="11" t="s">
        <v>5192</v>
      </c>
      <c r="B127" s="11" t="s">
        <v>5193</v>
      </c>
      <c r="C127" s="11">
        <v>542</v>
      </c>
      <c r="D127" s="11">
        <v>23215</v>
      </c>
      <c r="E127" s="11">
        <v>119662</v>
      </c>
      <c r="F127" s="11">
        <v>1107290</v>
      </c>
      <c r="G127" s="11" cm="1">
        <f t="array" aca="1" ref="G127" ca="1">IFERROR(VLOOKUP("*" &amp; B127  &amp; "*" &amp; (MID(CELL("filename",A126),FIND("]",CELL("filename",A126))+1,31)) &amp; "*",CHOOSE({1,2}, Super_CBSA!$B$2:$B$1917, Super_CBSA!$A$2:$A$1917), 2,FALSE), IFERROR(VLOOKUP(B127  &amp; " city",CHOOSE({1,2}, Super_CBSA!$E$2:$E$1917, Super_CBSA!$A$2:$A$1917), 2,FALSE), ""))</f>
        <v>32580</v>
      </c>
    </row>
    <row r="128" spans="1:7">
      <c r="A128" s="11" t="s">
        <v>5249</v>
      </c>
      <c r="B128" s="11" t="s">
        <v>5250</v>
      </c>
      <c r="C128" s="11">
        <v>297</v>
      </c>
      <c r="D128" s="11">
        <v>8654</v>
      </c>
      <c r="E128" s="11">
        <v>39297</v>
      </c>
      <c r="F128" s="11">
        <v>724174</v>
      </c>
      <c r="G128" s="11" cm="1">
        <f t="array" aca="1" ref="G128" ca="1">IFERROR(VLOOKUP("*" &amp; B128  &amp; "*" &amp; (MID(CELL("filename",A127),FIND("]",CELL("filename",A127))+1,31)) &amp; "*",CHOOSE({1,2}, Super_CBSA!$B$2:$B$1917, Super_CBSA!$A$2:$A$1917), 2,FALSE), IFERROR(VLOOKUP(B128  &amp; " city",CHOOSE({1,2}, Super_CBSA!$E$2:$E$1917, Super_CBSA!$A$2:$A$1917), 2,FALSE), ""))</f>
        <v>32580</v>
      </c>
    </row>
    <row r="129" spans="1:7">
      <c r="A129" s="11" t="s">
        <v>5286</v>
      </c>
      <c r="B129" s="11" t="s">
        <v>5193</v>
      </c>
      <c r="C129" s="11">
        <v>320</v>
      </c>
      <c r="D129" s="11">
        <v>15201</v>
      </c>
      <c r="E129" s="11">
        <v>68839</v>
      </c>
      <c r="F129" s="11">
        <v>2257081</v>
      </c>
      <c r="G129" s="11" cm="1">
        <f t="array" aca="1" ref="G129" ca="1">IFERROR(VLOOKUP("*" &amp; B129  &amp; "*" &amp; (MID(CELL("filename",A128),FIND("]",CELL("filename",A128))+1,31)) &amp; "*",CHOOSE({1,2}, Super_CBSA!$B$2:$B$1917, Super_CBSA!$A$2:$A$1917), 2,FALSE), IFERROR(VLOOKUP(B129  &amp; " city",CHOOSE({1,2}, Super_CBSA!$E$2:$E$1917, Super_CBSA!$A$2:$A$1917), 2,FALSE), ""))</f>
        <v>32580</v>
      </c>
    </row>
    <row r="130" spans="1:7">
      <c r="A130" s="11" t="s">
        <v>5074</v>
      </c>
      <c r="B130" s="11" t="s">
        <v>5075</v>
      </c>
      <c r="C130" s="11">
        <v>0</v>
      </c>
      <c r="D130" s="11">
        <v>0</v>
      </c>
      <c r="E130" s="11">
        <v>0</v>
      </c>
      <c r="F130" s="11">
        <v>0</v>
      </c>
      <c r="G130" s="11" cm="1">
        <f t="array" aca="1" ref="G130" ca="1">IFERROR(VLOOKUP("*" &amp; B130  &amp; "*" &amp; (MID(CELL("filename",A129),FIND("]",CELL("filename",A129))+1,31)) &amp; "*",CHOOSE({1,2}, Super_CBSA!$B$2:$B$1917, Super_CBSA!$A$2:$A$1917), 2,FALSE), IFERROR(VLOOKUP(B130  &amp; " city",CHOOSE({1,2}, Super_CBSA!$E$2:$E$1917, Super_CBSA!$A$2:$A$1917), 2,FALSE), ""))</f>
        <v>18580</v>
      </c>
    </row>
    <row r="131" spans="1:7">
      <c r="A131" s="11" t="s">
        <v>5076</v>
      </c>
      <c r="B131" s="11" t="s">
        <v>5075</v>
      </c>
      <c r="C131" s="11">
        <v>570</v>
      </c>
      <c r="D131" s="11">
        <v>25594</v>
      </c>
      <c r="E131" s="11">
        <v>138644</v>
      </c>
      <c r="F131" s="11">
        <v>3315224</v>
      </c>
      <c r="G131" s="11" cm="1">
        <f t="array" aca="1" ref="G131" ca="1">IFERROR(VLOOKUP("*" &amp; B131  &amp; "*" &amp; (MID(CELL("filename",A130),FIND("]",CELL("filename",A130))+1,31)) &amp; "*",CHOOSE({1,2}, Super_CBSA!$B$2:$B$1917, Super_CBSA!$A$2:$A$1917), 2,FALSE), IFERROR(VLOOKUP(B131  &amp; " city",CHOOSE({1,2}, Super_CBSA!$E$2:$E$1917, Super_CBSA!$A$2:$A$1917), 2,FALSE), ""))</f>
        <v>18580</v>
      </c>
    </row>
    <row r="132" spans="1:7">
      <c r="A132" s="11" t="s">
        <v>5091</v>
      </c>
      <c r="B132" s="11" t="s">
        <v>5075</v>
      </c>
      <c r="C132" s="11">
        <v>0</v>
      </c>
      <c r="D132" s="11">
        <v>0</v>
      </c>
      <c r="E132" s="11">
        <v>0</v>
      </c>
      <c r="F132" s="11">
        <v>0</v>
      </c>
      <c r="G132" s="11" cm="1">
        <f t="array" aca="1" ref="G132" ca="1">IFERROR(VLOOKUP("*" &amp; B132  &amp; "*" &amp; (MID(CELL("filename",A131),FIND("]",CELL("filename",A131))+1,31)) &amp; "*",CHOOSE({1,2}, Super_CBSA!$B$2:$B$1917, Super_CBSA!$A$2:$A$1917), 2,FALSE), IFERROR(VLOOKUP(B132  &amp; " city",CHOOSE({1,2}, Super_CBSA!$E$2:$E$1917, Super_CBSA!$A$2:$A$1917), 2,FALSE), ""))</f>
        <v>18580</v>
      </c>
    </row>
    <row r="133" spans="1:7">
      <c r="A133" s="11" t="s">
        <v>5092</v>
      </c>
      <c r="B133" s="11" t="s">
        <v>5075</v>
      </c>
      <c r="C133" s="11">
        <v>426</v>
      </c>
      <c r="D133" s="11">
        <v>21942</v>
      </c>
      <c r="E133" s="11">
        <v>109489</v>
      </c>
      <c r="F133" s="11">
        <v>3461927</v>
      </c>
      <c r="G133" s="11" cm="1">
        <f t="array" aca="1" ref="G133" ca="1">IFERROR(VLOOKUP("*" &amp; B133  &amp; "*" &amp; (MID(CELL("filename",A132),FIND("]",CELL("filename",A132))+1,31)) &amp; "*",CHOOSE({1,2}, Super_CBSA!$B$2:$B$1917, Super_CBSA!$A$2:$A$1917), 2,FALSE), IFERROR(VLOOKUP(B133  &amp; " city",CHOOSE({1,2}, Super_CBSA!$E$2:$E$1917, Super_CBSA!$A$2:$A$1917), 2,FALSE), ""))</f>
        <v>18580</v>
      </c>
    </row>
    <row r="134" spans="1:7">
      <c r="A134" s="11" t="s">
        <v>5093</v>
      </c>
      <c r="B134" s="11" t="s">
        <v>5075</v>
      </c>
      <c r="C134" s="11">
        <v>89</v>
      </c>
      <c r="D134" s="11">
        <v>1936</v>
      </c>
      <c r="E134" s="11">
        <v>8826</v>
      </c>
      <c r="F134" s="11">
        <v>84546</v>
      </c>
      <c r="G134" s="11" cm="1">
        <f t="array" aca="1" ref="G134" ca="1">IFERROR(VLOOKUP("*" &amp; B134  &amp; "*" &amp; (MID(CELL("filename",A133),FIND("]",CELL("filename",A133))+1,31)) &amp; "*",CHOOSE({1,2}, Super_CBSA!$B$2:$B$1917, Super_CBSA!$A$2:$A$1917), 2,FALSE), IFERROR(VLOOKUP(B134  &amp; " city",CHOOSE({1,2}, Super_CBSA!$E$2:$E$1917, Super_CBSA!$A$2:$A$1917), 2,FALSE), ""))</f>
        <v>18580</v>
      </c>
    </row>
    <row r="135" spans="1:7">
      <c r="A135" s="11" t="s">
        <v>5094</v>
      </c>
      <c r="B135" s="11" t="s">
        <v>5075</v>
      </c>
      <c r="C135" s="11">
        <v>0</v>
      </c>
      <c r="D135" s="11">
        <v>0</v>
      </c>
      <c r="E135" s="11">
        <v>0</v>
      </c>
      <c r="F135" s="11">
        <v>0</v>
      </c>
      <c r="G135" s="11" cm="1">
        <f t="array" aca="1" ref="G135" ca="1">IFERROR(VLOOKUP("*" &amp; B135  &amp; "*" &amp; (MID(CELL("filename",A134),FIND("]",CELL("filename",A134))+1,31)) &amp; "*",CHOOSE({1,2}, Super_CBSA!$B$2:$B$1917, Super_CBSA!$A$2:$A$1917), 2,FALSE), IFERROR(VLOOKUP(B135  &amp; " city",CHOOSE({1,2}, Super_CBSA!$E$2:$E$1917, Super_CBSA!$A$2:$A$1917), 2,FALSE), ""))</f>
        <v>18580</v>
      </c>
    </row>
    <row r="136" spans="1:7">
      <c r="A136" s="11" t="s">
        <v>5307</v>
      </c>
      <c r="B136" s="11" t="s">
        <v>5075</v>
      </c>
      <c r="C136" s="11">
        <v>33</v>
      </c>
      <c r="D136" s="11">
        <v>849</v>
      </c>
      <c r="E136" s="11">
        <v>1986</v>
      </c>
      <c r="F136" s="11">
        <v>144353</v>
      </c>
      <c r="G136" s="11" cm="1">
        <f t="array" aca="1" ref="G136" ca="1">IFERROR(VLOOKUP("*" &amp; B136  &amp; "*" &amp; (MID(CELL("filename",A135),FIND("]",CELL("filename",A135))+1,31)) &amp; "*",CHOOSE({1,2}, Super_CBSA!$B$2:$B$1917, Super_CBSA!$A$2:$A$1917), 2,FALSE), IFERROR(VLOOKUP(B136  &amp; " city",CHOOSE({1,2}, Super_CBSA!$E$2:$E$1917, Super_CBSA!$A$2:$A$1917), 2,FALSE), ""))</f>
        <v>18580</v>
      </c>
    </row>
    <row r="137" spans="1:7">
      <c r="A137" s="11" t="s">
        <v>4907</v>
      </c>
      <c r="B137" s="11" t="s">
        <v>4908</v>
      </c>
      <c r="C137" s="11">
        <v>634</v>
      </c>
      <c r="D137" s="11">
        <v>36407</v>
      </c>
      <c r="E137" s="11">
        <v>168043</v>
      </c>
      <c r="F137" s="11">
        <v>5460364</v>
      </c>
      <c r="G137" s="11" cm="1">
        <f t="array" aca="1" ref="G137" ca="1">IFERROR(VLOOKUP("*" &amp; B137  &amp; "*" &amp; (MID(CELL("filename",A136),FIND("]",CELL("filename",A136))+1,31)) &amp; "*",CHOOSE({1,2}, Super_CBSA!$B$2:$B$1917, Super_CBSA!$A$2:$A$1917), 2,FALSE), IFERROR(VLOOKUP(B137  &amp; " city",CHOOSE({1,2}, Super_CBSA!$E$2:$E$1917, Super_CBSA!$A$2:$A$1917), 2,FALSE), ""))</f>
        <v>28660</v>
      </c>
    </row>
    <row r="138" spans="1:7">
      <c r="A138" s="11" t="s">
        <v>4928</v>
      </c>
      <c r="B138" s="11" t="s">
        <v>4929</v>
      </c>
      <c r="C138" s="11">
        <v>208</v>
      </c>
      <c r="D138" s="11">
        <v>6702</v>
      </c>
      <c r="E138" s="11">
        <v>26316</v>
      </c>
      <c r="F138" s="11">
        <v>577819</v>
      </c>
      <c r="G138" s="11" cm="1">
        <f t="array" aca="1" ref="G138" ca="1">IFERROR(VLOOKUP("*" &amp; B138  &amp; "*" &amp; (MID(CELL("filename",A137),FIND("]",CELL("filename",A137))+1,31)) &amp; "*",CHOOSE({1,2}, Super_CBSA!$B$2:$B$1917, Super_CBSA!$A$2:$A$1917), 2,FALSE), IFERROR(VLOOKUP(B138  &amp; " city",CHOOSE({1,2}, Super_CBSA!$E$2:$E$1917, Super_CBSA!$A$2:$A$1917), 2,FALSE), ""))</f>
        <v>28660</v>
      </c>
    </row>
    <row r="139" spans="1:7">
      <c r="A139" s="11" t="s">
        <v>4978</v>
      </c>
      <c r="B139" s="11" t="s">
        <v>4908</v>
      </c>
      <c r="C139" s="11">
        <v>2</v>
      </c>
      <c r="D139" s="11">
        <v>0</v>
      </c>
      <c r="E139" s="11">
        <v>0</v>
      </c>
      <c r="F139" s="11">
        <v>10105</v>
      </c>
      <c r="G139" s="11" cm="1">
        <f t="array" aca="1" ref="G139" ca="1">IFERROR(VLOOKUP("*" &amp; B139  &amp; "*" &amp; (MID(CELL("filename",A138),FIND("]",CELL("filename",A138))+1,31)) &amp; "*",CHOOSE({1,2}, Super_CBSA!$B$2:$B$1917, Super_CBSA!$A$2:$A$1917), 2,FALSE), IFERROR(VLOOKUP(B139  &amp; " city",CHOOSE({1,2}, Super_CBSA!$E$2:$E$1917, Super_CBSA!$A$2:$A$1917), 2,FALSE), ""))</f>
        <v>28660</v>
      </c>
    </row>
    <row r="140" spans="1:7">
      <c r="A140" s="11" t="s">
        <v>5035</v>
      </c>
      <c r="B140" s="11" t="s">
        <v>4908</v>
      </c>
      <c r="C140" s="11">
        <v>0</v>
      </c>
      <c r="D140" s="11">
        <v>0</v>
      </c>
      <c r="E140" s="11">
        <v>0</v>
      </c>
      <c r="F140" s="11">
        <v>0</v>
      </c>
      <c r="G140" s="11" cm="1">
        <f t="array" aca="1" ref="G140" ca="1">IFERROR(VLOOKUP("*" &amp; B140  &amp; "*" &amp; (MID(CELL("filename",A139),FIND("]",CELL("filename",A139))+1,31)) &amp; "*",CHOOSE({1,2}, Super_CBSA!$B$2:$B$1917, Super_CBSA!$A$2:$A$1917), 2,FALSE), IFERROR(VLOOKUP(B140  &amp; " city",CHOOSE({1,2}, Super_CBSA!$E$2:$E$1917, Super_CBSA!$A$2:$A$1917), 2,FALSE), ""))</f>
        <v>28660</v>
      </c>
    </row>
    <row r="141" spans="1:7">
      <c r="A141" s="11" t="s">
        <v>5139</v>
      </c>
      <c r="B141" s="11" t="s">
        <v>5140</v>
      </c>
      <c r="C141" s="11">
        <v>112</v>
      </c>
      <c r="D141" s="11">
        <v>6119</v>
      </c>
      <c r="E141" s="11">
        <v>20258</v>
      </c>
      <c r="F141" s="11">
        <v>611451</v>
      </c>
      <c r="G141" s="11" cm="1">
        <f t="array" aca="1" ref="G141" ca="1">IFERROR(VLOOKUP("*" &amp; B141  &amp; "*" &amp; (MID(CELL("filename",A140),FIND("]",CELL("filename",A140))+1,31)) &amp; "*",CHOOSE({1,2}, Super_CBSA!$B$2:$B$1917, Super_CBSA!$A$2:$A$1917), 2,FALSE), IFERROR(VLOOKUP(B141  &amp; " city",CHOOSE({1,2}, Super_CBSA!$E$2:$E$1917, Super_CBSA!$A$2:$A$1917), 2,FALSE), ""))</f>
        <v>15180</v>
      </c>
    </row>
    <row r="142" spans="1:7">
      <c r="A142" s="11" t="s">
        <v>5378</v>
      </c>
      <c r="B142" s="11" t="s">
        <v>5140</v>
      </c>
      <c r="C142" s="11">
        <v>412</v>
      </c>
      <c r="D142" s="11">
        <v>17726</v>
      </c>
      <c r="E142" s="11">
        <v>79968</v>
      </c>
      <c r="F142" s="11">
        <v>3126079</v>
      </c>
      <c r="G142" s="11" cm="1">
        <f t="array" aca="1" ref="G142" ca="1">IFERROR(VLOOKUP("*" &amp; B142  &amp; "*" &amp; (MID(CELL("filename",A141),FIND("]",CELL("filename",A141))+1,31)) &amp; "*",CHOOSE({1,2}, Super_CBSA!$B$2:$B$1917, Super_CBSA!$A$2:$A$1917), 2,FALSE), IFERROR(VLOOKUP(B142  &amp; " city",CHOOSE({1,2}, Super_CBSA!$E$2:$E$1917, Super_CBSA!$A$2:$A$1917), 2,FALSE), ""))</f>
        <v>15180</v>
      </c>
    </row>
    <row r="143" spans="1:7">
      <c r="A143" s="11" t="s">
        <v>5380</v>
      </c>
      <c r="B143" s="11" t="s">
        <v>5381</v>
      </c>
      <c r="C143" s="11">
        <v>214</v>
      </c>
      <c r="D143" s="11">
        <v>9006</v>
      </c>
      <c r="E143" s="11">
        <v>46986</v>
      </c>
      <c r="F143" s="11">
        <v>1601290</v>
      </c>
      <c r="G143" s="11" cm="1">
        <f t="array" aca="1" ref="G143" ca="1">IFERROR(VLOOKUP("*" &amp; B143  &amp; "*" &amp; (MID(CELL("filename",A142),FIND("]",CELL("filename",A142))+1,31)) &amp; "*",CHOOSE({1,2}, Super_CBSA!$B$2:$B$1917, Super_CBSA!$A$2:$A$1917), 2,FALSE), IFERROR(VLOOKUP(B143  &amp; " city",CHOOSE({1,2}, Super_CBSA!$E$2:$E$1917, Super_CBSA!$A$2:$A$1917), 2,FALSE), ""))</f>
        <v>15180</v>
      </c>
    </row>
    <row r="144" spans="1:7">
      <c r="A144" s="11" t="s">
        <v>5382</v>
      </c>
      <c r="B144" s="11" t="s">
        <v>5381</v>
      </c>
      <c r="C144" s="11">
        <v>243</v>
      </c>
      <c r="D144" s="11">
        <v>9346</v>
      </c>
      <c r="E144" s="11">
        <v>40851</v>
      </c>
      <c r="F144" s="11">
        <v>1556383</v>
      </c>
      <c r="G144" s="11" cm="1">
        <f t="array" aca="1" ref="G144" ca="1">IFERROR(VLOOKUP("*" &amp; B144  &amp; "*" &amp; (MID(CELL("filename",A143),FIND("]",CELL("filename",A143))+1,31)) &amp; "*",CHOOSE({1,2}, Super_CBSA!$B$2:$B$1917, Super_CBSA!$A$2:$A$1917), 2,FALSE), IFERROR(VLOOKUP(B144  &amp; " city",CHOOSE({1,2}, Super_CBSA!$E$2:$E$1917, Super_CBSA!$A$2:$A$1917), 2,FALSE), ""))</f>
        <v>15180</v>
      </c>
    </row>
    <row r="145" spans="1:7">
      <c r="A145" s="11" t="s">
        <v>4957</v>
      </c>
      <c r="B145" s="11" t="s">
        <v>4958</v>
      </c>
      <c r="C145" s="11">
        <v>405</v>
      </c>
      <c r="D145" s="11">
        <v>14360</v>
      </c>
      <c r="E145" s="11">
        <v>64819</v>
      </c>
      <c r="F145" s="11">
        <v>1905032</v>
      </c>
      <c r="G145" s="11" cm="1">
        <f t="array" aca="1" ref="G145" ca="1">IFERROR(VLOOKUP("*" &amp; B145  &amp; "*" &amp; (MID(CELL("filename",A144),FIND("]",CELL("filename",A144))+1,31)) &amp; "*",CHOOSE({1,2}, Super_CBSA!$B$2:$B$1917, Super_CBSA!$A$2:$A$1917), 2,FALSE), IFERROR(VLOOKUP(B145  &amp; " city",CHOOSE({1,2}, Super_CBSA!$E$2:$E$1917, Super_CBSA!$A$2:$A$1917), 2,FALSE), ""))</f>
        <v>13140</v>
      </c>
    </row>
    <row r="146" spans="1:7">
      <c r="A146" s="11" t="s">
        <v>5069</v>
      </c>
      <c r="B146" s="11" t="s">
        <v>4958</v>
      </c>
      <c r="C146" s="11">
        <v>370</v>
      </c>
      <c r="D146" s="11">
        <v>16212</v>
      </c>
      <c r="E146" s="11">
        <v>69313</v>
      </c>
      <c r="F146" s="11">
        <v>1777356</v>
      </c>
      <c r="G146" s="11" cm="1">
        <f t="array" aca="1" ref="G146" ca="1">IFERROR(VLOOKUP("*" &amp; B146  &amp; "*" &amp; (MID(CELL("filename",A145),FIND("]",CELL("filename",A145))+1,31)) &amp; "*",CHOOSE({1,2}, Super_CBSA!$B$2:$B$1917, Super_CBSA!$A$2:$A$1917), 2,FALSE), IFERROR(VLOOKUP(B146  &amp; " city",CHOOSE({1,2}, Super_CBSA!$E$2:$E$1917, Super_CBSA!$A$2:$A$1917), 2,FALSE), ""))</f>
        <v>13140</v>
      </c>
    </row>
    <row r="147" spans="1:7">
      <c r="A147" s="11" t="s">
        <v>5353</v>
      </c>
      <c r="B147" s="11" t="s">
        <v>5354</v>
      </c>
      <c r="C147" s="11">
        <v>216</v>
      </c>
      <c r="D147" s="11">
        <v>7687</v>
      </c>
      <c r="E147" s="11">
        <v>33668</v>
      </c>
      <c r="F147" s="11">
        <v>1046463</v>
      </c>
      <c r="G147" s="11" cm="1">
        <f t="array" aca="1" ref="G147" ca="1">IFERROR(VLOOKUP("*" &amp; B147  &amp; "*" &amp; (MID(CELL("filename",A146),FIND("]",CELL("filename",A146))+1,31)) &amp; "*",CHOOSE({1,2}, Super_CBSA!$B$2:$B$1917, Super_CBSA!$A$2:$A$1917), 2,FALSE), IFERROR(VLOOKUP(B147  &amp; " city",CHOOSE({1,2}, Super_CBSA!$E$2:$E$1917, Super_CBSA!$A$2:$A$1917), 2,FALSE), ""))</f>
        <v>13140</v>
      </c>
    </row>
    <row r="148" spans="1:7">
      <c r="A148" s="11" t="s">
        <v>5098</v>
      </c>
      <c r="B148" s="11" t="s">
        <v>5099</v>
      </c>
      <c r="C148" s="11">
        <v>380</v>
      </c>
      <c r="D148" s="11">
        <v>18102</v>
      </c>
      <c r="E148" s="11">
        <v>99720</v>
      </c>
      <c r="F148" s="11">
        <v>3974597</v>
      </c>
      <c r="G148" s="11" cm="1">
        <f t="array" aca="1" ref="G148" ca="1">IFERROR(VLOOKUP("*" &amp; B148  &amp; "*" &amp; (MID(CELL("filename",A147),FIND("]",CELL("filename",A147))+1,31)) &amp; "*",CHOOSE({1,2}, Super_CBSA!$B$2:$B$1917, Super_CBSA!$A$2:$A$1917), 2,FALSE), IFERROR(VLOOKUP(B148  &amp; " city",CHOOSE({1,2}, Super_CBSA!$E$2:$E$1917, Super_CBSA!$A$2:$A$1917), 2,FALSE), ""))</f>
        <v>31180</v>
      </c>
    </row>
    <row r="149" spans="1:7">
      <c r="A149" s="11" t="s">
        <v>2646</v>
      </c>
      <c r="B149" s="11" t="s">
        <v>5099</v>
      </c>
      <c r="C149" s="11">
        <v>92</v>
      </c>
      <c r="D149" s="11">
        <v>1064</v>
      </c>
      <c r="E149" s="11">
        <v>2804</v>
      </c>
      <c r="F149" s="11">
        <v>302705</v>
      </c>
      <c r="G149" s="11" cm="1">
        <f t="array" aca="1" ref="G149" ca="1">IFERROR(VLOOKUP("*" &amp; B149  &amp; "*" &amp; (MID(CELL("filename",A148),FIND("]",CELL("filename",A148))+1,31)) &amp; "*",CHOOSE({1,2}, Super_CBSA!$B$2:$B$1917, Super_CBSA!$A$2:$A$1917), 2,FALSE), IFERROR(VLOOKUP(B149  &amp; " city",CHOOSE({1,2}, Super_CBSA!$E$2:$E$1917, Super_CBSA!$A$2:$A$1917), 2,FALSE), ""))</f>
        <v>31180</v>
      </c>
    </row>
    <row r="150" spans="1:7">
      <c r="A150" s="11" t="s">
        <v>5188</v>
      </c>
      <c r="B150" s="11" t="s">
        <v>5099</v>
      </c>
      <c r="C150" s="11">
        <v>73</v>
      </c>
      <c r="D150" s="11">
        <v>2595</v>
      </c>
      <c r="E150" s="11">
        <v>8801</v>
      </c>
      <c r="F150" s="11">
        <v>308336</v>
      </c>
      <c r="G150" s="11" cm="1">
        <f t="array" aca="1" ref="G150" ca="1">IFERROR(VLOOKUP("*" &amp; B150  &amp; "*" &amp; (MID(CELL("filename",A149),FIND("]",CELL("filename",A149))+1,31)) &amp; "*",CHOOSE({1,2}, Super_CBSA!$B$2:$B$1917, Super_CBSA!$A$2:$A$1917), 2,FALSE), IFERROR(VLOOKUP(B150  &amp; " city",CHOOSE({1,2}, Super_CBSA!$E$2:$E$1917, Super_CBSA!$A$2:$A$1917), 2,FALSE), ""))</f>
        <v>31180</v>
      </c>
    </row>
    <row r="151" spans="1:7">
      <c r="A151" s="11" t="s">
        <v>3694</v>
      </c>
      <c r="B151" s="11" t="s">
        <v>5099</v>
      </c>
      <c r="C151" s="11">
        <v>476</v>
      </c>
      <c r="D151" s="11">
        <v>20784</v>
      </c>
      <c r="E151" s="11">
        <v>120762</v>
      </c>
      <c r="F151" s="11">
        <v>2752249</v>
      </c>
      <c r="G151" s="11" cm="1">
        <f t="array" aca="1" ref="G151" ca="1">IFERROR(VLOOKUP("*" &amp; B151  &amp; "*" &amp; (MID(CELL("filename",A150),FIND("]",CELL("filename",A150))+1,31)) &amp; "*",CHOOSE({1,2}, Super_CBSA!$B$2:$B$1917, Super_CBSA!$A$2:$A$1917), 2,FALSE), IFERROR(VLOOKUP(B151  &amp; " city",CHOOSE({1,2}, Super_CBSA!$E$2:$E$1917, Super_CBSA!$A$2:$A$1917), 2,FALSE), ""))</f>
        <v>31180</v>
      </c>
    </row>
    <row r="152" spans="1:7">
      <c r="A152" s="11" t="s">
        <v>5110</v>
      </c>
      <c r="B152" s="11" t="s">
        <v>5111</v>
      </c>
      <c r="C152" s="11">
        <v>183</v>
      </c>
      <c r="D152" s="11">
        <v>7894</v>
      </c>
      <c r="E152" s="11">
        <v>39690</v>
      </c>
      <c r="F152" s="11">
        <v>1194099</v>
      </c>
      <c r="G152" s="11" cm="1">
        <f t="array" aca="1" ref="G152" ca="1">IFERROR(VLOOKUP("*" &amp; B152  &amp; "*" &amp; (MID(CELL("filename",A151),FIND("]",CELL("filename",A151))+1,31)) &amp; "*",CHOOSE({1,2}, Super_CBSA!$B$2:$B$1917, Super_CBSA!$A$2:$A$1917), 2,FALSE), IFERROR(VLOOKUP(B152  &amp; " city",CHOOSE({1,2}, Super_CBSA!$E$2:$E$1917, Super_CBSA!$A$2:$A$1917), 2,FALSE), ""))</f>
        <v>29700</v>
      </c>
    </row>
    <row r="153" spans="1:7">
      <c r="A153" s="11" t="s">
        <v>5184</v>
      </c>
      <c r="B153" s="11" t="s">
        <v>5111</v>
      </c>
      <c r="C153" s="11">
        <v>312</v>
      </c>
      <c r="D153" s="11">
        <v>13264</v>
      </c>
      <c r="E153" s="11">
        <v>74529</v>
      </c>
      <c r="F153" s="11">
        <v>2237767</v>
      </c>
      <c r="G153" s="11" cm="1">
        <f t="array" aca="1" ref="G153" ca="1">IFERROR(VLOOKUP("*" &amp; B153  &amp; "*" &amp; (MID(CELL("filename",A152),FIND("]",CELL("filename",A152))+1,31)) &amp; "*",CHOOSE({1,2}, Super_CBSA!$B$2:$B$1917, Super_CBSA!$A$2:$A$1917), 2,FALSE), IFERROR(VLOOKUP(B153  &amp; " city",CHOOSE({1,2}, Super_CBSA!$E$2:$E$1917, Super_CBSA!$A$2:$A$1917), 2,FALSE), ""))</f>
        <v>29700</v>
      </c>
    </row>
    <row r="154" spans="1:7">
      <c r="A154" s="11" t="s">
        <v>5029</v>
      </c>
      <c r="B154" s="11" t="s">
        <v>5030</v>
      </c>
      <c r="C154" s="11">
        <v>378</v>
      </c>
      <c r="D154" s="11">
        <v>19290</v>
      </c>
      <c r="E154" s="11">
        <v>84693</v>
      </c>
      <c r="F154" s="11">
        <v>1770705</v>
      </c>
      <c r="G154" s="11" cm="1">
        <f t="array" aca="1" ref="G154" ca="1">IFERROR(VLOOKUP("*" &amp; B154  &amp; "*" &amp; (MID(CELL("filename",A153),FIND("]",CELL("filename",A153))+1,31)) &amp; "*",CHOOSE({1,2}, Super_CBSA!$B$2:$B$1917, Super_CBSA!$A$2:$A$1917), 2,FALSE), IFERROR(VLOOKUP(B154  &amp; " city",CHOOSE({1,2}, Super_CBSA!$E$2:$E$1917, Super_CBSA!$A$2:$A$1917), 2,FALSE), ""))</f>
        <v>11100</v>
      </c>
    </row>
    <row r="155" spans="1:7">
      <c r="A155" s="11" t="s">
        <v>5265</v>
      </c>
      <c r="B155" s="11" t="s">
        <v>5030</v>
      </c>
      <c r="C155" s="11">
        <v>444</v>
      </c>
      <c r="D155" s="11">
        <v>15488</v>
      </c>
      <c r="E155" s="11">
        <v>71290</v>
      </c>
      <c r="F155" s="11">
        <v>1780402</v>
      </c>
      <c r="G155" s="11" cm="1">
        <f t="array" aca="1" ref="G155" ca="1">IFERROR(VLOOKUP("*" &amp; B155  &amp; "*" &amp; (MID(CELL("filename",A154),FIND("]",CELL("filename",A154))+1,31)) &amp; "*",CHOOSE({1,2}, Super_CBSA!$B$2:$B$1917, Super_CBSA!$A$2:$A$1917), 2,FALSE), IFERROR(VLOOKUP(B155  &amp; " city",CHOOSE({1,2}, Super_CBSA!$E$2:$E$1917, Super_CBSA!$A$2:$A$1917), 2,FALSE), ""))</f>
        <v>11100</v>
      </c>
    </row>
    <row r="156" spans="1:7">
      <c r="A156" s="11" t="s">
        <v>5266</v>
      </c>
      <c r="B156" s="11" t="s">
        <v>5030</v>
      </c>
      <c r="C156" s="11">
        <v>4</v>
      </c>
      <c r="D156" s="11">
        <v>175</v>
      </c>
      <c r="E156" s="11">
        <v>248</v>
      </c>
      <c r="F156" s="11">
        <v>32490</v>
      </c>
      <c r="G156" s="11" cm="1">
        <f t="array" aca="1" ref="G156" ca="1">IFERROR(VLOOKUP("*" &amp; B156  &amp; "*" &amp; (MID(CELL("filename",A155),FIND("]",CELL("filename",A155))+1,31)) &amp; "*",CHOOSE({1,2}, Super_CBSA!$B$2:$B$1917, Super_CBSA!$A$2:$A$1917), 2,FALSE), IFERROR(VLOOKUP(B156  &amp; " city",CHOOSE({1,2}, Super_CBSA!$E$2:$E$1917, Super_CBSA!$A$2:$A$1917), 2,FALSE), ""))</f>
        <v>11100</v>
      </c>
    </row>
    <row r="157" spans="1:7">
      <c r="A157" s="11" t="s">
        <v>5275</v>
      </c>
      <c r="B157" s="11" t="s">
        <v>5030</v>
      </c>
      <c r="C157" s="11">
        <v>0</v>
      </c>
      <c r="D157" s="11">
        <v>0</v>
      </c>
      <c r="E157" s="11">
        <v>0</v>
      </c>
      <c r="F157" s="11">
        <v>0</v>
      </c>
      <c r="G157" s="11" cm="1">
        <f t="array" aca="1" ref="G157" ca="1">IFERROR(VLOOKUP("*" &amp; B157  &amp; "*" &amp; (MID(CELL("filename",A156),FIND("]",CELL("filename",A156))+1,31)) &amp; "*",CHOOSE({1,2}, Super_CBSA!$B$2:$B$1917, Super_CBSA!$A$2:$A$1917), 2,FALSE), IFERROR(VLOOKUP(B157  &amp; " city",CHOOSE({1,2}, Super_CBSA!$E$2:$E$1917, Super_CBSA!$A$2:$A$1917), 2,FALSE), ""))</f>
        <v>11100</v>
      </c>
    </row>
    <row r="158" spans="1:7">
      <c r="A158" s="11" t="s">
        <v>5284</v>
      </c>
      <c r="B158" s="11" t="s">
        <v>5030</v>
      </c>
      <c r="C158" s="11">
        <v>32</v>
      </c>
      <c r="D158" s="11">
        <v>2251</v>
      </c>
      <c r="E158" s="11">
        <v>4071</v>
      </c>
      <c r="F158" s="11">
        <v>269914</v>
      </c>
      <c r="G158" s="11" cm="1">
        <f t="array" aca="1" ref="G158" ca="1">IFERROR(VLOOKUP("*" &amp; B158  &amp; "*" &amp; (MID(CELL("filename",A157),FIND("]",CELL("filename",A157))+1,31)) &amp; "*",CHOOSE({1,2}, Super_CBSA!$B$2:$B$1917, Super_CBSA!$A$2:$A$1917), 2,FALSE), IFERROR(VLOOKUP(B158  &amp; " city",CHOOSE({1,2}, Super_CBSA!$E$2:$E$1917, Super_CBSA!$A$2:$A$1917), 2,FALSE), ""))</f>
        <v>11100</v>
      </c>
    </row>
    <row r="159" spans="1:7">
      <c r="A159" s="11" t="s">
        <v>5360</v>
      </c>
      <c r="B159" s="11" t="s">
        <v>5030</v>
      </c>
      <c r="C159" s="11">
        <v>0</v>
      </c>
      <c r="D159" s="11">
        <v>0</v>
      </c>
      <c r="E159" s="11">
        <v>0</v>
      </c>
      <c r="F159" s="11">
        <v>0</v>
      </c>
      <c r="G159" s="11" cm="1">
        <f t="array" aca="1" ref="G159" ca="1">IFERROR(VLOOKUP("*" &amp; B159  &amp; "*" &amp; (MID(CELL("filename",A158),FIND("]",CELL("filename",A158))+1,31)) &amp; "*",CHOOSE({1,2}, Super_CBSA!$B$2:$B$1917, Super_CBSA!$A$2:$A$1917), 2,FALSE), IFERROR(VLOOKUP(B159  &amp; " city",CHOOSE({1,2}, Super_CBSA!$E$2:$E$1917, Super_CBSA!$A$2:$A$1917), 2,FALSE), ""))</f>
        <v>11100</v>
      </c>
    </row>
    <row r="160" spans="1:7">
      <c r="A160" s="11" t="s">
        <v>4936</v>
      </c>
      <c r="B160" s="11" t="s">
        <v>4937</v>
      </c>
      <c r="C160" s="11">
        <v>271</v>
      </c>
      <c r="D160" s="11">
        <v>14985</v>
      </c>
      <c r="E160" s="11">
        <v>62162</v>
      </c>
      <c r="F160" s="11">
        <v>1220282</v>
      </c>
      <c r="G160" s="11" cm="1">
        <f t="array" aca="1" ref="G160" ca="1">IFERROR(VLOOKUP("*" &amp; B160  &amp; "*" &amp; (MID(CELL("filename",A159),FIND("]",CELL("filename",A159))+1,31)) &amp; "*",CHOOSE({1,2}, Super_CBSA!$B$2:$B$1917, Super_CBSA!$A$2:$A$1917), 2,FALSE), IFERROR(VLOOKUP(B160  &amp; " city",CHOOSE({1,2}, Super_CBSA!$E$2:$E$1917, Super_CBSA!$A$2:$A$1917), 2,FALSE), ""))</f>
        <v>47380</v>
      </c>
    </row>
    <row r="161" spans="1:7">
      <c r="A161" s="11" t="s">
        <v>4990</v>
      </c>
      <c r="B161" s="11" t="s">
        <v>4937</v>
      </c>
      <c r="C161" s="11">
        <v>236</v>
      </c>
      <c r="D161" s="11">
        <v>13605</v>
      </c>
      <c r="E161" s="11">
        <v>57683</v>
      </c>
      <c r="F161" s="11">
        <v>1362218</v>
      </c>
      <c r="G161" s="11" cm="1">
        <f t="array" aca="1" ref="G161" ca="1">IFERROR(VLOOKUP("*" &amp; B161  &amp; "*" &amp; (MID(CELL("filename",A160),FIND("]",CELL("filename",A160))+1,31)) &amp; "*",CHOOSE({1,2}, Super_CBSA!$B$2:$B$1917, Super_CBSA!$A$2:$A$1917), 2,FALSE), IFERROR(VLOOKUP(B161  &amp; " city",CHOOSE({1,2}, Super_CBSA!$E$2:$E$1917, Super_CBSA!$A$2:$A$1917), 2,FALSE), ""))</f>
        <v>47380</v>
      </c>
    </row>
    <row r="162" spans="1:7">
      <c r="A162" s="11" t="s">
        <v>4988</v>
      </c>
      <c r="B162" s="11" t="s">
        <v>4989</v>
      </c>
      <c r="C162" s="11">
        <v>119</v>
      </c>
      <c r="D162" s="11">
        <v>8565</v>
      </c>
      <c r="E162" s="11">
        <v>27478</v>
      </c>
      <c r="F162" s="11">
        <v>1072276</v>
      </c>
      <c r="G162" s="11" cm="1">
        <f t="array" aca="1" ref="G162" ca="1">IFERROR(VLOOKUP("*" &amp; B162  &amp; "*" &amp; (MID(CELL("filename",A161),FIND("]",CELL("filename",A161))+1,31)) &amp; "*",CHOOSE({1,2}, Super_CBSA!$B$2:$B$1917, Super_CBSA!$A$2:$A$1917), 2,FALSE), IFERROR(VLOOKUP(B162  &amp; " city",CHOOSE({1,2}, Super_CBSA!$E$2:$E$1917, Super_CBSA!$A$2:$A$1917), 2,FALSE), ""))</f>
        <v>17780</v>
      </c>
    </row>
    <row r="163" spans="1:7">
      <c r="A163" s="11" t="s">
        <v>5042</v>
      </c>
      <c r="B163" s="11" t="s">
        <v>4989</v>
      </c>
      <c r="C163" s="11">
        <v>114</v>
      </c>
      <c r="D163" s="11">
        <v>2394</v>
      </c>
      <c r="E163" s="11">
        <v>8374</v>
      </c>
      <c r="F163" s="11">
        <v>623373</v>
      </c>
      <c r="G163" s="11" cm="1">
        <f t="array" aca="1" ref="G163" ca="1">IFERROR(VLOOKUP("*" &amp; B163  &amp; "*" &amp; (MID(CELL("filename",A162),FIND("]",CELL("filename",A162))+1,31)) &amp; "*",CHOOSE({1,2}, Super_CBSA!$B$2:$B$1917, Super_CBSA!$A$2:$A$1917), 2,FALSE), IFERROR(VLOOKUP(B163  &amp; " city",CHOOSE({1,2}, Super_CBSA!$E$2:$E$1917, Super_CBSA!$A$2:$A$1917), 2,FALSE), ""))</f>
        <v>17780</v>
      </c>
    </row>
    <row r="164" spans="1:7">
      <c r="A164" s="11" t="s">
        <v>5043</v>
      </c>
      <c r="B164" s="11" t="s">
        <v>3988</v>
      </c>
      <c r="C164" s="11">
        <v>209</v>
      </c>
      <c r="D164" s="11">
        <v>13682</v>
      </c>
      <c r="E164" s="11">
        <v>60425</v>
      </c>
      <c r="F164" s="11">
        <v>1835107</v>
      </c>
      <c r="G164" s="11" cm="1">
        <f t="array" aca="1" ref="G164" ca="1">IFERROR(VLOOKUP("*" &amp; B164  &amp; "*" &amp; (MID(CELL("filename",A163),FIND("]",CELL("filename",A163))+1,31)) &amp; "*",CHOOSE({1,2}, Super_CBSA!$B$2:$B$1917, Super_CBSA!$A$2:$A$1917), 2,FALSE), IFERROR(VLOOKUP(B164  &amp; " city",CHOOSE({1,2}, Super_CBSA!$E$2:$E$1917, Super_CBSA!$A$2:$A$1917), 2,FALSE), ""))</f>
        <v>17780</v>
      </c>
    </row>
    <row r="165" spans="1:7">
      <c r="A165" s="11" t="s">
        <v>5355</v>
      </c>
      <c r="B165" s="11" t="s">
        <v>3988</v>
      </c>
      <c r="C165" s="11">
        <v>16</v>
      </c>
      <c r="D165" s="11">
        <v>268</v>
      </c>
      <c r="E165" s="11">
        <v>536</v>
      </c>
      <c r="F165" s="11">
        <v>52398</v>
      </c>
      <c r="G165" s="11" cm="1">
        <f t="array" aca="1" ref="G165" ca="1">IFERROR(VLOOKUP("*" &amp; B165  &amp; "*" &amp; (MID(CELL("filename",A164),FIND("]",CELL("filename",A164))+1,31)) &amp; "*",CHOOSE({1,2}, Super_CBSA!$B$2:$B$1917, Super_CBSA!$A$2:$A$1917), 2,FALSE), IFERROR(VLOOKUP(B165  &amp; " city",CHOOSE({1,2}, Super_CBSA!$E$2:$E$1917, Super_CBSA!$A$2:$A$1917), 2,FALSE), ""))</f>
        <v>17780</v>
      </c>
    </row>
    <row r="166" spans="1:7">
      <c r="A166" s="11" t="s">
        <v>4912</v>
      </c>
      <c r="B166" s="11" t="s">
        <v>4913</v>
      </c>
      <c r="C166" s="11">
        <v>351</v>
      </c>
      <c r="D166" s="11">
        <v>14640</v>
      </c>
      <c r="E166" s="11">
        <v>54600</v>
      </c>
      <c r="F166" s="11">
        <v>1329235</v>
      </c>
      <c r="G166" s="11" cm="1">
        <f t="array" aca="1" ref="G166" ca="1">IFERROR(VLOOKUP("*" &amp; B166  &amp; "*" &amp; (MID(CELL("filename",A165),FIND("]",CELL("filename",A165))+1,31)) &amp; "*",CHOOSE({1,2}, Super_CBSA!$B$2:$B$1917, Super_CBSA!$A$2:$A$1917), 2,FALSE), IFERROR(VLOOKUP(B166  &amp; " city",CHOOSE({1,2}, Super_CBSA!$E$2:$E$1917, Super_CBSA!$A$2:$A$1917), 2,FALSE), ""))</f>
        <v>30980</v>
      </c>
    </row>
    <row r="167" spans="1:7">
      <c r="A167" s="11" t="s">
        <v>5187</v>
      </c>
      <c r="B167" s="11" t="s">
        <v>4913</v>
      </c>
      <c r="C167" s="11">
        <v>224</v>
      </c>
      <c r="D167" s="11">
        <v>11078</v>
      </c>
      <c r="E167" s="11">
        <v>51266</v>
      </c>
      <c r="F167" s="11">
        <v>2328670</v>
      </c>
      <c r="G167" s="11" cm="1">
        <f t="array" aca="1" ref="G167" ca="1">IFERROR(VLOOKUP("*" &amp; B167  &amp; "*" &amp; (MID(CELL("filename",A166),FIND("]",CELL("filename",A166))+1,31)) &amp; "*",CHOOSE({1,2}, Super_CBSA!$B$2:$B$1917, Super_CBSA!$A$2:$A$1917), 2,FALSE), IFERROR(VLOOKUP(B167  &amp; " city",CHOOSE({1,2}, Super_CBSA!$E$2:$E$1917, Super_CBSA!$A$2:$A$1917), 2,FALSE), ""))</f>
        <v>30980</v>
      </c>
    </row>
    <row r="168" spans="1:7">
      <c r="A168" s="11" t="s">
        <v>5014</v>
      </c>
      <c r="B168" s="11" t="s">
        <v>5015</v>
      </c>
      <c r="C168" s="11">
        <v>20</v>
      </c>
      <c r="D168" s="11">
        <v>2144</v>
      </c>
      <c r="E168" s="11">
        <v>5161</v>
      </c>
      <c r="F168" s="11">
        <v>559259</v>
      </c>
      <c r="G168" s="11" cm="1">
        <f t="array" aca="1" ref="G168" ca="1">IFERROR(VLOOKUP("*" &amp; B168  &amp; "*" &amp; (MID(CELL("filename",A167),FIND("]",CELL("filename",A167))+1,31)) &amp; "*",CHOOSE({1,2}, Super_CBSA!$B$2:$B$1917, Super_CBSA!$A$2:$A$1917), 2,FALSE), IFERROR(VLOOKUP(B168  &amp; " city",CHOOSE({1,2}, Super_CBSA!$E$2:$E$1917, Super_CBSA!$A$2:$A$1917), 2,FALSE), ""))</f>
        <v>46340</v>
      </c>
    </row>
    <row r="169" spans="1:7">
      <c r="A169" s="11" t="s">
        <v>5055</v>
      </c>
      <c r="B169" s="11" t="s">
        <v>5015</v>
      </c>
      <c r="C169" s="11">
        <v>0</v>
      </c>
      <c r="D169" s="11">
        <v>0</v>
      </c>
      <c r="E169" s="11">
        <v>0</v>
      </c>
      <c r="F169" s="11">
        <v>0</v>
      </c>
      <c r="G169" s="11" cm="1">
        <f t="array" aca="1" ref="G169" ca="1">IFERROR(VLOOKUP("*" &amp; B169  &amp; "*" &amp; (MID(CELL("filename",A168),FIND("]",CELL("filename",A168))+1,31)) &amp; "*",CHOOSE({1,2}, Super_CBSA!$B$2:$B$1917, Super_CBSA!$A$2:$A$1917), 2,FALSE), IFERROR(VLOOKUP(B169  &amp; " city",CHOOSE({1,2}, Super_CBSA!$E$2:$E$1917, Super_CBSA!$A$2:$A$1917), 2,FALSE), ""))</f>
        <v>46340</v>
      </c>
    </row>
    <row r="170" spans="1:7">
      <c r="A170" s="11" t="s">
        <v>5056</v>
      </c>
      <c r="B170" s="11" t="s">
        <v>5015</v>
      </c>
      <c r="C170" s="11">
        <v>433</v>
      </c>
      <c r="D170" s="11">
        <v>24434</v>
      </c>
      <c r="E170" s="11">
        <v>113896</v>
      </c>
      <c r="F170" s="11">
        <v>4414752</v>
      </c>
      <c r="G170" s="11" cm="1">
        <f t="array" aca="1" ref="G170" ca="1">IFERROR(VLOOKUP("*" &amp; B170  &amp; "*" &amp; (MID(CELL("filename",A169),FIND("]",CELL("filename",A169))+1,31)) &amp; "*",CHOOSE({1,2}, Super_CBSA!$B$2:$B$1917, Super_CBSA!$A$2:$A$1917), 2,FALSE), IFERROR(VLOOKUP(B170  &amp; " city",CHOOSE({1,2}, Super_CBSA!$E$2:$E$1917, Super_CBSA!$A$2:$A$1917), 2,FALSE), ""))</f>
        <v>46340</v>
      </c>
    </row>
    <row r="171" spans="1:7">
      <c r="A171" s="11" t="s">
        <v>5079</v>
      </c>
      <c r="B171" s="11" t="s">
        <v>5015</v>
      </c>
      <c r="C171" s="11">
        <v>0</v>
      </c>
      <c r="D171" s="11">
        <v>0</v>
      </c>
      <c r="E171" s="11">
        <v>0</v>
      </c>
      <c r="F171" s="11">
        <v>0</v>
      </c>
      <c r="G171" s="11" cm="1">
        <f t="array" aca="1" ref="G171" ca="1">IFERROR(VLOOKUP("*" &amp; B171  &amp; "*" &amp; (MID(CELL("filename",A170),FIND("]",CELL("filename",A170))+1,31)) &amp; "*",CHOOSE({1,2}, Super_CBSA!$B$2:$B$1917, Super_CBSA!$A$2:$A$1917), 2,FALSE), IFERROR(VLOOKUP(B171  &amp; " city",CHOOSE({1,2}, Super_CBSA!$E$2:$E$1917, Super_CBSA!$A$2:$A$1917), 2,FALSE), ""))</f>
        <v>46340</v>
      </c>
    </row>
    <row r="172" spans="1:7">
      <c r="A172" s="11" t="s">
        <v>5374</v>
      </c>
      <c r="B172" s="11" t="s">
        <v>5015</v>
      </c>
      <c r="C172" s="11">
        <v>130</v>
      </c>
      <c r="D172" s="11">
        <v>637</v>
      </c>
      <c r="E172" s="11">
        <v>2634</v>
      </c>
      <c r="F172" s="11">
        <v>244106</v>
      </c>
      <c r="G172" s="11" cm="1">
        <f t="array" aca="1" ref="G172" ca="1">IFERROR(VLOOKUP("*" &amp; B172  &amp; "*" &amp; (MID(CELL("filename",A171),FIND("]",CELL("filename",A171))+1,31)) &amp; "*",CHOOSE({1,2}, Super_CBSA!$B$2:$B$1917, Super_CBSA!$A$2:$A$1917), 2,FALSE), IFERROR(VLOOKUP(B172  &amp; " city",CHOOSE({1,2}, Super_CBSA!$E$2:$E$1917, Super_CBSA!$A$2:$A$1917), 2,FALSE), ""))</f>
        <v>46340</v>
      </c>
    </row>
    <row r="173" spans="1:7">
      <c r="A173" s="11" t="s">
        <v>5375</v>
      </c>
      <c r="B173" s="11" t="s">
        <v>5015</v>
      </c>
      <c r="C173" s="11">
        <v>339</v>
      </c>
      <c r="D173" s="11">
        <v>22114</v>
      </c>
      <c r="E173" s="11">
        <v>112935</v>
      </c>
      <c r="F173" s="11">
        <v>2972300</v>
      </c>
      <c r="G173" s="11" cm="1">
        <f t="array" aca="1" ref="G173" ca="1">IFERROR(VLOOKUP("*" &amp; B173  &amp; "*" &amp; (MID(CELL("filename",A172),FIND("]",CELL("filename",A172))+1,31)) &amp; "*",CHOOSE({1,2}, Super_CBSA!$B$2:$B$1917, Super_CBSA!$A$2:$A$1917), 2,FALSE), IFERROR(VLOOKUP(B173  &amp; " city",CHOOSE({1,2}, Super_CBSA!$E$2:$E$1917, Super_CBSA!$A$2:$A$1917), 2,FALSE), ""))</f>
        <v>46340</v>
      </c>
    </row>
    <row r="174" spans="1:7">
      <c r="A174" s="11" t="s">
        <v>4925</v>
      </c>
      <c r="B174" s="11" t="s">
        <v>4926</v>
      </c>
      <c r="C174" s="11">
        <v>196</v>
      </c>
      <c r="D174" s="11">
        <v>5844</v>
      </c>
      <c r="E174" s="11">
        <v>23960</v>
      </c>
      <c r="F174" s="11">
        <v>994814</v>
      </c>
      <c r="G174" s="11" cm="1">
        <f t="array" aca="1" ref="G174" ca="1">IFERROR(VLOOKUP("*" &amp; B174  &amp; "*" &amp; (MID(CELL("filename",A173),FIND("]",CELL("filename",A173))+1,31)) &amp; "*",CHOOSE({1,2}, Super_CBSA!$B$2:$B$1917, Super_CBSA!$A$2:$A$1917), 2,FALSE), IFERROR(VLOOKUP(B174  &amp; " city",CHOOSE({1,2}, Super_CBSA!$E$2:$E$1917, Super_CBSA!$A$2:$A$1917), 2,FALSE), ""))</f>
        <v>10180</v>
      </c>
    </row>
    <row r="175" spans="1:7">
      <c r="A175" s="11" t="s">
        <v>5157</v>
      </c>
      <c r="B175" s="11" t="s">
        <v>4926</v>
      </c>
      <c r="C175" s="11">
        <v>386</v>
      </c>
      <c r="D175" s="11">
        <v>16533</v>
      </c>
      <c r="E175" s="11">
        <v>85196</v>
      </c>
      <c r="F175" s="11">
        <v>2541064</v>
      </c>
      <c r="G175" s="11" cm="1">
        <f t="array" aca="1" ref="G175" ca="1">IFERROR(VLOOKUP("*" &amp; B175  &amp; "*" &amp; (MID(CELL("filename",A174),FIND("]",CELL("filename",A174))+1,31)) &amp; "*",CHOOSE({1,2}, Super_CBSA!$B$2:$B$1917, Super_CBSA!$A$2:$A$1917), 2,FALSE), IFERROR(VLOOKUP(B175  &amp; " city",CHOOSE({1,2}, Super_CBSA!$E$2:$E$1917, Super_CBSA!$A$2:$A$1917), 2,FALSE), ""))</f>
        <v>10180</v>
      </c>
    </row>
    <row r="176" spans="1:7">
      <c r="A176" s="11" t="s">
        <v>5248</v>
      </c>
      <c r="B176" s="11" t="s">
        <v>2851</v>
      </c>
      <c r="C176" s="11">
        <v>226</v>
      </c>
      <c r="D176" s="11">
        <v>10400</v>
      </c>
      <c r="E176" s="11">
        <v>53780</v>
      </c>
      <c r="F176" s="11">
        <v>1125936</v>
      </c>
      <c r="G176" s="11" cm="1">
        <f t="array" aca="1" ref="G176" ca="1">IFERROR(VLOOKUP("*" &amp; B176  &amp; "*" &amp; (MID(CELL("filename",A175),FIND("]",CELL("filename",A175))+1,31)) &amp; "*",CHOOSE({1,2}, Super_CBSA!$B$2:$B$1917, Super_CBSA!$A$2:$A$1917), 2,FALSE), IFERROR(VLOOKUP(B176  &amp; " city",CHOOSE({1,2}, Super_CBSA!$E$2:$E$1917, Super_CBSA!$A$2:$A$1917), 2,FALSE), ""))</f>
        <v>33260</v>
      </c>
    </row>
    <row r="177" spans="1:7">
      <c r="A177" s="11" t="s">
        <v>5174</v>
      </c>
      <c r="B177" s="11" t="s">
        <v>5175</v>
      </c>
      <c r="C177" s="11">
        <v>41</v>
      </c>
      <c r="D177" s="11">
        <v>1169</v>
      </c>
      <c r="E177" s="11">
        <v>3371</v>
      </c>
      <c r="F177" s="11">
        <v>99844</v>
      </c>
      <c r="G177" s="11" cm="1">
        <f t="array" aca="1" ref="G177" ca="1">IFERROR(VLOOKUP("*" &amp; B177  &amp; "*" &amp; (MID(CELL("filename",A176),FIND("]",CELL("filename",A176))+1,31)) &amp; "*",CHOOSE({1,2}, Super_CBSA!$B$2:$B$1917, Super_CBSA!$A$2:$A$1917), 2,FALSE), IFERROR(VLOOKUP(B177  &amp; " city",CHOOSE({1,2}, Super_CBSA!$E$2:$E$1917, Super_CBSA!$A$2:$A$1917), 2,FALSE), ""))</f>
        <v>48660</v>
      </c>
    </row>
    <row r="178" spans="1:7">
      <c r="A178" s="11" t="s">
        <v>5366</v>
      </c>
      <c r="B178" s="11" t="s">
        <v>5175</v>
      </c>
      <c r="C178" s="11">
        <v>250</v>
      </c>
      <c r="D178" s="11">
        <v>14853</v>
      </c>
      <c r="E178" s="11">
        <v>64220</v>
      </c>
      <c r="F178" s="11">
        <v>1095543</v>
      </c>
      <c r="G178" s="11" cm="1">
        <f t="array" aca="1" ref="G178" ca="1">IFERROR(VLOOKUP("*" &amp; B178  &amp; "*" &amp; (MID(CELL("filename",A177),FIND("]",CELL("filename",A177))+1,31)) &amp; "*",CHOOSE({1,2}, Super_CBSA!$B$2:$B$1917, Super_CBSA!$A$2:$A$1917), 2,FALSE), IFERROR(VLOOKUP(B178  &amp; " city",CHOOSE({1,2}, Super_CBSA!$E$2:$E$1917, Super_CBSA!$A$2:$A$1917), 2,FALSE), ""))</f>
        <v>48660</v>
      </c>
    </row>
    <row r="179" spans="1:7">
      <c r="A179" s="11" t="s">
        <v>5059</v>
      </c>
      <c r="B179" s="11" t="s">
        <v>5060</v>
      </c>
      <c r="C179" s="11">
        <v>354</v>
      </c>
      <c r="D179" s="11">
        <v>14351</v>
      </c>
      <c r="E179" s="11">
        <v>62657</v>
      </c>
      <c r="F179" s="11">
        <v>1641826</v>
      </c>
      <c r="G179" s="11" cm="1">
        <f t="array" aca="1" ref="G179" ca="1">IFERROR(VLOOKUP("*" &amp; B179  &amp; "*" &amp; (MID(CELL("filename",A178),FIND("]",CELL("filename",A178))+1,31)) &amp; "*",CHOOSE({1,2}, Super_CBSA!$B$2:$B$1917, Super_CBSA!$A$2:$A$1917), 2,FALSE), IFERROR(VLOOKUP(B179  &amp; " city",CHOOSE({1,2}, Super_CBSA!$E$2:$E$1917, Super_CBSA!$A$2:$A$1917), 2,FALSE), ""))</f>
        <v>45500</v>
      </c>
    </row>
    <row r="180" spans="1:7">
      <c r="A180" s="11" t="s">
        <v>5383</v>
      </c>
      <c r="B180" s="11" t="s">
        <v>5060</v>
      </c>
      <c r="C180" s="11">
        <v>199</v>
      </c>
      <c r="D180" s="11">
        <v>6086</v>
      </c>
      <c r="E180" s="11">
        <v>29094</v>
      </c>
      <c r="F180" s="11">
        <v>590756</v>
      </c>
      <c r="G180" s="11" cm="1">
        <f t="array" aca="1" ref="G180" ca="1">IFERROR(VLOOKUP("*" &amp; B180  &amp; "*" &amp; (MID(CELL("filename",A179),FIND("]",CELL("filename",A179))+1,31)) &amp; "*",CHOOSE({1,2}, Super_CBSA!$B$2:$B$1917, Super_CBSA!$A$2:$A$1917), 2,FALSE), IFERROR(VLOOKUP(B180  &amp; " city",CHOOSE({1,2}, Super_CBSA!$E$2:$E$1917, Super_CBSA!$A$2:$A$1917), 2,FALSE), ""))</f>
        <v>45500</v>
      </c>
    </row>
    <row r="181" spans="1:7">
      <c r="A181" s="11" t="s">
        <v>5196</v>
      </c>
      <c r="B181" s="11" t="s">
        <v>5197</v>
      </c>
      <c r="C181" s="11">
        <v>353</v>
      </c>
      <c r="D181" s="11">
        <v>14115</v>
      </c>
      <c r="E181" s="11">
        <v>72268</v>
      </c>
      <c r="F181" s="11">
        <v>1199828</v>
      </c>
      <c r="G181" s="11" cm="1">
        <f t="array" aca="1" ref="G181" ca="1">IFERROR(VLOOKUP("*" &amp; B181  &amp; "*" &amp; (MID(CELL("filename",A180),FIND("]",CELL("filename",A180))+1,31)) &amp; "*",CHOOSE({1,2}, Super_CBSA!$B$2:$B$1917, Super_CBSA!$A$2:$A$1917), 2,FALSE), IFERROR(VLOOKUP(B181  &amp; " city",CHOOSE({1,2}, Super_CBSA!$E$2:$E$1917, Super_CBSA!$A$2:$A$1917), 2,FALSE), ""))</f>
        <v>36220</v>
      </c>
    </row>
    <row r="182" spans="1:7">
      <c r="A182" s="11" t="s">
        <v>5268</v>
      </c>
      <c r="B182" s="11" t="s">
        <v>5197</v>
      </c>
      <c r="C182" s="11">
        <v>206</v>
      </c>
      <c r="D182" s="11">
        <v>6189</v>
      </c>
      <c r="E182" s="11">
        <v>30736</v>
      </c>
      <c r="F182" s="11">
        <v>749812</v>
      </c>
      <c r="G182" s="11" cm="1">
        <f t="array" aca="1" ref="G182" ca="1">IFERROR(VLOOKUP("*" &amp; B182  &amp; "*" &amp; (MID(CELL("filename",A181),FIND("]",CELL("filename",A181))+1,31)) &amp; "*",CHOOSE({1,2}, Super_CBSA!$B$2:$B$1917, Super_CBSA!$A$2:$A$1917), 2,FALSE), IFERROR(VLOOKUP(B182  &amp; " city",CHOOSE({1,2}, Super_CBSA!$E$2:$E$1917, Super_CBSA!$A$2:$A$1917), 2,FALSE), ""))</f>
        <v>36220</v>
      </c>
    </row>
    <row r="183" spans="1:7">
      <c r="A183" s="11" t="s">
        <v>5011</v>
      </c>
      <c r="B183" s="11" t="s">
        <v>5012</v>
      </c>
      <c r="C183" s="11">
        <v>12</v>
      </c>
      <c r="D183" s="11">
        <v>492</v>
      </c>
      <c r="E183" s="11">
        <v>1141</v>
      </c>
      <c r="F183" s="11">
        <v>216072</v>
      </c>
      <c r="G183" s="11" cm="1">
        <f t="array" aca="1" ref="G183" ca="1">IFERROR(VLOOKUP("*" &amp; B183  &amp; "*" &amp; (MID(CELL("filename",A182),FIND("]",CELL("filename",A182))+1,31)) &amp; "*",CHOOSE({1,2}, Super_CBSA!$B$2:$B$1917, Super_CBSA!$A$2:$A$1917), 2,FALSE), IFERROR(VLOOKUP(B183  &amp; " city",CHOOSE({1,2}, Super_CBSA!$E$2:$E$1917, Super_CBSA!$A$2:$A$1917), 2,FALSE), ""))</f>
        <v>43300</v>
      </c>
    </row>
    <row r="184" spans="1:7">
      <c r="A184" s="11" t="s">
        <v>5343</v>
      </c>
      <c r="B184" s="11" t="s">
        <v>5344</v>
      </c>
      <c r="C184" s="11">
        <v>378</v>
      </c>
      <c r="D184" s="11">
        <v>19430</v>
      </c>
      <c r="E184" s="11">
        <v>89322</v>
      </c>
      <c r="F184" s="11">
        <v>1820150</v>
      </c>
      <c r="G184" s="11" cm="1">
        <f t="array" aca="1" ref="G184" ca="1">IFERROR(VLOOKUP("*" &amp; B184  &amp; "*" &amp; (MID(CELL("filename",A183),FIND("]",CELL("filename",A183))+1,31)) &amp; "*",CHOOSE({1,2}, Super_CBSA!$B$2:$B$1917, Super_CBSA!$A$2:$A$1917), 2,FALSE), IFERROR(VLOOKUP(B184  &amp; " city",CHOOSE({1,2}, Super_CBSA!$E$2:$E$1917, Super_CBSA!$A$2:$A$1917), 2,FALSE), ""))</f>
        <v>43300</v>
      </c>
    </row>
    <row r="185" spans="1:7">
      <c r="A185" s="11" t="s">
        <v>5388</v>
      </c>
      <c r="B185" s="11" t="s">
        <v>5012</v>
      </c>
      <c r="C185" s="11">
        <v>226</v>
      </c>
      <c r="D185" s="11">
        <v>4958</v>
      </c>
      <c r="E185" s="11">
        <v>21648</v>
      </c>
      <c r="F185" s="11">
        <v>386119</v>
      </c>
      <c r="G185" s="11" cm="1">
        <f t="array" aca="1" ref="G185" ca="1">IFERROR(VLOOKUP("*" &amp; B185  &amp; "*" &amp; (MID(CELL("filename",A184),FIND("]",CELL("filename",A184))+1,31)) &amp; "*",CHOOSE({1,2}, Super_CBSA!$B$2:$B$1917, Super_CBSA!$A$2:$A$1917), 2,FALSE), IFERROR(VLOOKUP(B185  &amp; " city",CHOOSE({1,2}, Super_CBSA!$E$2:$E$1917, Super_CBSA!$A$2:$A$1917), 2,FALSE), ""))</f>
        <v>43300</v>
      </c>
    </row>
    <row r="186" spans="1:7">
      <c r="A186" s="11" t="s">
        <v>5298</v>
      </c>
      <c r="B186" s="11" t="s">
        <v>5299</v>
      </c>
      <c r="C186" s="11">
        <v>131</v>
      </c>
      <c r="D186" s="11">
        <v>3820</v>
      </c>
      <c r="E186" s="11">
        <v>15861</v>
      </c>
      <c r="F186" s="11">
        <v>832471</v>
      </c>
      <c r="G186" s="11" cm="1">
        <f t="array" aca="1" ref="G186" ca="1">IFERROR(VLOOKUP("*" &amp; B186  &amp; "*" &amp; (MID(CELL("filename",A185),FIND("]",CELL("filename",A185))+1,31)) &amp; "*",CHOOSE({1,2}, Super_CBSA!$B$2:$B$1917, Super_CBSA!$A$2:$A$1917), 2,FALSE), IFERROR(VLOOKUP(B186  &amp; " city",CHOOSE({1,2}, Super_CBSA!$E$2:$E$1917, Super_CBSA!$A$2:$A$1917), 2,FALSE), ""))</f>
        <v>41660</v>
      </c>
    </row>
    <row r="187" spans="1:7">
      <c r="A187" s="11" t="s">
        <v>5305</v>
      </c>
      <c r="B187" s="11" t="s">
        <v>5299</v>
      </c>
      <c r="C187" s="11">
        <v>409</v>
      </c>
      <c r="D187" s="11">
        <v>14200</v>
      </c>
      <c r="E187" s="11">
        <v>67500</v>
      </c>
      <c r="F187" s="11">
        <v>1383471</v>
      </c>
      <c r="G187" s="11" cm="1">
        <f t="array" aca="1" ref="G187" ca="1">IFERROR(VLOOKUP("*" &amp; B187  &amp; "*" &amp; (MID(CELL("filename",A186),FIND("]",CELL("filename",A186))+1,31)) &amp; "*",CHOOSE({1,2}, Super_CBSA!$B$2:$B$1917, Super_CBSA!$A$2:$A$1917), 2,FALSE), IFERROR(VLOOKUP(B187  &amp; " city",CHOOSE({1,2}, Super_CBSA!$E$2:$E$1917, Super_CBSA!$A$2:$A$1917), 2,FALSE), ""))</f>
        <v>41660</v>
      </c>
    </row>
    <row r="188" spans="1:7">
      <c r="A188" s="11" t="s">
        <v>2391</v>
      </c>
      <c r="B188" s="11" t="s">
        <v>5080</v>
      </c>
      <c r="C188" s="11">
        <v>327</v>
      </c>
      <c r="D188" s="11">
        <v>5570</v>
      </c>
      <c r="E188" s="11">
        <v>27465</v>
      </c>
      <c r="F188" s="11">
        <v>600245</v>
      </c>
      <c r="G188" s="11" cm="1">
        <f t="array" aca="1" ref="G188" ca="1">IFERROR(VLOOKUP("*" &amp; B188  &amp; "*" &amp; (MID(CELL("filename",A187),FIND("]",CELL("filename",A187))+1,31)) &amp; "*",CHOOSE({1,2}, Super_CBSA!$B$2:$B$1917, Super_CBSA!$A$2:$A$1917), 2,FALSE), IFERROR(VLOOKUP(B188  &amp; " city",CHOOSE({1,2}, Super_CBSA!$E$2:$E$1917, Super_CBSA!$A$2:$A$1917), 2,FALSE), ""))</f>
        <v>47020</v>
      </c>
    </row>
    <row r="189" spans="1:7">
      <c r="A189" s="11" t="s">
        <v>5107</v>
      </c>
      <c r="B189" s="11" t="s">
        <v>5080</v>
      </c>
      <c r="C189" s="11">
        <v>218</v>
      </c>
      <c r="D189" s="11">
        <v>8017</v>
      </c>
      <c r="E189" s="11">
        <v>34522</v>
      </c>
      <c r="F189" s="11">
        <v>1769295</v>
      </c>
      <c r="G189" s="11" cm="1">
        <f t="array" aca="1" ref="G189" ca="1">IFERROR(VLOOKUP("*" &amp; B189  &amp; "*" &amp; (MID(CELL("filename",A188),FIND("]",CELL("filename",A188))+1,31)) &amp; "*",CHOOSE({1,2}, Super_CBSA!$B$2:$B$1917, Super_CBSA!$A$2:$A$1917), 2,FALSE), IFERROR(VLOOKUP(B189  &amp; " city",CHOOSE({1,2}, Super_CBSA!$E$2:$E$1917, Super_CBSA!$A$2:$A$1917), 2,FALSE), ""))</f>
        <v>47020</v>
      </c>
    </row>
    <row r="190" spans="1:7">
      <c r="A190" s="11" t="s">
        <v>5108</v>
      </c>
      <c r="B190" s="11" t="s">
        <v>5080</v>
      </c>
      <c r="C190" s="11">
        <v>145</v>
      </c>
      <c r="D190" s="11">
        <v>1496</v>
      </c>
      <c r="E190" s="11">
        <v>6888</v>
      </c>
      <c r="F190" s="11">
        <v>36488</v>
      </c>
      <c r="G190" s="11" cm="1">
        <f t="array" aca="1" ref="G190" ca="1">IFERROR(VLOOKUP("*" &amp; B190  &amp; "*" &amp; (MID(CELL("filename",A189),FIND("]",CELL("filename",A189))+1,31)) &amp; "*",CHOOSE({1,2}, Super_CBSA!$B$2:$B$1917, Super_CBSA!$A$2:$A$1917), 2,FALSE), IFERROR(VLOOKUP(B190  &amp; " city",CHOOSE({1,2}, Super_CBSA!$E$2:$E$1917, Super_CBSA!$A$2:$A$1917), 2,FALSE), ""))</f>
        <v>47020</v>
      </c>
    </row>
    <row r="191" spans="1:7">
      <c r="A191" s="11" t="s">
        <v>5036</v>
      </c>
      <c r="B191" s="11" t="s">
        <v>5037</v>
      </c>
      <c r="C191" s="11">
        <v>184</v>
      </c>
      <c r="D191" s="11">
        <v>5860</v>
      </c>
      <c r="E191" s="11">
        <v>29140</v>
      </c>
      <c r="F191" s="11">
        <v>896287</v>
      </c>
      <c r="G191" s="11" cm="1">
        <f t="array" aca="1" ref="G191" ca="1">IFERROR(VLOOKUP("*" &amp; B191  &amp; "*" &amp; (MID(CELL("filename",A190),FIND("]",CELL("filename",A190))+1,31)) &amp; "*",CHOOSE({1,2}, Super_CBSA!$B$2:$B$1917, Super_CBSA!$A$2:$A$1917), 2,FALSE), IFERROR(VLOOKUP(B191  &amp; " city",CHOOSE({1,2}, Super_CBSA!$E$2:$E$1917, Super_CBSA!$A$2:$A$1917), 2,FALSE), ""))</f>
        <v>31260</v>
      </c>
    </row>
    <row r="192" spans="1:7">
      <c r="A192" s="11" t="s">
        <v>5394</v>
      </c>
      <c r="B192" s="11" t="s">
        <v>5037</v>
      </c>
      <c r="C192" s="11">
        <v>145</v>
      </c>
      <c r="D192" s="11">
        <v>5666</v>
      </c>
      <c r="E192" s="11">
        <v>23998</v>
      </c>
      <c r="F192" s="11">
        <v>886151</v>
      </c>
      <c r="G192" s="11" cm="1">
        <f t="array" aca="1" ref="G192" ca="1">IFERROR(VLOOKUP("*" &amp; B192  &amp; "*" &amp; (MID(CELL("filename",A191),FIND("]",CELL("filename",A191))+1,31)) &amp; "*",CHOOSE({1,2}, Super_CBSA!$B$2:$B$1917, Super_CBSA!$A$2:$A$1917), 2,FALSE), IFERROR(VLOOKUP(B192  &amp; " city",CHOOSE({1,2}, Super_CBSA!$E$2:$E$1917, Super_CBSA!$A$2:$A$1917), 2,FALSE), ""))</f>
        <v>31260</v>
      </c>
    </row>
    <row r="193" spans="1:7">
      <c r="A193" s="11" t="s">
        <v>5172</v>
      </c>
      <c r="B193" s="11" t="s">
        <v>112</v>
      </c>
      <c r="C193" s="11">
        <v>96</v>
      </c>
      <c r="D193" s="11">
        <v>4374</v>
      </c>
      <c r="E193" s="11">
        <v>20254</v>
      </c>
      <c r="F193" s="11">
        <v>412086</v>
      </c>
      <c r="G193" s="11" cm="1">
        <f t="array" aca="1" ref="G193" ca="1">IFERROR(VLOOKUP("*" &amp; B193  &amp; "*" &amp; (MID(CELL("filename",A192),FIND("]",CELL("filename",A192))+1,31)) &amp; "*",CHOOSE({1,2}, Super_CBSA!$B$2:$B$1917, Super_CBSA!$A$2:$A$1917), 2,FALSE), IFERROR(VLOOKUP(B193  &amp; " city",CHOOSE({1,2}, Super_CBSA!$E$2:$E$1917, Super_CBSA!$A$2:$A$1917), 2,FALSE), ""))</f>
        <v>26660</v>
      </c>
    </row>
    <row r="194" spans="1:7">
      <c r="A194" s="11" t="s">
        <v>5369</v>
      </c>
      <c r="B194" s="11" t="s">
        <v>83</v>
      </c>
      <c r="C194" s="11">
        <v>127</v>
      </c>
      <c r="D194" s="11">
        <v>5862</v>
      </c>
      <c r="E194" s="11">
        <v>18240</v>
      </c>
      <c r="F194" s="11">
        <v>591209</v>
      </c>
      <c r="G194" s="11" cm="1">
        <f t="array" aca="1" ref="G194" ca="1">IFERROR(VLOOKUP("*" &amp; B194  &amp; "*" &amp; (MID(CELL("filename",A193),FIND("]",CELL("filename",A193))+1,31)) &amp; "*",CHOOSE({1,2}, Super_CBSA!$B$2:$B$1917, Super_CBSA!$A$2:$A$1917), 2,FALSE), IFERROR(VLOOKUP(B194  &amp; " city",CHOOSE({1,2}, Super_CBSA!$E$2:$E$1917, Super_CBSA!$A$2:$A$1917), 2,FALSE), ""))</f>
        <v>11980</v>
      </c>
    </row>
    <row r="195" spans="1:7">
      <c r="A195" s="11" t="s">
        <v>4911</v>
      </c>
      <c r="B195" s="11" t="s">
        <v>2863</v>
      </c>
      <c r="C195" s="11">
        <v>361</v>
      </c>
      <c r="D195" s="11">
        <v>18616</v>
      </c>
      <c r="E195" s="11">
        <v>67436</v>
      </c>
      <c r="F195" s="11">
        <v>2404604</v>
      </c>
      <c r="G195" s="11" t="str" cm="1">
        <f t="array" aca="1" ref="G195" ca="1">IFERROR(VLOOKUP("*" &amp; B195  &amp; "*" &amp; (MID(CELL("filename",A194),FIND("]",CELL("filename",A194))+1,31)) &amp; "*",CHOOSE({1,2}, Super_CBSA!$B$2:$B$1917, Super_CBSA!$A$2:$A$1917), 2,FALSE), IFERROR(VLOOKUP(B195  &amp; " city",CHOOSE({1,2}, Super_CBSA!$E$2:$E$1917, Super_CBSA!$A$2:$A$1917), 2,FALSE), ""))</f>
        <v/>
      </c>
    </row>
    <row r="196" spans="1:7">
      <c r="A196" s="11" t="s">
        <v>5252</v>
      </c>
      <c r="B196" s="11" t="s">
        <v>5253</v>
      </c>
      <c r="C196" s="11">
        <v>155</v>
      </c>
      <c r="D196" s="11">
        <v>4294</v>
      </c>
      <c r="E196" s="11">
        <v>15995</v>
      </c>
      <c r="F196" s="11">
        <v>704344</v>
      </c>
      <c r="G196" s="11" cm="1">
        <f t="array" aca="1" ref="G196" ca="1">IFERROR(VLOOKUP("*" &amp; B196  &amp; "*" &amp; (MID(CELL("filename",A195),FIND("]",CELL("filename",A195))+1,31)) &amp; "*",CHOOSE({1,2}, Super_CBSA!$B$2:$B$1917, Super_CBSA!$A$2:$A$1917), 2,FALSE), IFERROR(VLOOKUP(B196  &amp; " city",CHOOSE({1,2}, Super_CBSA!$E$2:$E$1917, Super_CBSA!$A$2:$A$1917), 2,FALSE), ""))</f>
        <v>34860</v>
      </c>
    </row>
    <row r="197" spans="1:7">
      <c r="A197" s="11" t="s">
        <v>5254</v>
      </c>
      <c r="B197" s="11" t="s">
        <v>5253</v>
      </c>
      <c r="C197" s="11">
        <v>141</v>
      </c>
      <c r="D197" s="11">
        <v>3973</v>
      </c>
      <c r="E197" s="11">
        <v>14314</v>
      </c>
      <c r="F197" s="11">
        <v>288763</v>
      </c>
      <c r="G197" s="11" cm="1">
        <f t="array" aca="1" ref="G197" ca="1">IFERROR(VLOOKUP("*" &amp; B197  &amp; "*" &amp; (MID(CELL("filename",A196),FIND("]",CELL("filename",A196))+1,31)) &amp; "*",CHOOSE({1,2}, Super_CBSA!$B$2:$B$1917, Super_CBSA!$A$2:$A$1917), 2,FALSE), IFERROR(VLOOKUP(B197  &amp; " city",CHOOSE({1,2}, Super_CBSA!$E$2:$E$1917, Super_CBSA!$A$2:$A$1917), 2,FALSE), ""))</f>
        <v>34860</v>
      </c>
    </row>
    <row r="198" spans="1:7">
      <c r="A198" s="11" t="s">
        <v>5310</v>
      </c>
      <c r="B198" s="11" t="s">
        <v>5311</v>
      </c>
      <c r="C198" s="11">
        <v>48</v>
      </c>
      <c r="D198" s="11">
        <v>880</v>
      </c>
      <c r="E198" s="11">
        <v>3214</v>
      </c>
      <c r="F198" s="11">
        <v>55566</v>
      </c>
      <c r="G198" s="11" cm="1">
        <f t="array" aca="1" ref="G198" ca="1">IFERROR(VLOOKUP("*" &amp; B198  &amp; "*" &amp; (MID(CELL("filename",A197),FIND("]",CELL("filename",A197))+1,31)) &amp; "*",CHOOSE({1,2}, Super_CBSA!$B$2:$B$1917, Super_CBSA!$A$2:$A$1917), 2,FALSE), IFERROR(VLOOKUP(B198  &amp; " city",CHOOSE({1,2}, Super_CBSA!$E$2:$E$1917, Super_CBSA!$A$2:$A$1917), 2,FALSE), ""))</f>
        <v>40100</v>
      </c>
    </row>
    <row r="199" spans="1:7">
      <c r="A199" s="11" t="s">
        <v>5269</v>
      </c>
      <c r="B199" s="11" t="s">
        <v>5270</v>
      </c>
      <c r="C199" s="11">
        <v>152</v>
      </c>
      <c r="D199" s="11">
        <v>3425</v>
      </c>
      <c r="E199" s="11">
        <v>19191</v>
      </c>
      <c r="F199" s="11">
        <v>399413</v>
      </c>
      <c r="G199" s="11" cm="1">
        <f t="array" aca="1" ref="G199" ca="1">IFERROR(VLOOKUP("*" &amp; B199  &amp; "*" &amp; (MID(CELL("filename",A198),FIND("]",CELL("filename",A198))+1,31)) &amp; "*",CHOOSE({1,2}, Super_CBSA!$B$2:$B$1917, Super_CBSA!$A$2:$A$1917), 2,FALSE), IFERROR(VLOOKUP(B199  &amp; " city",CHOOSE({1,2}, Super_CBSA!$E$2:$E$1917, Super_CBSA!$A$2:$A$1917), 2,FALSE), ""))</f>
        <v>37300</v>
      </c>
    </row>
    <row r="200" spans="1:7">
      <c r="A200" s="11" t="s">
        <v>5127</v>
      </c>
      <c r="B200" s="11" t="s">
        <v>5128</v>
      </c>
      <c r="C200" s="11">
        <v>101</v>
      </c>
      <c r="D200" s="11">
        <v>4130</v>
      </c>
      <c r="E200" s="11">
        <v>15760</v>
      </c>
      <c r="F200" s="11">
        <v>441168</v>
      </c>
      <c r="G200" s="11" cm="1">
        <f t="array" aca="1" ref="G200" ca="1">IFERROR(VLOOKUP("*" &amp; B200  &amp; "*" &amp; (MID(CELL("filename",A199),FIND("]",CELL("filename",A199))+1,31)) &amp; "*",CHOOSE({1,2}, Super_CBSA!$B$2:$B$1917, Super_CBSA!$A$2:$A$1917), 2,FALSE), IFERROR(VLOOKUP(B200  &amp; " city",CHOOSE({1,2}, Super_CBSA!$E$2:$E$1917, Super_CBSA!$A$2:$A$1917), 2,FALSE), ""))</f>
        <v>20580</v>
      </c>
    </row>
    <row r="201" spans="1:7">
      <c r="A201" s="11" t="s">
        <v>5373</v>
      </c>
      <c r="B201" s="11" t="s">
        <v>1212</v>
      </c>
      <c r="C201" s="11">
        <v>32</v>
      </c>
      <c r="D201" s="11">
        <v>1345</v>
      </c>
      <c r="E201" s="11">
        <v>3276</v>
      </c>
      <c r="F201" s="11">
        <v>152480</v>
      </c>
      <c r="G201" s="11" cm="1">
        <f t="array" aca="1" ref="G201" ca="1">IFERROR(VLOOKUP("*" &amp; B201  &amp; "*" &amp; (MID(CELL("filename",A200),FIND("]",CELL("filename",A200))+1,31)) &amp; "*",CHOOSE({1,2}, Super_CBSA!$B$2:$B$1917, Super_CBSA!$A$2:$A$1917), 2,FALSE), IFERROR(VLOOKUP(B201  &amp; " city",CHOOSE({1,2}, Super_CBSA!$E$2:$E$1917, Super_CBSA!$A$2:$A$1917), 2,FALSE), ""))</f>
        <v>27380</v>
      </c>
    </row>
    <row r="202" spans="1:7">
      <c r="A202" s="11" t="s">
        <v>5276</v>
      </c>
      <c r="B202" s="11" t="s">
        <v>2262</v>
      </c>
      <c r="C202" s="11">
        <v>253</v>
      </c>
      <c r="D202" s="11">
        <v>6611</v>
      </c>
      <c r="E202" s="11">
        <v>21479</v>
      </c>
      <c r="F202" s="11">
        <v>591636</v>
      </c>
      <c r="G202" s="11" cm="1">
        <f t="array" aca="1" ref="G202" ca="1">IFERROR(VLOOKUP("*" &amp; B202  &amp; "*" &amp; (MID(CELL("filename",A201),FIND("]",CELL("filename",A201))+1,31)) &amp; "*",CHOOSE({1,2}, Super_CBSA!$B$2:$B$1917, Super_CBSA!$A$2:$A$1917), 2,FALSE), IFERROR(VLOOKUP(B202  &amp; " city",CHOOSE({1,2}, Super_CBSA!$E$2:$E$1917, Super_CBSA!$A$2:$A$1917), 2,FALSE), ""))</f>
        <v>37580</v>
      </c>
    </row>
    <row r="203" spans="1:7">
      <c r="A203" s="11" t="s">
        <v>5176</v>
      </c>
      <c r="B203" s="11" t="s">
        <v>5177</v>
      </c>
      <c r="C203" s="11">
        <v>0</v>
      </c>
      <c r="D203" s="11">
        <v>0</v>
      </c>
      <c r="E203" s="11">
        <v>0</v>
      </c>
      <c r="F203" s="11">
        <v>0</v>
      </c>
      <c r="G203" s="11" cm="1">
        <f t="array" aca="1" ref="G203" ca="1">IFERROR(VLOOKUP("*" &amp; B203  &amp; "*" &amp; (MID(CELL("filename",A202),FIND("]",CELL("filename",A202))+1,31)) &amp; "*",CHOOSE({1,2}, Super_CBSA!$B$2:$B$1917, Super_CBSA!$A$2:$A$1917), 2,FALSE), IFERROR(VLOOKUP(B203  &amp; " city",CHOOSE({1,2}, Super_CBSA!$E$2:$E$1917, Super_CBSA!$A$2:$A$1917), 2,FALSE), ""))</f>
        <v>28500</v>
      </c>
    </row>
    <row r="204" spans="1:7">
      <c r="A204" s="11" t="s">
        <v>5282</v>
      </c>
      <c r="B204" s="11" t="s">
        <v>5177</v>
      </c>
      <c r="C204" s="11">
        <v>110</v>
      </c>
      <c r="D204" s="11">
        <v>3497</v>
      </c>
      <c r="E204" s="11">
        <v>11343</v>
      </c>
      <c r="F204" s="11">
        <v>509116</v>
      </c>
      <c r="G204" s="11" cm="1">
        <f t="array" aca="1" ref="G204" ca="1">IFERROR(VLOOKUP("*" &amp; B204  &amp; "*" &amp; (MID(CELL("filename",A203),FIND("]",CELL("filename",A203))+1,31)) &amp; "*",CHOOSE({1,2}, Super_CBSA!$B$2:$B$1917, Super_CBSA!$A$2:$A$1917), 2,FALSE), IFERROR(VLOOKUP(B204  &amp; " city",CHOOSE({1,2}, Super_CBSA!$E$2:$E$1917, Super_CBSA!$A$2:$A$1917), 2,FALSE), ""))</f>
        <v>28500</v>
      </c>
    </row>
    <row r="205" spans="1:7">
      <c r="A205" s="11" t="s">
        <v>5376</v>
      </c>
      <c r="B205" s="11" t="s">
        <v>5377</v>
      </c>
      <c r="C205" s="11">
        <v>47</v>
      </c>
      <c r="D205" s="11">
        <v>1222</v>
      </c>
      <c r="E205" s="11">
        <v>7817</v>
      </c>
      <c r="F205" s="11">
        <v>268762</v>
      </c>
      <c r="G205" s="11" cm="1">
        <f t="array" aca="1" ref="G205" ca="1">IFERROR(VLOOKUP("*" &amp; B205  &amp; "*" &amp; (MID(CELL("filename",A204),FIND("]",CELL("filename",A204))+1,31)) &amp; "*",CHOOSE({1,2}, Super_CBSA!$B$2:$B$1917, Super_CBSA!$A$2:$A$1917), 2,FALSE), IFERROR(VLOOKUP(B205  &amp; " city",CHOOSE({1,2}, Super_CBSA!$E$2:$E$1917, Super_CBSA!$A$2:$A$1917), 2,FALSE), ""))</f>
        <v>19620</v>
      </c>
    </row>
    <row r="206" spans="1:7">
      <c r="A206" s="11" t="s">
        <v>5255</v>
      </c>
      <c r="B206" s="11" t="s">
        <v>5256</v>
      </c>
      <c r="C206" s="11">
        <v>49</v>
      </c>
      <c r="D206" s="11">
        <v>2309</v>
      </c>
      <c r="E206" s="11">
        <v>6807</v>
      </c>
      <c r="F206" s="11">
        <v>343637</v>
      </c>
      <c r="G206" s="11" cm="1">
        <f t="array" aca="1" ref="G206" ca="1">IFERROR(VLOOKUP("*" &amp; B206  &amp; "*" &amp; (MID(CELL("filename",A205),FIND("]",CELL("filename",A205))+1,31)) &amp; "*",CHOOSE({1,2}, Super_CBSA!$B$2:$B$1917, Super_CBSA!$A$2:$A$1917), 2,FALSE), IFERROR(VLOOKUP(B206  &amp; " city",CHOOSE({1,2}, Super_CBSA!$E$2:$E$1917, Super_CBSA!$A$2:$A$1917), 2,FALSE), ""))</f>
        <v>18620</v>
      </c>
    </row>
    <row r="207" spans="1:7">
      <c r="A207" s="11" t="s">
        <v>5070</v>
      </c>
      <c r="B207" s="11" t="s">
        <v>5071</v>
      </c>
      <c r="C207" s="11">
        <v>72</v>
      </c>
      <c r="D207" s="11">
        <v>2255</v>
      </c>
      <c r="E207" s="11">
        <v>7646</v>
      </c>
      <c r="F207" s="11">
        <v>368203</v>
      </c>
      <c r="G207" s="11" cm="1">
        <f t="array" aca="1" ref="G207" ca="1">IFERROR(VLOOKUP("*" &amp; B207  &amp; "*" &amp; (MID(CELL("filename",A206),FIND("]",CELL("filename",A206))+1,31)) &amp; "*",CHOOSE({1,2}, Super_CBSA!$B$2:$B$1917, Super_CBSA!$A$2:$A$1917), 2,FALSE), IFERROR(VLOOKUP(B207  &amp; " city",CHOOSE({1,2}, Super_CBSA!$E$2:$E$1917, Super_CBSA!$A$2:$A$1917), 2,FALSE), ""))</f>
        <v>10860</v>
      </c>
    </row>
    <row r="208" spans="1:7">
      <c r="A208" s="11" t="s">
        <v>5115</v>
      </c>
      <c r="B208" s="11" t="s">
        <v>5116</v>
      </c>
      <c r="C208" s="11">
        <v>26</v>
      </c>
      <c r="D208" s="11">
        <v>638</v>
      </c>
      <c r="E208" s="11">
        <v>1847</v>
      </c>
      <c r="F208" s="11">
        <v>61617</v>
      </c>
      <c r="G208" s="11" cm="1">
        <f t="array" aca="1" ref="G208" ca="1">IFERROR(VLOOKUP("*" &amp; B208  &amp; "*" &amp; (MID(CELL("filename",A207),FIND("]",CELL("filename",A207))+1,31)) &amp; "*",CHOOSE({1,2}, Super_CBSA!$B$2:$B$1917, Super_CBSA!$A$2:$A$1917), 2,FALSE), IFERROR(VLOOKUP(B208  &amp; " city",CHOOSE({1,2}, Super_CBSA!$E$2:$E$1917, Super_CBSA!$A$2:$A$1917), 2,FALSE), ""))</f>
        <v>20900</v>
      </c>
    </row>
    <row r="209" spans="1:7">
      <c r="A209" s="11" t="s">
        <v>5339</v>
      </c>
      <c r="B209" s="11" t="s">
        <v>5340</v>
      </c>
      <c r="C209" s="11">
        <v>50</v>
      </c>
      <c r="D209" s="11">
        <v>1468</v>
      </c>
      <c r="E209" s="11">
        <v>3969</v>
      </c>
      <c r="F209" s="11">
        <v>159163</v>
      </c>
      <c r="G209" s="11" cm="1">
        <f t="array" aca="1" ref="G209" ca="1">IFERROR(VLOOKUP("*" &amp; B209  &amp; "*" &amp; (MID(CELL("filename",A208),FIND("]",CELL("filename",A208))+1,31)) &amp; "*",CHOOSE({1,2}, Super_CBSA!$B$2:$B$1917, Super_CBSA!$A$2:$A$1917), 2,FALSE), IFERROR(VLOOKUP(B209  &amp; " city",CHOOSE({1,2}, Super_CBSA!$E$2:$E$1917, Super_CBSA!$A$2:$A$1917), 2,FALSE), ""))</f>
        <v>44500</v>
      </c>
    </row>
    <row r="210" spans="1:7">
      <c r="A210" s="11" t="s">
        <v>5261</v>
      </c>
      <c r="B210" s="11" t="s">
        <v>1361</v>
      </c>
      <c r="C210" s="11">
        <v>36</v>
      </c>
      <c r="D210" s="11">
        <v>1047</v>
      </c>
      <c r="E210" s="11">
        <v>4229</v>
      </c>
      <c r="F210" s="11">
        <v>127859</v>
      </c>
      <c r="G210" s="11" cm="1">
        <f t="array" aca="1" ref="G210" ca="1">IFERROR(VLOOKUP("*" &amp; B210  &amp; "*" &amp; (MID(CELL("filename",A209),FIND("]",CELL("filename",A209))+1,31)) &amp; "*",CHOOSE({1,2}, Super_CBSA!$B$2:$B$1917, Super_CBSA!$A$2:$A$1917), 2,FALSE), IFERROR(VLOOKUP(B210  &amp; " city",CHOOSE({1,2}, Super_CBSA!$E$2:$E$1917, Super_CBSA!$A$2:$A$1917), 2,FALSE), ""))</f>
        <v>23620</v>
      </c>
    </row>
    <row r="211" spans="1:7">
      <c r="A211" s="11" t="s">
        <v>5027</v>
      </c>
      <c r="B211" s="11" t="s">
        <v>5028</v>
      </c>
      <c r="C211" s="11">
        <v>63</v>
      </c>
      <c r="D211" s="11">
        <v>2777</v>
      </c>
      <c r="E211" s="11">
        <v>11070</v>
      </c>
      <c r="F211" s="11">
        <v>416692</v>
      </c>
      <c r="G211" s="11" cm="1">
        <f t="array" aca="1" ref="G211" ca="1">IFERROR(VLOOKUP("*" &amp; B211  &amp; "*" &amp; (MID(CELL("filename",A210),FIND("]",CELL("filename",A210))+1,31)) &amp; "*",CHOOSE({1,2}, Super_CBSA!$B$2:$B$1917, Super_CBSA!$A$2:$A$1917), 2,FALSE), IFERROR(VLOOKUP(B211  &amp; " city",CHOOSE({1,2}, Super_CBSA!$E$2:$E$1917, Super_CBSA!$A$2:$A$1917), 2,FALSE), ""))</f>
        <v>15220</v>
      </c>
    </row>
    <row r="212" spans="1:7">
      <c r="A212" s="11" t="s">
        <v>5300</v>
      </c>
      <c r="B212" s="11" t="s">
        <v>5301</v>
      </c>
      <c r="C212" s="11">
        <v>95</v>
      </c>
      <c r="D212" s="11">
        <v>2451</v>
      </c>
      <c r="E212" s="11">
        <v>6547</v>
      </c>
      <c r="F212" s="11">
        <v>256399</v>
      </c>
      <c r="G212" s="11" cm="1">
        <f t="array" aca="1" ref="G212" ca="1">IFERROR(VLOOKUP("*" &amp; B212  &amp; "*" &amp; (MID(CELL("filename",A211),FIND("]",CELL("filename",A211))+1,31)) &amp; "*",CHOOSE({1,2}, Super_CBSA!$B$2:$B$1917, Super_CBSA!$A$2:$A$1917), 2,FALSE), IFERROR(VLOOKUP(B212  &amp; " city",CHOOSE({1,2}, Super_CBSA!$E$2:$E$1917, Super_CBSA!$A$2:$A$1917), 2,FALSE), ""))</f>
        <v>13700</v>
      </c>
    </row>
    <row r="213" spans="1:7">
      <c r="A213" s="11" t="s">
        <v>5384</v>
      </c>
      <c r="B213" s="11" t="s">
        <v>5301</v>
      </c>
      <c r="C213" s="11">
        <v>0</v>
      </c>
      <c r="D213" s="11">
        <v>0</v>
      </c>
      <c r="E213" s="11">
        <v>0</v>
      </c>
      <c r="F213" s="11">
        <v>0</v>
      </c>
      <c r="G213" s="11" cm="1">
        <f t="array" aca="1" ref="G213" ca="1">IFERROR(VLOOKUP("*" &amp; B213  &amp; "*" &amp; (MID(CELL("filename",A212),FIND("]",CELL("filename",A212))+1,31)) &amp; "*",CHOOSE({1,2}, Super_CBSA!$B$2:$B$1917, Super_CBSA!$A$2:$A$1917), 2,FALSE), IFERROR(VLOOKUP(B213  &amp; " city",CHOOSE({1,2}, Super_CBSA!$E$2:$E$1917, Super_CBSA!$A$2:$A$1917), 2,FALSE), ""))</f>
        <v>13700</v>
      </c>
    </row>
    <row r="214" spans="1:7">
      <c r="A214" s="11" t="s">
        <v>5190</v>
      </c>
      <c r="B214" s="11" t="s">
        <v>2817</v>
      </c>
      <c r="C214" s="11">
        <v>58</v>
      </c>
      <c r="D214" s="11">
        <v>1352</v>
      </c>
      <c r="E214" s="11">
        <v>6150</v>
      </c>
      <c r="F214" s="11">
        <v>160135</v>
      </c>
      <c r="G214" s="11" cm="1">
        <f t="array" aca="1" ref="G214" ca="1">IFERROR(VLOOKUP("*" &amp; B214  &amp; "*" &amp; (MID(CELL("filename",A213),FIND("]",CELL("filename",A213))+1,31)) &amp; "*",CHOOSE({1,2}, Super_CBSA!$B$2:$B$1917, Super_CBSA!$A$2:$A$1917), 2,FALSE), IFERROR(VLOOKUP(B214  &amp; " city",CHOOSE({1,2}, Super_CBSA!$E$2:$E$1917, Super_CBSA!$A$2:$A$1917), 2,FALSE), ""))</f>
        <v>13060</v>
      </c>
    </row>
    <row r="215" spans="1:7">
      <c r="A215" s="11" t="s">
        <v>5097</v>
      </c>
      <c r="B215" s="11" t="s">
        <v>3883</v>
      </c>
      <c r="C215" s="11">
        <v>49</v>
      </c>
      <c r="D215" s="11">
        <v>1716</v>
      </c>
      <c r="E215" s="11">
        <v>6357</v>
      </c>
      <c r="F215" s="11">
        <v>191785</v>
      </c>
      <c r="G215" s="11" cm="1">
        <f t="array" aca="1" ref="G215" ca="1">IFERROR(VLOOKUP("*" &amp; B215  &amp; "*" &amp; (MID(CELL("filename",A214),FIND("]",CELL("filename",A214))+1,31)) &amp; "*",CHOOSE({1,2}, Super_CBSA!$B$2:$B$1917, Super_CBSA!$A$2:$A$1917), 2,FALSE), IFERROR(VLOOKUP(B215  &amp; " city",CHOOSE({1,2}, Super_CBSA!$E$2:$E$1917, Super_CBSA!$A$2:$A$1917), 2,FALSE), ""))</f>
        <v>38380</v>
      </c>
    </row>
    <row r="216" spans="1:7">
      <c r="A216" s="11" t="s">
        <v>5057</v>
      </c>
      <c r="B216" s="11" t="s">
        <v>5058</v>
      </c>
      <c r="C216" s="11">
        <v>62</v>
      </c>
      <c r="D216" s="11">
        <v>2825</v>
      </c>
      <c r="E216" s="11">
        <v>10129</v>
      </c>
      <c r="F216" s="11">
        <v>466815</v>
      </c>
      <c r="G216" s="11" cm="1">
        <f t="array" aca="1" ref="G216" ca="1">IFERROR(VLOOKUP("*" &amp; B216  &amp; "*" &amp; (MID(CELL("filename",A215),FIND("]",CELL("filename",A215))+1,31)) &amp; "*",CHOOSE({1,2}, Super_CBSA!$B$2:$B$1917, Super_CBSA!$A$2:$A$1917), 2,FALSE), IFERROR(VLOOKUP(B216  &amp; " city",CHOOSE({1,2}, Super_CBSA!$E$2:$E$1917, Super_CBSA!$A$2:$A$1917), 2,FALSE), ""))</f>
        <v>44860</v>
      </c>
    </row>
    <row r="217" spans="1:7">
      <c r="A217" s="11" t="s">
        <v>4984</v>
      </c>
      <c r="B217" s="11" t="s">
        <v>4985</v>
      </c>
      <c r="C217" s="11">
        <v>50</v>
      </c>
      <c r="D217" s="11">
        <v>1739</v>
      </c>
      <c r="E217" s="11">
        <v>4054</v>
      </c>
      <c r="F217" s="11">
        <v>160299</v>
      </c>
      <c r="G217" s="11" cm="1">
        <f t="array" aca="1" ref="G217" ca="1">IFERROR(VLOOKUP("*" &amp; B217  &amp; "*" &amp; (MID(CELL("filename",A216),FIND("]",CELL("filename",A216))+1,31)) &amp; "*",CHOOSE({1,2}, Super_CBSA!$B$2:$B$1917, Super_CBSA!$A$2:$A$1917), 2,FALSE), IFERROR(VLOOKUP(B217  &amp; " city",CHOOSE({1,2}, Super_CBSA!$E$2:$E$1917, Super_CBSA!$A$2:$A$1917), 2,FALSE), ""))</f>
        <v>14780</v>
      </c>
    </row>
    <row r="218" spans="1:7">
      <c r="A218" s="11" t="s">
        <v>5361</v>
      </c>
      <c r="B218" s="11" t="s">
        <v>2819</v>
      </c>
      <c r="C218" s="11">
        <v>70</v>
      </c>
      <c r="D218" s="11">
        <v>2971</v>
      </c>
      <c r="E218" s="11">
        <v>11053</v>
      </c>
      <c r="F218" s="11">
        <v>234350</v>
      </c>
      <c r="G218" s="11" cm="1">
        <f t="array" aca="1" ref="G218" ca="1">IFERROR(VLOOKUP("*" &amp; B218  &amp; "*" &amp; (MID(CELL("filename",A217),FIND("]",CELL("filename",A217))+1,31)) &amp; "*",CHOOSE({1,2}, Super_CBSA!$B$2:$B$1917, Super_CBSA!$A$2:$A$1917), 2,FALSE), IFERROR(VLOOKUP(B218  &amp; " city",CHOOSE({1,2}, Super_CBSA!$E$2:$E$1917, Super_CBSA!$A$2:$A$1917), 2,FALSE), ""))</f>
        <v>34420</v>
      </c>
    </row>
    <row r="219" spans="1:7">
      <c r="A219" s="11" t="s">
        <v>5072</v>
      </c>
      <c r="B219" s="11" t="s">
        <v>5073</v>
      </c>
      <c r="C219" s="11">
        <v>40</v>
      </c>
      <c r="D219" s="11">
        <v>1662</v>
      </c>
      <c r="E219" s="11">
        <v>5206</v>
      </c>
      <c r="F219" s="11">
        <v>237941</v>
      </c>
      <c r="G219" s="11" cm="1">
        <f t="array" aca="1" ref="G219" ca="1">IFERROR(VLOOKUP("*" &amp; B219  &amp; "*" &amp; (MID(CELL("filename",A218),FIND("]",CELL("filename",A218))+1,31)) &amp; "*",CHOOSE({1,2}, Super_CBSA!$B$2:$B$1917, Super_CBSA!$A$2:$A$1917), 2,FALSE), IFERROR(VLOOKUP(B219  &amp; " city",CHOOSE({1,2}, Super_CBSA!$E$2:$E$1917, Super_CBSA!$A$2:$A$1917), 2,FALSE), ""))</f>
        <v>13300</v>
      </c>
    </row>
    <row r="220" spans="1:7">
      <c r="A220" s="11" t="s">
        <v>5077</v>
      </c>
      <c r="B220" s="11" t="s">
        <v>5078</v>
      </c>
      <c r="C220" s="11">
        <v>50</v>
      </c>
      <c r="D220" s="11">
        <v>2625</v>
      </c>
      <c r="E220" s="11">
        <v>10191</v>
      </c>
      <c r="F220" s="11">
        <v>318066</v>
      </c>
      <c r="G220" s="11" cm="1">
        <f t="array" aca="1" ref="G220" ca="1">IFERROR(VLOOKUP("*" &amp; B220  &amp; "*" &amp; (MID(CELL("filename",A219),FIND("]",CELL("filename",A219))+1,31)) &amp; "*",CHOOSE({1,2}, Super_CBSA!$B$2:$B$1917, Super_CBSA!$A$2:$A$1917), 2,FALSE), IFERROR(VLOOKUP(B220  &amp; " city",CHOOSE({1,2}, Super_CBSA!$E$2:$E$1917, Super_CBSA!$A$2:$A$1917), 2,FALSE), ""))</f>
        <v>28780</v>
      </c>
    </row>
    <row r="221" spans="1:7">
      <c r="A221" s="11" t="s">
        <v>5271</v>
      </c>
      <c r="B221" s="11" t="s">
        <v>5272</v>
      </c>
      <c r="C221" s="11">
        <v>48</v>
      </c>
      <c r="D221" s="11">
        <v>1481</v>
      </c>
      <c r="E221" s="11">
        <v>5063</v>
      </c>
      <c r="F221" s="11">
        <v>135662</v>
      </c>
      <c r="G221" s="11" cm="1">
        <f t="array" aca="1" ref="G221" ca="1">IFERROR(VLOOKUP("*" &amp; B221  &amp; "*" &amp; (MID(CELL("filename",A220),FIND("]",CELL("filename",A220))+1,31)) &amp; "*",CHOOSE({1,2}, Super_CBSA!$B$2:$B$1917, Super_CBSA!$A$2:$A$1917), 2,FALSE), IFERROR(VLOOKUP(B221  &amp; " city",CHOOSE({1,2}, Super_CBSA!$E$2:$E$1917, Super_CBSA!$A$2:$A$1917), 2,FALSE), ""))</f>
        <v>33420</v>
      </c>
    </row>
    <row r="222" spans="1:7">
      <c r="A222" s="11" t="s">
        <v>5160</v>
      </c>
      <c r="B222" s="11" t="s">
        <v>5161</v>
      </c>
      <c r="C222" s="11">
        <v>57</v>
      </c>
      <c r="D222" s="11">
        <v>2186</v>
      </c>
      <c r="E222" s="11">
        <v>7626</v>
      </c>
      <c r="F222" s="11">
        <v>246666</v>
      </c>
      <c r="G222" s="11" cm="1">
        <f t="array" aca="1" ref="G222" ca="1">IFERROR(VLOOKUP("*" &amp; B222  &amp; "*" &amp; (MID(CELL("filename",A221),FIND("]",CELL("filename",A221))+1,31)) &amp; "*",CHOOSE({1,2}, Super_CBSA!$B$2:$B$1917, Super_CBSA!$A$2:$A$1917), 2,FALSE), IFERROR(VLOOKUP(B222  &amp; " city",CHOOSE({1,2}, Super_CBSA!$E$2:$E$1917, Super_CBSA!$A$2:$A$1917), 2,FALSE), ""))</f>
        <v>23240</v>
      </c>
    </row>
    <row r="223" spans="1:7">
      <c r="A223" s="11" t="s">
        <v>5095</v>
      </c>
      <c r="B223" s="11" t="s">
        <v>5096</v>
      </c>
      <c r="C223" s="11">
        <v>48</v>
      </c>
      <c r="D223" s="11">
        <v>751</v>
      </c>
      <c r="E223" s="11">
        <v>2545</v>
      </c>
      <c r="F223" s="11">
        <v>70428</v>
      </c>
      <c r="G223" s="11" cm="1">
        <f t="array" aca="1" ref="G223" ca="1">IFERROR(VLOOKUP("*" &amp; B223  &amp; "*" &amp; (MID(CELL("filename",A222),FIND("]",CELL("filename",A222))+1,31)) &amp; "*",CHOOSE({1,2}, Super_CBSA!$B$2:$B$1917, Super_CBSA!$A$2:$A$1917), 2,FALSE), IFERROR(VLOOKUP(B223  &amp; " city",CHOOSE({1,2}, Super_CBSA!$E$2:$E$1917, Super_CBSA!$A$2:$A$1917), 2,FALSE), ""))</f>
        <v>30220</v>
      </c>
    </row>
    <row r="224" spans="1:7">
      <c r="A224" s="11" t="s">
        <v>5273</v>
      </c>
      <c r="B224" s="11" t="s">
        <v>5274</v>
      </c>
      <c r="C224" s="11">
        <v>110</v>
      </c>
      <c r="D224" s="11">
        <v>1514</v>
      </c>
      <c r="E224" s="11">
        <v>4849</v>
      </c>
      <c r="F224" s="11">
        <v>175749</v>
      </c>
      <c r="G224" s="11" cm="1">
        <f t="array" aca="1" ref="G224" ca="1">IFERROR(VLOOKUP("*" &amp; B224  &amp; "*" &amp; (MID(CELL("filename",A223),FIND("]",CELL("filename",A223))+1,31)) &amp; "*",CHOOSE({1,2}, Super_CBSA!$B$2:$B$1917, Super_CBSA!$A$2:$A$1917), 2,FALSE), IFERROR(VLOOKUP(B224  &amp; " city",CHOOSE({1,2}, Super_CBSA!$E$2:$E$1917, Super_CBSA!$A$2:$A$1917), 2,FALSE), ""))</f>
        <v>37420</v>
      </c>
    </row>
    <row r="225" spans="1:7">
      <c r="A225" s="11" t="s">
        <v>5158</v>
      </c>
      <c r="B225" s="11" t="s">
        <v>5159</v>
      </c>
      <c r="C225" s="11">
        <v>32</v>
      </c>
      <c r="D225" s="11">
        <v>531</v>
      </c>
      <c r="E225" s="11">
        <v>1911</v>
      </c>
      <c r="F225" s="11">
        <v>38935</v>
      </c>
      <c r="G225" s="11" cm="1">
        <f t="array" aca="1" ref="G225" ca="1">IFERROR(VLOOKUP("*" &amp; B225  &amp; "*" &amp; (MID(CELL("filename",A224),FIND("]",CELL("filename",A224))+1,31)) &amp; "*",CHOOSE({1,2}, Super_CBSA!$B$2:$B$1917, Super_CBSA!$A$2:$A$1917), 2,FALSE), IFERROR(VLOOKUP(B225  &amp; " city",CHOOSE({1,2}, Super_CBSA!$E$2:$E$1917, Super_CBSA!$A$2:$A$1917), 2,FALSE), ""))</f>
        <v>25820</v>
      </c>
    </row>
    <row r="226" spans="1:7">
      <c r="A226" s="11" t="s">
        <v>5280</v>
      </c>
      <c r="B226" s="11" t="s">
        <v>5281</v>
      </c>
      <c r="C226" s="11">
        <v>30</v>
      </c>
      <c r="D226" s="11">
        <v>1135</v>
      </c>
      <c r="E226" s="11">
        <v>1861</v>
      </c>
      <c r="F226" s="11">
        <v>70784</v>
      </c>
      <c r="G226" s="11" cm="1">
        <f t="array" aca="1" ref="G226" ca="1">IFERROR(VLOOKUP("*" &amp; B226  &amp; "*" &amp; (MID(CELL("filename",A225),FIND("]",CELL("filename",A225))+1,31)) &amp; "*",CHOOSE({1,2}, Super_CBSA!$B$2:$B$1917, Super_CBSA!$A$2:$A$1917), 2,FALSE), IFERROR(VLOOKUP(B226  &amp; " city",CHOOSE({1,2}, Super_CBSA!$E$2:$E$1917, Super_CBSA!$A$2:$A$1917), 2,FALSE), ""))</f>
        <v>11380</v>
      </c>
    </row>
    <row r="227" spans="1:7">
      <c r="A227" s="11" t="s">
        <v>5287</v>
      </c>
      <c r="B227" s="11" t="s">
        <v>4870</v>
      </c>
      <c r="C227" s="11">
        <v>39</v>
      </c>
      <c r="D227" s="11">
        <v>917</v>
      </c>
      <c r="E227" s="11">
        <v>3680</v>
      </c>
      <c r="F227" s="11">
        <v>59996</v>
      </c>
      <c r="G227" s="11" cm="1">
        <f t="array" aca="1" ref="G227" ca="1">IFERROR(VLOOKUP("*" &amp; B227  &amp; "*" &amp; (MID(CELL("filename",A226),FIND("]",CELL("filename",A226))+1,31)) &amp; "*",CHOOSE({1,2}, Super_CBSA!$B$2:$B$1917, Super_CBSA!$A$2:$A$1917), 2,FALSE), IFERROR(VLOOKUP(B227  &amp; " city",CHOOSE({1,2}, Super_CBSA!$E$2:$E$1917, Super_CBSA!$A$2:$A$1917), 2,FALSE), ""))</f>
        <v>45020</v>
      </c>
    </row>
    <row r="228" spans="1:7">
      <c r="A228" s="11" t="s">
        <v>5194</v>
      </c>
      <c r="B228" s="11" t="s">
        <v>5195</v>
      </c>
      <c r="C228" s="11">
        <v>22</v>
      </c>
      <c r="D228" s="11">
        <v>305</v>
      </c>
      <c r="E228" s="11">
        <v>1099</v>
      </c>
      <c r="F228" s="11">
        <v>30707</v>
      </c>
      <c r="G228" s="11" cm="1">
        <f t="array" aca="1" ref="G228" ca="1">IFERROR(VLOOKUP("*" &amp; B228  &amp; "*" &amp; (MID(CELL("filename",A227),FIND("]",CELL("filename",A227))+1,31)) &amp; "*",CHOOSE({1,2}, Super_CBSA!$B$2:$B$1917, Super_CBSA!$A$2:$A$1917), 2,FALSE), IFERROR(VLOOKUP(B228  &amp; " city",CHOOSE({1,2}, Super_CBSA!$E$2:$E$1917, Super_CBSA!$A$2:$A$1917), 2,FALSE), ""))</f>
        <v>29500</v>
      </c>
    </row>
    <row r="229" spans="1:7">
      <c r="A229" s="11" t="s">
        <v>5385</v>
      </c>
      <c r="B229" s="11" t="s">
        <v>1107</v>
      </c>
      <c r="C229" s="11">
        <v>28</v>
      </c>
      <c r="D229" s="11">
        <v>715</v>
      </c>
      <c r="E229" s="11">
        <v>2579</v>
      </c>
      <c r="F229" s="11">
        <v>47845</v>
      </c>
      <c r="G229" s="11" cm="1">
        <f t="array" aca="1" ref="G229" ca="1">IFERROR(VLOOKUP("*" &amp; B229  &amp; "*" &amp; (MID(CELL("filename",A228),FIND("]",CELL("filename",A228))+1,31)) &amp; "*",CHOOSE({1,2}, Super_CBSA!$B$2:$B$1917, Super_CBSA!$A$2:$A$1917), 2,FALSE), IFERROR(VLOOKUP(B229  &amp; " city",CHOOSE({1,2}, Super_CBSA!$E$2:$E$1917, Super_CBSA!$A$2:$A$1917), 2,FALSE), ""))</f>
        <v>46900</v>
      </c>
    </row>
    <row r="230" spans="1:7">
      <c r="A230" s="11" t="s">
        <v>5061</v>
      </c>
      <c r="B230" s="11" t="s">
        <v>1548</v>
      </c>
      <c r="C230" s="11">
        <v>37</v>
      </c>
      <c r="D230" s="11">
        <v>725</v>
      </c>
      <c r="E230" s="11">
        <v>2524</v>
      </c>
      <c r="F230" s="11">
        <v>29145</v>
      </c>
      <c r="G230" s="11" t="str" cm="1">
        <f t="array" aca="1" ref="G230" ca="1">IFERROR(VLOOKUP("*" &amp; B230  &amp; "*" &amp; (MID(CELL("filename",A229),FIND("]",CELL("filename",A229))+1,31)) &amp; "*",CHOOSE({1,2}, Super_CBSA!$B$2:$B$1917, Super_CBSA!$A$2:$A$1917), 2,FALSE), IFERROR(VLOOKUP(B230  &amp; " city",CHOOSE({1,2}, Super_CBSA!$E$2:$E$1917, Super_CBSA!$A$2:$A$1917), 2,FALSE), ""))</f>
        <v/>
      </c>
    </row>
    <row r="231" spans="1:7">
      <c r="A231" s="11" t="s">
        <v>5084</v>
      </c>
      <c r="B231" s="11" t="s">
        <v>3130</v>
      </c>
      <c r="C231" s="11">
        <v>16</v>
      </c>
      <c r="D231" s="11">
        <v>67</v>
      </c>
      <c r="E231" s="11">
        <v>271</v>
      </c>
      <c r="F231" s="11">
        <v>531482</v>
      </c>
      <c r="G231" s="11" t="str" cm="1">
        <f t="array" aca="1" ref="G231" ca="1">IFERROR(VLOOKUP("*" &amp; B231  &amp; "*" &amp; (MID(CELL("filename",A230),FIND("]",CELL("filename",A230))+1,31)) &amp; "*",CHOOSE({1,2}, Super_CBSA!$B$2:$B$1917, Super_CBSA!$A$2:$A$1917), 2,FALSE), IFERROR(VLOOKUP(B231  &amp; " city",CHOOSE({1,2}, Super_CBSA!$E$2:$E$1917, Super_CBSA!$A$2:$A$1917), 2,FALSE), ""))</f>
        <v/>
      </c>
    </row>
    <row r="232" spans="1:7">
      <c r="A232" s="11" t="s">
        <v>5316</v>
      </c>
      <c r="B232" s="11" t="s">
        <v>3130</v>
      </c>
      <c r="C232" s="11">
        <v>107</v>
      </c>
      <c r="D232" s="11">
        <v>17128</v>
      </c>
      <c r="E232" s="11">
        <v>17679</v>
      </c>
      <c r="F232" s="11">
        <v>58595</v>
      </c>
      <c r="G232" s="11" t="str" cm="1">
        <f t="array" aca="1" ref="G232" ca="1">IFERROR(VLOOKUP("*" &amp; B232  &amp; "*" &amp; (MID(CELL("filename",A231),FIND("]",CELL("filename",A231))+1,31)) &amp; "*",CHOOSE({1,2}, Super_CBSA!$B$2:$B$1917, Super_CBSA!$A$2:$A$1917), 2,FALSE), IFERROR(VLOOKUP(B232  &amp; " city",CHOOSE({1,2}, Super_CBSA!$E$2:$E$1917, Super_CBSA!$A$2:$A$1917), 2,FALSE), ""))</f>
        <v/>
      </c>
    </row>
    <row r="233" spans="1:7">
      <c r="A233" s="11" t="s">
        <v>5372</v>
      </c>
      <c r="B233" s="11" t="s">
        <v>2307</v>
      </c>
      <c r="C233" s="11">
        <v>41</v>
      </c>
      <c r="D233" s="11">
        <v>1154</v>
      </c>
      <c r="E233" s="11">
        <v>3606</v>
      </c>
      <c r="F233" s="11">
        <v>183039</v>
      </c>
      <c r="G233" s="11" t="str" cm="1">
        <f t="array" aca="1" ref="G233" ca="1">IFERROR(VLOOKUP("*" &amp; B233  &amp; "*" &amp; (MID(CELL("filename",A232),FIND("]",CELL("filename",A232))+1,31)) &amp; "*",CHOOSE({1,2}, Super_CBSA!$B$2:$B$1917, Super_CBSA!$A$2:$A$1917), 2,FALSE), IFERROR(VLOOKUP(B233  &amp; " city",CHOOSE({1,2}, Super_CBSA!$E$2:$E$1917, Super_CBSA!$A$2:$A$1917), 2,FALSE), ""))</f>
        <v/>
      </c>
    </row>
    <row r="234" spans="1:7">
      <c r="A234" s="11" t="s">
        <v>3443</v>
      </c>
      <c r="B234" s="11" t="s">
        <v>1612</v>
      </c>
      <c r="C234" s="11">
        <v>40</v>
      </c>
      <c r="D234" s="11">
        <v>823</v>
      </c>
      <c r="E234" s="11">
        <v>3214</v>
      </c>
      <c r="F234" s="11">
        <v>63123</v>
      </c>
      <c r="G234" s="11" t="str" cm="1">
        <f t="array" aca="1" ref="G234" ca="1">IFERROR(VLOOKUP("*" &amp; B234  &amp; "*" &amp; (MID(CELL("filename",A233),FIND("]",CELL("filename",A233))+1,31)) &amp; "*",CHOOSE({1,2}, Super_CBSA!$B$2:$B$1917, Super_CBSA!$A$2:$A$1917), 2,FALSE), IFERROR(VLOOKUP(B234  &amp; " city",CHOOSE({1,2}, Super_CBSA!$E$2:$E$1917, Super_CBSA!$A$2:$A$1917), 2,FALSE), ""))</f>
        <v/>
      </c>
    </row>
    <row r="235" spans="1:7">
      <c r="A235" s="11" t="s">
        <v>4981</v>
      </c>
      <c r="B235" s="11" t="s">
        <v>4982</v>
      </c>
      <c r="C235" s="11">
        <v>70</v>
      </c>
      <c r="D235" s="11">
        <v>4560</v>
      </c>
      <c r="E235" s="11">
        <v>19471</v>
      </c>
      <c r="F235" s="11">
        <v>454859</v>
      </c>
      <c r="G235" s="11" t="str" cm="1">
        <f t="array" aca="1" ref="G235" ca="1">IFERROR(VLOOKUP("*" &amp; B235  &amp; "*" &amp; (MID(CELL("filename",A234),FIND("]",CELL("filename",A234))+1,31)) &amp; "*",CHOOSE({1,2}, Super_CBSA!$B$2:$B$1917, Super_CBSA!$A$2:$A$1917), 2,FALSE), IFERROR(VLOOKUP(B235  &amp; " city",CHOOSE({1,2}, Super_CBSA!$E$2:$E$1917, Super_CBSA!$A$2:$A$1917), 2,FALSE), ""))</f>
        <v/>
      </c>
    </row>
    <row r="236" spans="1:7">
      <c r="A236" s="11" t="s">
        <v>5267</v>
      </c>
      <c r="B236" s="11" t="s">
        <v>803</v>
      </c>
      <c r="C236" s="11">
        <v>188</v>
      </c>
      <c r="D236" s="11">
        <v>5421</v>
      </c>
      <c r="E236" s="11">
        <v>23319</v>
      </c>
      <c r="F236" s="11">
        <v>775961</v>
      </c>
      <c r="G236" s="11" cm="1">
        <f t="array" aca="1" ref="G236" ca="1">IFERROR(VLOOKUP("*" &amp; B236  &amp; "*" &amp; (MID(CELL("filename",A235),FIND("]",CELL("filename",A235))+1,31)) &amp; "*",CHOOSE({1,2}, Super_CBSA!$B$2:$B$1917, Super_CBSA!$A$2:$A$1917), 2,FALSE), IFERROR(VLOOKUP(B236  &amp; " city",CHOOSE({1,2}, Super_CBSA!$E$2:$E$1917, Super_CBSA!$A$2:$A$1917), 2,FALSE), ""))</f>
        <v>40060</v>
      </c>
    </row>
    <row r="237" spans="1:7">
      <c r="A237" s="11" t="s">
        <v>5171</v>
      </c>
      <c r="B237" s="11" t="s">
        <v>200</v>
      </c>
      <c r="C237" s="11">
        <v>161</v>
      </c>
      <c r="D237" s="11">
        <v>5624</v>
      </c>
      <c r="E237" s="11">
        <v>27433</v>
      </c>
      <c r="F237" s="11">
        <v>493567</v>
      </c>
      <c r="G237" s="11" t="str" cm="1">
        <f t="array" aca="1" ref="G237" ca="1">IFERROR(VLOOKUP("*" &amp; B237  &amp; "*" &amp; (MID(CELL("filename",A236),FIND("]",CELL("filename",A236))+1,31)) &amp; "*",CHOOSE({1,2}, Super_CBSA!$B$2:$B$1917, Super_CBSA!$A$2:$A$1917), 2,FALSE), IFERROR(VLOOKUP(B237  &amp; " city",CHOOSE({1,2}, Super_CBSA!$E$2:$E$1917, Super_CBSA!$A$2:$A$1917), 2,FALSE), ""))</f>
        <v/>
      </c>
    </row>
    <row r="238" spans="1:7">
      <c r="A238" s="11" t="s">
        <v>5018</v>
      </c>
      <c r="B238" s="11" t="s">
        <v>5019</v>
      </c>
      <c r="C238" s="11">
        <v>22</v>
      </c>
      <c r="D238" s="11">
        <v>660</v>
      </c>
      <c r="E238" s="11">
        <v>2789</v>
      </c>
      <c r="F238" s="11">
        <v>153784</v>
      </c>
      <c r="G238" s="11" t="str" cm="1">
        <f t="array" aca="1" ref="G238" ca="1">IFERROR(VLOOKUP("*" &amp; B238  &amp; "*" &amp; (MID(CELL("filename",A237),FIND("]",CELL("filename",A237))+1,31)) &amp; "*",CHOOSE({1,2}, Super_CBSA!$B$2:$B$1917, Super_CBSA!$A$2:$A$1917), 2,FALSE), IFERROR(VLOOKUP(B238  &amp; " city",CHOOSE({1,2}, Super_CBSA!$E$2:$E$1917, Super_CBSA!$A$2:$A$1917), 2,FALSE), ""))</f>
        <v/>
      </c>
    </row>
    <row r="239" spans="1:7">
      <c r="A239" s="11" t="s">
        <v>5191</v>
      </c>
      <c r="B239" s="11" t="s">
        <v>5019</v>
      </c>
      <c r="C239" s="11">
        <v>59</v>
      </c>
      <c r="D239" s="11">
        <v>0</v>
      </c>
      <c r="E239" s="11">
        <v>0</v>
      </c>
      <c r="F239" s="11">
        <v>39018</v>
      </c>
      <c r="G239" s="11" t="str" cm="1">
        <f t="array" aca="1" ref="G239" ca="1">IFERROR(VLOOKUP("*" &amp; B239  &amp; "*" &amp; (MID(CELL("filename",A238),FIND("]",CELL("filename",A238))+1,31)) &amp; "*",CHOOSE({1,2}, Super_CBSA!$B$2:$B$1917, Super_CBSA!$A$2:$A$1917), 2,FALSE), IFERROR(VLOOKUP(B239  &amp; " city",CHOOSE({1,2}, Super_CBSA!$E$2:$E$1917, Super_CBSA!$A$2:$A$1917), 2,FALSE), ""))</f>
        <v/>
      </c>
    </row>
    <row r="240" spans="1:7">
      <c r="A240" s="11" t="s">
        <v>5201</v>
      </c>
      <c r="B240" s="11" t="s">
        <v>5019</v>
      </c>
      <c r="C240" s="11">
        <v>185</v>
      </c>
      <c r="D240" s="11">
        <v>9442</v>
      </c>
      <c r="E240" s="11">
        <v>45950</v>
      </c>
      <c r="F240" s="11">
        <v>1683273</v>
      </c>
      <c r="G240" s="11" t="str" cm="1">
        <f t="array" aca="1" ref="G240" ca="1">IFERROR(VLOOKUP("*" &amp; B240  &amp; "*" &amp; (MID(CELL("filename",A239),FIND("]",CELL("filename",A239))+1,31)) &amp; "*",CHOOSE({1,2}, Super_CBSA!$B$2:$B$1917, Super_CBSA!$A$2:$A$1917), 2,FALSE), IFERROR(VLOOKUP(B240  &amp; " city",CHOOSE({1,2}, Super_CBSA!$E$2:$E$1917, Super_CBSA!$A$2:$A$1917), 2,FALSE), ""))</f>
        <v/>
      </c>
    </row>
    <row r="241" spans="1:7">
      <c r="A241" s="11" t="s">
        <v>5327</v>
      </c>
      <c r="B241" s="11" t="s">
        <v>5019</v>
      </c>
      <c r="C241" s="11">
        <v>196</v>
      </c>
      <c r="D241" s="11">
        <v>10568</v>
      </c>
      <c r="E241" s="11">
        <v>45895</v>
      </c>
      <c r="F241" s="11">
        <v>912232</v>
      </c>
      <c r="G241" s="11" t="str" cm="1">
        <f t="array" aca="1" ref="G241" ca="1">IFERROR(VLOOKUP("*" &amp; B241  &amp; "*" &amp; (MID(CELL("filename",A240),FIND("]",CELL("filename",A240))+1,31)) &amp; "*",CHOOSE({1,2}, Super_CBSA!$B$2:$B$1917, Super_CBSA!$A$2:$A$1917), 2,FALSE), IFERROR(VLOOKUP(B241  &amp; " city",CHOOSE({1,2}, Super_CBSA!$E$2:$E$1917, Super_CBSA!$A$2:$A$1917), 2,FALSE), ""))</f>
        <v/>
      </c>
    </row>
    <row r="242" spans="1:7">
      <c r="A242" s="11" t="s">
        <v>5321</v>
      </c>
      <c r="B242" s="11" t="s">
        <v>5322</v>
      </c>
      <c r="C242" s="11">
        <v>31</v>
      </c>
      <c r="D242" s="11">
        <v>1522</v>
      </c>
      <c r="E242" s="11">
        <v>4760</v>
      </c>
      <c r="F242" s="11">
        <v>149211</v>
      </c>
      <c r="G242" s="11" t="str" cm="1">
        <f t="array" aca="1" ref="G242" ca="1">IFERROR(VLOOKUP("*" &amp; B242  &amp; "*" &amp; (MID(CELL("filename",A241),FIND("]",CELL("filename",A241))+1,31)) &amp; "*",CHOOSE({1,2}, Super_CBSA!$B$2:$B$1917, Super_CBSA!$A$2:$A$1917), 2,FALSE), IFERROR(VLOOKUP(B242  &amp; " city",CHOOSE({1,2}, Super_CBSA!$E$2:$E$1917, Super_CBSA!$A$2:$A$1917), 2,FALSE), ""))</f>
        <v/>
      </c>
    </row>
    <row r="243" spans="1:7">
      <c r="A243" s="11" t="s">
        <v>5100</v>
      </c>
      <c r="B243" s="11" t="s">
        <v>483</v>
      </c>
      <c r="C243" s="11">
        <v>84</v>
      </c>
      <c r="D243" s="11">
        <v>687</v>
      </c>
      <c r="E243" s="11">
        <v>2188</v>
      </c>
      <c r="F243" s="11">
        <v>260564</v>
      </c>
      <c r="G243" s="11" t="str" cm="1">
        <f t="array" aca="1" ref="G243" ca="1">IFERROR(VLOOKUP("*" &amp; B243  &amp; "*" &amp; (MID(CELL("filename",A242),FIND("]",CELL("filename",A242))+1,31)) &amp; "*",CHOOSE({1,2}, Super_CBSA!$B$2:$B$1917, Super_CBSA!$A$2:$A$1917), 2,FALSE), IFERROR(VLOOKUP(B243  &amp; " city",CHOOSE({1,2}, Super_CBSA!$E$2:$E$1917, Super_CBSA!$A$2:$A$1917), 2,FALSE), ""))</f>
        <v/>
      </c>
    </row>
    <row r="244" spans="1:7">
      <c r="A244" s="11" t="s">
        <v>5131</v>
      </c>
      <c r="B244" s="11" t="s">
        <v>733</v>
      </c>
      <c r="C244" s="11">
        <v>37</v>
      </c>
      <c r="D244" s="11">
        <v>329</v>
      </c>
      <c r="E244" s="11">
        <v>942</v>
      </c>
      <c r="F244" s="11">
        <v>43831</v>
      </c>
      <c r="G244" s="11" t="str" cm="1">
        <f t="array" aca="1" ref="G244" ca="1">IFERROR(VLOOKUP("*" &amp; B244  &amp; "*" &amp; (MID(CELL("filename",A243),FIND("]",CELL("filename",A243))+1,31)) &amp; "*",CHOOSE({1,2}, Super_CBSA!$B$2:$B$1917, Super_CBSA!$A$2:$A$1917), 2,FALSE), IFERROR(VLOOKUP(B244  &amp; " city",CHOOSE({1,2}, Super_CBSA!$E$2:$E$1917, Super_CBSA!$A$2:$A$1917), 2,FALSE), ""))</f>
        <v/>
      </c>
    </row>
    <row r="245" spans="1:7">
      <c r="A245" s="11" t="s">
        <v>5392</v>
      </c>
      <c r="B245" s="11" t="s">
        <v>122</v>
      </c>
      <c r="C245" s="11">
        <v>116</v>
      </c>
      <c r="D245" s="11">
        <v>5148</v>
      </c>
      <c r="E245" s="11">
        <v>20377</v>
      </c>
      <c r="F245" s="11">
        <v>965027</v>
      </c>
      <c r="G245" s="11" t="str" cm="1">
        <f t="array" aca="1" ref="G245" ca="1">IFERROR(VLOOKUP("*" &amp; B245  &amp; "*" &amp; (MID(CELL("filename",A244),FIND("]",CELL("filename",A244))+1,31)) &amp; "*",CHOOSE({1,2}, Super_CBSA!$B$2:$B$1917, Super_CBSA!$A$2:$A$1917), 2,FALSE), IFERROR(VLOOKUP(B245  &amp; " city",CHOOSE({1,2}, Super_CBSA!$E$2:$E$1917, Super_CBSA!$A$2:$A$1917), 2,FALSE), ""))</f>
        <v/>
      </c>
    </row>
    <row r="246" spans="1:7">
      <c r="A246" s="11" t="s">
        <v>4968</v>
      </c>
      <c r="B246" s="11" t="s">
        <v>2396</v>
      </c>
      <c r="C246" s="11">
        <v>0</v>
      </c>
      <c r="D246" s="11">
        <v>0</v>
      </c>
      <c r="E246" s="11">
        <v>0</v>
      </c>
      <c r="F246" s="11">
        <v>0</v>
      </c>
      <c r="G246" s="11" t="str" cm="1">
        <f t="array" aca="1" ref="G246" ca="1">IFERROR(VLOOKUP("*" &amp; B246  &amp; "*" &amp; (MID(CELL("filename",A245),FIND("]",CELL("filename",A245))+1,31)) &amp; "*",CHOOSE({1,2}, Super_CBSA!$B$2:$B$1917, Super_CBSA!$A$2:$A$1917), 2,FALSE), IFERROR(VLOOKUP(B246  &amp; " city",CHOOSE({1,2}, Super_CBSA!$E$2:$E$1917, Super_CBSA!$A$2:$A$1917), 2,FALSE), ""))</f>
        <v/>
      </c>
    </row>
    <row r="247" spans="1:7">
      <c r="A247" s="11" t="s">
        <v>5237</v>
      </c>
      <c r="B247" s="11" t="s">
        <v>2396</v>
      </c>
      <c r="C247" s="11">
        <v>254</v>
      </c>
      <c r="D247" s="11">
        <v>11807</v>
      </c>
      <c r="E247" s="11">
        <v>56707</v>
      </c>
      <c r="F247" s="11">
        <v>890995</v>
      </c>
      <c r="G247" s="11" t="str" cm="1">
        <f t="array" aca="1" ref="G247" ca="1">IFERROR(VLOOKUP("*" &amp; B247  &amp; "*" &amp; (MID(CELL("filename",A246),FIND("]",CELL("filename",A246))+1,31)) &amp; "*",CHOOSE({1,2}, Super_CBSA!$B$2:$B$1917, Super_CBSA!$A$2:$A$1917), 2,FALSE), IFERROR(VLOOKUP(B247  &amp; " city",CHOOSE({1,2}, Super_CBSA!$E$2:$E$1917, Super_CBSA!$A$2:$A$1917), 2,FALSE), ""))</f>
        <v/>
      </c>
    </row>
    <row r="248" spans="1:7">
      <c r="A248" s="11" t="s">
        <v>5289</v>
      </c>
      <c r="B248" s="11" t="s">
        <v>5290</v>
      </c>
      <c r="C248" s="11">
        <v>23</v>
      </c>
      <c r="D248" s="11">
        <v>139</v>
      </c>
      <c r="E248" s="11">
        <v>287</v>
      </c>
      <c r="F248" s="11">
        <v>53332</v>
      </c>
      <c r="G248" s="11" t="str" cm="1">
        <f t="array" aca="1" ref="G248" ca="1">IFERROR(VLOOKUP("*" &amp; B248  &amp; "*" &amp; (MID(CELL("filename",A247),FIND("]",CELL("filename",A247))+1,31)) &amp; "*",CHOOSE({1,2}, Super_CBSA!$B$2:$B$1917, Super_CBSA!$A$2:$A$1917), 2,FALSE), IFERROR(VLOOKUP(B248  &amp; " city",CHOOSE({1,2}, Super_CBSA!$E$2:$E$1917, Super_CBSA!$A$2:$A$1917), 2,FALSE), ""))</f>
        <v/>
      </c>
    </row>
    <row r="249" spans="1:7">
      <c r="A249" s="11" t="s">
        <v>4933</v>
      </c>
      <c r="B249" s="11" t="s">
        <v>4934</v>
      </c>
      <c r="C249" s="11">
        <v>7</v>
      </c>
      <c r="D249" s="11">
        <v>302</v>
      </c>
      <c r="E249" s="11">
        <v>1836</v>
      </c>
      <c r="F249" s="11">
        <v>9391</v>
      </c>
      <c r="G249" s="11" t="str" cm="1">
        <f t="array" aca="1" ref="G249" ca="1">IFERROR(VLOOKUP("*" &amp; B249  &amp; "*" &amp; (MID(CELL("filename",A248),FIND("]",CELL("filename",A248))+1,31)) &amp; "*",CHOOSE({1,2}, Super_CBSA!$B$2:$B$1917, Super_CBSA!$A$2:$A$1917), 2,FALSE), IFERROR(VLOOKUP(B249  &amp; " city",CHOOSE({1,2}, Super_CBSA!$E$2:$E$1917, Super_CBSA!$A$2:$A$1917), 2,FALSE), ""))</f>
        <v/>
      </c>
    </row>
    <row r="250" spans="1:7">
      <c r="A250" s="11" t="s">
        <v>5291</v>
      </c>
      <c r="B250" s="11" t="s">
        <v>2281</v>
      </c>
      <c r="C250" s="11">
        <v>96</v>
      </c>
      <c r="D250" s="11">
        <v>4471</v>
      </c>
      <c r="E250" s="11">
        <v>11943</v>
      </c>
      <c r="F250" s="11">
        <v>137386</v>
      </c>
      <c r="G250" s="11" cm="1">
        <f t="array" aca="1" ref="G250" ca="1">IFERROR(VLOOKUP("*" &amp; B250  &amp; "*" &amp; (MID(CELL("filename",A249),FIND("]",CELL("filename",A249))+1,31)) &amp; "*",CHOOSE({1,2}, Super_CBSA!$B$2:$B$1917, Super_CBSA!$A$2:$A$1917), 2,FALSE), IFERROR(VLOOKUP(B250  &amp; " city",CHOOSE({1,2}, Super_CBSA!$E$2:$E$1917, Super_CBSA!$A$2:$A$1917), 2,FALSE), ""))</f>
        <v>12420</v>
      </c>
    </row>
    <row r="251" spans="1:7">
      <c r="A251" s="11" t="s">
        <v>5054</v>
      </c>
      <c r="B251" s="11" t="s">
        <v>232</v>
      </c>
      <c r="C251" s="11">
        <v>40</v>
      </c>
      <c r="D251" s="11">
        <v>726</v>
      </c>
      <c r="E251" s="11">
        <v>2225</v>
      </c>
      <c r="F251" s="11">
        <v>114268</v>
      </c>
      <c r="G251" s="11" t="str" cm="1">
        <f t="array" aca="1" ref="G251" ca="1">IFERROR(VLOOKUP("*" &amp; B251  &amp; "*" &amp; (MID(CELL("filename",A250),FIND("]",CELL("filename",A250))+1,31)) &amp; "*",CHOOSE({1,2}, Super_CBSA!$B$2:$B$1917, Super_CBSA!$A$2:$A$1917), 2,FALSE), IFERROR(VLOOKUP(B251  &amp; " city",CHOOSE({1,2}, Super_CBSA!$E$2:$E$1917, Super_CBSA!$A$2:$A$1917), 2,FALSE), ""))</f>
        <v/>
      </c>
    </row>
    <row r="252" spans="1:7">
      <c r="A252" s="11" t="s">
        <v>5331</v>
      </c>
      <c r="B252" s="11" t="s">
        <v>2557</v>
      </c>
      <c r="C252" s="11">
        <v>247</v>
      </c>
      <c r="D252" s="11">
        <v>11440</v>
      </c>
      <c r="E252" s="11">
        <v>45456</v>
      </c>
      <c r="F252" s="11">
        <v>930369</v>
      </c>
      <c r="G252" s="11" t="str" cm="1">
        <f t="array" aca="1" ref="G252" ca="1">IFERROR(VLOOKUP("*" &amp; B252  &amp; "*" &amp; (MID(CELL("filename",A251),FIND("]",CELL("filename",A251))+1,31)) &amp; "*",CHOOSE({1,2}, Super_CBSA!$B$2:$B$1917, Super_CBSA!$A$2:$A$1917), 2,FALSE), IFERROR(VLOOKUP(B252  &amp; " city",CHOOSE({1,2}, Super_CBSA!$E$2:$E$1917, Super_CBSA!$A$2:$A$1917), 2,FALSE), ""))</f>
        <v/>
      </c>
    </row>
    <row r="253" spans="1:7">
      <c r="A253" s="11" t="s">
        <v>5304</v>
      </c>
      <c r="B253" s="11" t="s">
        <v>2146</v>
      </c>
      <c r="C253" s="11">
        <v>27</v>
      </c>
      <c r="D253" s="11">
        <v>271</v>
      </c>
      <c r="E253" s="11">
        <v>1026</v>
      </c>
      <c r="F253" s="11">
        <v>21084</v>
      </c>
      <c r="G253" s="11" t="str" cm="1">
        <f t="array" aca="1" ref="G253" ca="1">IFERROR(VLOOKUP("*" &amp; B253  &amp; "*" &amp; (MID(CELL("filename",A252),FIND("]",CELL("filename",A252))+1,31)) &amp; "*",CHOOSE({1,2}, Super_CBSA!$B$2:$B$1917, Super_CBSA!$A$2:$A$1917), 2,FALSE), IFERROR(VLOOKUP(B253  &amp; " city",CHOOSE({1,2}, Super_CBSA!$E$2:$E$1917, Super_CBSA!$A$2:$A$1917), 2,FALSE), ""))</f>
        <v/>
      </c>
    </row>
    <row r="254" spans="1:7">
      <c r="A254" s="11" t="s">
        <v>5209</v>
      </c>
      <c r="B254" s="11" t="s">
        <v>5210</v>
      </c>
      <c r="C254" s="11">
        <v>82</v>
      </c>
      <c r="D254" s="11">
        <v>5086</v>
      </c>
      <c r="E254" s="11">
        <v>18843</v>
      </c>
      <c r="F254" s="11">
        <v>721123</v>
      </c>
      <c r="G254" s="11" t="str" cm="1">
        <f t="array" aca="1" ref="G254" ca="1">IFERROR(VLOOKUP("*" &amp; B254  &amp; "*" &amp; (MID(CELL("filename",A253),FIND("]",CELL("filename",A253))+1,31)) &amp; "*",CHOOSE({1,2}, Super_CBSA!$B$2:$B$1917, Super_CBSA!$A$2:$A$1917), 2,FALSE), IFERROR(VLOOKUP(B254  &amp; " city",CHOOSE({1,2}, Super_CBSA!$E$2:$E$1917, Super_CBSA!$A$2:$A$1917), 2,FALSE), ""))</f>
        <v/>
      </c>
    </row>
    <row r="255" spans="1:7">
      <c r="A255" s="11" t="s">
        <v>5312</v>
      </c>
      <c r="B255" s="11" t="s">
        <v>5313</v>
      </c>
      <c r="C255" s="11">
        <v>14</v>
      </c>
      <c r="D255" s="11">
        <v>260</v>
      </c>
      <c r="E255" s="11">
        <v>882</v>
      </c>
      <c r="F255" s="11">
        <v>41939</v>
      </c>
      <c r="G255" s="11" t="str" cm="1">
        <f t="array" aca="1" ref="G255" ca="1">IFERROR(VLOOKUP("*" &amp; B255  &amp; "*" &amp; (MID(CELL("filename",A254),FIND("]",CELL("filename",A254))+1,31)) &amp; "*",CHOOSE({1,2}, Super_CBSA!$B$2:$B$1917, Super_CBSA!$A$2:$A$1917), 2,FALSE), IFERROR(VLOOKUP(B255  &amp; " city",CHOOSE({1,2}, Super_CBSA!$E$2:$E$1917, Super_CBSA!$A$2:$A$1917), 2,FALSE), ""))</f>
        <v/>
      </c>
    </row>
    <row r="256" spans="1:7" hidden="1">
      <c r="A256" s="11" t="s">
        <v>4903</v>
      </c>
      <c r="B256" s="11" t="s">
        <v>4904</v>
      </c>
      <c r="C256" s="11">
        <v>118</v>
      </c>
      <c r="D256" s="11">
        <v>7027</v>
      </c>
      <c r="E256" s="11">
        <v>31803</v>
      </c>
      <c r="F256" s="11">
        <v>627288</v>
      </c>
      <c r="G256" t="e">
        <f>VLOOKUP("*" &amp; B256  &amp; "*",CHOOSE({1,2}, CBSA!$B$4:$B$920, CBSA!$A$4:$A$920), 2,FALSE)</f>
        <v>#N/A</v>
      </c>
    </row>
    <row r="257" spans="1:7" hidden="1">
      <c r="A257" s="11" t="s">
        <v>4905</v>
      </c>
      <c r="B257" s="11" t="s">
        <v>4906</v>
      </c>
      <c r="C257" s="11">
        <v>289</v>
      </c>
      <c r="D257" s="11">
        <v>12611</v>
      </c>
      <c r="E257" s="11">
        <v>57196</v>
      </c>
      <c r="F257" s="11">
        <v>833427</v>
      </c>
      <c r="G257" t="e">
        <f>VLOOKUP("*" &amp; B257  &amp; "*",CHOOSE({1,2}, CBSA!$B$4:$B$920, CBSA!$A$4:$A$920), 2,FALSE)</f>
        <v>#N/A</v>
      </c>
    </row>
    <row r="258" spans="1:7" hidden="1">
      <c r="A258" s="11" t="s">
        <v>4909</v>
      </c>
      <c r="B258" s="11" t="s">
        <v>4910</v>
      </c>
      <c r="C258" s="11">
        <v>32</v>
      </c>
      <c r="D258" s="11">
        <v>101</v>
      </c>
      <c r="E258" s="11">
        <v>260</v>
      </c>
      <c r="F258" s="11">
        <v>27166</v>
      </c>
      <c r="G258" t="e">
        <f>VLOOKUP("*" &amp; B258  &amp; "*",CHOOSE({1,2}, CBSA!$B$4:$B$920, CBSA!$A$4:$A$920), 2,FALSE)</f>
        <v>#N/A</v>
      </c>
    </row>
    <row r="259" spans="1:7" hidden="1">
      <c r="A259" s="11" t="s">
        <v>4914</v>
      </c>
      <c r="B259" s="11" t="s">
        <v>4915</v>
      </c>
      <c r="C259" s="11">
        <v>44</v>
      </c>
      <c r="D259" s="11">
        <v>909</v>
      </c>
      <c r="E259" s="11">
        <v>3150</v>
      </c>
      <c r="F259" s="11">
        <v>81027</v>
      </c>
      <c r="G259" t="e">
        <f>VLOOKUP("*" &amp; B259  &amp; "*",CHOOSE({1,2}, CBSA!$B$4:$B$920, CBSA!$A$4:$A$920), 2,FALSE)</f>
        <v>#N/A</v>
      </c>
    </row>
    <row r="260" spans="1:7" hidden="1">
      <c r="A260" s="11" t="s">
        <v>4916</v>
      </c>
      <c r="B260" s="11" t="s">
        <v>4917</v>
      </c>
      <c r="C260" s="11">
        <v>563</v>
      </c>
      <c r="D260" s="11">
        <v>29828</v>
      </c>
      <c r="E260" s="11">
        <v>140973</v>
      </c>
      <c r="F260" s="11">
        <v>6149833</v>
      </c>
      <c r="G260" t="e">
        <f>VLOOKUP("*" &amp; B260  &amp; "*",CHOOSE({1,2}, CBSA!$B$4:$B$920, CBSA!$A$4:$A$920), 2,FALSE)</f>
        <v>#N/A</v>
      </c>
    </row>
    <row r="261" spans="1:7" hidden="1">
      <c r="A261" s="11" t="s">
        <v>4919</v>
      </c>
      <c r="B261" s="11" t="s">
        <v>4920</v>
      </c>
      <c r="C261" s="11">
        <v>157</v>
      </c>
      <c r="D261" s="11">
        <v>6416</v>
      </c>
      <c r="E261" s="11">
        <v>28785</v>
      </c>
      <c r="F261" s="11">
        <v>1082175</v>
      </c>
      <c r="G261" t="e">
        <f>VLOOKUP("*" &amp; B261  &amp; "*",CHOOSE({1,2}, CBSA!$B$4:$B$920, CBSA!$A$4:$A$920), 2,FALSE)</f>
        <v>#N/A</v>
      </c>
    </row>
    <row r="262" spans="1:7" hidden="1">
      <c r="A262" s="11" t="s">
        <v>4921</v>
      </c>
      <c r="B262" s="11" t="s">
        <v>4922</v>
      </c>
      <c r="C262" s="11">
        <v>53</v>
      </c>
      <c r="D262" s="11">
        <v>2741</v>
      </c>
      <c r="E262" s="11">
        <v>12531</v>
      </c>
      <c r="F262" s="11">
        <v>405327</v>
      </c>
      <c r="G262" t="e">
        <f>VLOOKUP("*" &amp; B262  &amp; "*",CHOOSE({1,2}, CBSA!$B$4:$B$920, CBSA!$A$4:$A$920), 2,FALSE)</f>
        <v>#N/A</v>
      </c>
    </row>
    <row r="263" spans="1:7" hidden="1">
      <c r="A263" s="11" t="s">
        <v>4923</v>
      </c>
      <c r="B263" s="11" t="s">
        <v>4924</v>
      </c>
      <c r="C263" s="11">
        <v>62</v>
      </c>
      <c r="D263" s="11">
        <v>2220</v>
      </c>
      <c r="E263" s="11">
        <v>6324</v>
      </c>
      <c r="F263" s="11">
        <v>88343</v>
      </c>
      <c r="G263" t="e">
        <f>VLOOKUP("*" &amp; B263  &amp; "*",CHOOSE({1,2}, CBSA!$B$4:$B$920, CBSA!$A$4:$A$920), 2,FALSE)</f>
        <v>#N/A</v>
      </c>
    </row>
    <row r="264" spans="1:7" hidden="1">
      <c r="A264" s="11" t="s">
        <v>4930</v>
      </c>
      <c r="B264" s="11" t="s">
        <v>4931</v>
      </c>
      <c r="C264" s="11">
        <v>14</v>
      </c>
      <c r="D264" s="11">
        <v>786</v>
      </c>
      <c r="E264" s="11">
        <v>786</v>
      </c>
      <c r="F264" s="11">
        <v>161174</v>
      </c>
      <c r="G264" t="e">
        <f>VLOOKUP("*" &amp; B264  &amp; "*",CHOOSE({1,2}, CBSA!$B$4:$B$920, CBSA!$A$4:$A$920), 2,FALSE)</f>
        <v>#N/A</v>
      </c>
    </row>
    <row r="265" spans="1:7" hidden="1">
      <c r="A265" s="11" t="s">
        <v>4938</v>
      </c>
      <c r="B265" s="11" t="s">
        <v>4939</v>
      </c>
      <c r="C265" s="11">
        <v>142</v>
      </c>
      <c r="D265" s="11">
        <v>7947</v>
      </c>
      <c r="E265" s="11">
        <v>34888</v>
      </c>
      <c r="F265" s="11">
        <v>1059834</v>
      </c>
      <c r="G265" t="e">
        <f>VLOOKUP("*" &amp; B265  &amp; "*",CHOOSE({1,2}, CBSA!$B$4:$B$920, CBSA!$A$4:$A$920), 2,FALSE)</f>
        <v>#N/A</v>
      </c>
    </row>
    <row r="266" spans="1:7" hidden="1">
      <c r="A266" s="11" t="s">
        <v>4942</v>
      </c>
      <c r="B266" s="11" t="s">
        <v>3084</v>
      </c>
      <c r="C266" s="11">
        <v>8</v>
      </c>
      <c r="D266" s="11">
        <v>184</v>
      </c>
      <c r="E266" s="11">
        <v>564</v>
      </c>
      <c r="F266" s="11">
        <v>41650</v>
      </c>
      <c r="G266" t="e">
        <f>VLOOKUP("*" &amp; B266  &amp; "*",CHOOSE({1,2}, CBSA!$B$4:$B$920, CBSA!$A$4:$A$920), 2,FALSE)</f>
        <v>#N/A</v>
      </c>
    </row>
    <row r="267" spans="1:7" hidden="1">
      <c r="A267" s="11" t="s">
        <v>4946</v>
      </c>
      <c r="B267" s="11" t="s">
        <v>4947</v>
      </c>
      <c r="C267" s="11">
        <v>30</v>
      </c>
      <c r="D267" s="11">
        <v>32</v>
      </c>
      <c r="E267" s="11">
        <v>194</v>
      </c>
      <c r="F267" s="11">
        <v>44773</v>
      </c>
      <c r="G267" t="e">
        <f>VLOOKUP("*" &amp; B267  &amp; "*",CHOOSE({1,2}, CBSA!$B$4:$B$920, CBSA!$A$4:$A$920), 2,FALSE)</f>
        <v>#N/A</v>
      </c>
    </row>
    <row r="268" spans="1:7" hidden="1">
      <c r="A268" s="11" t="s">
        <v>4953</v>
      </c>
      <c r="B268" s="11" t="s">
        <v>4954</v>
      </c>
      <c r="C268" s="11">
        <v>0</v>
      </c>
      <c r="D268" s="11">
        <v>0</v>
      </c>
      <c r="E268" s="11">
        <v>0</v>
      </c>
      <c r="F268" s="11">
        <v>0</v>
      </c>
      <c r="G268" t="e">
        <f>VLOOKUP("*" &amp; B268  &amp; "*",CHOOSE({1,2}, CBSA!$B$4:$B$920, CBSA!$A$4:$A$920), 2,FALSE)</f>
        <v>#N/A</v>
      </c>
    </row>
    <row r="269" spans="1:7" hidden="1">
      <c r="A269" s="11" t="s">
        <v>4962</v>
      </c>
      <c r="B269" s="11" t="s">
        <v>4963</v>
      </c>
      <c r="C269" s="11">
        <v>0</v>
      </c>
      <c r="D269" s="11">
        <v>0</v>
      </c>
      <c r="E269" s="11">
        <v>0</v>
      </c>
      <c r="F269" s="11">
        <v>0</v>
      </c>
      <c r="G269" t="e">
        <f>VLOOKUP("*" &amp; B269  &amp; "*",CHOOSE({1,2}, CBSA!$B$4:$B$920, CBSA!$A$4:$A$920), 2,FALSE)</f>
        <v>#N/A</v>
      </c>
    </row>
    <row r="270" spans="1:7" hidden="1">
      <c r="A270" s="11" t="s">
        <v>4964</v>
      </c>
      <c r="B270" s="11" t="s">
        <v>4965</v>
      </c>
      <c r="C270" s="11">
        <v>0</v>
      </c>
      <c r="D270" s="11">
        <v>0</v>
      </c>
      <c r="E270" s="11">
        <v>0</v>
      </c>
      <c r="F270" s="11">
        <v>0</v>
      </c>
      <c r="G270" t="e">
        <f>VLOOKUP("*" &amp; B270  &amp; "*",CHOOSE({1,2}, CBSA!$B$4:$B$920, CBSA!$A$4:$A$920), 2,FALSE)</f>
        <v>#N/A</v>
      </c>
    </row>
    <row r="271" spans="1:7" hidden="1">
      <c r="A271" s="11" t="s">
        <v>4966</v>
      </c>
      <c r="B271" s="11" t="s">
        <v>4967</v>
      </c>
      <c r="C271" s="11">
        <v>0</v>
      </c>
      <c r="D271" s="11">
        <v>0</v>
      </c>
      <c r="E271" s="11">
        <v>0</v>
      </c>
      <c r="F271" s="11">
        <v>0</v>
      </c>
      <c r="G271" t="e">
        <f>VLOOKUP("*" &amp; B271  &amp; "*",CHOOSE({1,2}, CBSA!$B$4:$B$920, CBSA!$A$4:$A$920), 2,FALSE)</f>
        <v>#N/A</v>
      </c>
    </row>
    <row r="272" spans="1:7" hidden="1">
      <c r="A272" s="11" t="s">
        <v>4969</v>
      </c>
      <c r="B272" s="11" t="s">
        <v>4970</v>
      </c>
      <c r="C272" s="11">
        <v>0</v>
      </c>
      <c r="D272" s="11">
        <v>0</v>
      </c>
      <c r="E272" s="11">
        <v>0</v>
      </c>
      <c r="F272" s="11">
        <v>0</v>
      </c>
      <c r="G272" t="e">
        <f>VLOOKUP("*" &amp; B272  &amp; "*",CHOOSE({1,2}, CBSA!$B$4:$B$920, CBSA!$A$4:$A$920), 2,FALSE)</f>
        <v>#N/A</v>
      </c>
    </row>
    <row r="273" spans="1:7" hidden="1">
      <c r="A273" s="11" t="s">
        <v>4971</v>
      </c>
      <c r="B273" s="11" t="s">
        <v>4922</v>
      </c>
      <c r="C273" s="11">
        <v>8</v>
      </c>
      <c r="D273" s="11">
        <v>197</v>
      </c>
      <c r="E273" s="11">
        <v>496</v>
      </c>
      <c r="F273" s="11">
        <v>50619</v>
      </c>
      <c r="G273" t="e">
        <f>VLOOKUP("*" &amp; B273  &amp; "*",CHOOSE({1,2}, CBSA!$B$4:$B$920, CBSA!$A$4:$A$920), 2,FALSE)</f>
        <v>#N/A</v>
      </c>
    </row>
    <row r="274" spans="1:7" hidden="1">
      <c r="A274" s="11" t="s">
        <v>4972</v>
      </c>
      <c r="B274" s="11" t="s">
        <v>4973</v>
      </c>
      <c r="C274" s="11">
        <v>40</v>
      </c>
      <c r="D274" s="11">
        <v>648</v>
      </c>
      <c r="E274" s="11">
        <v>1235</v>
      </c>
      <c r="F274" s="11">
        <v>158719</v>
      </c>
      <c r="G274" t="e">
        <f>VLOOKUP("*" &amp; B274  &amp; "*",CHOOSE({1,2}, CBSA!$B$4:$B$920, CBSA!$A$4:$A$920), 2,FALSE)</f>
        <v>#N/A</v>
      </c>
    </row>
    <row r="275" spans="1:7" hidden="1">
      <c r="A275" s="11" t="s">
        <v>4974</v>
      </c>
      <c r="B275" s="11" t="s">
        <v>4975</v>
      </c>
      <c r="C275" s="11">
        <v>24</v>
      </c>
      <c r="D275" s="11">
        <v>423</v>
      </c>
      <c r="E275" s="11">
        <v>741</v>
      </c>
      <c r="F275" s="11">
        <v>115019</v>
      </c>
      <c r="G275" t="e">
        <f>VLOOKUP("*" &amp; B275  &amp; "*",CHOOSE({1,2}, CBSA!$B$4:$B$920, CBSA!$A$4:$A$920), 2,FALSE)</f>
        <v>#N/A</v>
      </c>
    </row>
    <row r="276" spans="1:7" hidden="1">
      <c r="A276" s="11" t="s">
        <v>4979</v>
      </c>
      <c r="B276" s="11" t="s">
        <v>4980</v>
      </c>
      <c r="C276" s="11">
        <v>25</v>
      </c>
      <c r="D276" s="11">
        <v>522</v>
      </c>
      <c r="E276" s="11">
        <v>1197</v>
      </c>
      <c r="F276" s="11">
        <v>89415</v>
      </c>
      <c r="G276" t="e">
        <f>VLOOKUP("*" &amp; B276  &amp; "*",CHOOSE({1,2}, CBSA!$B$4:$B$920, CBSA!$A$4:$A$920), 2,FALSE)</f>
        <v>#N/A</v>
      </c>
    </row>
    <row r="277" spans="1:7" hidden="1">
      <c r="A277" s="11" t="s">
        <v>4986</v>
      </c>
      <c r="B277" s="11" t="s">
        <v>1644</v>
      </c>
      <c r="C277" s="11">
        <v>89</v>
      </c>
      <c r="D277" s="11">
        <v>3864</v>
      </c>
      <c r="E277" s="11">
        <v>16802</v>
      </c>
      <c r="F277" s="11">
        <v>386550</v>
      </c>
      <c r="G277" t="e">
        <f>VLOOKUP("*" &amp; B277  &amp; "*",CHOOSE({1,2}, CBSA!$B$4:$B$920, CBSA!$A$4:$A$920), 2,FALSE)</f>
        <v>#N/A</v>
      </c>
    </row>
    <row r="278" spans="1:7" hidden="1">
      <c r="A278" s="11" t="s">
        <v>4987</v>
      </c>
      <c r="B278" s="11" t="s">
        <v>1041</v>
      </c>
      <c r="C278" s="11">
        <v>118</v>
      </c>
      <c r="D278" s="11">
        <v>4498</v>
      </c>
      <c r="E278" s="11">
        <v>19750</v>
      </c>
      <c r="F278" s="11">
        <v>389401</v>
      </c>
      <c r="G278" t="e">
        <f>VLOOKUP("*" &amp; B278  &amp; "*",CHOOSE({1,2}, CBSA!$B$4:$B$920, CBSA!$A$4:$A$920), 2,FALSE)</f>
        <v>#N/A</v>
      </c>
    </row>
    <row r="279" spans="1:7" hidden="1">
      <c r="A279" s="11" t="s">
        <v>4991</v>
      </c>
      <c r="B279" s="11" t="s">
        <v>4992</v>
      </c>
      <c r="C279" s="11">
        <v>222</v>
      </c>
      <c r="D279" s="11">
        <v>10124</v>
      </c>
      <c r="E279" s="11">
        <v>44998</v>
      </c>
      <c r="F279" s="11">
        <v>786018</v>
      </c>
      <c r="G279" t="e">
        <f>VLOOKUP("*" &amp; B279  &amp; "*",CHOOSE({1,2}, CBSA!$B$4:$B$920, CBSA!$A$4:$A$920), 2,FALSE)</f>
        <v>#N/A</v>
      </c>
    </row>
    <row r="280" spans="1:7" hidden="1">
      <c r="A280" s="11" t="s">
        <v>4993</v>
      </c>
      <c r="B280" s="11" t="s">
        <v>4994</v>
      </c>
      <c r="C280" s="11">
        <v>121</v>
      </c>
      <c r="D280" s="11">
        <v>7034</v>
      </c>
      <c r="E280" s="11">
        <v>29974</v>
      </c>
      <c r="F280" s="11">
        <v>802861</v>
      </c>
      <c r="G280" t="e">
        <f>VLOOKUP("*" &amp; B280  &amp; "*",CHOOSE({1,2}, CBSA!$B$4:$B$920, CBSA!$A$4:$A$920), 2,FALSE)</f>
        <v>#N/A</v>
      </c>
    </row>
    <row r="281" spans="1:7" hidden="1">
      <c r="A281" s="11" t="s">
        <v>4995</v>
      </c>
      <c r="B281" s="11" t="s">
        <v>4996</v>
      </c>
      <c r="C281" s="11">
        <v>106</v>
      </c>
      <c r="D281" s="11">
        <v>2908</v>
      </c>
      <c r="E281" s="11">
        <v>11504</v>
      </c>
      <c r="F281" s="11">
        <v>354156</v>
      </c>
      <c r="G281" t="e">
        <f>VLOOKUP("*" &amp; B281  &amp; "*",CHOOSE({1,2}, CBSA!$B$4:$B$920, CBSA!$A$4:$A$920), 2,FALSE)</f>
        <v>#N/A</v>
      </c>
    </row>
    <row r="282" spans="1:7" hidden="1">
      <c r="A282" s="11" t="s">
        <v>4997</v>
      </c>
      <c r="B282" s="11" t="s">
        <v>4998</v>
      </c>
      <c r="C282" s="11">
        <v>25</v>
      </c>
      <c r="D282" s="11">
        <v>181</v>
      </c>
      <c r="E282" s="11">
        <v>523</v>
      </c>
      <c r="F282" s="11">
        <v>137300</v>
      </c>
      <c r="G282" t="e">
        <f>VLOOKUP("*" &amp; B282  &amp; "*",CHOOSE({1,2}, CBSA!$B$4:$B$920, CBSA!$A$4:$A$920), 2,FALSE)</f>
        <v>#N/A</v>
      </c>
    </row>
    <row r="283" spans="1:7" hidden="1">
      <c r="A283" s="11" t="s">
        <v>4999</v>
      </c>
      <c r="B283" s="11" t="s">
        <v>5000</v>
      </c>
      <c r="C283" s="11">
        <v>46</v>
      </c>
      <c r="D283" s="11">
        <v>2567</v>
      </c>
      <c r="E283" s="11">
        <v>7888</v>
      </c>
      <c r="F283" s="11">
        <v>368192</v>
      </c>
      <c r="G283" t="e">
        <f>VLOOKUP("*" &amp; B283  &amp; "*",CHOOSE({1,2}, CBSA!$B$4:$B$920, CBSA!$A$4:$A$920), 2,FALSE)</f>
        <v>#N/A</v>
      </c>
    </row>
    <row r="284" spans="1:7" hidden="1">
      <c r="A284" s="11" t="s">
        <v>5001</v>
      </c>
      <c r="B284" s="11" t="s">
        <v>5002</v>
      </c>
      <c r="C284" s="11">
        <v>143</v>
      </c>
      <c r="D284" s="11">
        <v>8594</v>
      </c>
      <c r="E284" s="11">
        <v>36446</v>
      </c>
      <c r="F284" s="11">
        <v>0</v>
      </c>
      <c r="G284" t="e">
        <f>VLOOKUP("*" &amp; B284  &amp; "*",CHOOSE({1,2}, CBSA!$B$4:$B$920, CBSA!$A$4:$A$920), 2,FALSE)</f>
        <v>#N/A</v>
      </c>
    </row>
    <row r="285" spans="1:7" hidden="1">
      <c r="A285" s="11" t="s">
        <v>5004</v>
      </c>
      <c r="B285" s="11" t="s">
        <v>5005</v>
      </c>
      <c r="C285" s="11">
        <v>22</v>
      </c>
      <c r="D285" s="11">
        <v>1113</v>
      </c>
      <c r="E285" s="11">
        <v>2456</v>
      </c>
      <c r="F285" s="11">
        <v>185095</v>
      </c>
      <c r="G285" t="e">
        <f>VLOOKUP("*" &amp; B285  &amp; "*",CHOOSE({1,2}, CBSA!$B$4:$B$920, CBSA!$A$4:$A$920), 2,FALSE)</f>
        <v>#N/A</v>
      </c>
    </row>
    <row r="286" spans="1:7" hidden="1">
      <c r="A286" s="11" t="s">
        <v>5007</v>
      </c>
      <c r="B286" s="11" t="s">
        <v>5008</v>
      </c>
      <c r="C286" s="11">
        <v>106</v>
      </c>
      <c r="D286" s="11">
        <v>7341</v>
      </c>
      <c r="E286" s="11">
        <v>27985</v>
      </c>
      <c r="F286" s="11">
        <v>703301</v>
      </c>
      <c r="G286" t="e">
        <f>VLOOKUP("*" &amp; B286  &amp; "*",CHOOSE({1,2}, CBSA!$B$4:$B$920, CBSA!$A$4:$A$920), 2,FALSE)</f>
        <v>#N/A</v>
      </c>
    </row>
    <row r="287" spans="1:7" hidden="1">
      <c r="A287" s="11" t="s">
        <v>5016</v>
      </c>
      <c r="B287" s="11" t="s">
        <v>1041</v>
      </c>
      <c r="C287" s="11">
        <v>68</v>
      </c>
      <c r="D287" s="11">
        <v>4127</v>
      </c>
      <c r="E287" s="11">
        <v>15303</v>
      </c>
      <c r="F287" s="11">
        <v>358954</v>
      </c>
      <c r="G287" t="e">
        <f>VLOOKUP("*" &amp; B287  &amp; "*",CHOOSE({1,2}, CBSA!$B$4:$B$920, CBSA!$A$4:$A$920), 2,FALSE)</f>
        <v>#N/A</v>
      </c>
    </row>
    <row r="288" spans="1:7" hidden="1">
      <c r="A288" s="11" t="s">
        <v>5017</v>
      </c>
      <c r="B288" s="11" t="s">
        <v>4904</v>
      </c>
      <c r="C288" s="11">
        <v>114</v>
      </c>
      <c r="D288" s="11">
        <v>5233</v>
      </c>
      <c r="E288" s="11">
        <v>30136</v>
      </c>
      <c r="F288" s="11">
        <v>976792</v>
      </c>
      <c r="G288" t="e">
        <f>VLOOKUP("*" &amp; B288  &amp; "*",CHOOSE({1,2}, CBSA!$B$4:$B$920, CBSA!$A$4:$A$920), 2,FALSE)</f>
        <v>#N/A</v>
      </c>
    </row>
    <row r="289" spans="1:7" hidden="1">
      <c r="A289" s="11" t="s">
        <v>5020</v>
      </c>
      <c r="B289" s="11" t="s">
        <v>4992</v>
      </c>
      <c r="C289" s="11">
        <v>20</v>
      </c>
      <c r="D289" s="11">
        <v>763</v>
      </c>
      <c r="E289" s="11">
        <v>1531</v>
      </c>
      <c r="F289" s="11">
        <v>145438</v>
      </c>
      <c r="G289" t="e">
        <f>VLOOKUP("*" &amp; B289  &amp; "*",CHOOSE({1,2}, CBSA!$B$4:$B$920, CBSA!$A$4:$A$920), 2,FALSE)</f>
        <v>#N/A</v>
      </c>
    </row>
    <row r="290" spans="1:7" hidden="1">
      <c r="A290" s="11" t="s">
        <v>5023</v>
      </c>
      <c r="B290" s="11" t="s">
        <v>5024</v>
      </c>
      <c r="C290" s="11">
        <v>0</v>
      </c>
      <c r="D290" s="11">
        <v>0</v>
      </c>
      <c r="E290" s="11">
        <v>0</v>
      </c>
      <c r="F290" s="11">
        <v>0</v>
      </c>
      <c r="G290" t="e">
        <f>VLOOKUP("*" &amp; B290  &amp; "*",CHOOSE({1,2}, CBSA!$B$4:$B$920, CBSA!$A$4:$A$920), 2,FALSE)</f>
        <v>#N/A</v>
      </c>
    </row>
    <row r="291" spans="1:7" hidden="1">
      <c r="A291" s="11" t="s">
        <v>5025</v>
      </c>
      <c r="B291" s="11" t="s">
        <v>5026</v>
      </c>
      <c r="C291" s="11">
        <v>26</v>
      </c>
      <c r="D291" s="11">
        <v>430</v>
      </c>
      <c r="E291" s="11">
        <v>1455</v>
      </c>
      <c r="F291" s="11">
        <v>26905</v>
      </c>
      <c r="G291" t="e">
        <f>VLOOKUP("*" &amp; B291  &amp; "*",CHOOSE({1,2}, CBSA!$B$4:$B$920, CBSA!$A$4:$A$920), 2,FALSE)</f>
        <v>#N/A</v>
      </c>
    </row>
    <row r="292" spans="1:7" hidden="1">
      <c r="A292" s="11" t="s">
        <v>5031</v>
      </c>
      <c r="B292" s="11" t="s">
        <v>5032</v>
      </c>
      <c r="C292" s="11">
        <v>0</v>
      </c>
      <c r="D292" s="11">
        <v>0</v>
      </c>
      <c r="E292" s="11">
        <v>0</v>
      </c>
      <c r="F292" s="11">
        <v>0</v>
      </c>
      <c r="G292" t="e">
        <f>VLOOKUP("*" &amp; B292  &amp; "*",CHOOSE({1,2}, CBSA!$B$4:$B$920, CBSA!$A$4:$A$920), 2,FALSE)</f>
        <v>#N/A</v>
      </c>
    </row>
    <row r="293" spans="1:7" hidden="1">
      <c r="A293" s="11" t="s">
        <v>5033</v>
      </c>
      <c r="B293" s="11" t="s">
        <v>5034</v>
      </c>
      <c r="C293" s="11">
        <v>93</v>
      </c>
      <c r="D293" s="11">
        <v>5925</v>
      </c>
      <c r="E293" s="11">
        <v>19141</v>
      </c>
      <c r="F293" s="11">
        <v>728895</v>
      </c>
      <c r="G293" t="e">
        <f>VLOOKUP("*" &amp; B293  &amp; "*",CHOOSE({1,2}, CBSA!$B$4:$B$920, CBSA!$A$4:$A$920), 2,FALSE)</f>
        <v>#N/A</v>
      </c>
    </row>
    <row r="294" spans="1:7" hidden="1">
      <c r="A294" s="11" t="s">
        <v>5044</v>
      </c>
      <c r="B294" s="11" t="s">
        <v>5045</v>
      </c>
      <c r="C294" s="11">
        <v>61</v>
      </c>
      <c r="D294" s="11">
        <v>3880</v>
      </c>
      <c r="E294" s="11">
        <v>18550</v>
      </c>
      <c r="F294" s="11">
        <v>436529</v>
      </c>
      <c r="G294" t="e">
        <f>VLOOKUP("*" &amp; B294  &amp; "*",CHOOSE({1,2}, CBSA!$B$4:$B$920, CBSA!$A$4:$A$920), 2,FALSE)</f>
        <v>#N/A</v>
      </c>
    </row>
    <row r="295" spans="1:7" hidden="1">
      <c r="A295" s="11" t="s">
        <v>5047</v>
      </c>
      <c r="B295" s="11" t="s">
        <v>3573</v>
      </c>
      <c r="C295" s="11">
        <v>52</v>
      </c>
      <c r="D295" s="11">
        <v>2008</v>
      </c>
      <c r="E295" s="11">
        <v>6838</v>
      </c>
      <c r="F295" s="11">
        <v>309760</v>
      </c>
      <c r="G295" t="e">
        <f>VLOOKUP("*" &amp; B295  &amp; "*",CHOOSE({1,2}, CBSA!$B$4:$B$920, CBSA!$A$4:$A$920), 2,FALSE)</f>
        <v>#N/A</v>
      </c>
    </row>
    <row r="296" spans="1:7" hidden="1">
      <c r="A296" s="11" t="s">
        <v>5050</v>
      </c>
      <c r="B296" s="11" t="s">
        <v>5051</v>
      </c>
      <c r="C296" s="11">
        <v>94</v>
      </c>
      <c r="D296" s="11">
        <v>3834</v>
      </c>
      <c r="E296" s="11">
        <v>12269</v>
      </c>
      <c r="F296" s="11">
        <v>389793</v>
      </c>
      <c r="G296" t="e">
        <f>VLOOKUP("*" &amp; B296  &amp; "*",CHOOSE({1,2}, CBSA!$B$4:$B$920, CBSA!$A$4:$A$920), 2,FALSE)</f>
        <v>#N/A</v>
      </c>
    </row>
    <row r="297" spans="1:7" hidden="1">
      <c r="A297" s="11" t="s">
        <v>5052</v>
      </c>
      <c r="B297" s="11" t="s">
        <v>5053</v>
      </c>
      <c r="C297" s="11">
        <v>37</v>
      </c>
      <c r="D297" s="11">
        <v>519</v>
      </c>
      <c r="E297" s="11">
        <v>2240</v>
      </c>
      <c r="F297" s="11">
        <v>70413</v>
      </c>
      <c r="G297" t="e">
        <f>VLOOKUP("*" &amp; B297  &amp; "*",CHOOSE({1,2}, CBSA!$B$4:$B$920, CBSA!$A$4:$A$920), 2,FALSE)</f>
        <v>#N/A</v>
      </c>
    </row>
    <row r="298" spans="1:7" hidden="1">
      <c r="A298" s="11" t="s">
        <v>5066</v>
      </c>
      <c r="B298" s="11" t="s">
        <v>5067</v>
      </c>
      <c r="C298" s="11">
        <v>170</v>
      </c>
      <c r="D298" s="11">
        <v>3636</v>
      </c>
      <c r="E298" s="11">
        <v>13231</v>
      </c>
      <c r="F298" s="11">
        <v>398971</v>
      </c>
      <c r="G298" t="e">
        <f>VLOOKUP("*" &amp; B298  &amp; "*",CHOOSE({1,2}, CBSA!$B$4:$B$920, CBSA!$A$4:$A$920), 2,FALSE)</f>
        <v>#N/A</v>
      </c>
    </row>
    <row r="299" spans="1:7" hidden="1">
      <c r="A299" s="11" t="s">
        <v>5082</v>
      </c>
      <c r="B299" s="11" t="s">
        <v>5083</v>
      </c>
      <c r="C299" s="11">
        <v>149</v>
      </c>
      <c r="D299" s="11">
        <v>5328</v>
      </c>
      <c r="E299" s="11">
        <v>20622</v>
      </c>
      <c r="F299" s="11">
        <v>661799</v>
      </c>
      <c r="G299" t="e">
        <f>VLOOKUP("*" &amp; B299  &amp; "*",CHOOSE({1,2}, CBSA!$B$4:$B$920, CBSA!$A$4:$A$920), 2,FALSE)</f>
        <v>#N/A</v>
      </c>
    </row>
    <row r="300" spans="1:7" hidden="1">
      <c r="A300" s="11" t="s">
        <v>5087</v>
      </c>
      <c r="B300" s="11" t="s">
        <v>5088</v>
      </c>
      <c r="C300" s="11">
        <v>44</v>
      </c>
      <c r="D300" s="11">
        <v>790</v>
      </c>
      <c r="E300" s="11">
        <v>2831</v>
      </c>
      <c r="F300" s="11">
        <v>116248</v>
      </c>
      <c r="G300" t="e">
        <f>VLOOKUP("*" &amp; B300  &amp; "*",CHOOSE({1,2}, CBSA!$B$4:$B$920, CBSA!$A$4:$A$920), 2,FALSE)</f>
        <v>#N/A</v>
      </c>
    </row>
    <row r="301" spans="1:7" hidden="1">
      <c r="A301" s="11" t="s">
        <v>5102</v>
      </c>
      <c r="B301" s="11" t="s">
        <v>5103</v>
      </c>
      <c r="C301" s="11">
        <v>202</v>
      </c>
      <c r="D301" s="11">
        <v>7445</v>
      </c>
      <c r="E301" s="11">
        <v>30693</v>
      </c>
      <c r="F301" s="11">
        <v>791535</v>
      </c>
      <c r="G301" t="e">
        <f>VLOOKUP("*" &amp; B301  &amp; "*",CHOOSE({1,2}, CBSA!$B$4:$B$920, CBSA!$A$4:$A$920), 2,FALSE)</f>
        <v>#N/A</v>
      </c>
    </row>
    <row r="302" spans="1:7" hidden="1">
      <c r="A302" s="11" t="s">
        <v>5112</v>
      </c>
      <c r="B302" s="11" t="s">
        <v>5113</v>
      </c>
      <c r="C302" s="11">
        <v>36</v>
      </c>
      <c r="D302" s="11">
        <v>559</v>
      </c>
      <c r="E302" s="11">
        <v>2098</v>
      </c>
      <c r="F302" s="11">
        <v>44487</v>
      </c>
      <c r="G302" t="e">
        <f>VLOOKUP("*" &amp; B302  &amp; "*",CHOOSE({1,2}, CBSA!$B$4:$B$920, CBSA!$A$4:$A$920), 2,FALSE)</f>
        <v>#N/A</v>
      </c>
    </row>
    <row r="303" spans="1:7" hidden="1">
      <c r="A303" s="11" t="s">
        <v>5118</v>
      </c>
      <c r="B303" s="11" t="s">
        <v>5119</v>
      </c>
      <c r="C303" s="11">
        <v>60</v>
      </c>
      <c r="D303" s="11">
        <v>646</v>
      </c>
      <c r="E303" s="11">
        <v>1914</v>
      </c>
      <c r="F303" s="11">
        <v>141130</v>
      </c>
      <c r="G303" t="e">
        <f>VLOOKUP("*" &amp; B303  &amp; "*",CHOOSE({1,2}, CBSA!$B$4:$B$920, CBSA!$A$4:$A$920), 2,FALSE)</f>
        <v>#N/A</v>
      </c>
    </row>
    <row r="304" spans="1:7" hidden="1">
      <c r="A304" s="11" t="s">
        <v>5120</v>
      </c>
      <c r="B304" s="11" t="s">
        <v>5121</v>
      </c>
      <c r="C304" s="11">
        <v>17</v>
      </c>
      <c r="D304" s="11">
        <v>239</v>
      </c>
      <c r="E304" s="11">
        <v>763</v>
      </c>
      <c r="F304" s="11">
        <v>29579</v>
      </c>
      <c r="G304" t="e">
        <f>VLOOKUP("*" &amp; B304  &amp; "*",CHOOSE({1,2}, CBSA!$B$4:$B$920, CBSA!$A$4:$A$920), 2,FALSE)</f>
        <v>#N/A</v>
      </c>
    </row>
    <row r="305" spans="1:7" hidden="1">
      <c r="A305" s="11" t="s">
        <v>5122</v>
      </c>
      <c r="B305" s="11" t="s">
        <v>5123</v>
      </c>
      <c r="C305" s="11">
        <v>36</v>
      </c>
      <c r="D305" s="11">
        <v>138</v>
      </c>
      <c r="E305" s="11">
        <v>435</v>
      </c>
      <c r="F305" s="11">
        <v>35600</v>
      </c>
      <c r="G305" t="e">
        <f>VLOOKUP("*" &amp; B305  &amp; "*",CHOOSE({1,2}, CBSA!$B$4:$B$920, CBSA!$A$4:$A$920), 2,FALSE)</f>
        <v>#N/A</v>
      </c>
    </row>
    <row r="306" spans="1:7" hidden="1">
      <c r="A306" s="11" t="s">
        <v>5124</v>
      </c>
      <c r="B306" s="11" t="s">
        <v>5125</v>
      </c>
      <c r="C306" s="11">
        <v>19</v>
      </c>
      <c r="D306" s="11">
        <v>476</v>
      </c>
      <c r="E306" s="11">
        <v>1027</v>
      </c>
      <c r="F306" s="11">
        <v>124224</v>
      </c>
      <c r="G306" t="e">
        <f>VLOOKUP("*" &amp; B306  &amp; "*",CHOOSE({1,2}, CBSA!$B$4:$B$920, CBSA!$A$4:$A$920), 2,FALSE)</f>
        <v>#N/A</v>
      </c>
    </row>
    <row r="307" spans="1:7" hidden="1">
      <c r="A307" s="11" t="s">
        <v>5132</v>
      </c>
      <c r="B307" s="11" t="s">
        <v>5133</v>
      </c>
      <c r="C307" s="11">
        <v>16</v>
      </c>
      <c r="D307" s="11">
        <v>261</v>
      </c>
      <c r="E307" s="11">
        <v>746</v>
      </c>
      <c r="F307" s="11">
        <v>116195</v>
      </c>
      <c r="G307" t="e">
        <f>VLOOKUP("*" &amp; B307  &amp; "*",CHOOSE({1,2}, CBSA!$B$4:$B$920, CBSA!$A$4:$A$920), 2,FALSE)</f>
        <v>#N/A</v>
      </c>
    </row>
    <row r="308" spans="1:7" hidden="1">
      <c r="A308" s="11" t="s">
        <v>5134</v>
      </c>
      <c r="B308" s="11" t="s">
        <v>2462</v>
      </c>
      <c r="C308" s="11">
        <v>34</v>
      </c>
      <c r="D308" s="11">
        <v>756</v>
      </c>
      <c r="E308" s="11">
        <v>2265</v>
      </c>
      <c r="F308" s="11">
        <v>68307</v>
      </c>
      <c r="G308" t="e">
        <f>VLOOKUP("*" &amp; B308  &amp; "*",CHOOSE({1,2}, CBSA!$B$4:$B$920, CBSA!$A$4:$A$920), 2,FALSE)</f>
        <v>#N/A</v>
      </c>
    </row>
    <row r="309" spans="1:7" hidden="1">
      <c r="A309" s="11" t="s">
        <v>5135</v>
      </c>
      <c r="B309" s="11" t="s">
        <v>5136</v>
      </c>
      <c r="C309" s="11">
        <v>25</v>
      </c>
      <c r="D309" s="11">
        <v>593</v>
      </c>
      <c r="E309" s="11">
        <v>2242</v>
      </c>
      <c r="F309" s="11">
        <v>52766</v>
      </c>
      <c r="G309" t="e">
        <f>VLOOKUP("*" &amp; B309  &amp; "*",CHOOSE({1,2}, CBSA!$B$4:$B$920, CBSA!$A$4:$A$920), 2,FALSE)</f>
        <v>#N/A</v>
      </c>
    </row>
    <row r="310" spans="1:7" hidden="1">
      <c r="A310" s="11" t="s">
        <v>5137</v>
      </c>
      <c r="B310" s="11" t="s">
        <v>5138</v>
      </c>
      <c r="C310" s="11">
        <v>139</v>
      </c>
      <c r="D310" s="11">
        <v>3420</v>
      </c>
      <c r="E310" s="11">
        <v>12322</v>
      </c>
      <c r="F310" s="11">
        <v>338422</v>
      </c>
      <c r="G310" t="e">
        <f>VLOOKUP("*" &amp; B310  &amp; "*",CHOOSE({1,2}, CBSA!$B$4:$B$920, CBSA!$A$4:$A$920), 2,FALSE)</f>
        <v>#N/A</v>
      </c>
    </row>
    <row r="311" spans="1:7" hidden="1">
      <c r="A311" s="11" t="s">
        <v>5141</v>
      </c>
      <c r="B311" s="11" t="s">
        <v>5083</v>
      </c>
      <c r="C311" s="11">
        <v>578</v>
      </c>
      <c r="D311" s="11">
        <v>29895</v>
      </c>
      <c r="E311" s="11">
        <v>153180</v>
      </c>
      <c r="F311" s="11">
        <v>4447864</v>
      </c>
      <c r="G311" t="e">
        <f>VLOOKUP("*" &amp; B311  &amp; "*",CHOOSE({1,2}, CBSA!$B$4:$B$920, CBSA!$A$4:$A$920), 2,FALSE)</f>
        <v>#N/A</v>
      </c>
    </row>
    <row r="312" spans="1:7" hidden="1">
      <c r="A312" s="11" t="s">
        <v>5142</v>
      </c>
      <c r="B312" s="11" t="s">
        <v>4947</v>
      </c>
      <c r="C312" s="11">
        <v>296</v>
      </c>
      <c r="D312" s="11">
        <v>14401</v>
      </c>
      <c r="E312" s="11">
        <v>63472</v>
      </c>
      <c r="F312" s="11">
        <v>2359824</v>
      </c>
      <c r="G312" t="e">
        <f>VLOOKUP("*" &amp; B312  &amp; "*",CHOOSE({1,2}, CBSA!$B$4:$B$920, CBSA!$A$4:$A$920), 2,FALSE)</f>
        <v>#N/A</v>
      </c>
    </row>
    <row r="313" spans="1:7" hidden="1">
      <c r="A313" s="11" t="s">
        <v>5143</v>
      </c>
      <c r="B313" s="11" t="s">
        <v>5144</v>
      </c>
      <c r="C313" s="11">
        <v>217</v>
      </c>
      <c r="D313" s="11">
        <v>8463</v>
      </c>
      <c r="E313" s="11">
        <v>38360</v>
      </c>
      <c r="F313" s="11">
        <v>729864</v>
      </c>
      <c r="G313" t="e">
        <f>VLOOKUP("*" &amp; B313  &amp; "*",CHOOSE({1,2}, CBSA!$B$4:$B$920, CBSA!$A$4:$A$920), 2,FALSE)</f>
        <v>#N/A</v>
      </c>
    </row>
    <row r="314" spans="1:7" hidden="1">
      <c r="A314" s="11" t="s">
        <v>5145</v>
      </c>
      <c r="B314" s="11" t="s">
        <v>5146</v>
      </c>
      <c r="C314" s="11">
        <v>139</v>
      </c>
      <c r="D314" s="11">
        <v>8653</v>
      </c>
      <c r="E314" s="11">
        <v>35720</v>
      </c>
      <c r="F314" s="11">
        <v>1677338</v>
      </c>
      <c r="G314" t="e">
        <f>VLOOKUP("*" &amp; B314  &amp; "*",CHOOSE({1,2}, CBSA!$B$4:$B$920, CBSA!$A$4:$A$920), 2,FALSE)</f>
        <v>#N/A</v>
      </c>
    </row>
    <row r="315" spans="1:7" hidden="1">
      <c r="A315" s="11" t="s">
        <v>5148</v>
      </c>
      <c r="B315" s="11" t="s">
        <v>5149</v>
      </c>
      <c r="C315" s="11">
        <v>49</v>
      </c>
      <c r="D315" s="11">
        <v>2574</v>
      </c>
      <c r="E315" s="11">
        <v>9425</v>
      </c>
      <c r="F315" s="11">
        <v>410065</v>
      </c>
      <c r="G315" t="e">
        <f>VLOOKUP("*" &amp; B315  &amp; "*",CHOOSE({1,2}, CBSA!$B$4:$B$920, CBSA!$A$4:$A$920), 2,FALSE)</f>
        <v>#N/A</v>
      </c>
    </row>
    <row r="316" spans="1:7" hidden="1">
      <c r="A316" s="11" t="s">
        <v>5150</v>
      </c>
      <c r="B316" s="11" t="s">
        <v>629</v>
      </c>
      <c r="C316" s="11">
        <v>270</v>
      </c>
      <c r="D316" s="11">
        <v>11980</v>
      </c>
      <c r="E316" s="11">
        <v>66188</v>
      </c>
      <c r="F316" s="11">
        <v>2387629</v>
      </c>
      <c r="G316" t="e">
        <f>VLOOKUP("*" &amp; B316  &amp; "*",CHOOSE({1,2}, CBSA!$B$4:$B$920, CBSA!$A$4:$A$920), 2,FALSE)</f>
        <v>#N/A</v>
      </c>
    </row>
    <row r="317" spans="1:7" hidden="1">
      <c r="A317" s="11" t="s">
        <v>5151</v>
      </c>
      <c r="B317" s="11" t="s">
        <v>5152</v>
      </c>
      <c r="C317" s="11">
        <v>241</v>
      </c>
      <c r="D317" s="11">
        <v>8438</v>
      </c>
      <c r="E317" s="11">
        <v>40788</v>
      </c>
      <c r="F317" s="11">
        <v>1461749</v>
      </c>
      <c r="G317" t="e">
        <f>VLOOKUP("*" &amp; B317  &amp; "*",CHOOSE({1,2}, CBSA!$B$4:$B$920, CBSA!$A$4:$A$920), 2,FALSE)</f>
        <v>#N/A</v>
      </c>
    </row>
    <row r="318" spans="1:7" hidden="1">
      <c r="A318" s="11" t="s">
        <v>5155</v>
      </c>
      <c r="B318" s="11" t="s">
        <v>5156</v>
      </c>
      <c r="C318" s="11">
        <v>15</v>
      </c>
      <c r="D318" s="11">
        <v>200</v>
      </c>
      <c r="E318" s="11">
        <v>592</v>
      </c>
      <c r="F318" s="11">
        <v>9968</v>
      </c>
      <c r="G318" t="e">
        <f>VLOOKUP("*" &amp; B318  &amp; "*",CHOOSE({1,2}, CBSA!$B$4:$B$920, CBSA!$A$4:$A$920), 2,FALSE)</f>
        <v>#N/A</v>
      </c>
    </row>
    <row r="319" spans="1:7" hidden="1">
      <c r="A319" s="11" t="s">
        <v>5162</v>
      </c>
      <c r="B319" s="11" t="s">
        <v>4931</v>
      </c>
      <c r="C319" s="11">
        <v>218</v>
      </c>
      <c r="D319" s="11">
        <v>12906</v>
      </c>
      <c r="E319" s="11">
        <v>58078</v>
      </c>
      <c r="F319" s="11">
        <v>1781751</v>
      </c>
      <c r="G319" t="e">
        <f>VLOOKUP("*" &amp; B319  &amp; "*",CHOOSE({1,2}, CBSA!$B$4:$B$920, CBSA!$A$4:$A$920), 2,FALSE)</f>
        <v>#N/A</v>
      </c>
    </row>
    <row r="320" spans="1:7" hidden="1">
      <c r="A320" s="11" t="s">
        <v>5163</v>
      </c>
      <c r="B320" s="11" t="s">
        <v>5164</v>
      </c>
      <c r="C320" s="11">
        <v>178</v>
      </c>
      <c r="D320" s="11">
        <v>6672</v>
      </c>
      <c r="E320" s="11">
        <v>26567</v>
      </c>
      <c r="F320" s="11">
        <v>929943</v>
      </c>
      <c r="G320" t="e">
        <f>VLOOKUP("*" &amp; B320  &amp; "*",CHOOSE({1,2}, CBSA!$B$4:$B$920, CBSA!$A$4:$A$920), 2,FALSE)</f>
        <v>#N/A</v>
      </c>
    </row>
    <row r="321" spans="1:7" hidden="1">
      <c r="A321" s="11" t="s">
        <v>5170</v>
      </c>
      <c r="B321" s="11" t="s">
        <v>5083</v>
      </c>
      <c r="C321" s="11">
        <v>21</v>
      </c>
      <c r="D321" s="11">
        <v>701</v>
      </c>
      <c r="E321" s="11">
        <v>1562</v>
      </c>
      <c r="F321" s="11">
        <v>429233</v>
      </c>
      <c r="G321" t="e">
        <f>VLOOKUP("*" &amp; B321  &amp; "*",CHOOSE({1,2}, CBSA!$B$4:$B$920, CBSA!$A$4:$A$920), 2,FALSE)</f>
        <v>#N/A</v>
      </c>
    </row>
    <row r="322" spans="1:7" hidden="1">
      <c r="A322" s="11" t="s">
        <v>5178</v>
      </c>
      <c r="B322" s="11" t="s">
        <v>5179</v>
      </c>
      <c r="C322" s="11">
        <v>186</v>
      </c>
      <c r="D322" s="11">
        <v>8523</v>
      </c>
      <c r="E322" s="11">
        <v>35407</v>
      </c>
      <c r="F322" s="11">
        <v>433752</v>
      </c>
      <c r="G322" t="e">
        <f>VLOOKUP("*" &amp; B322  &amp; "*",CHOOSE({1,2}, CBSA!$B$4:$B$920, CBSA!$A$4:$A$920), 2,FALSE)</f>
        <v>#N/A</v>
      </c>
    </row>
    <row r="323" spans="1:7" hidden="1">
      <c r="A323" s="11" t="s">
        <v>5180</v>
      </c>
      <c r="B323" s="11" t="s">
        <v>5181</v>
      </c>
      <c r="C323" s="11">
        <v>48</v>
      </c>
      <c r="D323" s="11">
        <v>3245</v>
      </c>
      <c r="E323" s="11">
        <v>11835</v>
      </c>
      <c r="F323" s="11">
        <v>931730</v>
      </c>
      <c r="G323" t="e">
        <f>VLOOKUP("*" &amp; B323  &amp; "*",CHOOSE({1,2}, CBSA!$B$4:$B$920, CBSA!$A$4:$A$920), 2,FALSE)</f>
        <v>#N/A</v>
      </c>
    </row>
    <row r="324" spans="1:7" hidden="1">
      <c r="A324" s="11" t="s">
        <v>5182</v>
      </c>
      <c r="B324" s="11" t="s">
        <v>5183</v>
      </c>
      <c r="C324" s="11">
        <v>42</v>
      </c>
      <c r="D324" s="11">
        <v>269</v>
      </c>
      <c r="E324" s="11">
        <v>695</v>
      </c>
      <c r="F324" s="11">
        <v>16667</v>
      </c>
      <c r="G324" t="e">
        <f>VLOOKUP("*" &amp; B324  &amp; "*",CHOOSE({1,2}, CBSA!$B$4:$B$920, CBSA!$A$4:$A$920), 2,FALSE)</f>
        <v>#N/A</v>
      </c>
    </row>
    <row r="325" spans="1:7" hidden="1">
      <c r="A325" s="11" t="s">
        <v>5203</v>
      </c>
      <c r="B325" s="11" t="s">
        <v>1041</v>
      </c>
      <c r="C325" s="11">
        <v>0</v>
      </c>
      <c r="D325" s="11">
        <v>0</v>
      </c>
      <c r="E325" s="11">
        <v>0</v>
      </c>
      <c r="F325" s="11">
        <v>0</v>
      </c>
      <c r="G325" t="e">
        <f>VLOOKUP("*" &amp; B325  &amp; "*",CHOOSE({1,2}, CBSA!$B$4:$B$920, CBSA!$A$4:$A$920), 2,FALSE)</f>
        <v>#N/A</v>
      </c>
    </row>
    <row r="326" spans="1:7" hidden="1">
      <c r="A326" s="11" t="s">
        <v>5204</v>
      </c>
      <c r="B326" s="11" t="s">
        <v>4992</v>
      </c>
      <c r="C326" s="11">
        <v>80</v>
      </c>
      <c r="D326" s="11">
        <v>6002</v>
      </c>
      <c r="E326" s="11">
        <v>23115</v>
      </c>
      <c r="F326" s="11">
        <v>720531</v>
      </c>
      <c r="G326" t="e">
        <f>VLOOKUP("*" &amp; B326  &amp; "*",CHOOSE({1,2}, CBSA!$B$4:$B$920, CBSA!$A$4:$A$920), 2,FALSE)</f>
        <v>#N/A</v>
      </c>
    </row>
    <row r="327" spans="1:7" hidden="1">
      <c r="A327" s="11" t="s">
        <v>5205</v>
      </c>
      <c r="B327" s="11" t="s">
        <v>5206</v>
      </c>
      <c r="C327" s="11">
        <v>156</v>
      </c>
      <c r="D327" s="11">
        <v>6565</v>
      </c>
      <c r="E327" s="11">
        <v>28330</v>
      </c>
      <c r="F327" s="11">
        <v>1072640</v>
      </c>
      <c r="G327" t="e">
        <f>VLOOKUP("*" &amp; B327  &amp; "*",CHOOSE({1,2}, CBSA!$B$4:$B$920, CBSA!$A$4:$A$920), 2,FALSE)</f>
        <v>#N/A</v>
      </c>
    </row>
    <row r="328" spans="1:7" hidden="1">
      <c r="A328" s="11" t="s">
        <v>5207</v>
      </c>
      <c r="B328" s="11" t="s">
        <v>5002</v>
      </c>
      <c r="C328" s="11">
        <v>234</v>
      </c>
      <c r="D328" s="11">
        <v>10426</v>
      </c>
      <c r="E328" s="11">
        <v>46433</v>
      </c>
      <c r="F328" s="11">
        <v>1802689</v>
      </c>
      <c r="G328" t="e">
        <f>VLOOKUP("*" &amp; B328  &amp; "*",CHOOSE({1,2}, CBSA!$B$4:$B$920, CBSA!$A$4:$A$920), 2,FALSE)</f>
        <v>#N/A</v>
      </c>
    </row>
    <row r="329" spans="1:7" hidden="1">
      <c r="A329" s="11" t="s">
        <v>5208</v>
      </c>
      <c r="B329" s="11" t="s">
        <v>4904</v>
      </c>
      <c r="C329" s="11">
        <v>461</v>
      </c>
      <c r="D329" s="11">
        <v>23262</v>
      </c>
      <c r="E329" s="11">
        <v>132295</v>
      </c>
      <c r="F329" s="11">
        <v>4473715</v>
      </c>
      <c r="G329" t="e">
        <f>VLOOKUP("*" &amp; B329  &amp; "*",CHOOSE({1,2}, CBSA!$B$4:$B$920, CBSA!$A$4:$A$920), 2,FALSE)</f>
        <v>#N/A</v>
      </c>
    </row>
    <row r="330" spans="1:7" hidden="1">
      <c r="A330" s="11" t="s">
        <v>5212</v>
      </c>
      <c r="B330" s="11" t="s">
        <v>5146</v>
      </c>
      <c r="C330" s="11">
        <v>0</v>
      </c>
      <c r="D330" s="11">
        <v>0</v>
      </c>
      <c r="E330" s="11">
        <v>0</v>
      </c>
      <c r="F330" s="11">
        <v>0</v>
      </c>
      <c r="G330" t="e">
        <f>VLOOKUP("*" &amp; B330  &amp; "*",CHOOSE({1,2}, CBSA!$B$4:$B$920, CBSA!$A$4:$A$920), 2,FALSE)</f>
        <v>#N/A</v>
      </c>
    </row>
    <row r="331" spans="1:7" hidden="1">
      <c r="A331" s="11" t="s">
        <v>5214</v>
      </c>
      <c r="B331" s="11" t="s">
        <v>5215</v>
      </c>
      <c r="C331" s="11">
        <v>208</v>
      </c>
      <c r="D331" s="11">
        <v>12800</v>
      </c>
      <c r="E331" s="11">
        <v>41723</v>
      </c>
      <c r="F331" s="11">
        <v>1106137</v>
      </c>
      <c r="G331" t="e">
        <f>VLOOKUP("*" &amp; B331  &amp; "*",CHOOSE({1,2}, CBSA!$B$4:$B$920, CBSA!$A$4:$A$920), 2,FALSE)</f>
        <v>#N/A</v>
      </c>
    </row>
    <row r="332" spans="1:7" hidden="1">
      <c r="A332" s="11" t="s">
        <v>5217</v>
      </c>
      <c r="B332" s="11" t="s">
        <v>5218</v>
      </c>
      <c r="C332" s="11">
        <v>255</v>
      </c>
      <c r="D332" s="11">
        <v>13644</v>
      </c>
      <c r="E332" s="11">
        <v>55954</v>
      </c>
      <c r="F332" s="11">
        <v>1238641</v>
      </c>
      <c r="G332" t="e">
        <f>VLOOKUP("*" &amp; B332  &amp; "*",CHOOSE({1,2}, CBSA!$B$4:$B$920, CBSA!$A$4:$A$920), 2,FALSE)</f>
        <v>#N/A</v>
      </c>
    </row>
    <row r="333" spans="1:7" hidden="1">
      <c r="A333" s="11" t="s">
        <v>5219</v>
      </c>
      <c r="B333" s="11" t="s">
        <v>5125</v>
      </c>
      <c r="C333" s="11">
        <v>64</v>
      </c>
      <c r="D333" s="11">
        <v>1680</v>
      </c>
      <c r="E333" s="11">
        <v>4307</v>
      </c>
      <c r="F333" s="11">
        <v>233017</v>
      </c>
      <c r="G333" t="e">
        <f>VLOOKUP("*" &amp; B333  &amp; "*",CHOOSE({1,2}, CBSA!$B$4:$B$920, CBSA!$A$4:$A$920), 2,FALSE)</f>
        <v>#N/A</v>
      </c>
    </row>
    <row r="334" spans="1:7" hidden="1">
      <c r="A334" s="11" t="s">
        <v>5220</v>
      </c>
      <c r="B334" s="11" t="s">
        <v>5149</v>
      </c>
      <c r="C334" s="11">
        <v>0</v>
      </c>
      <c r="D334" s="11">
        <v>0</v>
      </c>
      <c r="E334" s="11">
        <v>0</v>
      </c>
      <c r="F334" s="11">
        <v>0</v>
      </c>
      <c r="G334" t="e">
        <f>VLOOKUP("*" &amp; B334  &amp; "*",CHOOSE({1,2}, CBSA!$B$4:$B$920, CBSA!$A$4:$A$920), 2,FALSE)</f>
        <v>#N/A</v>
      </c>
    </row>
    <row r="335" spans="1:7" hidden="1">
      <c r="A335" s="11" t="s">
        <v>5225</v>
      </c>
      <c r="B335" s="11" t="s">
        <v>4917</v>
      </c>
      <c r="C335" s="11">
        <v>10</v>
      </c>
      <c r="D335" s="11">
        <v>354</v>
      </c>
      <c r="E335" s="11">
        <v>766</v>
      </c>
      <c r="F335" s="11">
        <v>121559</v>
      </c>
      <c r="G335" t="e">
        <f>VLOOKUP("*" &amp; B335  &amp; "*",CHOOSE({1,2}, CBSA!$B$4:$B$920, CBSA!$A$4:$A$920), 2,FALSE)</f>
        <v>#N/A</v>
      </c>
    </row>
    <row r="336" spans="1:7" hidden="1">
      <c r="A336" s="11" t="s">
        <v>5228</v>
      </c>
      <c r="B336" s="11" t="s">
        <v>5152</v>
      </c>
      <c r="C336" s="11">
        <v>15</v>
      </c>
      <c r="D336" s="11">
        <v>149</v>
      </c>
      <c r="E336" s="11">
        <v>518</v>
      </c>
      <c r="F336" s="11">
        <v>40109</v>
      </c>
      <c r="G336" t="e">
        <f>VLOOKUP("*" &amp; B336  &amp; "*",CHOOSE({1,2}, CBSA!$B$4:$B$920, CBSA!$A$4:$A$920), 2,FALSE)</f>
        <v>#N/A</v>
      </c>
    </row>
    <row r="337" spans="1:7" hidden="1">
      <c r="A337" s="11" t="s">
        <v>5233</v>
      </c>
      <c r="B337" s="11" t="s">
        <v>5234</v>
      </c>
      <c r="C337" s="11">
        <v>32</v>
      </c>
      <c r="D337" s="11">
        <v>2543</v>
      </c>
      <c r="E337" s="11">
        <v>7527</v>
      </c>
      <c r="F337" s="11">
        <v>281062</v>
      </c>
      <c r="G337" t="e">
        <f>VLOOKUP("*" &amp; B337  &amp; "*",CHOOSE({1,2}, CBSA!$B$4:$B$920, CBSA!$A$4:$A$920), 2,FALSE)</f>
        <v>#N/A</v>
      </c>
    </row>
    <row r="338" spans="1:7" hidden="1">
      <c r="A338" s="11" t="s">
        <v>5235</v>
      </c>
      <c r="B338" s="11" t="s">
        <v>5236</v>
      </c>
      <c r="C338" s="11">
        <v>67</v>
      </c>
      <c r="D338" s="11">
        <v>1711</v>
      </c>
      <c r="E338" s="11">
        <v>5288</v>
      </c>
      <c r="F338" s="11">
        <v>265251</v>
      </c>
      <c r="G338" t="e">
        <f>VLOOKUP("*" &amp; B338  &amp; "*",CHOOSE({1,2}, CBSA!$B$4:$B$920, CBSA!$A$4:$A$920), 2,FALSE)</f>
        <v>#N/A</v>
      </c>
    </row>
    <row r="339" spans="1:7" hidden="1">
      <c r="A339" s="11" t="s">
        <v>5238</v>
      </c>
      <c r="B339" s="11" t="s">
        <v>5002</v>
      </c>
      <c r="C339" s="11">
        <v>23</v>
      </c>
      <c r="D339" s="11">
        <v>1290</v>
      </c>
      <c r="E339" s="11">
        <v>2719</v>
      </c>
      <c r="F339" s="11">
        <v>154883</v>
      </c>
      <c r="G339" t="e">
        <f>VLOOKUP("*" &amp; B339  &amp; "*",CHOOSE({1,2}, CBSA!$B$4:$B$920, CBSA!$A$4:$A$920), 2,FALSE)</f>
        <v>#N/A</v>
      </c>
    </row>
    <row r="340" spans="1:7" hidden="1">
      <c r="A340" s="11" t="s">
        <v>5239</v>
      </c>
      <c r="B340" s="11" t="s">
        <v>5240</v>
      </c>
      <c r="C340" s="11">
        <v>223</v>
      </c>
      <c r="D340" s="11">
        <v>11297</v>
      </c>
      <c r="E340" s="11">
        <v>52067</v>
      </c>
      <c r="F340" s="11">
        <v>892130</v>
      </c>
      <c r="G340" t="e">
        <f>VLOOKUP("*" &amp; B340  &amp; "*",CHOOSE({1,2}, CBSA!$B$4:$B$920, CBSA!$A$4:$A$920), 2,FALSE)</f>
        <v>#N/A</v>
      </c>
    </row>
    <row r="341" spans="1:7" hidden="1">
      <c r="A341" s="11" t="s">
        <v>5241</v>
      </c>
      <c r="B341" s="11" t="s">
        <v>5242</v>
      </c>
      <c r="C341" s="11">
        <v>0</v>
      </c>
      <c r="D341" s="11">
        <v>0</v>
      </c>
      <c r="E341" s="11">
        <v>0</v>
      </c>
      <c r="F341" s="11">
        <v>0</v>
      </c>
      <c r="G341" t="e">
        <f>VLOOKUP("*" &amp; B341  &amp; "*",CHOOSE({1,2}, CBSA!$B$4:$B$920, CBSA!$A$4:$A$920), 2,FALSE)</f>
        <v>#N/A</v>
      </c>
    </row>
    <row r="342" spans="1:7" hidden="1">
      <c r="A342" s="11" t="s">
        <v>5257</v>
      </c>
      <c r="B342" s="11" t="s">
        <v>5258</v>
      </c>
      <c r="C342" s="11">
        <v>18</v>
      </c>
      <c r="D342" s="11">
        <v>353</v>
      </c>
      <c r="E342" s="11">
        <v>1251</v>
      </c>
      <c r="F342" s="11">
        <v>17624</v>
      </c>
      <c r="G342" t="e">
        <f>VLOOKUP("*" &amp; B342  &amp; "*",CHOOSE({1,2}, CBSA!$B$4:$B$920, CBSA!$A$4:$A$920), 2,FALSE)</f>
        <v>#N/A</v>
      </c>
    </row>
    <row r="343" spans="1:7" hidden="1">
      <c r="A343" s="11" t="s">
        <v>5278</v>
      </c>
      <c r="B343" s="11" t="s">
        <v>5279</v>
      </c>
      <c r="C343" s="11">
        <v>58</v>
      </c>
      <c r="D343" s="11">
        <v>523</v>
      </c>
      <c r="E343" s="11">
        <v>1631</v>
      </c>
      <c r="F343" s="11">
        <v>97591</v>
      </c>
      <c r="G343" t="e">
        <f>VLOOKUP("*" &amp; B343  &amp; "*",CHOOSE({1,2}, CBSA!$B$4:$B$920, CBSA!$A$4:$A$920), 2,FALSE)</f>
        <v>#N/A</v>
      </c>
    </row>
    <row r="344" spans="1:7" hidden="1">
      <c r="A344" s="11" t="s">
        <v>5288</v>
      </c>
      <c r="B344" s="11" t="s">
        <v>1644</v>
      </c>
      <c r="C344" s="11">
        <v>18</v>
      </c>
      <c r="D344" s="11">
        <v>573</v>
      </c>
      <c r="E344" s="11">
        <v>1716</v>
      </c>
      <c r="F344" s="11">
        <v>348276</v>
      </c>
      <c r="G344" t="e">
        <f>VLOOKUP("*" &amp; B344  &amp; "*",CHOOSE({1,2}, CBSA!$B$4:$B$920, CBSA!$A$4:$A$920), 2,FALSE)</f>
        <v>#N/A</v>
      </c>
    </row>
    <row r="345" spans="1:7" hidden="1">
      <c r="A345" s="11" t="s">
        <v>5297</v>
      </c>
      <c r="B345" s="11" t="s">
        <v>1831</v>
      </c>
      <c r="C345" s="11">
        <v>38</v>
      </c>
      <c r="D345" s="11">
        <v>967</v>
      </c>
      <c r="E345" s="11">
        <v>3079</v>
      </c>
      <c r="F345" s="11">
        <v>75411</v>
      </c>
      <c r="G345" t="e">
        <f>VLOOKUP("*" &amp; B345  &amp; "*",CHOOSE({1,2}, CBSA!$B$4:$B$920, CBSA!$A$4:$A$920), 2,FALSE)</f>
        <v>#N/A</v>
      </c>
    </row>
    <row r="346" spans="1:7" hidden="1">
      <c r="A346" s="11" t="s">
        <v>5302</v>
      </c>
      <c r="B346" s="11" t="s">
        <v>5303</v>
      </c>
      <c r="C346" s="11">
        <v>66</v>
      </c>
      <c r="D346" s="11">
        <v>4415</v>
      </c>
      <c r="E346" s="11">
        <v>10865</v>
      </c>
      <c r="F346" s="11">
        <v>401645</v>
      </c>
      <c r="G346" t="e">
        <f>VLOOKUP("*" &amp; B346  &amp; "*",CHOOSE({1,2}, CBSA!$B$4:$B$920, CBSA!$A$4:$A$920), 2,FALSE)</f>
        <v>#N/A</v>
      </c>
    </row>
    <row r="347" spans="1:7" hidden="1">
      <c r="A347" s="11" t="s">
        <v>5314</v>
      </c>
      <c r="B347" s="11" t="s">
        <v>629</v>
      </c>
      <c r="C347" s="11">
        <v>37</v>
      </c>
      <c r="D347" s="11">
        <v>184</v>
      </c>
      <c r="E347" s="11">
        <v>401</v>
      </c>
      <c r="F347" s="11">
        <v>69516</v>
      </c>
      <c r="G347" t="e">
        <f>VLOOKUP("*" &amp; B347  &amp; "*",CHOOSE({1,2}, CBSA!$B$4:$B$920, CBSA!$A$4:$A$920), 2,FALSE)</f>
        <v>#N/A</v>
      </c>
    </row>
    <row r="348" spans="1:7" hidden="1">
      <c r="A348" s="11" t="s">
        <v>5323</v>
      </c>
      <c r="B348" s="11" t="s">
        <v>4904</v>
      </c>
      <c r="C348" s="11">
        <v>18</v>
      </c>
      <c r="D348" s="11">
        <v>567</v>
      </c>
      <c r="E348" s="11">
        <v>1022</v>
      </c>
      <c r="F348" s="11">
        <v>197330</v>
      </c>
      <c r="G348" t="e">
        <f>VLOOKUP("*" &amp; B348  &amp; "*",CHOOSE({1,2}, CBSA!$B$4:$B$920, CBSA!$A$4:$A$920), 2,FALSE)</f>
        <v>#N/A</v>
      </c>
    </row>
    <row r="349" spans="1:7" hidden="1">
      <c r="A349" s="11" t="s">
        <v>5324</v>
      </c>
      <c r="B349" s="11" t="s">
        <v>5325</v>
      </c>
      <c r="C349" s="11">
        <v>92</v>
      </c>
      <c r="D349" s="11">
        <v>3680</v>
      </c>
      <c r="E349" s="11">
        <v>9381</v>
      </c>
      <c r="F349" s="11">
        <v>277070</v>
      </c>
      <c r="G349" t="e">
        <f>VLOOKUP("*" &amp; B349  &amp; "*",CHOOSE({1,2}, CBSA!$B$4:$B$920, CBSA!$A$4:$A$920), 2,FALSE)</f>
        <v>#N/A</v>
      </c>
    </row>
    <row r="350" spans="1:7" hidden="1">
      <c r="A350" s="11" t="s">
        <v>5329</v>
      </c>
      <c r="B350" s="11" t="s">
        <v>5242</v>
      </c>
      <c r="C350" s="11">
        <v>17</v>
      </c>
      <c r="D350" s="11">
        <v>778</v>
      </c>
      <c r="E350" s="11">
        <v>1360</v>
      </c>
      <c r="F350" s="11">
        <v>190759</v>
      </c>
      <c r="G350" t="e">
        <f>VLOOKUP("*" &amp; B350  &amp; "*",CHOOSE({1,2}, CBSA!$B$4:$B$920, CBSA!$A$4:$A$920), 2,FALSE)</f>
        <v>#N/A</v>
      </c>
    </row>
    <row r="351" spans="1:7" hidden="1">
      <c r="A351" s="11" t="s">
        <v>5332</v>
      </c>
      <c r="B351" s="11" t="s">
        <v>4975</v>
      </c>
      <c r="C351" s="11">
        <v>213</v>
      </c>
      <c r="D351" s="11">
        <v>10669</v>
      </c>
      <c r="E351" s="11">
        <v>48604</v>
      </c>
      <c r="F351" s="11">
        <v>998633</v>
      </c>
      <c r="G351" t="e">
        <f>VLOOKUP("*" &amp; B351  &amp; "*",CHOOSE({1,2}, CBSA!$B$4:$B$920, CBSA!$A$4:$A$920), 2,FALSE)</f>
        <v>#N/A</v>
      </c>
    </row>
    <row r="352" spans="1:7" hidden="1">
      <c r="A352" s="11" t="s">
        <v>5333</v>
      </c>
      <c r="B352" s="11" t="s">
        <v>5334</v>
      </c>
      <c r="C352" s="11">
        <v>63</v>
      </c>
      <c r="D352" s="11">
        <v>1343</v>
      </c>
      <c r="E352" s="11">
        <v>3645</v>
      </c>
      <c r="F352" s="11">
        <v>155394</v>
      </c>
      <c r="G352" t="e">
        <f>VLOOKUP("*" &amp; B352  &amp; "*",CHOOSE({1,2}, CBSA!$B$4:$B$920, CBSA!$A$4:$A$920), 2,FALSE)</f>
        <v>#N/A</v>
      </c>
    </row>
    <row r="353" spans="1:7" hidden="1">
      <c r="A353" s="11" t="s">
        <v>5335</v>
      </c>
      <c r="B353" s="11" t="s">
        <v>4904</v>
      </c>
      <c r="C353" s="11">
        <v>369</v>
      </c>
      <c r="D353" s="11">
        <v>20384</v>
      </c>
      <c r="E353" s="11">
        <v>81514</v>
      </c>
      <c r="F353" s="11">
        <v>1254475</v>
      </c>
      <c r="G353" t="e">
        <f>VLOOKUP("*" &amp; B353  &amp; "*",CHOOSE({1,2}, CBSA!$B$4:$B$920, CBSA!$A$4:$A$920), 2,FALSE)</f>
        <v>#N/A</v>
      </c>
    </row>
    <row r="354" spans="1:7" hidden="1">
      <c r="A354" s="11" t="s">
        <v>5336</v>
      </c>
      <c r="B354" s="11" t="s">
        <v>5337</v>
      </c>
      <c r="C354" s="11">
        <v>99</v>
      </c>
      <c r="D354" s="11">
        <v>8321</v>
      </c>
      <c r="E354" s="11">
        <v>22787</v>
      </c>
      <c r="F354" s="11">
        <v>459599</v>
      </c>
      <c r="G354" t="e">
        <f>VLOOKUP("*" &amp; B354  &amp; "*",CHOOSE({1,2}, CBSA!$B$4:$B$920, CBSA!$A$4:$A$920), 2,FALSE)</f>
        <v>#N/A</v>
      </c>
    </row>
    <row r="355" spans="1:7" hidden="1">
      <c r="A355" s="11" t="s">
        <v>5345</v>
      </c>
      <c r="B355" s="11" t="s">
        <v>5346</v>
      </c>
      <c r="C355" s="11">
        <v>23</v>
      </c>
      <c r="D355" s="11">
        <v>816</v>
      </c>
      <c r="E355" s="11">
        <v>1959</v>
      </c>
      <c r="F355" s="11">
        <v>81331</v>
      </c>
      <c r="G355" t="e">
        <f>VLOOKUP("*" &amp; B355  &amp; "*",CHOOSE({1,2}, CBSA!$B$4:$B$920, CBSA!$A$4:$A$920), 2,FALSE)</f>
        <v>#N/A</v>
      </c>
    </row>
    <row r="356" spans="1:7" hidden="1">
      <c r="A356" s="11" t="s">
        <v>5348</v>
      </c>
      <c r="B356" s="11" t="s">
        <v>5349</v>
      </c>
      <c r="C356" s="11">
        <v>9</v>
      </c>
      <c r="D356" s="11">
        <v>234</v>
      </c>
      <c r="E356" s="11">
        <v>421</v>
      </c>
      <c r="F356" s="11">
        <v>137707</v>
      </c>
      <c r="G356" t="e">
        <f>VLOOKUP("*" &amp; B356  &amp; "*",CHOOSE({1,2}, CBSA!$B$4:$B$920, CBSA!$A$4:$A$920), 2,FALSE)</f>
        <v>#N/A</v>
      </c>
    </row>
    <row r="357" spans="1:7" hidden="1">
      <c r="A357" s="11" t="s">
        <v>5357</v>
      </c>
      <c r="B357" s="11" t="s">
        <v>5358</v>
      </c>
      <c r="C357" s="11">
        <v>653</v>
      </c>
      <c r="D357" s="11">
        <v>33481</v>
      </c>
      <c r="E357" s="11">
        <v>150885</v>
      </c>
      <c r="F357" s="11">
        <v>3423129</v>
      </c>
      <c r="G357" t="e">
        <f>VLOOKUP("*" &amp; B357  &amp; "*",CHOOSE({1,2}, CBSA!$B$4:$B$920, CBSA!$A$4:$A$920), 2,FALSE)</f>
        <v>#N/A</v>
      </c>
    </row>
    <row r="358" spans="1:7" hidden="1">
      <c r="A358" s="11" t="s">
        <v>5363</v>
      </c>
      <c r="B358" s="11" t="s">
        <v>5218</v>
      </c>
      <c r="C358" s="11">
        <v>0</v>
      </c>
      <c r="D358" s="11">
        <v>0</v>
      </c>
      <c r="E358" s="11">
        <v>0</v>
      </c>
      <c r="F358" s="11">
        <v>0</v>
      </c>
      <c r="G358" t="e">
        <f>VLOOKUP("*" &amp; B358  &amp; "*",CHOOSE({1,2}, CBSA!$B$4:$B$920, CBSA!$A$4:$A$920), 2,FALSE)</f>
        <v>#N/A</v>
      </c>
    </row>
    <row r="359" spans="1:7" hidden="1">
      <c r="A359" s="11" t="s">
        <v>5364</v>
      </c>
      <c r="B359" s="11" t="s">
        <v>5365</v>
      </c>
      <c r="C359" s="11">
        <v>25</v>
      </c>
      <c r="D359" s="11">
        <v>305</v>
      </c>
      <c r="E359" s="11">
        <v>861</v>
      </c>
      <c r="F359" s="11">
        <v>17098</v>
      </c>
      <c r="G359" t="e">
        <f>VLOOKUP("*" &amp; B359  &amp; "*",CHOOSE({1,2}, CBSA!$B$4:$B$920, CBSA!$A$4:$A$920), 2,FALSE)</f>
        <v>#N/A</v>
      </c>
    </row>
    <row r="360" spans="1:7" hidden="1">
      <c r="A360" s="11" t="s">
        <v>5370</v>
      </c>
      <c r="B360" s="11" t="s">
        <v>5371</v>
      </c>
      <c r="C360" s="11">
        <v>42</v>
      </c>
      <c r="D360" s="11">
        <v>695</v>
      </c>
      <c r="E360" s="11">
        <v>2128</v>
      </c>
      <c r="F360" s="11">
        <v>97605</v>
      </c>
      <c r="G360" t="e">
        <f>VLOOKUP("*" &amp; B360  &amp; "*",CHOOSE({1,2}, CBSA!$B$4:$B$920, CBSA!$A$4:$A$920), 2,FALSE)</f>
        <v>#N/A</v>
      </c>
    </row>
    <row r="361" spans="1:7" hidden="1">
      <c r="A361" s="11" t="s">
        <v>5379</v>
      </c>
      <c r="B361" s="11" t="s">
        <v>5179</v>
      </c>
      <c r="C361" s="11">
        <v>0</v>
      </c>
      <c r="D361" s="11">
        <v>0</v>
      </c>
      <c r="E361" s="11">
        <v>0</v>
      </c>
      <c r="F361" s="11">
        <v>0</v>
      </c>
      <c r="G361" t="e">
        <f>VLOOKUP("*" &amp; B361  &amp; "*",CHOOSE({1,2}, CBSA!$B$4:$B$920, CBSA!$A$4:$A$920), 2,FALSE)</f>
        <v>#N/A</v>
      </c>
    </row>
    <row r="362" spans="1:7" hidden="1">
      <c r="A362" s="11" t="s">
        <v>5389</v>
      </c>
      <c r="B362" s="11" t="s">
        <v>5390</v>
      </c>
      <c r="C362" s="11">
        <v>0</v>
      </c>
      <c r="D362" s="11">
        <v>0</v>
      </c>
      <c r="E362" s="11">
        <v>0</v>
      </c>
      <c r="F362" s="11">
        <v>0</v>
      </c>
      <c r="G362" t="e">
        <f>VLOOKUP("*" &amp; B362  &amp; "*",CHOOSE({1,2}, CBSA!$B$4:$B$920, CBSA!$A$4:$A$920), 2,FALSE)</f>
        <v>#N/A</v>
      </c>
    </row>
    <row r="363" spans="1:7">
      <c r="A363" s="11" t="s">
        <v>56</v>
      </c>
      <c r="C363" s="11">
        <v>58242</v>
      </c>
      <c r="D363" s="11">
        <v>2632490</v>
      </c>
      <c r="E363" s="11">
        <v>12169036</v>
      </c>
      <c r="F363" s="11">
        <v>336416130</v>
      </c>
    </row>
  </sheetData>
  <sortState xmlns:xlrd2="http://schemas.microsoft.com/office/spreadsheetml/2017/richdata2" ref="A2:I363">
    <sortCondition ref="G2:G363"/>
  </sortState>
  <hyperlinks>
    <hyperlink ref="A256" r:id="rId1" display="https://www.ahd.com/free_profile/450890/_Baylor_Scott_%26_White_Medical_Center__Plano/Plano/Texas/" xr:uid="{C70E5286-A5A4-F145-9EF2-2243B0B099CB}"/>
    <hyperlink ref="A257" r:id="rId2" display="https://www.ahd.com/free_profile/450563/_Baylor_Scott_%26_White_Medical_Center_Grapevine/Grapevine/Texas/" xr:uid="{026F72B9-40AE-F046-B8C3-530EAE50E320}"/>
    <hyperlink ref="A137" r:id="rId3" display="https://www.ahd.com/free_profile/450054/_Baylor_Scott_%26_White_Medical_Center_Temple/Temple/Texas/" xr:uid="{A80AFD46-759A-2B4F-8471-7D7EE07D8A3B}"/>
    <hyperlink ref="A258" r:id="rId4" display="https://www.ahd.com/free_profile/450253/_CHI_St_Joseph_Health_Bellville_Hospital/Bellville/Texas/" xr:uid="{CF997623-A185-C34F-BA18-4920388DA0CE}"/>
    <hyperlink ref="A195" r:id="rId5" display="https://www.ahd.com/free_profile/450032/_CHRISTUS_Good_Shepherd_Medical_Center_-_Marshall/Marshall/Texas/" xr:uid="{D32EE1F1-040D-F34D-BB1B-42BEC714EF10}"/>
    <hyperlink ref="A166" r:id="rId6" display="https://www.ahd.com/free_profile/450037/_CHRISTUS_Good_Shepherd_Medical_Center_Longview/Longview/Texas/" xr:uid="{67FC6E7F-74B8-3D48-9E52-5509BF515C14}"/>
    <hyperlink ref="A259" r:id="rId7" display="https://www.ahd.com/free_profile/450597/_Cuero_Regional_Hospital/Cuero/Texas/" xr:uid="{A8D3BB1B-93C7-8C42-8F24-5E7005EF4896}"/>
    <hyperlink ref="A260" r:id="rId8" display="https://www.ahd.com/free_profile/450775/_HCA_Houston_Healthcare_Kingwood/Kingwood/Texas/" xr:uid="{C2FF15D1-B326-5E4D-BF13-A6DF711D430E}"/>
    <hyperlink ref="A31" r:id="rId9" display="https://www.ahd.com/free_profile/450659/_HCA_Houston_Healthcare_Medical_Center/Houston/Texas/" xr:uid="{783485ED-F074-2A4D-B8E2-18738C1D92A1}"/>
    <hyperlink ref="A261" r:id="rId10" display="https://www.ahd.com/free_profile/450087/_Medical_City_North_Hills/North_Richland_Hills/Texas/" xr:uid="{97EA344D-FCE9-5E49-8A20-EC6913913F61}"/>
    <hyperlink ref="A262" r:id="rId11" display="https://www.ahd.com/free_profile/670044/_Texas_Health_Presbyterian_Hospital_of_Rockwall/Rockwall/Texas/" xr:uid="{6F925CB1-B32F-474B-B8F3-6ED7DBBCD79A}"/>
    <hyperlink ref="A263" r:id="rId12" display="https://www.ahd.com/free_profile/450591/_The_University_of_Texas_Medical_Branch_Health_Angleton_Danbury_Campus/Angleton/Texas/" xr:uid="{10A6CE6D-447F-EF4B-AFF8-F54EF8273A43}"/>
    <hyperlink ref="A174" r:id="rId13" display="https://www.ahd.com/free_profile/450558/Abilene_Regional_Medical_Center/Abilene/Texas/" xr:uid="{EFC7E33C-871F-B248-AE2F-FA1A2A5E8D7A}"/>
    <hyperlink ref="A32" r:id="rId14" display="https://www.ahd.com/free_profile/670102/Advanced_Diagnostics_Hospitals_and_Clinics/Houston/Texas/" xr:uid="{1824F42C-5FD2-EB44-97EC-2187BFEE0C09}"/>
    <hyperlink ref="A138" r:id="rId15" display="https://www.ahd.com/free_profile/450152/AdventHealth_Central_Texas/Killeen/Texas/" xr:uid="{AA50CD36-388C-1842-A0A4-A2314592C9CA}"/>
    <hyperlink ref="A264" r:id="rId16" display="https://www.ahd.com/free_profile/670109/Altus_Baytown_Hospital/Baytown/Texas/" xr:uid="{764D14C9-CB1F-DE4E-AA85-3324323827E0}"/>
    <hyperlink ref="A33" r:id="rId17" display="https://www.ahd.com/free_profile/670135/Altus_Hospital_Houston/Houston/Texas/" xr:uid="{5D49215E-15BD-5748-8899-56068428C791}"/>
    <hyperlink ref="A249" r:id="rId18" display="https://www.ahd.com/free_profile/450078/Anson_General_Hospital/Anson/Texas/" xr:uid="{E9D40B54-2C01-EF4B-950E-6EB2D2371420}"/>
    <hyperlink ref="A98" r:id="rId19" display="https://www.ahd.com/free_profile/450871/Arise_Austin_Medical_Center/Austin/Texas/" xr:uid="{9CDDAA0A-265A-B147-A5D1-E7119C9D2A37}"/>
    <hyperlink ref="A160" r:id="rId20" display="https://www.ahd.com/free_profile/450042/Ascension_Providence_/Waco/Texas/" xr:uid="{68AA8919-AB86-B648-8DA4-97B74E01BF71}"/>
    <hyperlink ref="A265" r:id="rId21" display="https://www.ahd.com/free_profile/670056/Ascension_Seton_Hays/Kyle/Texas/" xr:uid="{B72469E0-75FC-E64F-BFFB-D4EE0CE924C8}"/>
    <hyperlink ref="A99" r:id="rId22" display="https://www.ahd.com/free_profile/450056/Ascension_Seton_Medical_Center_Austin/Austin/Texas/" xr:uid="{F6027B46-6F0F-6B49-9815-036A3CDE125E}"/>
    <hyperlink ref="A100" r:id="rId23" display="https://www.ahd.com/free_profile/450867/Ascension_Seton_Northwest/Austin/Texas/" xr:uid="{68261C12-3634-294A-8826-A89F90092F51}"/>
    <hyperlink ref="A266" r:id="rId24" display="https://www.ahd.com/free_profile/450143/Ascension_Seton_Smithville/Smithville/Texas/" xr:uid="{F00DD16F-79C2-DD48-B88F-75AAE7BD0160}"/>
    <hyperlink ref="A101" r:id="rId25" display="https://www.ahd.com/free_profile/450865/Ascension_Seton_Southwest/Austin/Texas/" xr:uid="{E0BF044C-2DED-504F-8CB0-99D300F18325}"/>
    <hyperlink ref="A102" r:id="rId26" display="https://www.ahd.com/free_profile/670041/Ascension_Seton_Williamson/Round_Rock/Texas/" xr:uid="{06A7E4A0-6F58-6641-A374-CDEF39F9715E}"/>
    <hyperlink ref="A267" r:id="rId27" display="https://www.ahd.com/free_profile/670093/Aspire_Hospital_/Conroe/Texas/" xr:uid="{97A11D03-19F6-AE40-A9F8-63B95CF9D2D8}"/>
    <hyperlink ref="A68" r:id="rId28" display="https://www.ahd.com/free_profile/45090F/Audie_L_Murphy_Memorial_VA_Hospital/San_Antonio/Texas/" xr:uid="{CFE8C70B-3F26-7C49-BD62-C9D845A047C9}"/>
    <hyperlink ref="A69" r:id="rId29" display="https://www.ahd.com/free_profile/I41895/Baptist__Emergency_Hospital_Hausman/San_Antonio/Texas/" xr:uid="{1C5D2524-3A5A-0745-AB9F-758FFF65CB37}"/>
    <hyperlink ref="A70" r:id="rId30" display="https://www.ahd.com/free_profile/I42368/Baptist_Emergency_Hospital_at_Kelly/San_Antonio/Texas/" xr:uid="{7927EA7D-FFC3-6842-A79F-CC8C255004EC}"/>
    <hyperlink ref="A71" r:id="rId31" display="https://www.ahd.com/free_profile/I41894/Baptist_Emergency_Hospital_Overlook/San_Antonio/Texas/" xr:uid="{60E3140D-9851-8443-8A40-60ACCDEBB6A1}"/>
    <hyperlink ref="A268" r:id="rId32" display="https://www.ahd.com/free_profile/I41897/Baptist_Emergency_Hospital_Schertz/Schertz/Texas/" xr:uid="{09798059-629C-3346-B9AE-497941E115A5}"/>
    <hyperlink ref="A72" r:id="rId33" display="https://www.ahd.com/free_profile/I41893/Baptist_Emergency_Hospital_Westover_Hills/San_Antonio/Texas/" xr:uid="{D898BAAE-881D-7B4C-AB61-808D6D139556}"/>
    <hyperlink ref="A73" r:id="rId34" display="https://www.ahd.com/free_profile/670078/Baptist_Emergency_Hospital-_Thousand_Oaks/San_Antonio/Texas/" xr:uid="{BE2200EB-FA09-B24B-A78B-ADDBADE60B63}"/>
    <hyperlink ref="A145" r:id="rId35" display="https://www.ahd.com/free_profile/450346/Baptist_Hospitals_of_Southeast_Texas/Beaumont/Texas/" xr:uid="{46F41F1B-43DA-294A-BF00-ADE82FCE8103}"/>
    <hyperlink ref="A74" r:id="rId36" display="https://www.ahd.com/free_profile/450058/Baptist_Medical_Center/San_Antonio/Texas/" xr:uid="{B34E57E6-89C7-7443-B04B-271E55AAAEDF}"/>
    <hyperlink ref="A2" r:id="rId37" display="https://www.ahd.com/free_profile/450137/Baylor_Scott_%26_White__All_Saints_Medical_Center/Fort_Worth/Texas/" xr:uid="{E60E718C-AA7D-B94A-B340-215F37514D41}"/>
    <hyperlink ref="A269" r:id="rId38" display="https://www.ahd.com/free_profile/I42300/Baylor_Scott_%26_White_Emergency_Hospital_-_Colleyville/Colleyville/Texas/" xr:uid="{B4EA5857-791F-E74E-AA33-D84B0F666C5E}"/>
    <hyperlink ref="A270" r:id="rId39" display="https://www.ahd.com/free_profile/I42303/Baylor_Scott_%26_White_Emergency_Hospital_-_Grand_Prairie/Grand_Prairie/Texas/" xr:uid="{44A67C2A-8E2A-864C-8307-B0D092E29471}"/>
    <hyperlink ref="A271" r:id="rId40" display="https://www.ahd.com/free_profile/I42302/Baylor_Scott_%26_White_Emergency_Hospital_-_Keller/Keller/Texas/" xr:uid="{B2380C52-AF3E-D146-AE66-D1D1CB68EA47}"/>
    <hyperlink ref="A246" r:id="rId41" display="https://www.ahd.com/free_profile/I42304/Baylor_Scott_%26_White_Emergency_Hospital_-_Mansfield/Mansfield/Texas/" xr:uid="{3CACC0B6-85E7-1541-827B-2A4904E2C9AD}"/>
    <hyperlink ref="A272" r:id="rId42" display="https://www.ahd.com/free_profile/I42301/Baylor_Scott_%26_White_Emergency_Hospital_-_Murphy/Murphy/Texas/" xr:uid="{76F94F20-F04F-9940-9628-D5E705895BA5}"/>
    <hyperlink ref="A273" r:id="rId43" display="https://www.ahd.com/free_profile/670097/Baylor_Scott_%26_White_Emergency_Hospital_-_Rockwall/Rockwall/Texas/" xr:uid="{E6CF09D6-2EBE-394A-96D7-D28FB63AED5C}"/>
    <hyperlink ref="A274" r:id="rId44" display="https://www.ahd.com/free_profile/670062/Baylor_Scott_%26_White_Emergency_Hospital-Aubrey/Aubrey/Texas/" xr:uid="{12437E54-9E61-EB4D-B0C0-D6D5DD25F973}"/>
    <hyperlink ref="A275" r:id="rId45" display="https://www.ahd.com/free_profile/670107/Baylor_Scott_%26_White_Emergency_Hospital-Burleson/Burleson/Texas/" xr:uid="{4F67E98A-7AB7-9C4F-8558-275DA0843C63}"/>
    <hyperlink ref="A3" r:id="rId46" display="https://www.ahd.com/free_profile/450851/Baylor_Scott_%26_White_Heart_and_Vascular_Hospital/Dallas/Texas/" xr:uid="{D8F0B3CA-AE02-1244-A179-0EEB4869ECD3}"/>
    <hyperlink ref="A139" r:id="rId47" display="https://www.ahd.com/free_profile/450008/Baylor_Scott_%26_White_McLane_Children%27s/Temple/Texas/" xr:uid="{03973BC7-C118-2344-8B54-F29A40BB53B5}"/>
    <hyperlink ref="A276" r:id="rId48" display="https://www.ahd.com/free_profile/670128/Baylor_Scott_%26_White_Medical_Center_-_Pflugerville/Pflugerville/Texas/" xr:uid="{88B32075-8AD6-E547-8859-C3A572AEA0D6}"/>
    <hyperlink ref="A235" r:id="rId49" display="https://www.ahd.com/free_profile/670060/Baylor_Scott_%26_White_Medical_Center_-_Sunnyvale_/Sunnyvale/Texas/" xr:uid="{E3B57A16-3066-2D4D-AECB-2DD905BCAB80}"/>
    <hyperlink ref="A103" r:id="rId50" display="https://www.ahd.com/free_profile/670136/Baylor_Scott_%26_White_Medical_Center_Austin/Austin/Texas/" xr:uid="{4A5C2980-B307-8644-8A33-9901F43A4581}"/>
    <hyperlink ref="A217" r:id="rId51" display="https://www.ahd.com/free_profile/450187/Baylor_Scott_%26_White_Medical_Center_Brenham/Brenham/Texas/" xr:uid="{E8C0C945-A300-F94D-9575-B7269A7398A6}"/>
    <hyperlink ref="A277" r:id="rId52" display="https://www.ahd.com/free_profile/450730/Baylor_Scott_%26_White_Medical_Center_Carrollton/Carrollton/Texas/" xr:uid="{D6494C72-8DBC-DB4D-B1E4-4256C86691B8}"/>
    <hyperlink ref="A278" r:id="rId53" display="https://www.ahd.com/free_profile/450885/Baylor_Scott_%26_White_Medical_Center_Centennial_/Frisco/Texas/" xr:uid="{A71B8896-6EFD-A541-8013-20B8F1C02F73}"/>
    <hyperlink ref="A162" r:id="rId54" display="https://www.ahd.com/free_profile/670088/Baylor_Scott_%26_White_Medical_Center_College_Station/College_Station/Texas/" xr:uid="{DF295B6B-7F2D-E642-A859-3F7F89419F56}"/>
    <hyperlink ref="A161" r:id="rId55" display="https://www.ahd.com/free_profile/450101/Baylor_Scott_%26_White_Medical_Center_Hillcrest/Waco/Texas/" xr:uid="{D530129E-D7D6-C84F-B257-49988FE5D0C6}"/>
    <hyperlink ref="A279" r:id="rId56" display="https://www.ahd.com/free_profile/450079/Baylor_Scott_%26_White_Medical_Center_Irving_/Irving/Texas/" xr:uid="{3816F211-C280-8942-8E96-5E69AA5E3B9E}"/>
    <hyperlink ref="A280" r:id="rId57" display="https://www.ahd.com/free_profile/450742/Baylor_Scott_%26_White_Medical_Center_Lake_Pointe/Rowlett/Texas/" xr:uid="{67C6EE1C-63AF-F94D-A97A-7DAC83C46DFC}"/>
    <hyperlink ref="A281" r:id="rId58" display="https://www.ahd.com/free_profile/670079/Baylor_Scott_%26_White_Medical_Center_Lakeway/Lakeway/Texas/" xr:uid="{D1F0134F-F6D8-8840-8210-56D263F8E73D}"/>
    <hyperlink ref="A282" r:id="rId59" display="https://www.ahd.com/free_profile/450219/Baylor_Scott_%26_White_Medical_Center_Llano/Llano/Texas/" xr:uid="{64061B7F-D4FD-5941-93A5-5D3867CB9576}"/>
    <hyperlink ref="A283" r:id="rId60" display="https://www.ahd.com/free_profile/670108/Baylor_Scott_%26_White_Medical_Center_Marble_Falls/Marble_Falls/Texas/" xr:uid="{542C3E0F-32F6-1B40-B8DE-C1F7B32510A8}"/>
    <hyperlink ref="A284" r:id="rId61" display="https://www.ahd.com/free_profile/670082/Baylor_Scott_%26_White_Medical_Center_McKinney_/McKinney/Texas/" xr:uid="{EAB290AB-08FE-C04D-BDC1-4B4E92FBF090}"/>
    <hyperlink ref="A104" r:id="rId62" display="https://www.ahd.com/free_profile/670034/Baylor_Scott_%26_White_Medical_Center_Round_Rock/Round_Rock/Texas/" xr:uid="{CC07B8FF-72BA-9C45-9102-4B399C71BD55}"/>
    <hyperlink ref="A285" r:id="rId63" display="https://www.ahd.com/free_profile/450883/Baylor_Scott_%26_White_Medical_Center_Trophy_Club/Trophy_Club/Texas/" xr:uid="{0638E2D5-299E-AC40-84A7-F7ADBF33BB3F}"/>
    <hyperlink ref="A4" r:id="rId64" display="https://www.ahd.com/free_profile/450422/Baylor_Scott_%26_White_Medical_Center_Uptown/Dallas/Texas/" xr:uid="{963691D8-247A-B447-B00C-525A6C849EBB}"/>
    <hyperlink ref="A286" r:id="rId65" display="https://www.ahd.com/free_profile/450372/Baylor_Scott_%26_White_Medical_Center_Waxahachie_/Waxahachie/Texas/" xr:uid="{3E5E1CFD-2425-EF4D-9D06-57BB65C552C1}"/>
    <hyperlink ref="A5" r:id="rId66" display="https://www.ahd.com/free_profile/670067/Baylor_Scott_%26_White_Orthopedic_and_Spine_Hospital_Arlington/Arlington/Texas/" xr:uid="{2513C3A9-3DF2-1046-A55E-A5BAF9072DB3}"/>
    <hyperlink ref="A183" r:id="rId67" display="https://www.ahd.com/free_profile/670076/Baylor_Scott_%26_White_Surgical_Hospital_at_Sherman/Sherman/Texas/" xr:uid="{EFF4F516-9DBA-984D-A47D-3D75047B5DBC}"/>
    <hyperlink ref="A6" r:id="rId68" display="https://www.ahd.com/free_profile/450880/Baylor_Scott_%26_White_Surgical_Hospital_Fort_Worth/Fort_Worth/Texas/" xr:uid="{FBF97088-4334-494C-A737-72439F78828F}"/>
    <hyperlink ref="A168" r:id="rId69" display="https://www.ahd.com/free_profile/450864/Baylor_Scott_%26_White_Texas_Spine_%26_Joint_Hospital/Tyler/Texas/" xr:uid="{3CB27D92-DC7D-F945-AECE-4B0A919FFB96}"/>
    <hyperlink ref="A287" r:id="rId70" display="https://www.ahd.com/free_profile/450853/Baylor_Scott_and_White_Medical_Center_Frisco/Frisco/Texas/" xr:uid="{D5D72254-4EDC-1941-930D-07689A739D91}"/>
    <hyperlink ref="A288" r:id="rId71" display="https://www.ahd.com/free_profile/670025/Baylor_Scott_and_White_The_Heart_Hospital_-_Plano/Plano/Texas/" xr:uid="{BC3DBC75-5335-8245-8E9B-E69A3EAB7863}"/>
    <hyperlink ref="A238" r:id="rId72" display="https://www.ahd.com/free_profile/450893/Baylor_Scott_and_White_The_Heart_Hospital_Denton/Denton/Texas/" xr:uid="{838BEC66-CB13-2A42-BBDC-42274344C145}"/>
    <hyperlink ref="A289" r:id="rId73" display="https://www.ahd.com/free_profile/450874/Baylor_Surgical_Hospital_at_Las_Colinas/Irving/Texas/" xr:uid="{173CCB76-7B91-0E4D-A005-D766D410C862}"/>
    <hyperlink ref="A7" r:id="rId74" display="https://www.ahd.com/free_profile/450021/Baylor_University_Medical_Center_/Dallas/Texas/" xr:uid="{926F268B-F6A4-A94E-B3E3-6674672DDD5E}"/>
    <hyperlink ref="A34" r:id="rId75" display="https://www.ahd.com/free_profile/450289/Ben_Taub_General_Hospital/Houston/Texas/" xr:uid="{79632D68-DCCF-7343-BCDF-9C859387501D}"/>
    <hyperlink ref="A290" r:id="rId76" display="https://www.ahd.com/free_profile/45069F/Brooke_Army_Medical_Center/Fort_Sam_Houston/Texas/" xr:uid="{8A3D7E48-62BC-C84B-B662-42A3A8AF8C67}"/>
    <hyperlink ref="A291" r:id="rId77" display="https://www.ahd.com/free_profile/450399/Brownfield_Regional_Medical_Center/Brownfield/Texas/" xr:uid="{89198A31-1B09-EF43-B706-C6400AB5ED0F}"/>
    <hyperlink ref="A211" r:id="rId78" display="https://www.ahd.com/free_profile/450587/Brownwood_Regional_Medical_Center/Brownwood/Texas/" xr:uid="{5844B4F6-ACCA-0748-81B1-7DF6EA1BAE08}"/>
    <hyperlink ref="A154" r:id="rId79" display="https://www.ahd.com/free_profile/450231/BSA_Hospital_/Amarillo/Texas/" xr:uid="{9EC93B5E-A8B7-5D48-8B74-C731044803F6}"/>
    <hyperlink ref="A292" r:id="rId80" display="https://www.ahd.com/free_profile/45070F/Carl_R_Darnall_Army_Medical_Center/Fort_Hood/Texas/" xr:uid="{19754EEB-5D1B-C041-8E76-314B71C73AEF}"/>
    <hyperlink ref="A293" r:id="rId81" display="https://www.ahd.com/free_profile/670043/Cedar_Park_Regional_Medical_Center/Cedar_Park/Texas/" xr:uid="{62B6BA2D-5781-364E-BE37-D16EF5BE45AB}"/>
    <hyperlink ref="A140" r:id="rId82" display="https://www.ahd.com/free_profile/45086F/Central_Texas_Veterans_Health_Care_System_-_Olin_E_Teague_Veterans%27_Center/Temple/Texas/" xr:uid="{50FE758C-D8FB-6744-94DC-89FAAD19882B}"/>
    <hyperlink ref="A191" r:id="rId83" display="https://www.ahd.com/free_profile/450211/CHI_Saint_Luke%27s_Health_-_Memorial_Lufkin/Lufkin/Texas/" xr:uid="{6F0F219C-8714-9E48-8210-941CC3BDAB22}"/>
    <hyperlink ref="A35" r:id="rId84" display="https://www.ahd.com/free_profile/450862/CHI_Saint_Luke%27s_Health_-_The_Woodlands/The_Woodlands/Texas/" xr:uid="{83B6AB77-0246-0A4A-AEB9-170639420926}"/>
    <hyperlink ref="A36" r:id="rId85" display="https://www.ahd.com/free_profile/670059/CHI_Saint_Luke%27s_Health_Lakeside_Hospital/The_Woodlands/Texas/" xr:uid="{9FBB57C5-64F4-8E41-8BE6-74996F2B98FB}"/>
    <hyperlink ref="A37" r:id="rId86" display="https://www.ahd.com/free_profile/450193/CHI_Saint_Luke%27s_Health-Baylor_Saint_Luke%27s_Medical_Center/Houston/Texas/" xr:uid="{9FC5CCB4-984C-6C45-B0FA-417C7D79281D}"/>
    <hyperlink ref="A163" r:id="rId87" display="https://www.ahd.com/free_profile/450299/CHI_St_Joseph_Health_College_Station_Hospital/College_Station/Texas/" xr:uid="{30080370-510F-5544-9929-6826CB3F7DD3}"/>
    <hyperlink ref="A164" r:id="rId88" display="https://www.ahd.com/free_profile/450011/CHI_St_Joseph_Health_Regional_Hospital/Bryan/Texas/" xr:uid="{D25F9F5D-9289-DB46-BB17-4B4222AEBA2D}"/>
    <hyperlink ref="A294" r:id="rId89" display="https://www.ahd.com/free_profile/670031/CHI_St_Luke%27s_Health_-_Patients_Medical_Center/South_Pasadena/Texas/" xr:uid="{29E981F4-44CD-6C48-AF69-4A72F385AC00}"/>
    <hyperlink ref="A38" r:id="rId90" display="https://www.ahd.com/free_profile/670075/CHI_St_Luke%27s_Health_-_The_Vintage_Hospital/Houston/Texas/" xr:uid="{2635D57D-0FDD-044A-8F47-BA0F26AED933}"/>
    <hyperlink ref="A295" r:id="rId91" display="https://www.ahd.com/free_profile/450395/CHI_St_Luke%27s_Health-Memorial_Livingston/Livingston/Texas/" xr:uid="{A09EAD6B-E260-EF40-BD70-7544104F06B1}"/>
    <hyperlink ref="A39" r:id="rId92" display="https://www.ahd.com/free_profile/670053/CHI_St_Luke%27s_Sugar_Land_Hospital/Sugar_Land/Texas/" xr:uid="{87DAE154-4EB5-814E-BA27-A07FC60CE793}"/>
    <hyperlink ref="A296" r:id="rId93" display="https://www.ahd.com/free_profile/450072/CHI_StLuke%27s_Health_Brazosport_Hospital/Lake_Jackson/Texas/" xr:uid="{0AA3C92F-EB44-2541-95FD-A258EFFFB4E7}"/>
    <hyperlink ref="A297" r:id="rId94" display="https://www.ahd.com/free_profile/450369/Childress_Regional_Medical_Center/Childress/Texas/" xr:uid="{5BEF1A47-9AAE-3844-9CB8-2760B11C0990}"/>
    <hyperlink ref="A251" r:id="rId95" display="https://www.ahd.com/free_profile/450573/CHRISTUS_Jasper_Memorial_Hospital/Jasper/Texas/" xr:uid="{7086C64B-AA17-A04E-A285-EF6B63B44B5A}"/>
    <hyperlink ref="A169" r:id="rId96" display="https://www.ahd.com/free_profile/I42356/CHRISTUS_Mother_Frances_Hospital_-_South_Tyler/Tyler/Texas/" xr:uid="{8DCB0C7F-8D53-C742-B647-B57DB79B3CE4}"/>
    <hyperlink ref="A170" r:id="rId97" display="https://www.ahd.com/free_profile/450102/CHRISTUS_Mother_Frances_Hospital_-_Tyler/Tyler/Texas/" xr:uid="{CEE3B25A-2423-AB42-AD9B-70223809E989}"/>
    <hyperlink ref="A216" r:id="rId98" display="https://www.ahd.com/free_profile/450236/CHRISTUS_Mother_Frances_Hospital-Sulphur_Springs/Sulphur_Springs/Texas/" xr:uid="{DB446DA0-A764-A842-9035-1A2EC823F474}"/>
    <hyperlink ref="A179" r:id="rId99" display="https://www.ahd.com/free_profile/450801/CHRISTUS_Saint_Michael_Hospital/Texarkana/Texas/" xr:uid="{22C5812D-8FED-674A-A7EB-0BFDBF591D6D}"/>
    <hyperlink ref="A230" r:id="rId100" display="https://www.ahd.com/free_profile/450615/CHRISTUS_Saint_Michael_Hospital_-_Atlanta/Atlanta/Texas/" xr:uid="{5C23F537-7B1D-384F-A096-39FF645FBA2E}"/>
    <hyperlink ref="A75" r:id="rId101" display="https://www.ahd.com/free_profile/I42085/CHRISTUS_Santa_Rosa_Hospital__Alamo_Heights/San_Antonio/Texas/" xr:uid="{9532B8ED-A941-C246-A40E-F6BA26BFFA87}"/>
    <hyperlink ref="A76" r:id="rId102" display="https://www.ahd.com/free_profile/450237/CHRISTUS_Santa_Rosa_Hospital_-_Medical_Center/San_Antonio/Texas/" xr:uid="{8F46B303-BB1F-C140-9A10-10E63AFE6955}"/>
    <hyperlink ref="A77" r:id="rId103" display="https://www.ahd.com/free_profile/I41727/CHRISTUS_Santa_Rosa_Hospital_-_New_Braunfels/New_Braunfels/Texas/" xr:uid="{68057CA9-FCC7-204A-B82E-CD8159BD8A7C}"/>
    <hyperlink ref="A298" r:id="rId104" display="https://www.ahd.com/free_profile/450272/Christus_Santa_Rosa_Hospital-San_Marcos/San_Marcos/Texas/" xr:uid="{F1A70A41-6C33-DC4A-AD21-8BED2C85AA7E}"/>
    <hyperlink ref="A78" r:id="rId105" display="https://www.ahd.com/free_profile/I42091/CHRISTUS_Santa_Rosa_Hospital-Westover_Hills/San_Antonio/Texas/" xr:uid="{CD3CE4AB-4606-0A4A-8157-F7439114472F}"/>
    <hyperlink ref="A146" r:id="rId106" display="https://www.ahd.com/free_profile/450034/CHRISTUS_Southeast_Texas_-_Saint_Elizabeth/Beaumont/Texas/" xr:uid="{9C996D38-B55D-8546-9225-7E11437063E0}"/>
    <hyperlink ref="A207" r:id="rId107" display="https://www.ahd.com/free_profile/450828/CHRISTUS_Spohn_Hospital_Alice/Alice/Texas/" xr:uid="{4CC2EC60-D233-8B4B-98F9-0E2A16F03ACB}"/>
    <hyperlink ref="A219" r:id="rId108" display="https://www.ahd.com/free_profile/450082/CHRISTUS_Spohn_Hospital_Beeville/Beeville/Texas/" xr:uid="{FFC764B5-760B-B340-AA06-83E17CBAB10F}"/>
    <hyperlink ref="A130" r:id="rId109" display="https://www.ahd.com/free_profile/I41265/CHRISTUS_Spohn_Hospital_Corpus_Christi_-_South/Corpus_Christi/Texas/" xr:uid="{EE16C7C5-ACEB-E44B-B146-9FE79B34ED2B}"/>
    <hyperlink ref="A131" r:id="rId110" display="https://www.ahd.com/free_profile/450046/CHRISTUS_Spohn_Hospital_Corpus_Christi_-Shoreline/Corpus_Christi/Texas/" xr:uid="{3C29A2C5-521A-734A-BE21-616C55B566AE}"/>
    <hyperlink ref="A220" r:id="rId111" display="https://www.ahd.com/free_profile/450163/CHRISTUS_Spohn_Hospital_Kleberg/Kingsville/Texas/" xr:uid="{3738CE9C-4313-434C-8CDE-7571DF0CBD1A}"/>
    <hyperlink ref="A171" r:id="rId112" display="https://www.ahd.com/free_profile/I42092/CHRISTUS_Trinity_Mother_Frances_Louis_and_Peaches_Owen_Heart_Hospital/Tyler_/Texas/" xr:uid="{F1F2934E-4B9F-AB47-926A-97B7A4873333}"/>
    <hyperlink ref="A188" r:id="rId113" display="https://www.ahd.com/free_profile/450023/Citizens_Medical_Center/Victoria/Texas/" xr:uid="{85EDA077-FEDD-3C43-8AFF-5F2475815FF1}"/>
    <hyperlink ref="A8" r:id="rId114" display="https://www.ahd.com/free_profile/450678/City_Hospital_at_White_Rock/Dallas/Texas/" xr:uid="{AD842C29-C124-C346-BA4D-70C43908C291}"/>
    <hyperlink ref="A299" r:id="rId115" display="https://www.ahd.com/free_profile/670096/Clear_Lake_Campus_Hospital_/Webster/Texas/" xr:uid="{14CDAB85-4A64-8242-9B38-030CA2FA0F96}"/>
    <hyperlink ref="A231" r:id="rId116" display="https://www.ahd.com/free_profile/670115/Cleveland_Emergency_Hospital_/Cleveland/Texas/" xr:uid="{21C2A912-5953-5445-9DC5-E308D6D87426}"/>
    <hyperlink ref="A112" r:id="rId117" display="https://www.ahd.com/free_profile/673075/Cobalt_Rehabilitation_El_Paso_/El_Paso_/Texas/" xr:uid="{EEA48044-47A2-3645-9335-13857C1FCFB4}"/>
    <hyperlink ref="A234" r:id="rId118" display="https://www.ahd.com/free_profile/450370/Columbus_Community_Hospital/Columbus/Texas/" xr:uid="{84326736-2E65-9644-8D80-7DF2AD4A523F}"/>
    <hyperlink ref="A300" r:id="rId119" display="https://www.ahd.com/free_profile/450108/Connally_Memorial_Medical_Center/Floresville/Texas/" xr:uid="{5303CDF4-EA10-3B4E-B630-BBD7B9E32355}"/>
    <hyperlink ref="A124" r:id="rId120" display="https://www.ahd.com/free_profile/450825/Cornerstone_Regional_Hospital/Edinburg/Texas/" xr:uid="{80D2E670-D543-7D4C-8313-2DCE939429CB}"/>
    <hyperlink ref="A132" r:id="rId121" display="https://www.ahd.com/free_profile/I41081/Corpus_Christi_Medical_Center_-_Bay_Area/Corpus_Christi/Texas/" xr:uid="{6C56B760-BC34-CF47-9B14-E0D407D9899B}"/>
    <hyperlink ref="A133" r:id="rId122" display="https://www.ahd.com/free_profile/450788/Corpus_Christi_Medical_Center_-_Doctors_Regional/Corpus_Christi/Texas/" xr:uid="{1E791EBF-3C90-8541-B82C-C1980F475061}"/>
    <hyperlink ref="A134" r:id="rId123" display="https://www.ahd.com/free_profile/450131/Corpus_Christi_Medical_Center_-_Northwest/Corpus_Christi/Texas/" xr:uid="{0E79EC29-0368-EA42-8C12-523D1C5711C5}"/>
    <hyperlink ref="A135" r:id="rId124" display="https://www.ahd.com/free_profile/I41082/Corpus_Christi_Medical_Center_-_The_Heart_Hospital/Corpus_Christi/Texas/" xr:uid="{9DF29727-5463-BE4F-A61A-88D22EDC7418}"/>
    <hyperlink ref="A223" r:id="rId125" display="https://www.ahd.com/free_profile/450755/Covenant_Health_Levelland/Levelland/Texas/" xr:uid="{A86C60BF-A04C-BA4E-A17B-F1D64A0B8278}"/>
    <hyperlink ref="A215" r:id="rId126" display="https://www.ahd.com/free_profile/450539/Covenant_Health_Plainview/Plainview/Texas/" xr:uid="{40FE734C-C19C-834A-A15F-464C1623D29D}"/>
    <hyperlink ref="A148" r:id="rId127" display="https://www.ahd.com/free_profile/450040/Covenant_Medical_Center/Lubbock/Texas/" xr:uid="{0D4F58E7-2DA0-514E-A826-5373FC430A4F}"/>
    <hyperlink ref="A243" r:id="rId128" display="https://www.ahd.com/free_profile/670090/Crescent_Medical_Center_Lancaster/Lancaster/Texas/" xr:uid="{185753C3-DB20-0B41-9F71-009775A85F78}"/>
    <hyperlink ref="A9" r:id="rId129" display="https://www.ahd.com/free_profile/450379/Dallas_Medical_Center/Dallas/Texas/" xr:uid="{7CE9CD7F-70A8-DF47-B67C-40D7E1863FB2}"/>
    <hyperlink ref="A301" r:id="rId130" display="https://www.ahd.com/free_profile/450688/Dallas_Regional_Medical_Center/Mesquite/Texas/" xr:uid="{D7383141-874D-D943-A933-AFF6A4AB42CB}"/>
    <hyperlink ref="A10" r:id="rId131" display="https://www.ahd.com/free_profile/45066F/Dallas_VA_Medical_Center/Dallas/Texas/" xr:uid="{6B4CEA55-F8F0-3146-87D2-AF44BDD29870}"/>
    <hyperlink ref="A113" r:id="rId132" display="https://www.ahd.com/free_profile/450646/Del_Sol_Medical_Center/El_Paso/Texas/" xr:uid="{66B4BA01-1CBE-0A45-B91F-3E1F1C91ADFD}"/>
    <hyperlink ref="A105" r:id="rId133" display="https://www.ahd.com/free_profile/I42177/Dell_Seton_Medical_Center_at_The_University_of_Texas/Austin/Texas/" xr:uid="{198318E6-5280-7543-85F1-50EBE9241E26}"/>
    <hyperlink ref="A189" r:id="rId134" display="https://www.ahd.com/free_profile/450147/DeTar_Hospital_Navarro/Victoria/Texas/" xr:uid="{45C6D615-DC85-974D-AC04-37BACFF6AD00}"/>
    <hyperlink ref="A190" r:id="rId135" display="https://www.ahd.com/free_profile/450724/DeTar_Hospital_North/Victoria/Texas/" xr:uid="{82ED1939-8CC4-3240-BD13-21DED9BA958E}"/>
    <hyperlink ref="A125" r:id="rId136" display="https://www.ahd.com/free_profile/450869/DHR_Health/Edinburg/Texas/" xr:uid="{7E3C732C-C449-0042-B1AB-F634B5494194}"/>
    <hyperlink ref="A152" r:id="rId137" display="https://www.ahd.com/free_profile/450643/Doctors_Hospital_of_Laredo/Laredo/Texas/" xr:uid="{AFDCCAF5-F1F7-6D48-9DAB-BBF3EDF9783A}"/>
    <hyperlink ref="A302" r:id="rId138" display="https://www.ahd.com/free_profile/450411/Eastland_Memorial_Hospital/Eastland/Texas/" xr:uid="{6693FE49-624C-F641-8F88-4CA6C8C75B9D}"/>
    <hyperlink ref="A126" r:id="rId139" display="https://www.ahd.com/free_profile/450119/Edinburg_Regional_Medical_Center/Edinburg/Texas/" xr:uid="{7E70F9D4-0A30-5B40-83D7-ACE880E4A415}"/>
    <hyperlink ref="A208" r:id="rId140" display="https://www.ahd.com/free_profile/450694/El_Campo_Memorial_Hospital/El_Campo/Texas/" xr:uid="{0A916DE8-56BE-2143-BB82-77BFABC2A732}"/>
    <hyperlink ref="A114" r:id="rId141" display="https://www.ahd.com/free_profile/670127/El_Paso_Ltac_Hospital/El_Paso/Texas/" xr:uid="{B0F050D1-73BE-6B41-A038-C1AEABE28B1A}"/>
    <hyperlink ref="A303" r:id="rId142" display="https://www.ahd.com/free_profile/450833/Ennis_Regional_Medical_Center/Ennis/Texas/" xr:uid="{00D3FCA7-F4E0-2844-8E8F-4A61218B1A88}"/>
    <hyperlink ref="A304" r:id="rId143" display="https://www.ahd.com/free_profile/450241/Faith_Community_Hospital/Jacksboro/Texas/" xr:uid="{FA67D9D3-C296-E442-B632-4D83B71D2448}"/>
    <hyperlink ref="A305" r:id="rId144" display="https://www.ahd.com/free_profile/450348/Falls_Community_Hospital/Marlin/Texas/" xr:uid="{33C97FF0-AAE5-124A-A5CE-03455DB3A767}"/>
    <hyperlink ref="A306" r:id="rId145" display="https://www.ahd.com/free_profile/670029/First_Surgical_Hospital/Bellaire/Texas/" xr:uid="{1938E413-0943-014C-992F-ED7C82BB96C5}"/>
    <hyperlink ref="A40" r:id="rId146" display="https://www.ahd.com/free_profile/670118/First_Texas_Hospital/Houston/Texas/" xr:uid="{6203E946-D348-0949-9518-90DB7DD0665B}"/>
    <hyperlink ref="A200" r:id="rId147" display="https://www.ahd.com/free_profile/450092/Fort_Duncan_Regional_Medical_Center/Eagle_Pass/Texas/" xr:uid="{070E4A85-BA65-9246-A145-6C8E7FAE55E6}"/>
    <hyperlink ref="A115" r:id="rId148" display="https://www.ahd.com/free_profile/450877/Foundation_Surgical_Hospital_of_El_Paso/El_Paso/Texas/" xr:uid="{637CC6A8-34F8-5941-9B84-E04576ABCB66}"/>
    <hyperlink ref="A79" r:id="rId149" display="https://www.ahd.com/free_profile/670054/Foundation_Surgical_Hospital_of_San_Antonio/San_Antonio/Texas/" xr:uid="{3BF98937-46AD-EC4C-B552-69DF409FB4EB}"/>
    <hyperlink ref="A244" r:id="rId150" display="https://www.ahd.com/free_profile/450658/Freestone_Medical_Center/Fairfield/Texas/" xr:uid="{9161569C-42E4-2A4C-A8E4-F09443A770E5}"/>
    <hyperlink ref="A307" r:id="rId151" display="https://www.ahd.com/free_profile/450451/Glen_Rose_Medical_Center/Glen_Rose/Texas/" xr:uid="{297A0468-6F34-A947-A560-26C9FA5A57A5}"/>
    <hyperlink ref="A308" r:id="rId152" display="https://www.ahd.com/free_profile/450235/Gonzales_Memorial_Hospital/Gonzales/Texas/" xr:uid="{97175A29-8EB0-7F47-A5F4-23C12880A5D9}"/>
    <hyperlink ref="A149" r:id="rId153" display="https://www.ahd.com/free_profile/450162/Grace_Medical_Center/Lubbock/Texas/" xr:uid="{C21BBEED-21D9-0A4C-B4E2-E50CA4629C0F}"/>
    <hyperlink ref="A309" r:id="rId154" display="https://www.ahd.com/free_profile/450085/Graham_Regional_Medical_Center/Graham/Texas/" xr:uid="{DCD2AD9B-CAA3-D548-9133-10CA66A615E2}"/>
    <hyperlink ref="A310" r:id="rId155" display="https://www.ahd.com/free_profile/450104/Guadalupe_Regional_Medical_Center/Seguin/Texas/" xr:uid="{7046DE00-1073-314A-A857-AC0084EB6ABD}"/>
    <hyperlink ref="A141" r:id="rId156" display="https://www.ahd.com/free_profile/450855/Harlingen_Medical_Center/Harlingen/Texas/" xr:uid="{E8C0D85F-6555-AF41-8A2B-9C334E3DB26B}"/>
    <hyperlink ref="A311" r:id="rId157" display="https://www.ahd.com/free_profile/450617/HCA_Houston_Healthcare_Clear_Lake/Webster/Texas/" xr:uid="{8FB285D4-DC7D-CB4D-9D86-0417AB56DD47}"/>
    <hyperlink ref="A312" r:id="rId158" display="https://www.ahd.com/free_profile/450222/HCA_Houston_Healthcare_Conroe/Conroe/Texas/" xr:uid="{0BFF1A0E-2A3F-6D4F-83E7-887DE0CCA2CD}"/>
    <hyperlink ref="A313" r:id="rId159" display="https://www.ahd.com/free_profile/450530/HCA_Houston_Healthcare_Mainland/Texas_City/Texas/" xr:uid="{218D1437-5662-B64B-A511-159E713D00F3}"/>
    <hyperlink ref="A314" r:id="rId160" display="https://www.ahd.com/free_profile/670024/HCA_Houston_Healthcare_North_Cypress/Cypress/Texas/" xr:uid="{CBFBFE50-1017-8C4B-947D-5CD0E551D6AA}"/>
    <hyperlink ref="A41" r:id="rId161" display="https://www.ahd.com/free_profile/450638/HCA_Houston_Healthcare_Northwest/Houston/Texas/" xr:uid="{731AFF05-FD7B-5844-B85A-2AEDFC7BC56D}"/>
    <hyperlink ref="A315" r:id="rId162" display="https://www.ahd.com/free_profile/670106/HCA_Houston_Healthcare_Pearland/Pearland/Texas/" xr:uid="{9EA92F5F-4ED8-9540-ACD3-13D48ED0B934}"/>
    <hyperlink ref="A316" r:id="rId163" display="https://www.ahd.com/free_profile/450097/HCA_Houston_Healthcare_Southeast/Pasadena/Texas/" xr:uid="{DCD996E0-92BB-6A4D-982F-FFC9DFFD56D3}"/>
    <hyperlink ref="A317" r:id="rId164" display="https://www.ahd.com/free_profile/450670/HCA_Houston_Healthcare_Tomball_/Tomball/Texas/" xr:uid="{413B2D00-8DBA-4E4C-9D34-6050D952CD51}"/>
    <hyperlink ref="A42" r:id="rId165" display="https://www.ahd.com/free_profile/450644/HCA_Houston_Healthcare_West_/Houston/Texas/" xr:uid="{05AE7043-5CD3-DB41-9E94-BE766F7C85D2}"/>
    <hyperlink ref="A106" r:id="rId166" display="https://www.ahd.com/free_profile/450824/Heart_Hospital_of_Austin/Austin/Texas/" xr:uid="{73B4BFEB-15C0-1C40-8341-9C0922C254BB}"/>
    <hyperlink ref="A318" r:id="rId167" display="https://www.ahd.com/free_profile/450578/Hemphill_County_Hospital/Canadian/Texas/" xr:uid="{8FDE0B4A-C94B-CE4A-87AF-B0CF963081C6}"/>
    <hyperlink ref="A175" r:id="rId168" display="https://www.ahd.com/free_profile/450229/Hendrick_Medical_Center/Abilene/Texas/" xr:uid="{2E2F0552-3B99-E94E-9CBB-A4E2F321BB72}"/>
    <hyperlink ref="A225" r:id="rId169" display="https://www.ahd.com/free_profile/450155/Hereford_Regional_Medical_Center/Hereford/Texas/" xr:uid="{1C3AFBF8-1997-0A48-BC72-1EB5B7A6290A}"/>
    <hyperlink ref="A222" r:id="rId170" display="https://www.ahd.com/free_profile/450604/Hill_Country_Memorial_Hospital/Fredericksburg/Texas/" xr:uid="{AD775F23-F8E0-1343-B5B7-C5B4E0DCFC6E}"/>
    <hyperlink ref="A319" r:id="rId171" display="https://www.ahd.com/free_profile/450424/Houston_Methodist_Baytown_Hospital/Baytown/Texas/" xr:uid="{2E1539B8-3359-F040-9365-ABE89BE20CA2}"/>
    <hyperlink ref="A320" r:id="rId172" display="https://www.ahd.com/free_profile/450709/Houston_Methodist_Clear_Lake_Hospital/Nassau_Bay/Texas/" xr:uid="{B0296E21-726B-BA45-A022-016C1E56981F}"/>
    <hyperlink ref="A43" r:id="rId173" display="https://www.ahd.com/free_profile/450358/Houston_Methodist_Hospital/Houston/Texas/" xr:uid="{EBB9A976-73C4-F442-9DA0-DA0EACC4F040}"/>
    <hyperlink ref="A44" r:id="rId174" display="https://www.ahd.com/free_profile/450820/Houston_Methodist_Sugar_Land_Hospital/Sugar_Land/Texas/" xr:uid="{784BF6A8-D6B7-7140-A5BF-504BC6765681}"/>
    <hyperlink ref="A45" r:id="rId175" display="https://www.ahd.com/free_profile/670122/Houston_Methodist_The_Woodlands_Hospital/The_Woodlands/Texas/" xr:uid="{22B5D1C7-1B05-E246-A7E5-3EA10021DC1B}"/>
    <hyperlink ref="A46" r:id="rId176" display="https://www.ahd.com/free_profile/670077/Houston_Methodist_West_Hospital_/Houston/Texas/" xr:uid="{15D06F23-B17F-104A-81D4-4FBFD8AF94FA}"/>
    <hyperlink ref="A47" r:id="rId177" display="https://www.ahd.com/free_profile/450844/Houston_Methodist_Willowbrook_Hospital/Houston/Texas/" xr:uid="{BB7DD446-FF90-7244-ABBE-D0F6F031D257}"/>
    <hyperlink ref="A321" r:id="rId178" display="https://www.ahd.com/free_profile/670008/Houston_Physicians%27_Hospital/Webster/Texas/" xr:uid="{236B111B-720D-F444-AAA5-1882BF3ABB1E}"/>
    <hyperlink ref="A237" r:id="rId179" display="https://www.ahd.com/free_profile/450352/Hunt_Regional_Medical_Center_at_Greenville/Greenville/Texas/" xr:uid="{4E956DF8-E2F3-0849-B8BB-EF2100DD0698}"/>
    <hyperlink ref="A193" r:id="rId180" display="https://www.ahd.com/free_profile/450347/Huntsville_Memorial_Hospital/Huntsville/Texas/" xr:uid="{A966C51B-CD7E-BF46-9FEE-8D1E751A4B6A}"/>
    <hyperlink ref="A11" r:id="rId181" display="https://www.ahd.com/free_profile/450039/John_Peter_Smith_Hospital/Fort_Worth/Texas/" xr:uid="{8CB05436-E1F0-9043-BE9B-593252901C24}"/>
    <hyperlink ref="A177" r:id="rId182" display="https://www.ahd.com/free_profile/450827/Kell_West_Regional_Hospital/Wichita_Falls/Texas/" xr:uid="{7AEC4538-D679-A24B-A7CA-38499ACC72B0}"/>
    <hyperlink ref="A203" r:id="rId183" display="https://www.ahd.com/free_profile/45075F/Kerrville_VA_Hospital/Kerrville/Texas/" xr:uid="{BB573373-1533-BB45-B2E5-596DE3AE0B95}"/>
    <hyperlink ref="A322" r:id="rId184" display="https://www.ahd.com/free_profile/450128/Knapp_Medical_Center/Weslaco/Texas/" xr:uid="{AD45FBC2-0959-744D-B64F-E53B2B23C179}"/>
    <hyperlink ref="A323" r:id="rId185" display="https://www.ahd.com/free_profile/450596/Lake_Granbury_Medical_Center/Granbury/Texas/" xr:uid="{DD8F7F47-9FCA-D548-86E7-9AC6EE6C768C}"/>
    <hyperlink ref="A324" r:id="rId186" display="https://www.ahd.com/free_profile/450698/Lamb_Healthcare_Center/Littlefield/Texas/" xr:uid="{EC6E1EE4-E7C4-CE40-BDDB-041A0AB5070A}"/>
    <hyperlink ref="A153" r:id="rId187" display="https://www.ahd.com/free_profile/450029/Laredo_Medical_Center/Laredo/Texas/" xr:uid="{45D6E2EF-F230-074F-AFA7-3CFD02E98DA2}"/>
    <hyperlink ref="A116" r:id="rId188" display="https://www.ahd.com/free_profile/450107/Las_Palmas_Medical_Center/El_Paso/Texas/" xr:uid="{E7B635BF-07FF-134B-9A92-F7BF37F0716E}"/>
    <hyperlink ref="A80" r:id="rId189" display="https://www.ahd.com/free_profile/670112/Legent_Orthopedic_and_Spine_/San_Antonio/Texas/" xr:uid="{1921F89A-F244-EF43-B63C-AF241CE86D53}"/>
    <hyperlink ref="A167" r:id="rId190" display="https://www.ahd.com/free_profile/450702/Longview_Regional_Medical_Center/Longview/Texas/" xr:uid="{78BBF6E0-0863-6B40-AAD3-E99DFD7E3F79}"/>
    <hyperlink ref="A150" r:id="rId191" display="https://www.ahd.com/free_profile/450876/Lubbock_Heart_%26_Surgical_Hospital/Lubbock/Texas/" xr:uid="{5139ECE2-8B76-2B4A-AC55-FDE3A73056CA}"/>
    <hyperlink ref="A48" r:id="rId192" display="https://www.ahd.com/free_profile/I08187/Lyndon_B_Johnson_Hospital/Houston/Texas/" xr:uid="{69F023C2-943B-E34C-AA6C-C5CF0E2EF4E4}"/>
    <hyperlink ref="A214" r:id="rId193" display="https://www.ahd.com/free_profile/450465/Matagorda_Regional_Medical_Center/Bay_City/Texas/" xr:uid="{29EDD5E7-5855-6E44-815C-556AAA84D52A}"/>
    <hyperlink ref="A239" r:id="rId194" display="https://www.ahd.com/free_profile/670010/Mayhill_Hospital/Denton/Texas/" xr:uid="{67A8B675-3B53-3142-B33A-C0DC64390176}"/>
    <hyperlink ref="A127" r:id="rId195" display="https://www.ahd.com/free_profile/450811/McAllen_Medical_Center/McAllen/Texas/" xr:uid="{6742EC59-7371-E443-8179-A610B3189DB5}"/>
    <hyperlink ref="A228" r:id="rId196" display="https://www.ahd.com/free_profile/450489/Medical_Arts_Hospital/Lamesa/Texas/" xr:uid="{0B8674BD-394C-A04B-B1BB-73753ADC9E0C}"/>
    <hyperlink ref="A181" r:id="rId197" display="https://www.ahd.com/free_profile/450132/Medical_Center_Hospital/Odessa/Texas/" xr:uid="{37DE5061-1DE8-1447-A11F-774A6463B786}"/>
    <hyperlink ref="A12" r:id="rId198" display="https://www.ahd.com/free_profile/670103/Medical_City_Alliance/Fort_Worth/Texas/" xr:uid="{A2D5BB2C-2435-E444-9565-617D56C54168}"/>
    <hyperlink ref="A13" r:id="rId199" display="https://www.ahd.com/free_profile/450675/Medical_City_Arlington/Arlington/Texas/" xr:uid="{2814A80E-020A-3440-A8FD-BA8B0B8E577C}"/>
    <hyperlink ref="A14" r:id="rId200" display="https://www.ahd.com/free_profile/450647/Medical_City_Dallas/Dallas/Texas/" xr:uid="{96D808B9-6C15-E54C-AE40-7EF3AE32F373}"/>
    <hyperlink ref="A240" r:id="rId201" display="https://www.ahd.com/free_profile/450634/Medical_City_Denton/Denton/Texas/" xr:uid="{72DF2E24-F378-304A-A5C1-A7C7F00C05E3}"/>
    <hyperlink ref="A15" r:id="rId202" display="https://www.ahd.com/free_profile/450672/Medical_City_Fort_Worth/Fort_Worth/Texas/" xr:uid="{72FD5C69-F51A-5B4A-BD1A-68A84E648F98}"/>
    <hyperlink ref="A325" r:id="rId203" display="https://www.ahd.com/free_profile/I41936/Medical_City_Frisco_/Frisco_/Texas/" xr:uid="{3F6FAE58-5C67-684D-8E5E-3F0C3F8F4F1E}"/>
    <hyperlink ref="A326" r:id="rId204" display="https://www.ahd.com/free_profile/450822/Medical_City_Las_Colinas_/Irving/Texas/" xr:uid="{2B48330E-3960-214F-A5FC-BBA73B5DD61B}"/>
    <hyperlink ref="A327" r:id="rId205" display="https://www.ahd.com/free_profile/450669/Medical_City_Lewisville/Lewisville/Texas/" xr:uid="{F1E2B4BE-9F92-DB46-B23B-3617281B3E32}"/>
    <hyperlink ref="A328" r:id="rId206" display="https://www.ahd.com/free_profile/450403/Medical_City_McKinney_/McKinney/Texas/" xr:uid="{35D39963-BE98-F440-963A-F2E3679FEC6C}"/>
    <hyperlink ref="A329" r:id="rId207" display="https://www.ahd.com/free_profile/450651/Medical_City_Plano/Plano/Texas/" xr:uid="{BBD4EE01-A47E-C849-9B1F-95B561D77F00}"/>
    <hyperlink ref="A254" r:id="rId208" display="https://www.ahd.com/free_profile/450203/Medical_City_Weatherford/Weatherford/Texas/" xr:uid="{8FDD9032-4F3F-4E46-ACE3-A65F35ACE74A}"/>
    <hyperlink ref="A49" r:id="rId209" display="https://www.ahd.com/free_profile/450068/Memorial_Hermann_-_Texas_Medical_Center/Houston/Texas/" xr:uid="{F9E884B9-44FF-584E-B9B9-67E9A8DF951E}"/>
    <hyperlink ref="A330" r:id="rId210" display="https://www.ahd.com/free_profile/I42122/Memorial_Hermann_Cypress_Hospital/Cypress/Texas/" xr:uid="{C2E3BD33-0949-FA4E-8F0A-556CF9D1CDB8}"/>
    <hyperlink ref="A50" r:id="rId211" display="https://www.ahd.com/free_profile/I41290/Memorial_Hermann_Greater_Heights_Hospital/Houston/Texas/" xr:uid="{51091057-D75A-0E44-93B1-0F422BF79336}"/>
    <hyperlink ref="A331" r:id="rId212" display="https://www.ahd.com/free_profile/450847/Memorial_Hermann_Katy_Hospital/Katy/Texas/" xr:uid="{FB2B5A60-97FC-9D4B-B9BE-6966DD3A8D80}"/>
    <hyperlink ref="A51" r:id="rId213" display="https://www.ahd.com/free_profile/450610/Memorial_Hermann_Memorial_City_Medical_Center/Houston/Texas/" xr:uid="{DB1A270A-56BF-EC4E-9B98-7FBA4232F90D}"/>
    <hyperlink ref="A332" r:id="rId214" display="https://www.ahd.com/free_profile/450684/Memorial_Hermann_Northeast_Hospital/Humble/Texas/" xr:uid="{14663D72-819B-744E-AEED-0321BE58C27B}"/>
    <hyperlink ref="A333" r:id="rId215" display="https://www.ahd.com/free_profile/670012/Memorial_Hermann_Orthopedic_%26_Spine_Hospital/Bellaire/Texas/" xr:uid="{A5F959CF-3744-8545-81BF-E8908CBE8B92}"/>
    <hyperlink ref="A334" r:id="rId216" display="https://www.ahd.com/free_profile/I42186/Memorial_Hermann_Pearland_Hospital/Pearland_/Texas/" xr:uid="{5B1E79B8-42A6-2144-A7E0-70383FBB0AEC}"/>
    <hyperlink ref="A52" r:id="rId217" display="https://www.ahd.com/free_profile/I41159/Memorial_Hermann_Southeast_Hospital/Houston/Texas/" xr:uid="{BBBD0D08-6EDE-9540-B438-BFC6F9C965EC}"/>
    <hyperlink ref="A53" r:id="rId218" display="https://www.ahd.com/free_profile/450184/Memorial_Hermann_Southwest_Hospital/Houston/Texas/" xr:uid="{2633E861-4D0D-FC47-A5A0-491CF3FAF2DA}"/>
    <hyperlink ref="A54" r:id="rId219" display="https://www.ahd.com/free_profile/450848/Memorial_Hermann_Sugar_Land_Hospital/Sugar_Land/Texas/" xr:uid="{7A0D2BF2-424B-174E-854D-78C7C2C8263D}"/>
    <hyperlink ref="A55" r:id="rId220" display="https://www.ahd.com/free_profile/670058/Memorial_Hermann_Surgical_Hospital_First_Colony/Sugar_Land/Texas/" xr:uid="{5A6AE05B-80DA-CB47-B8D6-7E6CE98C3582}"/>
    <hyperlink ref="A335" r:id="rId221" display="https://www.ahd.com/free_profile/670005/Memorial_Hermann_Surgical_Hospital_Kingwood/Kingwood/Texas/" xr:uid="{B3442AD1-37B1-984A-B504-3DD264CDC7E3}"/>
    <hyperlink ref="A56" r:id="rId222" display="https://www.ahd.com/free_profile/450860/Memorial_Hermann_Surgical_Hospital-First_Colony/Sugar_Land/Texas/" xr:uid="{76A610A5-DC8D-714E-90F1-D615EDB94379}"/>
    <hyperlink ref="A57" r:id="rId223" display="https://www.ahd.com/free_profile/450732/Memorial_Hermann_The_Woodlands_Medical_Center/The_Woodlands/Texas/" xr:uid="{16B14030-F1D5-2F4D-B339-2CEECD4B07B6}"/>
    <hyperlink ref="A336" r:id="rId224" display="https://www.ahd.com/free_profile/670095/Memorial_Hermann_Tomball/Tomball/Texas/" xr:uid="{972531DC-C09A-7A44-8EAD-34FE7FEDDCEB}"/>
    <hyperlink ref="A81" r:id="rId225" display="https://www.ahd.com/free_profile/450780/Methodist_Ambulatory_Surgery_Hospital_/San_Antonio/Texas/" xr:uid="{91532DB1-7306-B04D-8DBD-9E5D7C8C2528}"/>
    <hyperlink ref="A16" r:id="rId226" display="https://www.ahd.com/free_profile/450723/Methodist_Charlton_Medical_Center/Dallas/Texas/" xr:uid="{7B8AC30B-AF74-6B42-9E18-FC434B2E9D23}"/>
    <hyperlink ref="A82" r:id="rId227" display="https://www.ahd.com/free_profile/450725/Methodist_Children%27s_Hospital/San_Antonio/Texas/" xr:uid="{1DA72E11-CC4F-984F-B1E8-0E5FF1C442B9}"/>
    <hyperlink ref="A17" r:id="rId228" display="https://www.ahd.com/free_profile/450051/Methodist_Dallas_Medical_Center/Dallas/Texas/" xr:uid="{1A7969B6-75D9-AF47-A024-68D94E220E04}"/>
    <hyperlink ref="A83" r:id="rId229" display="https://www.ahd.com/free_profile/450388/Methodist_Hospital/San_Antonio/Texas/" xr:uid="{CF92EC69-B5F1-B043-B18E-4A10EF2FC8CA}"/>
    <hyperlink ref="A337" r:id="rId230" display="https://www.ahd.com/free_profile/670073/Methodist_Hospital_for_Surgery/Addison/Texas/" xr:uid="{C465C852-3245-D34B-8D8C-50533EEDEB2B}"/>
    <hyperlink ref="A338" r:id="rId231" display="https://www.ahd.com/free_profile/450165/Methodist_Hospital_South/Jourdanton/Texas/" xr:uid="{8A49472B-717B-5D49-8C62-54B86DBC0D8E}"/>
    <hyperlink ref="A247" r:id="rId232" display="https://www.ahd.com/free_profile/670023/Methodist_Mansfield_Medical_Center/Mansfield/Texas/" xr:uid="{0500E73E-3DC5-EA4C-B89A-1042E9DF579C}"/>
    <hyperlink ref="A339" r:id="rId233" display="https://www.ahd.com/free_profile/670069/Methodist_McKinney_Hospital/McKinney/Texas/" xr:uid="{E23F9D45-EB4A-E449-848F-3F97942B7291}"/>
    <hyperlink ref="A340" r:id="rId234" display="https://www.ahd.com/free_profile/450537/Methodist_Richardson_Medical_Center/Richardson/Texas/" xr:uid="{2A95ED71-E7E1-2046-9FFE-6F193EAD0BFB}"/>
    <hyperlink ref="A341" r:id="rId235" display="https://www.ahd.com/free_profile/670132/Methodist_Southlake_Hospital/Southlake_/Texas/" xr:uid="{E15976A9-76DF-9749-AB19-095D2E7B60E6}"/>
    <hyperlink ref="A84" r:id="rId236" display="https://www.ahd.com/free_profile/450631/Methodist_Specialty_and_Transplant_Hospital/San_Antonio/Texas/" xr:uid="{531436DD-6DA0-FD47-8720-624C7617903B}"/>
    <hyperlink ref="A85" r:id="rId237" display="https://www.ahd.com/free_profile/670055/Methodist_Stone_Oak_Hospital/San_Antonio/Texas/" xr:uid="{80450FAB-1E19-E640-A906-CC6096D7BFBA}"/>
    <hyperlink ref="A86" r:id="rId238" display="https://www.ahd.com/free_profile/450878/Methodist_Texsan_Hospital/San_Antonio/Texas/" xr:uid="{01C515F4-4EB2-5649-8210-6558DD0EAF96}"/>
    <hyperlink ref="A87" r:id="rId239" display="https://www.ahd.com/free_profile/450633/Metropolitan_Methodist_Hospital/San_Antonio/Texas/" xr:uid="{CEB90CB6-9FC0-9146-92B2-00A005275435}"/>
    <hyperlink ref="A58" r:id="rId240" display="https://www.ahd.com/free_profile/45074F/Michael_E_DeBakey_VA_Medical_Center/Houston/Texas/" xr:uid="{B7DF2FCA-6EF9-D045-B8BA-1DE8095A239F}"/>
    <hyperlink ref="A176" r:id="rId241" display="https://www.ahd.com/free_profile/450133/Midland_Memorial_Hospital/Midland/Texas/" xr:uid="{923CEBAD-5979-8748-90A3-7A2F08F9385D}"/>
    <hyperlink ref="A128" r:id="rId242" display="https://www.ahd.com/free_profile/450176/Mission_Regional_Medical_Center/Mission/Texas/" xr:uid="{AA48D320-78D2-8844-94EB-0AA8D28B1C1E}"/>
    <hyperlink ref="A88" r:id="rId243" display="https://www.ahd.com/free_profile/I41828/Mission_Trail_Baptist_Hospital/San_Antonio/Texas/" xr:uid="{12B60D44-A69B-654E-944C-ED1130F7A5C7}"/>
    <hyperlink ref="A196" r:id="rId244" display="https://www.ahd.com/free_profile/450656/Nacogdoches_Medical_Center/Nacogdoches/Texas/" xr:uid="{E68E4FFD-2CF2-1144-B1EA-E2EB0EAC8823}"/>
    <hyperlink ref="A197" r:id="rId245" display="https://www.ahd.com/free_profile/450508/Nacogdoches_Memorial_Hospital/Nacogdoches/Texas/" xr:uid="{9307BFA2-48DC-7A40-881B-3D405588EF62}"/>
    <hyperlink ref="A206" r:id="rId246" display="https://www.ahd.com/free_profile/450447/Navarro_Regional_Hospital/Corsicana/Texas/" xr:uid="{0DC88CF1-DA2F-F84B-807F-B7259DE0025D}"/>
    <hyperlink ref="A342" r:id="rId247" display="https://www.ahd.com/free_profile/450641/Nocona_General_Hospital/Nocona/Texas/" xr:uid="{3568F86B-44C9-104E-89C3-7F916A88F785}"/>
    <hyperlink ref="A89" r:id="rId248" display="https://www.ahd.com/free_profile/I08067/North_Central_Baptist_Hospital/San_Antonio/Texas/" xr:uid="{6833C810-7ED5-AD4C-9D0E-17B75D7ED33F}"/>
    <hyperlink ref="A18" r:id="rId249" display="https://www.ahd.com/free_profile/670049/North_Central_Surgical_Center/Dallas/Texas/" xr:uid="{AB39C3C7-81BA-1E43-B764-A17484A6E026}"/>
    <hyperlink ref="A210" r:id="rId250" display="https://www.ahd.com/free_profile/450090/North_Texas_Medical_Center/Gainesville/Texas/" xr:uid="{94E76815-4053-AD4E-BE7A-BBF0A740CF00}"/>
    <hyperlink ref="A90" r:id="rId251" display="https://www.ahd.com/free_profile/I08068/Northeast_Baptist_Hospital/San_Antonio/Texas/" xr:uid="{BC193D5F-B3BC-EF47-B59E-8EB1B705A2D2}"/>
    <hyperlink ref="A91" r:id="rId252" display="https://www.ahd.com/free_profile/450733/Northeast_Methodist_Hospital/San_Antonio/Texas/" xr:uid="{B153CFE2-9CB1-AD4F-A769-5ADE86C7329E}"/>
    <hyperlink ref="A107" r:id="rId253" display="https://www.ahd.com/free_profile/450808/Northwest_Hills_Surgical_Hospital/Austin/Texas/" xr:uid="{5F4AC1D3-2F9F-7140-8B8A-0B62E1647AD2}"/>
    <hyperlink ref="A155" r:id="rId254" display="https://www.ahd.com/free_profile/450209/Northwest_Texas_Healthcare_System/Amarillo/Texas/" xr:uid="{E615E841-4DD4-AB47-AD49-A65DB879060D}"/>
    <hyperlink ref="A156" r:id="rId255" display="https://www.ahd.com/free_profile/450796/Northwest_Texas_Surgical_Hospital/Amarillo/Texas/" xr:uid="{75AD7263-75F7-0A4B-8F7F-DAA5D047CF07}"/>
    <hyperlink ref="A236" r:id="rId256" display="https://www.ahd.com/free_profile/450330/OakBend_Medical_Center/Richmond/Texas/" xr:uid="{DAAA84E9-FBE7-E040-97FF-97E106F2B0A4}"/>
    <hyperlink ref="A182" r:id="rId257" display="https://www.ahd.com/free_profile/450661/Odessa_Regional_Medical_Center_/Odessa/Texas/" xr:uid="{0C6A73B8-4889-8244-8893-1A66C0AAF262}"/>
    <hyperlink ref="A199" r:id="rId258" display="https://www.ahd.com/free_profile/450747/Palestine_Regional_Medical_Center/Palestine/Texas/" xr:uid="{3406F988-72E2-924D-A7CD-56E6B4FA991C}"/>
    <hyperlink ref="A221" r:id="rId259" display="https://www.ahd.com/free_profile/450565/Palo_Pinto_General_Hospital/Mineral_Wells/Texas/" xr:uid="{17727A19-BC28-7443-937D-46FA4EEF554B}"/>
    <hyperlink ref="A224" r:id="rId260" display="https://www.ahd.com/free_profile/450099/Pampa_Regional_Medical_Center/Pampa/Texas/" xr:uid="{64597852-79D4-7141-A847-CAA2012EB3D7}"/>
    <hyperlink ref="A157" r:id="rId261" display="https://www.ahd.com/free_profile/I41211/Panhandle_Surgical_Hospital/Amarillo/Texas/" xr:uid="{424E175B-8B48-174F-8DEC-644113B4DB52}"/>
    <hyperlink ref="A202" r:id="rId262" display="https://www.ahd.com/free_profile/450196/Paris_Regional_Medical_Center/Paris/Texas/" xr:uid="{582C8F4C-31E1-1F4B-A041-578DBB55C805}"/>
    <hyperlink ref="A19" r:id="rId263" display="https://www.ahd.com/free_profile/450015/Parkland_Hospital/Dallas/Texas/" xr:uid="{A5CAC924-0986-CF47-AE9B-8401411CFCCB}"/>
    <hyperlink ref="A343" r:id="rId264" display="https://www.ahd.com/free_profile/450400/Parkview_Regional_Hospital/Mexia/Texas/" xr:uid="{BB97E4DA-0B0A-B846-871F-6A87FB69848F}"/>
    <hyperlink ref="A226" r:id="rId265" display="https://www.ahd.com/free_profile/450144/Permian_Regional_Medical_Center/Andrews/Texas/" xr:uid="{C2F25440-B7C5-B541-B549-CCBF9452C624}"/>
    <hyperlink ref="A204" r:id="rId266" display="https://www.ahd.com/free_profile/450007/Peterson_Regional_Medical_Center/Kerrville/Texas/" xr:uid="{6FC74273-024F-8D4B-AA21-1F46C6EE6A51}"/>
    <hyperlink ref="A59" r:id="rId267" display="https://www.ahd.com/free_profile/670119/Providence_Hospital_of_North_Houston/Houston/Texas/" xr:uid="{89E4A1CF-DD9D-B441-85F5-12B3D9A1548D}"/>
    <hyperlink ref="A158" r:id="rId268" display="https://www.ahd.com/free_profile/450875/Quail_Creek_Surgical_Hospital/Amarillo/Texas/" xr:uid="{4558334F-F10E-0B4B-95D6-86A5514D0CE4}"/>
    <hyperlink ref="A92" r:id="rId269" display="https://www.ahd.com/free_profile/670098/Resolute_Health_Hospital/New_Braunfels/Texas/" xr:uid="{BC3CCC93-1281-CF48-AA6D-51C1F5D76F59}"/>
    <hyperlink ref="A129" r:id="rId270" display="https://www.ahd.com/free_profile/450711/Rio_Grande_Regional_Hospital/McAllen/Texas/" xr:uid="{CCBF01EC-584F-494B-B774-B22E77244986}"/>
    <hyperlink ref="A227" r:id="rId271" display="https://www.ahd.com/free_profile/450055/Rolling_Plains_Memorial_Hospital/Sweetwater/Texas/" xr:uid="{63713F9F-3B44-CA49-AF4E-8DFB6684B1EB}"/>
    <hyperlink ref="A344" r:id="rId272" display="https://www.ahd.com/free_profile/670110/SageCrest_Hospital_of_Carrollton/Carrollton/Texas/" xr:uid="{DFDC796F-6C67-8347-91FD-A2BDC449A9AF}"/>
    <hyperlink ref="A248" r:id="rId273" display="https://www.ahd.com/free_profile/670121/Saint_Camillus_Medical_Center/Hurst/Texas/" xr:uid="{BBE53CDD-F092-154C-A98C-BEEAFDAC1822}"/>
    <hyperlink ref="A250" r:id="rId274" display="https://www.ahd.com/free_profile/450191/Saint_David%27s_Georgetown_Hospital/Georgetown/Texas/" xr:uid="{FA7DE30B-500F-8140-9AA1-B83764526436}"/>
    <hyperlink ref="A108" r:id="rId275" display="https://www.ahd.com/free_profile/450809/Saint_David%27s_North_Austin_Medical_Center/Austin/Texas/" xr:uid="{EAA3331A-30B1-CE42-9746-31720A9F288D}"/>
    <hyperlink ref="A109" r:id="rId276" display="https://www.ahd.com/free_profile/450718/Saint_David%27s_Round_Rock_Medical_Center/Round_Rock/Texas/" xr:uid="{5A5D6F93-2536-4D48-AA31-84D243E0254C}"/>
    <hyperlink ref="A110" r:id="rId277" display="https://www.ahd.com/free_profile/450713/Saint_David%27s_South_Austin_Medical_Center/Austin/Texas/" xr:uid="{726E3ACF-67BA-2940-A3F4-3CFCDCA43B42}"/>
    <hyperlink ref="A60" r:id="rId278" display="https://www.ahd.com/free_profile/450035/Saint_Joseph_Medical_Center/Houston/Texas/" xr:uid="{84D62315-D142-4746-8FDD-DDDCC10F288B}"/>
    <hyperlink ref="A61" r:id="rId279" display="https://www.ahd.com/free_profile/I42008/Saint_Joseph_Medical_Center_in_The_Heights/Houston/Texas/" xr:uid="{387CBD52-7E58-2349-94A6-35859A63CCF6}"/>
    <hyperlink ref="A93" r:id="rId280" display="https://www.ahd.com/free_profile/I08069/Saint_Luke%27s_Baptist_Hospital/San_Antonio/Texas/" xr:uid="{0465B745-E3AB-964D-B563-6323C693441E}"/>
    <hyperlink ref="A345" r:id="rId281" display="https://www.ahd.com/free_profile/670004/Saint_Mark%27s_Medical_Center/La_Grange/Texas/" xr:uid="{EB15F750-5A27-C240-BB7A-4D70A282CD4A}"/>
    <hyperlink ref="A186" r:id="rId282" display="https://www.ahd.com/free_profile/450340/San_Angelo_Community_Medical_Center/San_Angelo/Texas/" xr:uid="{C07C0293-3C71-154B-A8AA-C6A3AA32357B}"/>
    <hyperlink ref="A212" r:id="rId283" display="https://www.ahd.com/free_profile/450653/Scenic_Mountain_Medical_Center/Big_Spring/Texas/" xr:uid="{5D2EE109-DA7E-4F4E-BD20-4DE04D06781E}"/>
    <hyperlink ref="A346" r:id="rId284" display="https://www.ahd.com/free_profile/670080/Seton_Medical_Center_Harker_Heights/Harker_Heights/Texas/" xr:uid="{88195D4A-C918-FA4F-895B-4384A58A7EDC}"/>
    <hyperlink ref="A253" r:id="rId285" display="https://www.ahd.com/free_profile/450586/Seymour_Hospital/Seymour/Texas/" xr:uid="{D3171132-9A7D-204E-BAC5-ADC046388C6F}"/>
    <hyperlink ref="A187" r:id="rId286" display="https://www.ahd.com/free_profile/450571/Shannon_Medical_Center/San_Angelo/Texas/" xr:uid="{2F809B54-CC5C-A347-B663-010F0B218167}"/>
    <hyperlink ref="A94" r:id="rId287" display="https://www.ahd.com/free_profile/450856/South_Texas_Spine_%26_Surgical_Hospital/San_Antonio/Texas/" xr:uid="{7B1EC7E7-1B28-C64B-A417-BCCCBDCF6BF9}"/>
    <hyperlink ref="A136" r:id="rId288" display="https://www.ahd.com/free_profile/670061/South_Texas_Surgical_Hospital/Corpus_Christi/Texas/" xr:uid="{FCB199CE-409D-DF46-98B9-A0237DAC5697}"/>
    <hyperlink ref="A95" r:id="rId289" display="https://www.ahd.com/free_profile/450697/Southwest_General_Hospital/San_Antonio/Texas/" xr:uid="{C1E0436E-5927-AC4E-8A19-01F6F6BCC104}"/>
    <hyperlink ref="A111" r:id="rId290" display="https://www.ahd.com/free_profile/450431/St_David%27s_Medical_Center/Austin/Texas/" xr:uid="{B8D6F3B4-1211-D345-A372-3587326BFED9}"/>
    <hyperlink ref="A198" r:id="rId291" display="https://www.ahd.com/free_profile/450654/Starr_County_Memorial_Hospital/Rio_Grande_City/Texas/" xr:uid="{16D1794D-D4EC-FE41-8E3D-AE4625F86390}"/>
    <hyperlink ref="A255" r:id="rId292" display="https://www.ahd.com/free_profile/450498/Stephens_Memorial_Hospital/Breckenridge/Texas/" xr:uid="{2FB004AD-91E4-854E-BE7F-51E02D8B236B}"/>
    <hyperlink ref="A347" r:id="rId293" display="https://www.ahd.com/free_profile/450831/Surgery_Specialty_Hospitals_of_America_/Pasadena/Texas/" xr:uid="{AE12DD01-B75F-C345-838D-374BD93E72A2}"/>
    <hyperlink ref="A96" r:id="rId294" display="https://www.ahd.com/free_profile/670125/Texas_Center_for_Infectious_Disease/San_Antonio/Texas/" xr:uid="{1A90C940-63FD-C149-BCC2-036D04BFC49E}"/>
    <hyperlink ref="A232" r:id="rId295" display="https://www.ahd.com/free_profile/450296/Texas_Emergency_Hospital/Cleveland/Texas/" xr:uid="{3AC31E65-86F4-4D4D-B39A-10706BD3D06D}"/>
    <hyperlink ref="A123" r:id="rId296" display="https://www.ahd.com/free_profile/450840/Texas_Health_Allen/Allen/Texas/" xr:uid="{1A2866EC-C919-404C-AC8E-5F928EFECD17}"/>
    <hyperlink ref="A20" r:id="rId297" display="https://www.ahd.com/free_profile/670085/Texas_Health_Alliance/Fort_Worth/Texas/" xr:uid="{2A39C5AD-268D-9E47-AF9F-F802E3EF1902}"/>
    <hyperlink ref="A21" r:id="rId298" display="https://www.ahd.com/free_profile/450064/Texas_Health_Arlington_Medical_Hospital/Arlington/Texas/" xr:uid="{9005A13A-EB15-2447-A0E3-568E1457A978}"/>
    <hyperlink ref="A242" r:id="rId299" display="https://www.ahd.com/free_profile/450419/Texas_Health_Azle/Azle/Texas/" xr:uid="{1C87368B-D21F-164F-8EB5-BF6B4331F206}"/>
    <hyperlink ref="A348" r:id="rId300" display="https://www.ahd.com/free_profile/450891/Texas_Health_Center_for_Diagnostics_%26_Surgery/Plano/Texas/" xr:uid="{1FD5C578-41F8-3948-9DB2-674093E300EA}"/>
    <hyperlink ref="A349" r:id="rId301" display="https://www.ahd.com/free_profile/450148/Texas_Health_Cleburne/Cleburne/Texas/" xr:uid="{6E1A452A-F896-6D43-B1DC-659D14B40EB6}"/>
    <hyperlink ref="A22" r:id="rId302" display="https://www.ahd.com/free_profile/450462/Texas_Health_Dallas_/Dallas/Texas/" xr:uid="{6FB1A9D0-FEED-2349-806C-808B7E058B4F}"/>
    <hyperlink ref="A241" r:id="rId303" display="https://www.ahd.com/free_profile/450743/Texas_Health_Denton/Denton/Texas/" xr:uid="{A9837B9A-6AFB-514B-9638-9A443A8EA427}"/>
    <hyperlink ref="A23" r:id="rId304" display="https://www.ahd.com/free_profile/450135/Texas_Health_Fort_Worth/Fort_Worth/Texas/" xr:uid="{1E87C025-D7ED-DD42-A551-999F1C6EE75E}"/>
    <hyperlink ref="A350" r:id="rId305" display="https://www.ahd.com/free_profile/450888/Texas_Health_Harris_Methodist_Hospital_Southlake/Southlake/Texas/" xr:uid="{DD274BB6-A35D-4B4D-B232-309E034B4A4A}"/>
    <hyperlink ref="A24" r:id="rId306" display="https://www.ahd.com/free_profile/670071/Texas_Health_Heart_%26_Vascular_Hospital_Arlington_/Arlington/Texas/" xr:uid="{C128FCC8-4180-8E46-9CBB-1CA8FF4392ED}"/>
    <hyperlink ref="A252" r:id="rId307" display="https://www.ahd.com/free_profile/450639/Texas_Health_HEB/Bedford/Texas/" xr:uid="{E2980F1D-2C4A-894D-AFCE-FC38AE45C455}"/>
    <hyperlink ref="A351" r:id="rId308" display="https://www.ahd.com/free_profile/450677/Texas_Health_Huguley_Hospital_Fort_Worth_South/Burleson/Texas/" xr:uid="{987FD76A-05F4-CC45-8E47-8F5F6F0170D3}"/>
    <hyperlink ref="A352" r:id="rId309" display="https://www.ahd.com/free_profile/450292/Texas_Health_Kaufman/Kaufman/Texas/" xr:uid="{1DD8BE65-E5C5-0844-AD4B-778204ACA44A}"/>
    <hyperlink ref="A353" r:id="rId310" display="https://www.ahd.com/free_profile/450771/Texas_Health_Plano/Plano/Texas/" xr:uid="{38E84723-F818-7745-9E1F-776625B133D8}"/>
    <hyperlink ref="A354" r:id="rId311" display="https://www.ahd.com/free_profile/670068/Texas_Health_Presbyterian_Hospital_Flower_Mound/Flower_Mound/Texas/" xr:uid="{E59DC7FC-05F1-834B-B4E5-1254396070DE}"/>
    <hyperlink ref="A25" r:id="rId312" display="https://www.ahd.com/free_profile/450779/Texas_Health_Southwest/Fort_Worth/Texas/" xr:uid="{167005CA-6F4A-6441-A562-4535B18E7795}"/>
    <hyperlink ref="A209" r:id="rId313" display="https://www.ahd.com/free_profile/450351/Texas_Health_Stephenville/Stephenville/Texas/" xr:uid="{53805DE9-0B06-FA42-A8FB-7F20AD15CB17}"/>
    <hyperlink ref="A26" r:id="rId314" display="https://www.ahd.com/free_profile/450889/Texas_Institute_for_Surgery/Dallas/Texas/" xr:uid="{CD57BDF9-3751-DC4A-87DD-A9C3D0B4C88B}"/>
    <hyperlink ref="A62" r:id="rId315" display="https://www.ahd.com/free_profile/450804/Texas_Orthopedic_Hospital/Houston/Texas/" xr:uid="{25CF61ED-7E65-D843-942F-34612404AFE6}"/>
    <hyperlink ref="A184" r:id="rId316" display="https://www.ahd.com/free_profile/450324/Texoma_Medical_Center/Denison/Texas/" xr:uid="{2F3172F5-FCE4-724D-961C-B564B53CBD6A}"/>
    <hyperlink ref="A355" r:id="rId317" display="https://www.ahd.com/free_profile/670006/The_Hospital_at_Westlake_Medical_Center/West_Lake_Hills/Texas/" xr:uid="{B82FAFB4-23D4-5D44-AF99-08FAA7A6F23D}"/>
    <hyperlink ref="A117" r:id="rId318" display="https://www.ahd.com/free_profile/670047/The_Hospitals_of_Providence_East_Campus/El_Paso/Texas/" xr:uid="{9FE52721-8A77-9C44-BD29-3BD5FFB42C4E}"/>
    <hyperlink ref="A356" r:id="rId319" display="https://www.ahd.com/free_profile/670124/The_Hospitals_of_Providence_Horizon_City_Campus/Horizon_City/Texas/" xr:uid="{757ADE29-85B7-554F-8245-9C244034E08C}"/>
    <hyperlink ref="A118" r:id="rId320" display="https://www.ahd.com/free_profile/450002/The_Hospitals_of_Providence_Memorial_Campus/El_Paso/Texas/" xr:uid="{C3BBCD34-8E51-6349-9C8A-6DDC19E39D07}"/>
    <hyperlink ref="A119" r:id="rId321" display="https://www.ahd.com/free_profile/450668/The_Hospitals_of_Providence_Sierra_Campus/El_Paso/Texas/" xr:uid="{CF188732-99BA-DE46-B297-A7BDD9547D8E}"/>
    <hyperlink ref="A120" r:id="rId322" display="https://www.ahd.com/free_profile/670120/The_Hospitals_of_Providence_Transmountain_Campus/El_Paso/Texas/" xr:uid="{A0A639FF-1BFE-3446-B3B9-90E22F9D9F4E}"/>
    <hyperlink ref="A147" r:id="rId323" display="https://www.ahd.com/free_profile/450518/The_Medical_Center_of_Southeast_Texas/Port_Arthur/Texas/" xr:uid="{005BD206-32F1-4F4D-96CF-E333BB7B0432}"/>
    <hyperlink ref="A165" r:id="rId324" display="https://www.ahd.com/free_profile/450834/The_Physicians_Centre_Hospital/Bryan/Texas/" xr:uid="{686A424B-1A0E-E143-AA40-5768E17EC998}"/>
    <hyperlink ref="A63" r:id="rId325" display="https://www.ahd.com/free_profile/450076/The_University_of_Texas_M_D_Anderson_Cancer_Center/Houston/Texas/" xr:uid="{FC2B516A-97EA-1449-B0A2-DC442BD145C8}"/>
    <hyperlink ref="A357" r:id="rId326" display="https://www.ahd.com/free_profile/450018/The_University_of_Texas_Medical_Branch_Galveston_Campus/Galveston/Texas/" xr:uid="{78937A14-E2D5-4B42-95AC-27AE6FF1DCF8}"/>
    <hyperlink ref="A64" r:id="rId327" display="https://www.ahd.com/free_profile/450674/The_Woman%27s_Hospital_of_Texas/Houston/Texas/" xr:uid="{5F3ADCB6-C672-9842-AE6C-BB77E886DAFE}"/>
    <hyperlink ref="A159" r:id="rId328" display="https://www.ahd.com/free_profile/45060F/Thomas_E_Creek_VA_Medical_Center/Amarillo/Texas/" xr:uid="{12094386-0629-C34B-89D0-F63DDF227472}"/>
    <hyperlink ref="A218" r:id="rId329" display="https://www.ahd.com/free_profile/450080/Titus_Regional_Medical_Center/Mount_Pleasant/Texas/" xr:uid="{B89AA1D6-B0ED-4B46-96B6-557700386A94}"/>
    <hyperlink ref="A65" r:id="rId330" display="https://www.ahd.com/free_profile/450774/TOPS_Surgical_Specialty_Hospital/Houston/Texas/" xr:uid="{12188547-7F74-D94B-8A28-3025C7ED961C}"/>
    <hyperlink ref="A358" r:id="rId331" display="https://www.ahd.com/free_profile/I42227/Townsen_Memorial_Hospital/Humble_/Texas/" xr:uid="{0110BF63-F995-1448-A332-5A45DAB0FD00}"/>
    <hyperlink ref="A359" r:id="rId332" display="https://www.ahd.com/free_profile/450460/Tyler_County_Hospital/Woodville/Texas/" xr:uid="{EF312D73-4464-404A-8651-BE6ED2EC50EB}"/>
    <hyperlink ref="A66" r:id="rId333" display="https://www.ahd.com/free_profile/450803/United_Memorial_Medical_Center/Houston/Texas/" xr:uid="{4F98C87C-5C2C-D94E-9CDE-273092E5D055}"/>
    <hyperlink ref="A178" r:id="rId334" display="https://www.ahd.com/free_profile/450010/United_Regional_Eleventh_Street_Campus/Wichita_Falls/Texas/" xr:uid="{C70C3329-B11B-4648-BDA4-F9DB06244F0C}"/>
    <hyperlink ref="A97" r:id="rId335" display="https://www.ahd.com/free_profile/450213/University_Hospital/San_Antonio/Texas/" xr:uid="{B1220F56-C98A-2F49-AC03-8B01032D4799}"/>
    <hyperlink ref="A151" r:id="rId336" display="https://www.ahd.com/free_profile/450686/University_Medical_Center/Lubbock/Texas/" xr:uid="{6412394F-ACBD-EE4F-970A-273F7F0DE86D}"/>
    <hyperlink ref="A121" r:id="rId337" display="https://www.ahd.com/free_profile/450024/University_Medical_Center_of_El_Paso/El_Paso/Texas/" xr:uid="{C4961FB7-CE4A-FC4A-8807-A36AD32FCB09}"/>
    <hyperlink ref="A27" r:id="rId338" display="https://www.ahd.com/free_profile/450872/USMD_Hospital_at_Arlington/Arlington/Texas/" xr:uid="{50C62B43-1B38-E049-B3F9-B4C3AF1E6CAD}"/>
    <hyperlink ref="A194" r:id="rId339" display="https://www.ahd.com/free_profile/450389/UT_Health_Athens/Athens/Texas/" xr:uid="{35771591-9823-E347-988A-F3FB557A1EB2}"/>
    <hyperlink ref="A360" r:id="rId340" display="https://www.ahd.com/free_profile/450210/UT_Health_Carthage/Carthage/Texas/" xr:uid="{D7E50D6A-02D6-DF4D-83EE-B5FB08538A2F}"/>
    <hyperlink ref="A233" r:id="rId341" display="https://www.ahd.com/free_profile/450475/UT_Health_Henderson/Henderson/Texas/" xr:uid="{D77E7ABB-5382-B248-B3F9-C64CE9664B4C}"/>
    <hyperlink ref="A201" r:id="rId342" display="https://www.ahd.com/free_profile/450194/UT_Health_Jacksonville/Jacksonville/Texas/" xr:uid="{6A93548E-D573-A046-A6A4-CD5506D32F9B}"/>
    <hyperlink ref="A172" r:id="rId343" display="https://www.ahd.com/free_profile/450690/UT_Health_North_Campus_Tyler/Tyler/Texas/" xr:uid="{51EC5175-0D74-F348-BB8E-0DBE41B3EF63}"/>
    <hyperlink ref="A173" r:id="rId344" display="https://www.ahd.com/free_profile/450083/UT_Health_Tyler/Tyler/Texas/" xr:uid="{2E438817-DB2F-2449-8CCE-D62462714AD0}"/>
    <hyperlink ref="A205" r:id="rId345" display="https://www.ahd.com/free_profile/450154/Val_Verde_Regional_Medical_Center/Del_Rio/Texas/" xr:uid="{3A2C7EBF-222D-3C4E-BFC3-D388B093246E}"/>
    <hyperlink ref="A142" r:id="rId346" display="https://www.ahd.com/free_profile/450033/Valley_Baptist_Medical_Center_-_Harlingen/Harlingen/Texas/" xr:uid="{F76A89B7-52FD-FA44-967D-70C1833057C7}"/>
    <hyperlink ref="A361" r:id="rId347" display="https://www.ahd.com/free_profile/I42364/Valley_Baptist_Micro_Hospital-_Weslaco/Weslaco/Texas/" xr:uid="{A6D16F3D-B4FB-434B-BE41-F067B93057A8}"/>
    <hyperlink ref="A143" r:id="rId348" display="https://www.ahd.com/free_profile/450662/Valley_Regional_Medical_Center/Brownsville/Texas/" xr:uid="{3EEC32FA-E2A2-5648-AD39-81F59D4E4059}"/>
    <hyperlink ref="A144" r:id="rId349" display="https://www.ahd.com/free_profile/450028/VBMC_-_Brownsville/Brownsville/Texas/" xr:uid="{6B71954E-0490-F34A-922C-EC346E28334C}"/>
    <hyperlink ref="A180" r:id="rId350" display="https://www.ahd.com/free_profile/450200/Wadley_Regional_Medical_Center/Texarkana/Texas/" xr:uid="{3D6CE9AA-7E8E-B44C-8F6E-874D7FBA3327}"/>
    <hyperlink ref="A213" r:id="rId351" display="https://www.ahd.com/free_profile/45063F/West_Texas_VA_Health_Care_System/Big_Spring/Texas/" xr:uid="{57ACFA21-24A6-EF4D-93AA-426EB21F3ACF}"/>
    <hyperlink ref="A229" r:id="rId352" display="https://www.ahd.com/free_profile/450584/Wilbarger_General_Hospital/Vernon/Texas/" xr:uid="{48FB7A09-7B7F-EE48-9753-45C9FEA7F64D}"/>
    <hyperlink ref="A122" r:id="rId353" display="https://www.ahd.com/free_profile/45068F/William_Beaumont_Army_Medical_Center/El_Paso/Texas/" xr:uid="{26FAE120-5F0F-504B-86AA-426F8CF02469}"/>
    <hyperlink ref="A28" r:id="rId354" display="https://www.ahd.com/free_profile/450044/William_P_Clements_Jr_University_Hospital/Dallas/Texas/" xr:uid="{98F9DECB-A528-7C44-AB53-8DC76B8D2EB1}"/>
    <hyperlink ref="A185" r:id="rId355" display="https://www.ahd.com/free_profile/450469/Wilson_N_Jones_Regional_Medical_Center/Sherman/Texas/" xr:uid="{75C68704-E4CE-A14A-874B-BE16C154F3FC}"/>
    <hyperlink ref="A362" r:id="rId356" display="https://www.ahd.com/free_profile/I42288/Wise_Health_Surgical_Hospital_at_Argyle/Argyle/Texas/" xr:uid="{E6FB6609-7D92-4B44-A399-FA747A6A62A9}"/>
    <hyperlink ref="A29" r:id="rId357" display="https://www.ahd.com/free_profile/670116/Wise_Health_Surgical_Hospital_at_Parkway/Fort_Worth/Texas/" xr:uid="{BBAD5B1B-279C-A748-A930-F62E098677B7}"/>
    <hyperlink ref="A245" r:id="rId358" display="https://www.ahd.com/free_profile/450271/Wise_Health_System_-_East_Campus/Decatur/Texas/" xr:uid="{E30FB5B1-ADD6-AA4B-90C4-B3AA6DDB8161}"/>
    <hyperlink ref="A67" r:id="rId359" display="https://www.ahd.com/free_profile/I42187/Women%27s_Memorial_Hermann_Memorial_City_Hospital/Houston/Texas/" xr:uid="{A9CED4F6-1443-6A48-B44B-701F35C4009F}"/>
    <hyperlink ref="A192" r:id="rId360" display="https://www.ahd.com/free_profile/450484/Woodland_Heights_Medical_Center/Lufkin/Texas/" xr:uid="{0E3C856C-2254-8642-A9A2-EB0579E3A185}"/>
    <hyperlink ref="A30" r:id="rId361" display="https://www.ahd.com/free_profile/450766/Zale_Lipshy_Pavilion-William_P_Clements_Jr_University_Hospital/Dallas/Texas/" xr:uid="{FBD2299E-E7D4-814A-A883-A7667437EAAC}"/>
  </hyperlinks>
  <pageMargins left="0.7" right="0.7" top="0.75" bottom="0.75" header="0.3" footer="0.3"/>
  <pageSetup orientation="portrait" horizontalDpi="0" verticalDpi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72374-B7C7-C34F-BED7-C82407E6F8FC}">
  <sheetPr codeName="Sheet46"/>
  <dimension ref="A1:G37"/>
  <sheetViews>
    <sheetView workbookViewId="0">
      <selection activeCell="G2" sqref="G2:G36"/>
    </sheetView>
  </sheetViews>
  <sheetFormatPr baseColWidth="10" defaultColWidth="27.6640625" defaultRowHeight="16"/>
  <cols>
    <col min="1" max="1" width="43.33203125" customWidth="1"/>
    <col min="3" max="3" width="14.1640625" customWidth="1"/>
    <col min="4" max="4" width="18.6640625" customWidth="1"/>
    <col min="5" max="5" width="15.6640625" customWidth="1"/>
    <col min="6" max="6" width="24.83203125" customWidth="1"/>
  </cols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5416</v>
      </c>
      <c r="B2" s="2" t="s">
        <v>5417</v>
      </c>
      <c r="C2" s="2">
        <v>0</v>
      </c>
      <c r="D2" s="2">
        <v>0</v>
      </c>
      <c r="E2" s="2">
        <v>0</v>
      </c>
      <c r="F2" s="4">
        <v>0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 city",CHOOSE({1,2}, Super_CBSA!$E$2:$E$1917, Super_CBSA!$A$2:$A$1917), 2,FALSE), ""))</f>
        <v>41620</v>
      </c>
    </row>
    <row r="3" spans="1:7" ht="17">
      <c r="A3" s="1" t="s">
        <v>5425</v>
      </c>
      <c r="B3" s="2" t="s">
        <v>5417</v>
      </c>
      <c r="C3" s="2">
        <v>250</v>
      </c>
      <c r="D3" s="3">
        <v>8691</v>
      </c>
      <c r="E3" s="3">
        <v>34827</v>
      </c>
      <c r="F3" s="4">
        <v>669958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 city",CHOOSE({1,2}, Super_CBSA!$E$2:$E$1917, Super_CBSA!$A$2:$A$1917), 2,FALSE), ""))</f>
        <v>41620</v>
      </c>
    </row>
    <row r="4" spans="1:7" ht="17">
      <c r="A4" s="1" t="s">
        <v>5444</v>
      </c>
      <c r="B4" s="2" t="s">
        <v>5417</v>
      </c>
      <c r="C4" s="2">
        <v>263</v>
      </c>
      <c r="D4" s="3">
        <v>13017</v>
      </c>
      <c r="E4" s="3">
        <v>53563</v>
      </c>
      <c r="F4" s="4">
        <v>1621789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 city",CHOOSE({1,2}, Super_CBSA!$E$2:$E$1917, Super_CBSA!$A$2:$A$1917), 2,FALSE), ""))</f>
        <v>41620</v>
      </c>
    </row>
    <row r="5" spans="1:7" ht="17">
      <c r="A5" s="1" t="s">
        <v>5445</v>
      </c>
      <c r="B5" s="2" t="s">
        <v>5417</v>
      </c>
      <c r="C5" s="2">
        <v>136</v>
      </c>
      <c r="D5" s="3">
        <v>2697</v>
      </c>
      <c r="E5" s="3">
        <v>8793</v>
      </c>
      <c r="F5" s="4">
        <v>292742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 city",CHOOSE({1,2}, Super_CBSA!$E$2:$E$1917, Super_CBSA!$A$2:$A$1917), 2,FALSE), ""))</f>
        <v>41620</v>
      </c>
    </row>
    <row r="6" spans="1:7" ht="17">
      <c r="A6" s="1" t="s">
        <v>5452</v>
      </c>
      <c r="B6" s="2" t="s">
        <v>5417</v>
      </c>
      <c r="C6" s="2">
        <v>585</v>
      </c>
      <c r="D6" s="3">
        <v>32440</v>
      </c>
      <c r="E6" s="3">
        <v>162194</v>
      </c>
      <c r="F6" s="4">
        <v>3822996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 city",CHOOSE({1,2}, Super_CBSA!$E$2:$E$1917, Super_CBSA!$A$2:$A$1917), 2,FALSE), ""))</f>
        <v>41620</v>
      </c>
    </row>
    <row r="7" spans="1:7" ht="17">
      <c r="A7" s="1" t="s">
        <v>5430</v>
      </c>
      <c r="B7" s="2" t="s">
        <v>5431</v>
      </c>
      <c r="C7" s="2">
        <v>310</v>
      </c>
      <c r="D7" s="3">
        <v>15574</v>
      </c>
      <c r="E7" s="3">
        <v>53719</v>
      </c>
      <c r="F7" s="4">
        <v>1378775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 city",CHOOSE({1,2}, Super_CBSA!$E$2:$E$1917, Super_CBSA!$A$2:$A$1917), 2,FALSE), ""))</f>
        <v>36260</v>
      </c>
    </row>
    <row r="8" spans="1:7" ht="17">
      <c r="A8" s="1" t="s">
        <v>5437</v>
      </c>
      <c r="B8" s="2" t="s">
        <v>5431</v>
      </c>
      <c r="C8" s="2">
        <v>170</v>
      </c>
      <c r="D8" s="3">
        <v>7639</v>
      </c>
      <c r="E8" s="3">
        <v>31340</v>
      </c>
      <c r="F8" s="4">
        <v>852228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 city",CHOOSE({1,2}, Super_CBSA!$E$2:$E$1917, Super_CBSA!$A$2:$A$1917), 2,FALSE), ""))</f>
        <v>36260</v>
      </c>
    </row>
    <row r="9" spans="1:7" ht="17">
      <c r="A9" s="1" t="s">
        <v>5438</v>
      </c>
      <c r="B9" s="2" t="s">
        <v>5439</v>
      </c>
      <c r="C9" s="2">
        <v>22</v>
      </c>
      <c r="D9" s="2">
        <v>901</v>
      </c>
      <c r="E9" s="3">
        <v>3492</v>
      </c>
      <c r="F9" s="4">
        <v>73524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 city",CHOOSE({1,2}, Super_CBSA!$E$2:$E$1917, Super_CBSA!$A$2:$A$1917), 2,FALSE), ""))</f>
        <v>39340</v>
      </c>
    </row>
    <row r="10" spans="1:7" ht="17">
      <c r="A10" s="1" t="s">
        <v>5449</v>
      </c>
      <c r="B10" s="2" t="s">
        <v>5439</v>
      </c>
      <c r="C10" s="2">
        <v>117</v>
      </c>
      <c r="D10" s="3">
        <v>4289</v>
      </c>
      <c r="E10" s="3">
        <v>18968</v>
      </c>
      <c r="F10" s="4">
        <v>391840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 city",CHOOSE({1,2}, Super_CBSA!$E$2:$E$1917, Super_CBSA!$A$2:$A$1917), 2,FALSE), ""))</f>
        <v>39340</v>
      </c>
    </row>
    <row r="11" spans="1:7" ht="17">
      <c r="A11" s="1" t="s">
        <v>5453</v>
      </c>
      <c r="B11" s="2" t="s">
        <v>5454</v>
      </c>
      <c r="C11" s="2">
        <v>359</v>
      </c>
      <c r="D11" s="3">
        <v>17489</v>
      </c>
      <c r="E11" s="3">
        <v>76161</v>
      </c>
      <c r="F11" s="4">
        <v>1361904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 city",CHOOSE({1,2}, Super_CBSA!$E$2:$E$1917, Super_CBSA!$A$2:$A$1917), 2,FALSE), ""))</f>
        <v>39340</v>
      </c>
    </row>
    <row r="12" spans="1:7" ht="17">
      <c r="A12" s="1" t="s">
        <v>5426</v>
      </c>
      <c r="B12" s="2" t="s">
        <v>5427</v>
      </c>
      <c r="C12" s="2">
        <v>151</v>
      </c>
      <c r="D12" s="3">
        <v>5834</v>
      </c>
      <c r="E12" s="3">
        <v>17036</v>
      </c>
      <c r="F12" s="4">
        <v>409708</v>
      </c>
      <c r="G12" s="11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 city",CHOOSE({1,2}, Super_CBSA!$E$2:$E$1917, Super_CBSA!$A$2:$A$1917), 2,FALSE), ""))</f>
        <v>30860</v>
      </c>
    </row>
    <row r="13" spans="1:7" ht="17">
      <c r="A13" s="1" t="s">
        <v>5410</v>
      </c>
      <c r="B13" s="2" t="s">
        <v>5411</v>
      </c>
      <c r="C13" s="2">
        <v>48</v>
      </c>
      <c r="D13" s="3">
        <v>1934</v>
      </c>
      <c r="E13" s="3">
        <v>6551</v>
      </c>
      <c r="F13" s="4">
        <v>180190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 city",CHOOSE({1,2}, Super_CBSA!$E$2:$E$1917, Super_CBSA!$A$2:$A$1917), 2,FALSE), ""))</f>
        <v>16260</v>
      </c>
    </row>
    <row r="14" spans="1:7" ht="17">
      <c r="A14" s="1" t="s">
        <v>5400</v>
      </c>
      <c r="B14" s="2" t="s">
        <v>5401</v>
      </c>
      <c r="C14" s="2">
        <v>39</v>
      </c>
      <c r="D14" s="3">
        <v>1355</v>
      </c>
      <c r="E14" s="3">
        <v>3558</v>
      </c>
      <c r="F14" s="4">
        <v>134133</v>
      </c>
      <c r="G14" s="11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 city",CHOOSE({1,2}, Super_CBSA!$E$2:$E$1917, Super_CBSA!$A$2:$A$1917), 2,FALSE), ""))</f>
        <v>46860</v>
      </c>
    </row>
    <row r="15" spans="1:7" ht="17">
      <c r="A15" s="1" t="s">
        <v>5408</v>
      </c>
      <c r="B15" s="2" t="s">
        <v>5409</v>
      </c>
      <c r="C15" s="2">
        <v>39</v>
      </c>
      <c r="D15" s="3">
        <v>1304</v>
      </c>
      <c r="E15" s="3">
        <v>4721</v>
      </c>
      <c r="F15" s="4">
        <v>186810</v>
      </c>
      <c r="G15" s="11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 city",CHOOSE({1,2}, Super_CBSA!$E$2:$E$1917, Super_CBSA!$A$2:$A$1917), 2,FALSE), ""))</f>
        <v>39220</v>
      </c>
    </row>
    <row r="16" spans="1:7" ht="17">
      <c r="A16" s="1" t="s">
        <v>5396</v>
      </c>
      <c r="B16" s="2" t="s">
        <v>5397</v>
      </c>
      <c r="C16" s="2">
        <v>58</v>
      </c>
      <c r="D16" s="3">
        <v>2780</v>
      </c>
      <c r="E16" s="3">
        <v>8807</v>
      </c>
      <c r="F16" s="4">
        <v>268780</v>
      </c>
      <c r="G16" s="11" t="str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 city",CHOOSE({1,2}, Super_CBSA!$E$2:$E$1917, Super_CBSA!$A$2:$A$1917), 2,FALSE), ""))</f>
        <v/>
      </c>
    </row>
    <row r="17" spans="1:7" ht="17">
      <c r="A17" s="1" t="s">
        <v>5398</v>
      </c>
      <c r="B17" s="2" t="s">
        <v>5399</v>
      </c>
      <c r="C17" s="2">
        <v>91</v>
      </c>
      <c r="D17" s="3">
        <v>5231</v>
      </c>
      <c r="E17" s="3">
        <v>18493</v>
      </c>
      <c r="F17" s="4">
        <v>367812</v>
      </c>
      <c r="G17" s="11" t="str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 city",CHOOSE({1,2}, Super_CBSA!$E$2:$E$1917, Super_CBSA!$A$2:$A$1917), 2,FALSE), ""))</f>
        <v/>
      </c>
    </row>
    <row r="18" spans="1:7" ht="17">
      <c r="A18" s="1" t="s">
        <v>5402</v>
      </c>
      <c r="B18" s="2" t="s">
        <v>5403</v>
      </c>
      <c r="C18" s="2">
        <v>16</v>
      </c>
      <c r="D18" s="2">
        <v>424</v>
      </c>
      <c r="E18" s="3">
        <v>1004</v>
      </c>
      <c r="F18" s="4">
        <v>45443</v>
      </c>
      <c r="G18" s="11" t="str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 city",CHOOSE({1,2}, Super_CBSA!$E$2:$E$1917, Super_CBSA!$A$2:$A$1917), 2,FALSE), ""))</f>
        <v/>
      </c>
    </row>
    <row r="19" spans="1:7" ht="17">
      <c r="A19" s="1" t="s">
        <v>5404</v>
      </c>
      <c r="B19" s="2" t="s">
        <v>5405</v>
      </c>
      <c r="C19" s="2">
        <v>40</v>
      </c>
      <c r="D19" s="3">
        <v>1082</v>
      </c>
      <c r="E19" s="3">
        <v>3174</v>
      </c>
      <c r="F19" s="4">
        <v>122786</v>
      </c>
      <c r="G19" s="11" t="str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 city",CHOOSE({1,2}, Super_CBSA!$E$2:$E$1917, Super_CBSA!$A$2:$A$1917), 2,FALSE), ""))</f>
        <v/>
      </c>
    </row>
    <row r="20" spans="1:7" ht="17">
      <c r="A20" s="1" t="s">
        <v>5406</v>
      </c>
      <c r="B20" s="2" t="s">
        <v>5407</v>
      </c>
      <c r="C20" s="2">
        <v>28</v>
      </c>
      <c r="D20" s="2">
        <v>693</v>
      </c>
      <c r="E20" s="3">
        <v>1568</v>
      </c>
      <c r="F20" s="4">
        <v>129308</v>
      </c>
      <c r="G20" s="11" t="str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 city",CHOOSE({1,2}, Super_CBSA!$E$2:$E$1917, Super_CBSA!$A$2:$A$1917), 2,FALSE), ""))</f>
        <v/>
      </c>
    </row>
    <row r="21" spans="1:7" ht="17">
      <c r="A21" s="1" t="s">
        <v>5412</v>
      </c>
      <c r="B21" s="2" t="s">
        <v>5413</v>
      </c>
      <c r="C21" s="2">
        <v>205</v>
      </c>
      <c r="D21" s="3">
        <v>4707</v>
      </c>
      <c r="E21" s="3">
        <v>18936</v>
      </c>
      <c r="F21" s="4">
        <v>478195</v>
      </c>
      <c r="G21" s="11" t="str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 city",CHOOSE({1,2}, Super_CBSA!$E$2:$E$1917, Super_CBSA!$A$2:$A$1917), 2,FALSE), ""))</f>
        <v/>
      </c>
    </row>
    <row r="22" spans="1:7" ht="17">
      <c r="A22" s="1" t="s">
        <v>5414</v>
      </c>
      <c r="B22" s="2" t="s">
        <v>5415</v>
      </c>
      <c r="C22" s="2">
        <v>284</v>
      </c>
      <c r="D22" s="3">
        <v>15581</v>
      </c>
      <c r="E22" s="3">
        <v>55765</v>
      </c>
      <c r="F22" s="4">
        <v>1252022</v>
      </c>
      <c r="G22" s="11" t="str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 city",CHOOSE({1,2}, Super_CBSA!$E$2:$E$1917, Super_CBSA!$A$2:$A$1917), 2,FALSE), ""))</f>
        <v/>
      </c>
    </row>
    <row r="23" spans="1:7" ht="17">
      <c r="A23" s="1" t="s">
        <v>5418</v>
      </c>
      <c r="B23" s="2" t="s">
        <v>5413</v>
      </c>
      <c r="C23" s="2">
        <v>0</v>
      </c>
      <c r="D23" s="2">
        <v>0</v>
      </c>
      <c r="E23" s="2">
        <v>0</v>
      </c>
      <c r="F23" s="4">
        <v>0</v>
      </c>
      <c r="G23" s="11" t="str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 city",CHOOSE({1,2}, Super_CBSA!$E$2:$E$1917, Super_CBSA!$A$2:$A$1917), 2,FALSE), ""))</f>
        <v/>
      </c>
    </row>
    <row r="24" spans="1:7" ht="17">
      <c r="A24" s="1" t="s">
        <v>5419</v>
      </c>
      <c r="B24" s="2" t="s">
        <v>2313</v>
      </c>
      <c r="C24" s="2">
        <v>502</v>
      </c>
      <c r="D24" s="3">
        <v>25975</v>
      </c>
      <c r="E24" s="3">
        <v>115907</v>
      </c>
      <c r="F24" s="4">
        <v>2498939</v>
      </c>
      <c r="G24" s="11" t="str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 city",CHOOSE({1,2}, Super_CBSA!$E$2:$E$1917, Super_CBSA!$A$2:$A$1917), 2,FALSE), ""))</f>
        <v/>
      </c>
    </row>
    <row r="25" spans="1:7" ht="17">
      <c r="A25" s="1" t="s">
        <v>5420</v>
      </c>
      <c r="B25" s="2" t="s">
        <v>5421</v>
      </c>
      <c r="C25" s="2">
        <v>314</v>
      </c>
      <c r="D25" s="3">
        <v>9346</v>
      </c>
      <c r="E25" s="3">
        <v>35671</v>
      </c>
      <c r="F25" s="4">
        <v>781194</v>
      </c>
      <c r="G25" s="11" t="str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 city",CHOOSE({1,2}, Super_CBSA!$E$2:$E$1917, Super_CBSA!$A$2:$A$1917), 2,FALSE), ""))</f>
        <v/>
      </c>
    </row>
    <row r="26" spans="1:7" ht="17">
      <c r="A26" s="1" t="s">
        <v>5422</v>
      </c>
      <c r="B26" s="2" t="s">
        <v>5423</v>
      </c>
      <c r="C26" s="2">
        <v>94</v>
      </c>
      <c r="D26" s="3">
        <v>5198</v>
      </c>
      <c r="E26" s="3">
        <v>14630</v>
      </c>
      <c r="F26" s="4">
        <v>158278</v>
      </c>
      <c r="G26" s="11" t="str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 city",CHOOSE({1,2}, Super_CBSA!$E$2:$E$1917, Super_CBSA!$A$2:$A$1917), 2,FALSE), ""))</f>
        <v/>
      </c>
    </row>
    <row r="27" spans="1:7" ht="17">
      <c r="A27" s="1" t="s">
        <v>2934</v>
      </c>
      <c r="B27" s="2" t="s">
        <v>5424</v>
      </c>
      <c r="C27" s="2">
        <v>90</v>
      </c>
      <c r="D27" s="3">
        <v>3606</v>
      </c>
      <c r="E27" s="3">
        <v>12452</v>
      </c>
      <c r="F27" s="4">
        <v>416321</v>
      </c>
      <c r="G27" s="11" t="str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 city",CHOOSE({1,2}, Super_CBSA!$E$2:$E$1917, Super_CBSA!$A$2:$A$1917), 2,FALSE), ""))</f>
        <v/>
      </c>
    </row>
    <row r="28" spans="1:7" ht="17">
      <c r="A28" s="1" t="s">
        <v>5428</v>
      </c>
      <c r="B28" s="2" t="s">
        <v>5429</v>
      </c>
      <c r="C28" s="2">
        <v>30</v>
      </c>
      <c r="D28" s="3">
        <v>1876</v>
      </c>
      <c r="E28" s="3">
        <v>6051</v>
      </c>
      <c r="F28" s="4">
        <v>224227</v>
      </c>
      <c r="G28" s="11" t="str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 city",CHOOSE({1,2}, Super_CBSA!$E$2:$E$1917, Super_CBSA!$A$2:$A$1917), 2,FALSE), ""))</f>
        <v/>
      </c>
    </row>
    <row r="29" spans="1:7" ht="17">
      <c r="A29" s="1" t="s">
        <v>5432</v>
      </c>
      <c r="B29" s="2" t="s">
        <v>5433</v>
      </c>
      <c r="C29" s="2">
        <v>0</v>
      </c>
      <c r="D29" s="2">
        <v>0</v>
      </c>
      <c r="E29" s="2">
        <v>0</v>
      </c>
      <c r="F29" s="4">
        <v>0</v>
      </c>
      <c r="G29" s="11" t="str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 city",CHOOSE({1,2}, Super_CBSA!$E$2:$E$1917, Super_CBSA!$A$2:$A$1917), 2,FALSE), ""))</f>
        <v/>
      </c>
    </row>
    <row r="30" spans="1:7" ht="17">
      <c r="A30" s="1" t="s">
        <v>1779</v>
      </c>
      <c r="B30" s="2" t="s">
        <v>5434</v>
      </c>
      <c r="C30" s="2">
        <v>124</v>
      </c>
      <c r="D30" s="3">
        <v>3374</v>
      </c>
      <c r="E30" s="3">
        <v>11118</v>
      </c>
      <c r="F30" s="4">
        <v>242545</v>
      </c>
      <c r="G30" s="11" t="str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 city",CHOOSE({1,2}, Super_CBSA!$E$2:$E$1917, Super_CBSA!$A$2:$A$1917), 2,FALSE), ""))</f>
        <v/>
      </c>
    </row>
    <row r="31" spans="1:7" ht="17">
      <c r="A31" s="1" t="s">
        <v>5435</v>
      </c>
      <c r="B31" s="2" t="s">
        <v>5436</v>
      </c>
      <c r="C31" s="2">
        <v>36</v>
      </c>
      <c r="D31" s="3">
        <v>1620</v>
      </c>
      <c r="E31" s="3">
        <v>4338</v>
      </c>
      <c r="F31" s="4">
        <v>160844</v>
      </c>
      <c r="G31" s="11" t="str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 city",CHOOSE({1,2}, Super_CBSA!$E$2:$E$1917, Super_CBSA!$A$2:$A$1917), 2,FALSE), ""))</f>
        <v/>
      </c>
    </row>
    <row r="32" spans="1:7" ht="17">
      <c r="A32" s="1" t="s">
        <v>5440</v>
      </c>
      <c r="B32" s="2" t="s">
        <v>5441</v>
      </c>
      <c r="C32" s="2">
        <v>37</v>
      </c>
      <c r="D32" s="3">
        <v>1848</v>
      </c>
      <c r="E32" s="3">
        <v>4208</v>
      </c>
      <c r="F32" s="4">
        <v>168808</v>
      </c>
      <c r="G32" s="11" t="str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 city",CHOOSE({1,2}, Super_CBSA!$E$2:$E$1917, Super_CBSA!$A$2:$A$1917), 2,FALSE), ""))</f>
        <v/>
      </c>
    </row>
    <row r="33" spans="1:7" ht="17">
      <c r="A33" s="1" t="s">
        <v>5442</v>
      </c>
      <c r="B33" s="2" t="s">
        <v>5443</v>
      </c>
      <c r="C33" s="2">
        <v>87</v>
      </c>
      <c r="D33" s="3">
        <v>5255</v>
      </c>
      <c r="E33" s="3">
        <v>16766</v>
      </c>
      <c r="F33" s="4">
        <v>343160</v>
      </c>
      <c r="G33" s="11" t="str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 city",CHOOSE({1,2}, Super_CBSA!$E$2:$E$1917, Super_CBSA!$A$2:$A$1917), 2,FALSE), ""))</f>
        <v/>
      </c>
    </row>
    <row r="34" spans="1:7" ht="17">
      <c r="A34" s="1" t="s">
        <v>5446</v>
      </c>
      <c r="B34" s="2" t="s">
        <v>5447</v>
      </c>
      <c r="C34" s="2">
        <v>24</v>
      </c>
      <c r="D34" s="2">
        <v>886</v>
      </c>
      <c r="E34" s="3">
        <v>2588</v>
      </c>
      <c r="F34" s="4">
        <v>92361</v>
      </c>
      <c r="G34" s="11" t="str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 city",CHOOSE({1,2}, Super_CBSA!$E$2:$E$1917, Super_CBSA!$A$2:$A$1917), 2,FALSE), ""))</f>
        <v/>
      </c>
    </row>
    <row r="35" spans="1:7" ht="17">
      <c r="A35" s="1" t="s">
        <v>5448</v>
      </c>
      <c r="B35" s="2" t="s">
        <v>2313</v>
      </c>
      <c r="C35" s="2">
        <v>40</v>
      </c>
      <c r="D35" s="3">
        <v>1739</v>
      </c>
      <c r="E35" s="3">
        <v>2956</v>
      </c>
      <c r="F35" s="4">
        <v>202915</v>
      </c>
      <c r="G35" s="11" t="str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 city",CHOOSE({1,2}, Super_CBSA!$E$2:$E$1917, Super_CBSA!$A$2:$A$1917), 2,FALSE), ""))</f>
        <v/>
      </c>
    </row>
    <row r="36" spans="1:7" ht="17">
      <c r="A36" s="1" t="s">
        <v>5450</v>
      </c>
      <c r="B36" s="2" t="s">
        <v>5451</v>
      </c>
      <c r="C36" s="2">
        <v>32</v>
      </c>
      <c r="D36" s="3">
        <v>1475</v>
      </c>
      <c r="E36" s="3">
        <v>4950</v>
      </c>
      <c r="F36" s="4">
        <v>168947</v>
      </c>
      <c r="G36" s="11" t="str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 city",CHOOSE({1,2}, Super_CBSA!$E$2:$E$1917, Super_CBSA!$A$2:$A$1917), 2,FALSE), ""))</f>
        <v/>
      </c>
    </row>
    <row r="37" spans="1:7" ht="17">
      <c r="A37" s="2" t="s">
        <v>56</v>
      </c>
      <c r="B37" s="2"/>
      <c r="C37" s="3">
        <v>4621</v>
      </c>
      <c r="D37" s="3">
        <v>205860</v>
      </c>
      <c r="E37" s="3">
        <v>814305</v>
      </c>
      <c r="F37" s="4">
        <v>19499482</v>
      </c>
      <c r="G37" s="11"/>
    </row>
  </sheetData>
  <sortState xmlns:xlrd2="http://schemas.microsoft.com/office/spreadsheetml/2017/richdata2" ref="A2:G36">
    <sortCondition ref="G2:G36"/>
  </sortState>
  <hyperlinks>
    <hyperlink ref="A16" r:id="rId1" display="https://www.ahd.com/free_profile/460044/Alta_View_Hospital/Sandy/Utah/" xr:uid="{C2060BD3-35B0-9146-B4B1-4624D9F6E715}"/>
    <hyperlink ref="A17" r:id="rId2" display="https://www.ahd.com/free_profile/460023/American_Fork_Hospital/American_Fork/Utah/" xr:uid="{97412A58-DB77-B449-8C0A-14CE6E6AECD6}"/>
    <hyperlink ref="A14" r:id="rId3" display="https://www.ahd.com/free_profile/460030/Ashley_Regional_Medical_Center/Vernal/Utah/" xr:uid="{5ED898E9-3899-4145-96FD-CB674455DC64}"/>
    <hyperlink ref="A18" r:id="rId4" display="https://www.ahd.com/free_profile/460039/Bear_River_Valley_Hospital/Tremonton/Utah/" xr:uid="{2EDCF1AB-C2D1-CD43-BE47-BEF34BC08D26}"/>
    <hyperlink ref="A19" r:id="rId5" display="https://www.ahd.com/free_profile/460017/Brigham_City_Community_Hospital/Brigham_City/Utah/" xr:uid="{85C0F638-4CD8-0948-BB07-A6F844382DEC}"/>
    <hyperlink ref="A20" r:id="rId6" display="https://www.ahd.com/free_profile/460054/Cache_Valley_Hospital/North_Logan/Utah/" xr:uid="{4011F8FC-305E-BA4F-94E4-6980B8935A8C}"/>
    <hyperlink ref="A15" r:id="rId7" display="https://www.ahd.com/free_profile/460011/Castleview_Hospital/Price/Utah/" xr:uid="{FD8BC321-8B79-4146-ABCE-7BE5715EDBE9}"/>
    <hyperlink ref="A13" r:id="rId8" display="https://www.ahd.com/free_profile/460007/Cedar_City_Hospital/Cedar_City/Utah/" xr:uid="{24DD6376-5F93-B342-8D72-290384A0BFE8}"/>
    <hyperlink ref="A21" r:id="rId9" display="https://www.ahd.com/free_profile/460041/Davis_Hospital_and_Medical_Center/Layton/Utah/" xr:uid="{65B568D7-670E-F746-AD68-DC55C7B74B8F}"/>
    <hyperlink ref="A22" r:id="rId10" display="https://www.ahd.com/free_profile/460021/Dixie_Regional_Medical_Center_/Saint_George/Utah/" xr:uid="{7F62216F-5465-C44B-A308-FB18FDDCDE99}"/>
    <hyperlink ref="A2" r:id="rId11" display="https://www.ahd.com/free_profile/46002F/George_E_Wahlen_Department_of_Veterans_Affairs_Medical_Center/Salt_Lake_City/Utah/" xr:uid="{E01999AD-0CFE-9240-BBD9-A4C65F8E66EE}"/>
    <hyperlink ref="A23" r:id="rId12" display="https://www.ahd.com/free_profile/460061/Intermountain_Layton_Hospital_/Layton/Utah/" xr:uid="{8337CCF4-C750-3846-8AD1-9921CB0C0131}"/>
    <hyperlink ref="A24" r:id="rId13" display="https://www.ahd.com/free_profile/460010/Intermountain_Medical_Center/Murray/Utah/" xr:uid="{AF2DD19F-B161-A947-BBEB-4730F3668161}"/>
    <hyperlink ref="A25" r:id="rId14" display="https://www.ahd.com/free_profile/460051/Jordan_Valley_Medical_Center/West_Jordan/Utah/" xr:uid="{8FBE36B7-5C87-3348-B9DF-FA02A2833B26}"/>
    <hyperlink ref="A26" r:id="rId15" display="https://www.ahd.com/free_profile/460008/Jordan_Valley_Medical_Center_-_West_Valley_Campus/West_Valley_City/Utah/" xr:uid="{E3445A06-A85D-1D48-8202-52009F6E8238}"/>
    <hyperlink ref="A27" r:id="rId16" display="https://www.ahd.com/free_profile/460042/Lakeview_Hospital/Bountiful/Utah/" xr:uid="{04663CB5-5646-CB4D-981A-0597C04E08E2}"/>
    <hyperlink ref="A3" r:id="rId17" display="https://www.ahd.com/free_profile/460006/LDS_Hospital/Salt_Lake_City/Utah/" xr:uid="{4A1F64A7-4D96-D04B-873E-3E107BE5BE96}"/>
    <hyperlink ref="A12" r:id="rId18" display="https://www.ahd.com/free_profile/460015/Logan_Regional_Hospital/Logan/Utah/" xr:uid="{45E61C63-C28F-0E4F-BF5C-23B30A40E3AE}"/>
    <hyperlink ref="A28" r:id="rId19" display="https://www.ahd.com/free_profile/460060/Lone_Peak_Hospital_/Draper/Utah/" xr:uid="{13B449D7-9D8F-E340-832F-B9049A99CF49}"/>
    <hyperlink ref="A7" r:id="rId20" display="https://www.ahd.com/free_profile/460004/McKay-Dee_Hospital/Ogden/Utah/" xr:uid="{9B0A0D3B-003E-E14A-A102-653125C8E128}"/>
    <hyperlink ref="A29" r:id="rId21" display="https://www.ahd.com/free_profile/I42102/Mountain_Point_Medical_Center/Lehi/Utah/" xr:uid="{E204B9C4-B7C5-B043-84B2-DE4544841784}"/>
    <hyperlink ref="A30" r:id="rId22" display="https://www.ahd.com/free_profile/460013/Mountain_View_Hospital/Payson/Utah/" xr:uid="{624DB209-E007-2349-8679-4DEBE2CED69D}"/>
    <hyperlink ref="A31" r:id="rId23" display="https://www.ahd.com/free_profile/460014/Mountain_West_Medical_Center/Tooele/Utah/" xr:uid="{1DD8F5B3-71D0-4348-92CF-51595EC200DD}"/>
    <hyperlink ref="A8" r:id="rId24" display="https://www.ahd.com/free_profile/460005/Ogden_Regional_Medical_Center/Ogden/Utah/" xr:uid="{9CAE8077-0B92-5945-B7D2-48C10A6917A9}"/>
    <hyperlink ref="A9" r:id="rId25" display="https://www.ahd.com/free_profile/460043/Orem_Community_Hospital/Orem/Utah/" xr:uid="{67295781-9970-FC47-A0E9-5A657B633DFE}"/>
    <hyperlink ref="A32" r:id="rId26" display="https://www.ahd.com/free_profile/460057/Park_City_Hospital/Park_City/Utah/" xr:uid="{7799DFF2-E62E-9C4D-B4AF-DD97563A5F8F}"/>
    <hyperlink ref="A33" r:id="rId27" display="https://www.ahd.com/free_profile/460058/Riverton_Hospital/Riverton/Utah/" xr:uid="{F369CC12-C36C-3646-85E3-83C8DED99C1E}"/>
    <hyperlink ref="A4" r:id="rId28" display="https://www.ahd.com/free_profile/460047/Saint_Mark%27s_Hospital/Salt_Lake_City/Utah/" xr:uid="{8892135B-6602-D44A-82AD-D5D2752AE087}"/>
    <hyperlink ref="A5" r:id="rId29" display="https://www.ahd.com/free_profile/460003/Salt_Lake_Regional_Medical_Center/Salt_Lake_City/Utah/" xr:uid="{B8E9F2FA-83A9-F44C-A7C9-34E3E13FEF13}"/>
    <hyperlink ref="A34" r:id="rId30" display="https://www.ahd.com/free_profile/460026/Sevier_Valley_Hospital/Richfield/Utah/" xr:uid="{B4EB3664-C532-CD43-B375-2D9FDA53BF10}"/>
    <hyperlink ref="A35" r:id="rId31" display="https://www.ahd.com/free_profile/460049/The_Orthopedic_Specialty_Hospital_%28TOSH%29/Murray/Utah/" xr:uid="{A5C55BB5-AF4F-C84C-990C-CEAFFEBCE956}"/>
    <hyperlink ref="A10" r:id="rId32" display="https://www.ahd.com/free_profile/460052/Timpanogos_Regional_Hospital/Orem/Utah/" xr:uid="{1F973A56-BDFA-904D-92E0-AA3CF6331962}"/>
    <hyperlink ref="A36" r:id="rId33" display="https://www.ahd.com/free_profile/460019/Uintah_Basin_Medical_Center/Roosevelt/Utah/" xr:uid="{5B3B31A0-4A17-7A47-A229-F3A28CA9F6F3}"/>
    <hyperlink ref="A6" r:id="rId34" display="https://www.ahd.com/free_profile/460009/University_of_Utah_Hospital/Salt_Lake_City/Utah/" xr:uid="{B2BA3CE8-8B76-1F4E-9DDD-5E166318CCF0}"/>
    <hyperlink ref="A11" r:id="rId35" display="https://www.ahd.com/free_profile/460001/Utah_Valley_Hospital_/Provo/Utah/" xr:uid="{E1DBE546-12C3-7B46-96ED-E4C043076D85}"/>
  </hyperlink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8004D-DD50-E447-9A6F-E9BE6DC37C03}">
  <sheetPr codeName="Sheet47"/>
  <dimension ref="A1:G92"/>
  <sheetViews>
    <sheetView workbookViewId="0">
      <selection activeCell="G3" sqref="G3:G91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5467</v>
      </c>
      <c r="B2" s="2" t="s">
        <v>5010</v>
      </c>
      <c r="C2" s="2">
        <v>0</v>
      </c>
      <c r="D2" s="2">
        <v>0</v>
      </c>
      <c r="E2" s="2">
        <v>0</v>
      </c>
      <c r="F2" s="4">
        <v>66834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 city",CHOOSE({1,2}, Super_CBSA!$E$2:$E$1917, Super_CBSA!$A$2:$A$1917), 2,FALSE), ""))</f>
        <v>47900</v>
      </c>
    </row>
    <row r="3" spans="1:7" ht="17">
      <c r="A3" s="1" t="s">
        <v>5497</v>
      </c>
      <c r="B3" s="2" t="s">
        <v>2384</v>
      </c>
      <c r="C3" s="2">
        <v>334</v>
      </c>
      <c r="D3" s="3">
        <v>14412</v>
      </c>
      <c r="E3" s="3">
        <v>67118</v>
      </c>
      <c r="F3" s="4">
        <v>924057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 city",CHOOSE({1,2}, Super_CBSA!$E$2:$E$1917, Super_CBSA!$A$2:$A$1917), 2,FALSE), ""))</f>
        <v>47900</v>
      </c>
    </row>
    <row r="4" spans="1:7" ht="17">
      <c r="A4" s="1" t="s">
        <v>5503</v>
      </c>
      <c r="B4" s="2" t="s">
        <v>2384</v>
      </c>
      <c r="C4" s="2">
        <v>237</v>
      </c>
      <c r="D4" s="3">
        <v>5556</v>
      </c>
      <c r="E4" s="3">
        <v>21642</v>
      </c>
      <c r="F4" s="4">
        <v>479309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 city",CHOOSE({1,2}, Super_CBSA!$E$2:$E$1917, Super_CBSA!$A$2:$A$1917), 2,FALSE), ""))</f>
        <v>47900</v>
      </c>
    </row>
    <row r="5" spans="1:7" ht="17">
      <c r="A5" s="1" t="s">
        <v>5582</v>
      </c>
      <c r="B5" s="2" t="s">
        <v>5010</v>
      </c>
      <c r="C5" s="2">
        <v>365</v>
      </c>
      <c r="D5" s="3">
        <v>22172</v>
      </c>
      <c r="E5" s="3">
        <v>96765</v>
      </c>
      <c r="F5" s="4">
        <v>1356730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 city",CHOOSE({1,2}, Super_CBSA!$E$2:$E$1917, Super_CBSA!$A$2:$A$1917), 2,FALSE), ""))</f>
        <v>47900</v>
      </c>
    </row>
    <row r="6" spans="1:7" ht="17">
      <c r="A6" s="1" t="s">
        <v>5461</v>
      </c>
      <c r="B6" s="2" t="s">
        <v>3445</v>
      </c>
      <c r="C6" s="2">
        <v>133</v>
      </c>
      <c r="D6" s="3">
        <v>5256</v>
      </c>
      <c r="E6" s="3">
        <v>22069</v>
      </c>
      <c r="F6" s="4">
        <v>638517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 city",CHOOSE({1,2}, Super_CBSA!$E$2:$E$1917, Super_CBSA!$A$2:$A$1917), 2,FALSE), ""))</f>
        <v>47260</v>
      </c>
    </row>
    <row r="7" spans="1:7" ht="17">
      <c r="A7" s="1" t="s">
        <v>5462</v>
      </c>
      <c r="B7" s="2" t="s">
        <v>5463</v>
      </c>
      <c r="C7" s="2">
        <v>230</v>
      </c>
      <c r="D7" s="3">
        <v>7189</v>
      </c>
      <c r="E7" s="3">
        <v>23836</v>
      </c>
      <c r="F7" s="4">
        <v>665906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 city",CHOOSE({1,2}, Super_CBSA!$E$2:$E$1917, Super_CBSA!$A$2:$A$1917), 2,FALSE), ""))</f>
        <v>47260</v>
      </c>
    </row>
    <row r="8" spans="1:7" ht="17">
      <c r="A8" s="1" t="s">
        <v>5539</v>
      </c>
      <c r="B8" s="2" t="s">
        <v>5463</v>
      </c>
      <c r="C8" s="2">
        <v>357</v>
      </c>
      <c r="D8" s="3">
        <v>19462</v>
      </c>
      <c r="E8" s="3">
        <v>88888</v>
      </c>
      <c r="F8" s="4">
        <v>1972053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 city",CHOOSE({1,2}, Super_CBSA!$E$2:$E$1917, Super_CBSA!$A$2:$A$1917), 2,FALSE), ""))</f>
        <v>47260</v>
      </c>
    </row>
    <row r="9" spans="1:7" ht="17">
      <c r="A9" s="1" t="s">
        <v>5551</v>
      </c>
      <c r="B9" s="2" t="s">
        <v>3445</v>
      </c>
      <c r="C9" s="2">
        <v>0</v>
      </c>
      <c r="D9" s="2">
        <v>0</v>
      </c>
      <c r="E9" s="2">
        <v>0</v>
      </c>
      <c r="F9" s="4">
        <v>0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 city",CHOOSE({1,2}, Super_CBSA!$E$2:$E$1917, Super_CBSA!$A$2:$A$1917), 2,FALSE), ""))</f>
        <v>47260</v>
      </c>
    </row>
    <row r="10" spans="1:7" ht="17">
      <c r="A10" s="1" t="s">
        <v>5552</v>
      </c>
      <c r="B10" s="2" t="s">
        <v>3445</v>
      </c>
      <c r="C10" s="2">
        <v>247</v>
      </c>
      <c r="D10" s="3">
        <v>17404</v>
      </c>
      <c r="E10" s="3">
        <v>78287</v>
      </c>
      <c r="F10" s="4">
        <v>1353245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 city",CHOOSE({1,2}, Super_CBSA!$E$2:$E$1917, Super_CBSA!$A$2:$A$1917), 2,FALSE), ""))</f>
        <v>47260</v>
      </c>
    </row>
    <row r="11" spans="1:7" ht="17">
      <c r="A11" s="1" t="s">
        <v>5555</v>
      </c>
      <c r="B11" s="2" t="s">
        <v>3445</v>
      </c>
      <c r="C11" s="2">
        <v>527</v>
      </c>
      <c r="D11" s="3">
        <v>24806</v>
      </c>
      <c r="E11" s="3">
        <v>156557</v>
      </c>
      <c r="F11" s="4">
        <v>3721632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 city",CHOOSE({1,2}, Super_CBSA!$E$2:$E$1917, Super_CBSA!$A$2:$A$1917), 2,FALSE), ""))</f>
        <v>47260</v>
      </c>
    </row>
    <row r="12" spans="1:7" ht="17">
      <c r="A12" s="1" t="s">
        <v>5560</v>
      </c>
      <c r="B12" s="2" t="s">
        <v>5561</v>
      </c>
      <c r="C12" s="2">
        <v>174</v>
      </c>
      <c r="D12" s="3">
        <v>11788</v>
      </c>
      <c r="E12" s="3">
        <v>56252</v>
      </c>
      <c r="F12" s="4">
        <v>1001553</v>
      </c>
      <c r="G12" s="11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 city",CHOOSE({1,2}, Super_CBSA!$E$2:$E$1917, Super_CBSA!$A$2:$A$1917), 2,FALSE), ""))</f>
        <v>47260</v>
      </c>
    </row>
    <row r="13" spans="1:7" ht="17">
      <c r="A13" s="1" t="s">
        <v>5564</v>
      </c>
      <c r="B13" s="2" t="s">
        <v>5561</v>
      </c>
      <c r="C13" s="2">
        <v>259</v>
      </c>
      <c r="D13" s="3">
        <v>12624</v>
      </c>
      <c r="E13" s="3">
        <v>65239</v>
      </c>
      <c r="F13" s="4">
        <v>1334151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 city",CHOOSE({1,2}, Super_CBSA!$E$2:$E$1917, Super_CBSA!$A$2:$A$1917), 2,FALSE), ""))</f>
        <v>47260</v>
      </c>
    </row>
    <row r="14" spans="1:7" ht="17">
      <c r="A14" s="1" t="s">
        <v>5485</v>
      </c>
      <c r="B14" s="2" t="s">
        <v>803</v>
      </c>
      <c r="C14" s="2">
        <v>793</v>
      </c>
      <c r="D14" s="3">
        <v>30197</v>
      </c>
      <c r="E14" s="3">
        <v>153631</v>
      </c>
      <c r="F14" s="4">
        <v>7043618</v>
      </c>
      <c r="G14" s="11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 city",CHOOSE({1,2}, Super_CBSA!$E$2:$E$1917, Super_CBSA!$A$2:$A$1917), 2,FALSE), ""))</f>
        <v>40060</v>
      </c>
    </row>
    <row r="15" spans="1:7" ht="17">
      <c r="A15" s="1" t="s">
        <v>5493</v>
      </c>
      <c r="B15" s="2" t="s">
        <v>803</v>
      </c>
      <c r="C15" s="2">
        <v>767</v>
      </c>
      <c r="D15" s="3">
        <v>21157</v>
      </c>
      <c r="E15" s="3">
        <v>111042</v>
      </c>
      <c r="F15" s="4">
        <v>4567170</v>
      </c>
      <c r="G15" s="11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 city",CHOOSE({1,2}, Super_CBSA!$E$2:$E$1917, Super_CBSA!$A$2:$A$1917), 2,FALSE), ""))</f>
        <v>40060</v>
      </c>
    </row>
    <row r="16" spans="1:7" ht="17">
      <c r="A16" s="1" t="s">
        <v>5496</v>
      </c>
      <c r="B16" s="2" t="s">
        <v>803</v>
      </c>
      <c r="C16" s="2">
        <v>0</v>
      </c>
      <c r="D16" s="2">
        <v>0</v>
      </c>
      <c r="E16" s="2">
        <v>0</v>
      </c>
      <c r="F16" s="4">
        <v>0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 city",CHOOSE({1,2}, Super_CBSA!$E$2:$E$1917, Super_CBSA!$A$2:$A$1917), 2,FALSE), ""))</f>
        <v>40060</v>
      </c>
    </row>
    <row r="17" spans="1:7" ht="17">
      <c r="A17" s="1" t="s">
        <v>5508</v>
      </c>
      <c r="B17" s="2" t="s">
        <v>803</v>
      </c>
      <c r="C17" s="2">
        <v>0</v>
      </c>
      <c r="D17" s="2">
        <v>0</v>
      </c>
      <c r="E17" s="2">
        <v>0</v>
      </c>
      <c r="F17" s="4">
        <v>0</v>
      </c>
      <c r="G17" s="11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 city",CHOOSE({1,2}, Super_CBSA!$E$2:$E$1917, Super_CBSA!$A$2:$A$1917), 2,FALSE), ""))</f>
        <v>40060</v>
      </c>
    </row>
    <row r="18" spans="1:7" ht="17">
      <c r="A18" s="1" t="s">
        <v>5532</v>
      </c>
      <c r="B18" s="2" t="s">
        <v>803</v>
      </c>
      <c r="C18" s="2">
        <v>0</v>
      </c>
      <c r="D18" s="2">
        <v>0</v>
      </c>
      <c r="E18" s="2">
        <v>0</v>
      </c>
      <c r="F18" s="4">
        <v>0</v>
      </c>
      <c r="G18" s="11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 city",CHOOSE({1,2}, Super_CBSA!$E$2:$E$1917, Super_CBSA!$A$2:$A$1917), 2,FALSE), ""))</f>
        <v>40060</v>
      </c>
    </row>
    <row r="19" spans="1:7" ht="17">
      <c r="A19" s="1" t="s">
        <v>5535</v>
      </c>
      <c r="B19" s="2" t="s">
        <v>803</v>
      </c>
      <c r="C19" s="2">
        <v>116</v>
      </c>
      <c r="D19" s="3">
        <v>3307</v>
      </c>
      <c r="E19" s="3">
        <v>25620</v>
      </c>
      <c r="F19" s="4">
        <v>264015</v>
      </c>
      <c r="G19" s="11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 city",CHOOSE({1,2}, Super_CBSA!$E$2:$E$1917, Super_CBSA!$A$2:$A$1917), 2,FALSE), ""))</f>
        <v>40060</v>
      </c>
    </row>
    <row r="20" spans="1:7" ht="17">
      <c r="A20" s="1" t="s">
        <v>5536</v>
      </c>
      <c r="B20" s="2" t="s">
        <v>803</v>
      </c>
      <c r="C20" s="2">
        <v>101</v>
      </c>
      <c r="D20" s="3">
        <v>1622</v>
      </c>
      <c r="E20" s="3">
        <v>10129</v>
      </c>
      <c r="F20" s="4">
        <v>822704</v>
      </c>
      <c r="G20" s="11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 city",CHOOSE({1,2}, Super_CBSA!$E$2:$E$1917, Super_CBSA!$A$2:$A$1917), 2,FALSE), ""))</f>
        <v>40060</v>
      </c>
    </row>
    <row r="21" spans="1:7" ht="17">
      <c r="A21" s="1" t="s">
        <v>396</v>
      </c>
      <c r="B21" s="2" t="s">
        <v>803</v>
      </c>
      <c r="C21" s="2">
        <v>410</v>
      </c>
      <c r="D21" s="3">
        <v>20006</v>
      </c>
      <c r="E21" s="3">
        <v>98707</v>
      </c>
      <c r="F21" s="4">
        <v>2226799</v>
      </c>
      <c r="G21" s="11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 city",CHOOSE({1,2}, Super_CBSA!$E$2:$E$1917, Super_CBSA!$A$2:$A$1917), 2,FALSE), ""))</f>
        <v>40060</v>
      </c>
    </row>
    <row r="22" spans="1:7" ht="17">
      <c r="A22" s="1" t="s">
        <v>5581</v>
      </c>
      <c r="B22" s="2" t="s">
        <v>803</v>
      </c>
      <c r="C22" s="2">
        <v>781</v>
      </c>
      <c r="D22" s="3">
        <v>36711</v>
      </c>
      <c r="E22" s="3">
        <v>203311</v>
      </c>
      <c r="F22" s="4">
        <v>6179132</v>
      </c>
      <c r="G22" s="11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 city",CHOOSE({1,2}, Super_CBSA!$E$2:$E$1917, Super_CBSA!$A$2:$A$1917), 2,FALSE), ""))</f>
        <v>40060</v>
      </c>
    </row>
    <row r="23" spans="1:7" ht="17">
      <c r="A23" s="1" t="s">
        <v>5471</v>
      </c>
      <c r="B23" s="2" t="s">
        <v>5472</v>
      </c>
      <c r="C23" s="2">
        <v>0</v>
      </c>
      <c r="D23" s="2">
        <v>0</v>
      </c>
      <c r="E23" s="2">
        <v>0</v>
      </c>
      <c r="F23" s="4">
        <v>0</v>
      </c>
      <c r="G23" s="11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 city",CHOOSE({1,2}, Super_CBSA!$E$2:$E$1917, Super_CBSA!$A$2:$A$1917), 2,FALSE), ""))</f>
        <v>40220</v>
      </c>
    </row>
    <row r="24" spans="1:7" ht="17">
      <c r="A24" s="1" t="s">
        <v>5473</v>
      </c>
      <c r="B24" s="2" t="s">
        <v>5472</v>
      </c>
      <c r="C24" s="2">
        <v>715</v>
      </c>
      <c r="D24" s="3">
        <v>34981</v>
      </c>
      <c r="E24" s="3">
        <v>179726</v>
      </c>
      <c r="F24" s="4">
        <v>4068259</v>
      </c>
      <c r="G24" s="11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 city",CHOOSE({1,2}, Super_CBSA!$E$2:$E$1917, Super_CBSA!$A$2:$A$1917), 2,FALSE), ""))</f>
        <v>40220</v>
      </c>
    </row>
    <row r="25" spans="1:7" ht="17">
      <c r="A25" s="1" t="s">
        <v>5478</v>
      </c>
      <c r="B25" s="2" t="s">
        <v>5479</v>
      </c>
      <c r="C25" s="2">
        <v>629</v>
      </c>
      <c r="D25" s="3">
        <v>26012</v>
      </c>
      <c r="E25" s="3">
        <v>124852</v>
      </c>
      <c r="F25" s="4">
        <v>2387854</v>
      </c>
      <c r="G25" s="11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 city",CHOOSE({1,2}, Super_CBSA!$E$2:$E$1917, Super_CBSA!$A$2:$A$1917), 2,FALSE), ""))</f>
        <v>31340</v>
      </c>
    </row>
    <row r="26" spans="1:7" ht="17">
      <c r="A26" s="1" t="s">
        <v>5482</v>
      </c>
      <c r="B26" s="2" t="s">
        <v>5479</v>
      </c>
      <c r="C26" s="2">
        <v>0</v>
      </c>
      <c r="D26" s="2">
        <v>0</v>
      </c>
      <c r="E26" s="2">
        <v>0</v>
      </c>
      <c r="F26" s="4">
        <v>0</v>
      </c>
      <c r="G26" s="11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 city",CHOOSE({1,2}, Super_CBSA!$E$2:$E$1917, Super_CBSA!$A$2:$A$1917), 2,FALSE), ""))</f>
        <v>31340</v>
      </c>
    </row>
    <row r="27" spans="1:7" ht="17">
      <c r="A27" s="1" t="s">
        <v>5553</v>
      </c>
      <c r="B27" s="2" t="s">
        <v>5554</v>
      </c>
      <c r="C27" s="2">
        <v>150</v>
      </c>
      <c r="D27" s="3">
        <v>9789</v>
      </c>
      <c r="E27" s="3">
        <v>37335</v>
      </c>
      <c r="F27" s="4">
        <v>826166</v>
      </c>
      <c r="G27" s="11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 city",CHOOSE({1,2}, Super_CBSA!$E$2:$E$1917, Super_CBSA!$A$2:$A$1917), 2,FALSE), ""))</f>
        <v>16820</v>
      </c>
    </row>
    <row r="28" spans="1:7" ht="17">
      <c r="A28" s="1" t="s">
        <v>1654</v>
      </c>
      <c r="B28" s="2" t="s">
        <v>5554</v>
      </c>
      <c r="C28" s="2">
        <v>612</v>
      </c>
      <c r="D28" s="3">
        <v>28190</v>
      </c>
      <c r="E28" s="3">
        <v>164753</v>
      </c>
      <c r="F28" s="4">
        <v>5630718</v>
      </c>
      <c r="G28" s="11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 city",CHOOSE({1,2}, Super_CBSA!$E$2:$E$1917, Super_CBSA!$A$2:$A$1917), 2,FALSE), ""))</f>
        <v>16820</v>
      </c>
    </row>
    <row r="29" spans="1:7" ht="17">
      <c r="A29" s="1" t="s">
        <v>5469</v>
      </c>
      <c r="B29" s="2" t="s">
        <v>5470</v>
      </c>
      <c r="C29" s="2">
        <v>146</v>
      </c>
      <c r="D29" s="3">
        <v>6244</v>
      </c>
      <c r="E29" s="3">
        <v>24258</v>
      </c>
      <c r="F29" s="4">
        <v>738307</v>
      </c>
      <c r="G29" s="11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 city",CHOOSE({1,2}, Super_CBSA!$E$2:$E$1917, Super_CBSA!$A$2:$A$1917), 2,FALSE), ""))</f>
        <v>13980</v>
      </c>
    </row>
    <row r="30" spans="1:7" ht="17">
      <c r="A30" s="1" t="s">
        <v>5511</v>
      </c>
      <c r="B30" s="2" t="s">
        <v>5512</v>
      </c>
      <c r="C30" s="2">
        <v>92</v>
      </c>
      <c r="D30" s="3">
        <v>3891</v>
      </c>
      <c r="E30" s="3">
        <v>13935</v>
      </c>
      <c r="F30" s="4">
        <v>628002</v>
      </c>
      <c r="G30" s="11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 city",CHOOSE({1,2}, Super_CBSA!$E$2:$E$1917, Super_CBSA!$A$2:$A$1917), 2,FALSE), ""))</f>
        <v>13980</v>
      </c>
    </row>
    <row r="31" spans="1:7" ht="17">
      <c r="A31" s="1" t="s">
        <v>5585</v>
      </c>
      <c r="B31" s="2" t="s">
        <v>2270</v>
      </c>
      <c r="C31" s="2">
        <v>455</v>
      </c>
      <c r="D31" s="3">
        <v>21150</v>
      </c>
      <c r="E31" s="3">
        <v>111320</v>
      </c>
      <c r="F31" s="4">
        <v>1544100</v>
      </c>
      <c r="G31" s="11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 city",CHOOSE({1,2}, Super_CBSA!$E$2:$E$1917, Super_CBSA!$A$2:$A$1917), 2,FALSE), ""))</f>
        <v>49020</v>
      </c>
    </row>
    <row r="32" spans="1:7" ht="17">
      <c r="A32" s="1" t="s">
        <v>5562</v>
      </c>
      <c r="B32" s="2" t="s">
        <v>5563</v>
      </c>
      <c r="C32" s="2">
        <v>238</v>
      </c>
      <c r="D32" s="3">
        <v>13763</v>
      </c>
      <c r="E32" s="3">
        <v>54548</v>
      </c>
      <c r="F32" s="4">
        <v>1096575</v>
      </c>
      <c r="G32" s="11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 city",CHOOSE({1,2}, Super_CBSA!$E$2:$E$1917, Super_CBSA!$A$2:$A$1917), 2,FALSE), ""))</f>
        <v>25500</v>
      </c>
    </row>
    <row r="33" spans="1:7" ht="17">
      <c r="A33" s="1" t="s">
        <v>5571</v>
      </c>
      <c r="B33" s="2" t="s">
        <v>264</v>
      </c>
      <c r="C33" s="2">
        <v>342</v>
      </c>
      <c r="D33" s="3">
        <v>13441</v>
      </c>
      <c r="E33" s="3">
        <v>55320</v>
      </c>
      <c r="F33" s="4">
        <v>1636482</v>
      </c>
      <c r="G33" s="11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 city",CHOOSE({1,2}, Super_CBSA!$E$2:$E$1917, Super_CBSA!$A$2:$A$1917), 2,FALSE), ""))</f>
        <v>19260</v>
      </c>
    </row>
    <row r="34" spans="1:7" ht="17">
      <c r="A34" s="1" t="s">
        <v>5572</v>
      </c>
      <c r="B34" s="2" t="s">
        <v>5573</v>
      </c>
      <c r="C34" s="2">
        <v>220</v>
      </c>
      <c r="D34" s="3">
        <v>4929</v>
      </c>
      <c r="E34" s="3">
        <v>20765</v>
      </c>
      <c r="F34" s="4">
        <v>545516</v>
      </c>
      <c r="G34" s="11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 city",CHOOSE({1,2}, Super_CBSA!$E$2:$E$1917, Super_CBSA!$A$2:$A$1917), 2,FALSE), ""))</f>
        <v>32300</v>
      </c>
    </row>
    <row r="35" spans="1:7" ht="17">
      <c r="A35" s="1" t="s">
        <v>5515</v>
      </c>
      <c r="B35" s="2" t="s">
        <v>5516</v>
      </c>
      <c r="C35" s="2">
        <v>112</v>
      </c>
      <c r="D35" s="3">
        <v>1879</v>
      </c>
      <c r="E35" s="3">
        <v>5114</v>
      </c>
      <c r="F35" s="4">
        <v>394643</v>
      </c>
      <c r="G35" s="11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 city",CHOOSE({1,2}, Super_CBSA!$E$2:$E$1917, Super_CBSA!$A$2:$A$1917), 2,FALSE), ""))</f>
        <v>13720</v>
      </c>
    </row>
    <row r="36" spans="1:7" ht="17">
      <c r="A36" s="1" t="s">
        <v>5455</v>
      </c>
      <c r="B36" s="2" t="s">
        <v>5456</v>
      </c>
      <c r="C36" s="2">
        <v>206</v>
      </c>
      <c r="D36" s="3">
        <v>3472</v>
      </c>
      <c r="E36" s="3">
        <v>14559</v>
      </c>
      <c r="F36" s="4">
        <v>343267</v>
      </c>
      <c r="G36" s="11" t="str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 city",CHOOSE({1,2}, Super_CBSA!$E$2:$E$1917, Super_CBSA!$A$2:$A$1917), 2,FALSE), ""))</f>
        <v/>
      </c>
    </row>
    <row r="37" spans="1:7" ht="17">
      <c r="A37" s="1" t="s">
        <v>5457</v>
      </c>
      <c r="B37" s="2" t="s">
        <v>5458</v>
      </c>
      <c r="C37" s="2">
        <v>0</v>
      </c>
      <c r="D37" s="2">
        <v>0</v>
      </c>
      <c r="E37" s="2">
        <v>0</v>
      </c>
      <c r="F37" s="4">
        <v>0</v>
      </c>
      <c r="G37" s="11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 city",CHOOSE({1,2}, Super_CBSA!$E$2:$E$1917, Super_CBSA!$A$2:$A$1917), 2,FALSE), ""))</f>
        <v>47260</v>
      </c>
    </row>
    <row r="38" spans="1:7" ht="17">
      <c r="A38" s="1" t="s">
        <v>5459</v>
      </c>
      <c r="B38" s="2" t="s">
        <v>5460</v>
      </c>
      <c r="C38" s="2">
        <v>242</v>
      </c>
      <c r="D38" s="3">
        <v>10439</v>
      </c>
      <c r="E38" s="3">
        <v>37724</v>
      </c>
      <c r="F38" s="4">
        <v>960786</v>
      </c>
      <c r="G38" s="11" t="str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 city",CHOOSE({1,2}, Super_CBSA!$E$2:$E$1917, Super_CBSA!$A$2:$A$1917), 2,FALSE), ""))</f>
        <v/>
      </c>
    </row>
    <row r="39" spans="1:7" ht="17">
      <c r="A39" s="1" t="s">
        <v>5464</v>
      </c>
      <c r="B39" s="2" t="s">
        <v>3477</v>
      </c>
      <c r="C39" s="2">
        <v>352</v>
      </c>
      <c r="D39" s="3">
        <v>9454</v>
      </c>
      <c r="E39" s="3">
        <v>45571</v>
      </c>
      <c r="F39" s="4">
        <v>1282968</v>
      </c>
      <c r="G39" s="11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 city",CHOOSE({1,2}, Super_CBSA!$E$2:$E$1917, Super_CBSA!$A$2:$A$1917), 2,FALSE), ""))</f>
        <v>47260</v>
      </c>
    </row>
    <row r="40" spans="1:7" ht="17">
      <c r="A40" s="1" t="s">
        <v>5465</v>
      </c>
      <c r="B40" s="2" t="s">
        <v>5466</v>
      </c>
      <c r="C40" s="2">
        <v>49</v>
      </c>
      <c r="D40" s="3">
        <v>1055</v>
      </c>
      <c r="E40" s="3">
        <v>5195</v>
      </c>
      <c r="F40" s="4">
        <v>104086</v>
      </c>
      <c r="G40" s="11" t="str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 city",CHOOSE({1,2}, Super_CBSA!$E$2:$E$1917, Super_CBSA!$A$2:$A$1917), 2,FALSE), ""))</f>
        <v/>
      </c>
    </row>
    <row r="41" spans="1:7" ht="17">
      <c r="A41" s="1" t="s">
        <v>5468</v>
      </c>
      <c r="B41" s="2" t="s">
        <v>3335</v>
      </c>
      <c r="C41" s="2">
        <v>37</v>
      </c>
      <c r="D41" s="3">
        <v>1353</v>
      </c>
      <c r="E41" s="3">
        <v>4931</v>
      </c>
      <c r="F41" s="4">
        <v>151201</v>
      </c>
      <c r="G41" s="11" t="str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 city",CHOOSE({1,2}, Super_CBSA!$E$2:$E$1917, Super_CBSA!$A$2:$A$1917), 2,FALSE), ""))</f>
        <v/>
      </c>
    </row>
    <row r="42" spans="1:7" ht="17">
      <c r="A42" s="1" t="s">
        <v>5474</v>
      </c>
      <c r="B42" s="2" t="s">
        <v>4788</v>
      </c>
      <c r="C42" s="2">
        <v>56</v>
      </c>
      <c r="D42" s="2">
        <v>571</v>
      </c>
      <c r="E42" s="3">
        <v>2075</v>
      </c>
      <c r="F42" s="4">
        <v>62009</v>
      </c>
      <c r="G42" s="11" t="str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 city",CHOOSE({1,2}, Super_CBSA!$E$2:$E$1917, Super_CBSA!$A$2:$A$1917), 2,FALSE), ""))</f>
        <v/>
      </c>
    </row>
    <row r="43" spans="1:7" ht="17">
      <c r="A43" s="1" t="s">
        <v>5475</v>
      </c>
      <c r="B43" s="2" t="s">
        <v>5476</v>
      </c>
      <c r="C43" s="2">
        <v>270</v>
      </c>
      <c r="D43" s="2">
        <v>341</v>
      </c>
      <c r="E43" s="3">
        <v>37327</v>
      </c>
      <c r="F43" s="4">
        <v>22737</v>
      </c>
      <c r="G43" s="11" t="str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 city",CHOOSE({1,2}, Super_CBSA!$E$2:$E$1917, Super_CBSA!$A$2:$A$1917), 2,FALSE), ""))</f>
        <v/>
      </c>
    </row>
    <row r="44" spans="1:7" ht="17">
      <c r="A44" s="1" t="s">
        <v>5477</v>
      </c>
      <c r="B44" s="2" t="s">
        <v>2557</v>
      </c>
      <c r="C44" s="2">
        <v>145</v>
      </c>
      <c r="D44" s="3">
        <v>1701</v>
      </c>
      <c r="E44" s="3">
        <v>5089</v>
      </c>
      <c r="F44" s="4">
        <v>118294</v>
      </c>
      <c r="G44" s="11" t="str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 city",CHOOSE({1,2}, Super_CBSA!$E$2:$E$1917, Super_CBSA!$A$2:$A$1917), 2,FALSE), ""))</f>
        <v/>
      </c>
    </row>
    <row r="45" spans="1:7" ht="17">
      <c r="A45" s="1" t="s">
        <v>5480</v>
      </c>
      <c r="B45" s="2" t="s">
        <v>5481</v>
      </c>
      <c r="C45" s="2">
        <v>86</v>
      </c>
      <c r="D45" s="3">
        <v>4023</v>
      </c>
      <c r="E45" s="3">
        <v>14907</v>
      </c>
      <c r="F45" s="4">
        <v>307983</v>
      </c>
      <c r="G45" s="11" t="str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 city",CHOOSE({1,2}, Super_CBSA!$E$2:$E$1917, Super_CBSA!$A$2:$A$1917), 2,FALSE), ""))</f>
        <v/>
      </c>
    </row>
    <row r="46" spans="1:7" ht="17">
      <c r="A46" s="1" t="s">
        <v>5483</v>
      </c>
      <c r="B46" s="2" t="s">
        <v>5484</v>
      </c>
      <c r="C46" s="2">
        <v>310</v>
      </c>
      <c r="D46" s="3">
        <v>19049</v>
      </c>
      <c r="E46" s="3">
        <v>76830</v>
      </c>
      <c r="F46" s="4">
        <v>963633</v>
      </c>
      <c r="G46" s="11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 city",CHOOSE({1,2}, Super_CBSA!$E$2:$E$1917, Super_CBSA!$A$2:$A$1917), 2,FALSE), ""))</f>
        <v>47260</v>
      </c>
    </row>
    <row r="47" spans="1:7" ht="17">
      <c r="A47" s="1" t="s">
        <v>5486</v>
      </c>
      <c r="B47" s="2" t="s">
        <v>5487</v>
      </c>
      <c r="C47" s="2">
        <v>170</v>
      </c>
      <c r="D47" s="3">
        <v>3348</v>
      </c>
      <c r="E47" s="3">
        <v>11962</v>
      </c>
      <c r="F47" s="4">
        <v>541865</v>
      </c>
      <c r="G47" s="11" t="str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 city",CHOOSE({1,2}, Super_CBSA!$E$2:$E$1917, Super_CBSA!$A$2:$A$1917), 2,FALSE), ""))</f>
        <v/>
      </c>
    </row>
    <row r="48" spans="1:7" ht="17">
      <c r="A48" s="1" t="s">
        <v>5488</v>
      </c>
      <c r="B48" s="2" t="s">
        <v>5489</v>
      </c>
      <c r="C48" s="2">
        <v>97</v>
      </c>
      <c r="D48" s="3">
        <v>4674</v>
      </c>
      <c r="E48" s="3">
        <v>17668</v>
      </c>
      <c r="F48" s="4">
        <v>467246</v>
      </c>
      <c r="G48" s="11" t="str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 city",CHOOSE({1,2}, Super_CBSA!$E$2:$E$1917, Super_CBSA!$A$2:$A$1917), 2,FALSE), ""))</f>
        <v/>
      </c>
    </row>
    <row r="49" spans="1:7" ht="17">
      <c r="A49" s="1" t="s">
        <v>5490</v>
      </c>
      <c r="B49" s="2" t="s">
        <v>5491</v>
      </c>
      <c r="C49" s="2">
        <v>0</v>
      </c>
      <c r="D49" s="2">
        <v>0</v>
      </c>
      <c r="E49" s="2">
        <v>0</v>
      </c>
      <c r="F49" s="4">
        <v>0</v>
      </c>
      <c r="G49" s="11" t="str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 city",CHOOSE({1,2}, Super_CBSA!$E$2:$E$1917, Super_CBSA!$A$2:$A$1917), 2,FALSE), ""))</f>
        <v/>
      </c>
    </row>
    <row r="50" spans="1:7" ht="17">
      <c r="A50" s="1" t="s">
        <v>5492</v>
      </c>
      <c r="B50" s="2" t="s">
        <v>5458</v>
      </c>
      <c r="C50" s="2">
        <v>0</v>
      </c>
      <c r="D50" s="2">
        <v>0</v>
      </c>
      <c r="E50" s="2">
        <v>0</v>
      </c>
      <c r="F50" s="4">
        <v>0</v>
      </c>
      <c r="G50" s="11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 city",CHOOSE({1,2}, Super_CBSA!$E$2:$E$1917, Super_CBSA!$A$2:$A$1917), 2,FALSE), ""))</f>
        <v>47260</v>
      </c>
    </row>
    <row r="51" spans="1:7" ht="17">
      <c r="A51" s="1" t="s">
        <v>5494</v>
      </c>
      <c r="B51" s="2" t="s">
        <v>5495</v>
      </c>
      <c r="C51" s="2">
        <v>84</v>
      </c>
      <c r="D51" s="2">
        <v>17</v>
      </c>
      <c r="E51" s="2">
        <v>260</v>
      </c>
      <c r="F51" s="4">
        <v>94377</v>
      </c>
      <c r="G51" s="11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 city",CHOOSE({1,2}, Super_CBSA!$E$2:$E$1917, Super_CBSA!$A$2:$A$1917), 2,FALSE), ""))</f>
        <v>40060</v>
      </c>
    </row>
    <row r="52" spans="1:7" ht="17">
      <c r="A52" s="1" t="s">
        <v>5498</v>
      </c>
      <c r="B52" s="2" t="s">
        <v>5499</v>
      </c>
      <c r="C52" s="2">
        <v>182</v>
      </c>
      <c r="D52" s="3">
        <v>10841</v>
      </c>
      <c r="E52" s="3">
        <v>44564</v>
      </c>
      <c r="F52" s="4">
        <v>672996</v>
      </c>
      <c r="G52" s="11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 city",CHOOSE({1,2}, Super_CBSA!$E$2:$E$1917, Super_CBSA!$A$2:$A$1917), 2,FALSE), ""))</f>
        <v>47900</v>
      </c>
    </row>
    <row r="53" spans="1:7" ht="17">
      <c r="A53" s="1" t="s">
        <v>5500</v>
      </c>
      <c r="B53" s="2" t="s">
        <v>5501</v>
      </c>
      <c r="C53" s="2">
        <v>859</v>
      </c>
      <c r="D53" s="3">
        <v>44246</v>
      </c>
      <c r="E53" s="3">
        <v>245297</v>
      </c>
      <c r="F53" s="4">
        <v>3422082</v>
      </c>
      <c r="G53" s="11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 city",CHOOSE({1,2}, Super_CBSA!$E$2:$E$1917, Super_CBSA!$A$2:$A$1917), 2,FALSE), ""))</f>
        <v>47900</v>
      </c>
    </row>
    <row r="54" spans="1:7" ht="17">
      <c r="A54" s="1" t="s">
        <v>5502</v>
      </c>
      <c r="B54" s="2" t="s">
        <v>1470</v>
      </c>
      <c r="C54" s="2">
        <v>267</v>
      </c>
      <c r="D54" s="3">
        <v>10844</v>
      </c>
      <c r="E54" s="3">
        <v>46082</v>
      </c>
      <c r="F54" s="4">
        <v>754557</v>
      </c>
      <c r="G54" s="11" t="str" cm="1">
        <f t="array" aca="1" ref="G54" ca="1">IFERROR(VLOOKUP("*" &amp; B54  &amp; "*" &amp; (MID(CELL("filename",A53),FIND("]",CELL("filename",A53))+1,31)) &amp; "*",CHOOSE({1,2}, Super_CBSA!$B$2:$B$1917, Super_CBSA!$A$2:$A$1917), 2,FALSE), IFERROR(VLOOKUP(B54  &amp; " city",CHOOSE({1,2}, Super_CBSA!$E$2:$E$1917, Super_CBSA!$A$2:$A$1917), 2,FALSE), ""))</f>
        <v/>
      </c>
    </row>
    <row r="55" spans="1:7" ht="17">
      <c r="A55" s="1" t="s">
        <v>5504</v>
      </c>
      <c r="B55" s="2" t="s">
        <v>5505</v>
      </c>
      <c r="C55" s="2">
        <v>147</v>
      </c>
      <c r="D55" s="3">
        <v>3385</v>
      </c>
      <c r="E55" s="3">
        <v>14228</v>
      </c>
      <c r="F55" s="4">
        <v>839825</v>
      </c>
      <c r="G55" s="11" cm="1">
        <f t="array" aca="1" ref="G55" ca="1">IFERROR(VLOOKUP("*" &amp; B55  &amp; "*" &amp; (MID(CELL("filename",A54),FIND("]",CELL("filename",A54))+1,31)) &amp; "*",CHOOSE({1,2}, Super_CBSA!$B$2:$B$1917, Super_CBSA!$A$2:$A$1917), 2,FALSE), IFERROR(VLOOKUP(B55  &amp; " city",CHOOSE({1,2}, Super_CBSA!$E$2:$E$1917, Super_CBSA!$A$2:$A$1917), 2,FALSE), ""))</f>
        <v>40060</v>
      </c>
    </row>
    <row r="56" spans="1:7" ht="17">
      <c r="A56" s="1" t="s">
        <v>5506</v>
      </c>
      <c r="B56" s="2" t="s">
        <v>5507</v>
      </c>
      <c r="C56" s="2">
        <v>115</v>
      </c>
      <c r="D56" s="3">
        <v>6946</v>
      </c>
      <c r="E56" s="3">
        <v>27965</v>
      </c>
      <c r="F56" s="4">
        <v>889741</v>
      </c>
      <c r="G56" s="11" t="str" cm="1">
        <f t="array" aca="1" ref="G56" ca="1">IFERROR(VLOOKUP("*" &amp; B56  &amp; "*" &amp; (MID(CELL("filename",A55),FIND("]",CELL("filename",A55))+1,31)) &amp; "*",CHOOSE({1,2}, Super_CBSA!$B$2:$B$1917, Super_CBSA!$A$2:$A$1917), 2,FALSE), IFERROR(VLOOKUP(B56  &amp; " city",CHOOSE({1,2}, Super_CBSA!$E$2:$E$1917, Super_CBSA!$A$2:$A$1917), 2,FALSE), ""))</f>
        <v/>
      </c>
    </row>
    <row r="57" spans="1:7" ht="17">
      <c r="A57" s="1" t="s">
        <v>5509</v>
      </c>
      <c r="B57" s="2" t="s">
        <v>5510</v>
      </c>
      <c r="C57" s="2">
        <v>110</v>
      </c>
      <c r="D57" s="3">
        <v>1494</v>
      </c>
      <c r="E57" s="3">
        <v>5538</v>
      </c>
      <c r="F57" s="4">
        <v>198927</v>
      </c>
      <c r="G57" s="11" t="str" cm="1">
        <f t="array" aca="1" ref="G57" ca="1">IFERROR(VLOOKUP("*" &amp; B57  &amp; "*" &amp; (MID(CELL("filename",A56),FIND("]",CELL("filename",A56))+1,31)) &amp; "*",CHOOSE({1,2}, Super_CBSA!$B$2:$B$1917, Super_CBSA!$A$2:$A$1917), 2,FALSE), IFERROR(VLOOKUP(B57  &amp; " city",CHOOSE({1,2}, Super_CBSA!$E$2:$E$1917, Super_CBSA!$A$2:$A$1917), 2,FALSE), ""))</f>
        <v/>
      </c>
    </row>
    <row r="58" spans="1:7" ht="17">
      <c r="A58" s="1" t="s">
        <v>5513</v>
      </c>
      <c r="B58" s="2" t="s">
        <v>4863</v>
      </c>
      <c r="C58" s="2">
        <v>92</v>
      </c>
      <c r="D58" s="3">
        <v>1466</v>
      </c>
      <c r="E58" s="3">
        <v>5485</v>
      </c>
      <c r="F58" s="4">
        <v>318967</v>
      </c>
      <c r="G58" s="11" t="str" cm="1">
        <f t="array" aca="1" ref="G58" ca="1">IFERROR(VLOOKUP("*" &amp; B58  &amp; "*" &amp; (MID(CELL("filename",A57),FIND("]",CELL("filename",A57))+1,31)) &amp; "*",CHOOSE({1,2}, Super_CBSA!$B$2:$B$1917, Super_CBSA!$A$2:$A$1917), 2,FALSE), IFERROR(VLOOKUP(B58  &amp; " city",CHOOSE({1,2}, Super_CBSA!$E$2:$E$1917, Super_CBSA!$A$2:$A$1917), 2,FALSE), ""))</f>
        <v/>
      </c>
    </row>
    <row r="59" spans="1:7" ht="17">
      <c r="A59" s="1" t="s">
        <v>5514</v>
      </c>
      <c r="B59" s="2" t="s">
        <v>2601</v>
      </c>
      <c r="C59" s="2">
        <v>365</v>
      </c>
      <c r="D59" s="3">
        <v>15921</v>
      </c>
      <c r="E59" s="3">
        <v>80502</v>
      </c>
      <c r="F59" s="4">
        <v>1860697</v>
      </c>
      <c r="G59" s="11" cm="1">
        <f t="array" aca="1" ref="G59" ca="1">IFERROR(VLOOKUP("*" &amp; B59  &amp; "*" &amp; (MID(CELL("filename",A58),FIND("]",CELL("filename",A58))+1,31)) &amp; "*",CHOOSE({1,2}, Super_CBSA!$B$2:$B$1917, Super_CBSA!$A$2:$A$1917), 2,FALSE), IFERROR(VLOOKUP(B59  &amp; " city",CHOOSE({1,2}, Super_CBSA!$E$2:$E$1917, Super_CBSA!$A$2:$A$1917), 2,FALSE), ""))</f>
        <v>40220</v>
      </c>
    </row>
    <row r="60" spans="1:7" ht="17">
      <c r="A60" s="1" t="s">
        <v>5517</v>
      </c>
      <c r="B60" s="2" t="s">
        <v>5161</v>
      </c>
      <c r="C60" s="2">
        <v>421</v>
      </c>
      <c r="D60" s="3">
        <v>21772</v>
      </c>
      <c r="E60" s="3">
        <v>107500</v>
      </c>
      <c r="F60" s="4">
        <v>1392724</v>
      </c>
      <c r="G60" s="11" cm="1">
        <f t="array" aca="1" ref="G60" ca="1">IFERROR(VLOOKUP("*" &amp; B60  &amp; "*" &amp; (MID(CELL("filename",A59),FIND("]",CELL("filename",A59))+1,31)) &amp; "*",CHOOSE({1,2}, Super_CBSA!$B$2:$B$1917, Super_CBSA!$A$2:$A$1917), 2,FALSE), IFERROR(VLOOKUP(B60  &amp; " city",CHOOSE({1,2}, Super_CBSA!$E$2:$E$1917, Super_CBSA!$A$2:$A$1917), 2,FALSE), ""))</f>
        <v>47900</v>
      </c>
    </row>
    <row r="61" spans="1:7" ht="17">
      <c r="A61" s="1" t="s">
        <v>5518</v>
      </c>
      <c r="B61" s="2" t="s">
        <v>5519</v>
      </c>
      <c r="C61" s="2">
        <v>0</v>
      </c>
      <c r="D61" s="2">
        <v>0</v>
      </c>
      <c r="E61" s="2">
        <v>0</v>
      </c>
      <c r="F61" s="4">
        <v>0</v>
      </c>
      <c r="G61" s="11" t="str" cm="1">
        <f t="array" aca="1" ref="G61" ca="1">IFERROR(VLOOKUP("*" &amp; B61  &amp; "*" &amp; (MID(CELL("filename",A60),FIND("]",CELL("filename",A60))+1,31)) &amp; "*",CHOOSE({1,2}, Super_CBSA!$B$2:$B$1917, Super_CBSA!$A$2:$A$1917), 2,FALSE), IFERROR(VLOOKUP(B61  &amp; " city",CHOOSE({1,2}, Super_CBSA!$E$2:$E$1917, Super_CBSA!$A$2:$A$1917), 2,FALSE), ""))</f>
        <v/>
      </c>
    </row>
    <row r="62" spans="1:7" ht="17">
      <c r="A62" s="1" t="s">
        <v>5520</v>
      </c>
      <c r="B62" s="2" t="s">
        <v>5521</v>
      </c>
      <c r="C62" s="2">
        <v>225</v>
      </c>
      <c r="D62" s="3">
        <v>12958</v>
      </c>
      <c r="E62" s="3">
        <v>67187</v>
      </c>
      <c r="F62" s="4">
        <v>1562407</v>
      </c>
      <c r="G62" s="11" t="str" cm="1">
        <f t="array" aca="1" ref="G62" ca="1">IFERROR(VLOOKUP("*" &amp; B62  &amp; "*" &amp; (MID(CELL("filename",A61),FIND("]",CELL("filename",A61))+1,31)) &amp; "*",CHOOSE({1,2}, Super_CBSA!$B$2:$B$1917, Super_CBSA!$A$2:$A$1917), 2,FALSE), IFERROR(VLOOKUP(B62  &amp; " city",CHOOSE({1,2}, Super_CBSA!$E$2:$E$1917, Super_CBSA!$A$2:$A$1917), 2,FALSE), ""))</f>
        <v/>
      </c>
    </row>
    <row r="63" spans="1:7" ht="17">
      <c r="A63" s="1" t="s">
        <v>5522</v>
      </c>
      <c r="B63" s="2" t="s">
        <v>5523</v>
      </c>
      <c r="C63" s="2">
        <v>98</v>
      </c>
      <c r="D63" s="3">
        <v>1466</v>
      </c>
      <c r="E63" s="3">
        <v>4548</v>
      </c>
      <c r="F63" s="4">
        <v>75599</v>
      </c>
      <c r="G63" s="11" cm="1">
        <f t="array" aca="1" ref="G63" ca="1">IFERROR(VLOOKUP("*" &amp; B63  &amp; "*" &amp; (MID(CELL("filename",A62),FIND("]",CELL("filename",A62))+1,31)) &amp; "*",CHOOSE({1,2}, Super_CBSA!$B$2:$B$1917, Super_CBSA!$A$2:$A$1917), 2,FALSE), IFERROR(VLOOKUP(B63  &amp; " city",CHOOSE({1,2}, Super_CBSA!$E$2:$E$1917, Super_CBSA!$A$2:$A$1917), 2,FALSE), ""))</f>
        <v>13720</v>
      </c>
    </row>
    <row r="64" spans="1:7" ht="17">
      <c r="A64" s="1" t="s">
        <v>5524</v>
      </c>
      <c r="B64" s="2" t="s">
        <v>3477</v>
      </c>
      <c r="C64" s="2">
        <v>0</v>
      </c>
      <c r="D64" s="2">
        <v>0</v>
      </c>
      <c r="E64" s="2">
        <v>0</v>
      </c>
      <c r="F64" s="4">
        <v>0</v>
      </c>
      <c r="G64" s="11" cm="1">
        <f t="array" aca="1" ref="G64" ca="1">IFERROR(VLOOKUP("*" &amp; B64  &amp; "*" &amp; (MID(CELL("filename",A63),FIND("]",CELL("filename",A63))+1,31)) &amp; "*",CHOOSE({1,2}, Super_CBSA!$B$2:$B$1917, Super_CBSA!$A$2:$A$1917), 2,FALSE), IFERROR(VLOOKUP(B64  &amp; " city",CHOOSE({1,2}, Super_CBSA!$E$2:$E$1917, Super_CBSA!$A$2:$A$1917), 2,FALSE), ""))</f>
        <v>47260</v>
      </c>
    </row>
    <row r="65" spans="1:7" ht="17">
      <c r="A65" s="1" t="s">
        <v>5525</v>
      </c>
      <c r="B65" s="2" t="s">
        <v>5523</v>
      </c>
      <c r="C65" s="2">
        <v>75</v>
      </c>
      <c r="D65" s="3">
        <v>2346</v>
      </c>
      <c r="E65" s="3">
        <v>7738</v>
      </c>
      <c r="F65" s="4">
        <v>325641</v>
      </c>
      <c r="G65" s="11" cm="1">
        <f t="array" aca="1" ref="G65" ca="1">IFERROR(VLOOKUP("*" &amp; B65  &amp; "*" &amp; (MID(CELL("filename",A64),FIND("]",CELL("filename",A64))+1,31)) &amp; "*",CHOOSE({1,2}, Super_CBSA!$B$2:$B$1917, Super_CBSA!$A$2:$A$1917), 2,FALSE), IFERROR(VLOOKUP(B65  &amp; " city",CHOOSE({1,2}, Super_CBSA!$E$2:$E$1917, Super_CBSA!$A$2:$A$1917), 2,FALSE), ""))</f>
        <v>13720</v>
      </c>
    </row>
    <row r="66" spans="1:7" ht="17">
      <c r="A66" s="1" t="s">
        <v>5526</v>
      </c>
      <c r="B66" s="2" t="s">
        <v>5527</v>
      </c>
      <c r="C66" s="2">
        <v>70</v>
      </c>
      <c r="D66" s="3">
        <v>3274</v>
      </c>
      <c r="E66" s="3">
        <v>12159</v>
      </c>
      <c r="F66" s="4">
        <v>353171</v>
      </c>
      <c r="G66" s="11" t="str" cm="1">
        <f t="array" aca="1" ref="G66" ca="1">IFERROR(VLOOKUP("*" &amp; B66  &amp; "*" &amp; (MID(CELL("filename",A65),FIND("]",CELL("filename",A65))+1,31)) &amp; "*",CHOOSE({1,2}, Super_CBSA!$B$2:$B$1917, Super_CBSA!$A$2:$A$1917), 2,FALSE), IFERROR(VLOOKUP(B66  &amp; " city",CHOOSE({1,2}, Super_CBSA!$E$2:$E$1917, Super_CBSA!$A$2:$A$1917), 2,FALSE), ""))</f>
        <v/>
      </c>
    </row>
    <row r="67" spans="1:7" ht="17">
      <c r="A67" s="1" t="s">
        <v>5528</v>
      </c>
      <c r="B67" s="2" t="s">
        <v>5529</v>
      </c>
      <c r="C67" s="2">
        <v>60</v>
      </c>
      <c r="D67" s="3">
        <v>2587</v>
      </c>
      <c r="E67" s="3">
        <v>8759</v>
      </c>
      <c r="F67" s="4">
        <v>255871</v>
      </c>
      <c r="G67" s="11" t="str" cm="1">
        <f t="array" aca="1" ref="G67" ca="1">IFERROR(VLOOKUP("*" &amp; B67  &amp; "*" &amp; (MID(CELL("filename",A66),FIND("]",CELL("filename",A66))+1,31)) &amp; "*",CHOOSE({1,2}, Super_CBSA!$B$2:$B$1917, Super_CBSA!$A$2:$A$1917), 2,FALSE), IFERROR(VLOOKUP(B67  &amp; " city",CHOOSE({1,2}, Super_CBSA!$E$2:$E$1917, Super_CBSA!$A$2:$A$1917), 2,FALSE), ""))</f>
        <v/>
      </c>
    </row>
    <row r="68" spans="1:7" ht="17">
      <c r="A68" s="1" t="s">
        <v>5530</v>
      </c>
      <c r="B68" s="2" t="s">
        <v>5531</v>
      </c>
      <c r="C68" s="2">
        <v>126</v>
      </c>
      <c r="D68" s="3">
        <v>5220</v>
      </c>
      <c r="E68" s="3">
        <v>22302</v>
      </c>
      <c r="F68" s="4">
        <v>516707</v>
      </c>
      <c r="G68" s="11" cm="1">
        <f t="array" aca="1" ref="G68" ca="1">IFERROR(VLOOKUP("*" &amp; B68  &amp; "*" &amp; (MID(CELL("filename",A67),FIND("]",CELL("filename",A67))+1,31)) &amp; "*",CHOOSE({1,2}, Super_CBSA!$B$2:$B$1917, Super_CBSA!$A$2:$A$1917), 2,FALSE), IFERROR(VLOOKUP(B68  &amp; " city",CHOOSE({1,2}, Super_CBSA!$E$2:$E$1917, Super_CBSA!$A$2:$A$1917), 2,FALSE), ""))</f>
        <v>47900</v>
      </c>
    </row>
    <row r="69" spans="1:7" ht="17">
      <c r="A69" s="1" t="s">
        <v>5533</v>
      </c>
      <c r="B69" s="2" t="s">
        <v>5534</v>
      </c>
      <c r="C69" s="2">
        <v>203</v>
      </c>
      <c r="D69" s="3">
        <v>13482</v>
      </c>
      <c r="E69" s="3">
        <v>56110</v>
      </c>
      <c r="F69" s="4">
        <v>1323668</v>
      </c>
      <c r="G69" s="11" t="str" cm="1">
        <f t="array" aca="1" ref="G69" ca="1">IFERROR(VLOOKUP("*" &amp; B69  &amp; "*" &amp; (MID(CELL("filename",A68),FIND("]",CELL("filename",A68))+1,31)) &amp; "*",CHOOSE({1,2}, Super_CBSA!$B$2:$B$1917, Super_CBSA!$A$2:$A$1917), 2,FALSE), IFERROR(VLOOKUP(B69  &amp; " city",CHOOSE({1,2}, Super_CBSA!$E$2:$E$1917, Super_CBSA!$A$2:$A$1917), 2,FALSE), ""))</f>
        <v/>
      </c>
    </row>
    <row r="70" spans="1:7" ht="17">
      <c r="A70" s="1" t="s">
        <v>5537</v>
      </c>
      <c r="B70" s="2" t="s">
        <v>5538</v>
      </c>
      <c r="C70" s="2">
        <v>40</v>
      </c>
      <c r="D70" s="3">
        <v>1583</v>
      </c>
      <c r="E70" s="3">
        <v>4932</v>
      </c>
      <c r="F70" s="4">
        <v>124259</v>
      </c>
      <c r="G70" s="11" cm="1">
        <f t="array" aca="1" ref="G70" ca="1">IFERROR(VLOOKUP("*" &amp; B70  &amp; "*" &amp; (MID(CELL("filename",A69),FIND("]",CELL("filename",A69))+1,31)) &amp; "*",CHOOSE({1,2}, Super_CBSA!$B$2:$B$1917, Super_CBSA!$A$2:$A$1917), 2,FALSE), IFERROR(VLOOKUP(B70  &amp; " city",CHOOSE({1,2}, Super_CBSA!$E$2:$E$1917, Super_CBSA!$A$2:$A$1917), 2,FALSE), ""))</f>
        <v>47260</v>
      </c>
    </row>
    <row r="71" spans="1:7" ht="17">
      <c r="A71" s="1" t="s">
        <v>5540</v>
      </c>
      <c r="B71" s="2" t="s">
        <v>5541</v>
      </c>
      <c r="C71" s="2">
        <v>46</v>
      </c>
      <c r="D71" s="3">
        <v>2622</v>
      </c>
      <c r="E71" s="3">
        <v>8840</v>
      </c>
      <c r="F71" s="4">
        <v>235709</v>
      </c>
      <c r="G71" s="11" t="str" cm="1">
        <f t="array" aca="1" ref="G71" ca="1">IFERROR(VLOOKUP("*" &amp; B71  &amp; "*" &amp; (MID(CELL("filename",A70),FIND("]",CELL("filename",A70))+1,31)) &amp; "*",CHOOSE({1,2}, Super_CBSA!$B$2:$B$1917, Super_CBSA!$A$2:$A$1917), 2,FALSE), IFERROR(VLOOKUP(B71  &amp; " city",CHOOSE({1,2}, Super_CBSA!$E$2:$E$1917, Super_CBSA!$A$2:$A$1917), 2,FALSE), ""))</f>
        <v/>
      </c>
    </row>
    <row r="72" spans="1:7" ht="17">
      <c r="A72" s="1" t="s">
        <v>5542</v>
      </c>
      <c r="B72" s="2" t="s">
        <v>5543</v>
      </c>
      <c r="C72" s="2">
        <v>67</v>
      </c>
      <c r="D72" s="3">
        <v>1514</v>
      </c>
      <c r="E72" s="3">
        <v>5455</v>
      </c>
      <c r="F72" s="4">
        <v>162491</v>
      </c>
      <c r="G72" s="11" t="str" cm="1">
        <f t="array" aca="1" ref="G72" ca="1">IFERROR(VLOOKUP("*" &amp; B72  &amp; "*" &amp; (MID(CELL("filename",A71),FIND("]",CELL("filename",A71))+1,31)) &amp; "*",CHOOSE({1,2}, Super_CBSA!$B$2:$B$1917, Super_CBSA!$A$2:$A$1917), 2,FALSE), IFERROR(VLOOKUP(B72  &amp; " city",CHOOSE({1,2}, Super_CBSA!$E$2:$E$1917, Super_CBSA!$A$2:$A$1917), 2,FALSE), ""))</f>
        <v/>
      </c>
    </row>
    <row r="73" spans="1:7" ht="17">
      <c r="A73" s="1" t="s">
        <v>5544</v>
      </c>
      <c r="B73" s="2" t="s">
        <v>2522</v>
      </c>
      <c r="C73" s="2">
        <v>67</v>
      </c>
      <c r="D73" s="3">
        <v>2701</v>
      </c>
      <c r="E73" s="3">
        <v>10339</v>
      </c>
      <c r="F73" s="4">
        <v>252674</v>
      </c>
      <c r="G73" s="11" t="str" cm="1">
        <f t="array" aca="1" ref="G73" ca="1">IFERROR(VLOOKUP("*" &amp; B73  &amp; "*" &amp; (MID(CELL("filename",A72),FIND("]",CELL("filename",A72))+1,31)) &amp; "*",CHOOSE({1,2}, Super_CBSA!$B$2:$B$1917, Super_CBSA!$A$2:$A$1917), 2,FALSE), IFERROR(VLOOKUP(B73  &amp; " city",CHOOSE({1,2}, Super_CBSA!$E$2:$E$1917, Super_CBSA!$A$2:$A$1917), 2,FALSE), ""))</f>
        <v/>
      </c>
    </row>
    <row r="74" spans="1:7" ht="17">
      <c r="A74" s="1" t="s">
        <v>5545</v>
      </c>
      <c r="B74" s="2" t="s">
        <v>2162</v>
      </c>
      <c r="C74" s="2">
        <v>58</v>
      </c>
      <c r="D74" s="3">
        <v>1288</v>
      </c>
      <c r="E74" s="3">
        <v>5329</v>
      </c>
      <c r="F74" s="4">
        <v>132737</v>
      </c>
      <c r="G74" s="11" t="str" cm="1">
        <f t="array" aca="1" ref="G74" ca="1">IFERROR(VLOOKUP("*" &amp; B74  &amp; "*" &amp; (MID(CELL("filename",A73),FIND("]",CELL("filename",A73))+1,31)) &amp; "*",CHOOSE({1,2}, Super_CBSA!$B$2:$B$1917, Super_CBSA!$A$2:$A$1917), 2,FALSE), IFERROR(VLOOKUP(B74  &amp; " city",CHOOSE({1,2}, Super_CBSA!$E$2:$E$1917, Super_CBSA!$A$2:$A$1917), 2,FALSE), ""))</f>
        <v/>
      </c>
    </row>
    <row r="75" spans="1:7" ht="17">
      <c r="A75" s="1" t="s">
        <v>817</v>
      </c>
      <c r="B75" s="2" t="s">
        <v>5546</v>
      </c>
      <c r="C75" s="2">
        <v>130</v>
      </c>
      <c r="D75" s="3">
        <v>9571</v>
      </c>
      <c r="E75" s="3">
        <v>41641</v>
      </c>
      <c r="F75" s="4">
        <v>1020058</v>
      </c>
      <c r="G75" s="11" t="str" cm="1">
        <f t="array" aca="1" ref="G75" ca="1">IFERROR(VLOOKUP("*" &amp; B75  &amp; "*" &amp; (MID(CELL("filename",A74),FIND("]",CELL("filename",A74))+1,31)) &amp; "*",CHOOSE({1,2}, Super_CBSA!$B$2:$B$1917, Super_CBSA!$A$2:$A$1917), 2,FALSE), IFERROR(VLOOKUP(B75  &amp; " city",CHOOSE({1,2}, Super_CBSA!$E$2:$E$1917, Super_CBSA!$A$2:$A$1917), 2,FALSE), ""))</f>
        <v/>
      </c>
    </row>
    <row r="76" spans="1:7" ht="17">
      <c r="A76" s="1" t="s">
        <v>5547</v>
      </c>
      <c r="B76" s="2" t="s">
        <v>2601</v>
      </c>
      <c r="C76" s="2">
        <v>0</v>
      </c>
      <c r="D76" s="2">
        <v>0</v>
      </c>
      <c r="E76" s="2">
        <v>0</v>
      </c>
      <c r="F76" s="4">
        <v>0</v>
      </c>
      <c r="G76" s="11" cm="1">
        <f t="array" aca="1" ref="G76" ca="1">IFERROR(VLOOKUP("*" &amp; B76  &amp; "*" &amp; (MID(CELL("filename",A75),FIND("]",CELL("filename",A75))+1,31)) &amp; "*",CHOOSE({1,2}, Super_CBSA!$B$2:$B$1917, Super_CBSA!$A$2:$A$1917), 2,FALSE), IFERROR(VLOOKUP(B76  &amp; " city",CHOOSE({1,2}, Super_CBSA!$E$2:$E$1917, Super_CBSA!$A$2:$A$1917), 2,FALSE), ""))</f>
        <v>40220</v>
      </c>
    </row>
    <row r="77" spans="1:7" ht="17">
      <c r="A77" s="1" t="s">
        <v>5548</v>
      </c>
      <c r="B77" s="2" t="s">
        <v>5458</v>
      </c>
      <c r="C77" s="2">
        <v>172</v>
      </c>
      <c r="D77" s="3">
        <v>8431</v>
      </c>
      <c r="E77" s="3">
        <v>41516</v>
      </c>
      <c r="F77" s="4">
        <v>950769</v>
      </c>
      <c r="G77" s="11" cm="1">
        <f t="array" aca="1" ref="G77" ca="1">IFERROR(VLOOKUP("*" &amp; B77  &amp; "*" &amp; (MID(CELL("filename",A76),FIND("]",CELL("filename",A76))+1,31)) &amp; "*",CHOOSE({1,2}, Super_CBSA!$B$2:$B$1917, Super_CBSA!$A$2:$A$1917), 2,FALSE), IFERROR(VLOOKUP(B77  &amp; " city",CHOOSE({1,2}, Super_CBSA!$E$2:$E$1917, Super_CBSA!$A$2:$A$1917), 2,FALSE), ""))</f>
        <v>47260</v>
      </c>
    </row>
    <row r="78" spans="1:7" ht="17">
      <c r="A78" s="1" t="s">
        <v>5549</v>
      </c>
      <c r="B78" s="2" t="s">
        <v>5550</v>
      </c>
      <c r="C78" s="2">
        <v>107</v>
      </c>
      <c r="D78" s="3">
        <v>3644</v>
      </c>
      <c r="E78" s="3">
        <v>15298</v>
      </c>
      <c r="F78" s="4">
        <v>294577</v>
      </c>
      <c r="G78" s="11" t="str" cm="1">
        <f t="array" aca="1" ref="G78" ca="1">IFERROR(VLOOKUP("*" &amp; B78  &amp; "*" &amp; (MID(CELL("filename",A77),FIND("]",CELL("filename",A77))+1,31)) &amp; "*",CHOOSE({1,2}, Super_CBSA!$B$2:$B$1917, Super_CBSA!$A$2:$A$1917), 2,FALSE), IFERROR(VLOOKUP(B78  &amp; " city",CHOOSE({1,2}, Super_CBSA!$E$2:$E$1917, Super_CBSA!$A$2:$A$1917), 2,FALSE), ""))</f>
        <v/>
      </c>
    </row>
    <row r="79" spans="1:7" ht="17">
      <c r="A79" s="1" t="s">
        <v>5556</v>
      </c>
      <c r="B79" s="2" t="s">
        <v>5557</v>
      </c>
      <c r="C79" s="2">
        <v>147</v>
      </c>
      <c r="D79" s="3">
        <v>10021</v>
      </c>
      <c r="E79" s="3">
        <v>44854</v>
      </c>
      <c r="F79" s="4">
        <v>861341</v>
      </c>
      <c r="G79" s="11" t="str" cm="1">
        <f t="array" aca="1" ref="G79" ca="1">IFERROR(VLOOKUP("*" &amp; B79  &amp; "*" &amp; (MID(CELL("filename",A78),FIND("]",CELL("filename",A78))+1,31)) &amp; "*",CHOOSE({1,2}, Super_CBSA!$B$2:$B$1917, Super_CBSA!$A$2:$A$1917), 2,FALSE), IFERROR(VLOOKUP(B79  &amp; " city",CHOOSE({1,2}, Super_CBSA!$E$2:$E$1917, Super_CBSA!$A$2:$A$1917), 2,FALSE), ""))</f>
        <v/>
      </c>
    </row>
    <row r="80" spans="1:7" ht="17">
      <c r="A80" s="1" t="s">
        <v>5558</v>
      </c>
      <c r="B80" s="2" t="s">
        <v>5559</v>
      </c>
      <c r="C80" s="2">
        <v>175</v>
      </c>
      <c r="D80" s="3">
        <v>9784</v>
      </c>
      <c r="E80" s="3">
        <v>41034</v>
      </c>
      <c r="F80" s="4">
        <v>887805</v>
      </c>
      <c r="G80" s="11" cm="1">
        <f t="array" aca="1" ref="G80" ca="1">IFERROR(VLOOKUP("*" &amp; B80  &amp; "*" &amp; (MID(CELL("filename",A79),FIND("]",CELL("filename",A79))+1,31)) &amp; "*",CHOOSE({1,2}, Super_CBSA!$B$2:$B$1917, Super_CBSA!$A$2:$A$1917), 2,FALSE), IFERROR(VLOOKUP(B80  &amp; " city",CHOOSE({1,2}, Super_CBSA!$E$2:$E$1917, Super_CBSA!$A$2:$A$1917), 2,FALSE), ""))</f>
        <v>47260</v>
      </c>
    </row>
    <row r="81" spans="1:7" ht="17">
      <c r="A81" s="1" t="s">
        <v>5565</v>
      </c>
      <c r="B81" s="2" t="s">
        <v>5538</v>
      </c>
      <c r="C81" s="2">
        <v>145</v>
      </c>
      <c r="D81" s="3">
        <v>7643</v>
      </c>
      <c r="E81" s="3">
        <v>33296</v>
      </c>
      <c r="F81" s="4">
        <v>676596</v>
      </c>
      <c r="G81" s="11" cm="1">
        <f t="array" aca="1" ref="G81" ca="1">IFERROR(VLOOKUP("*" &amp; B81  &amp; "*" &amp; (MID(CELL("filename",A80),FIND("]",CELL("filename",A80))+1,31)) &amp; "*",CHOOSE({1,2}, Super_CBSA!$B$2:$B$1917, Super_CBSA!$A$2:$A$1917), 2,FALSE), IFERROR(VLOOKUP(B81  &amp; " city",CHOOSE({1,2}, Super_CBSA!$E$2:$E$1917, Super_CBSA!$A$2:$A$1917), 2,FALSE), ""))</f>
        <v>47260</v>
      </c>
    </row>
    <row r="82" spans="1:7" ht="17">
      <c r="A82" s="1" t="s">
        <v>5566</v>
      </c>
      <c r="B82" s="2" t="s">
        <v>1888</v>
      </c>
      <c r="C82" s="2">
        <v>153</v>
      </c>
      <c r="D82" s="3">
        <v>1205</v>
      </c>
      <c r="E82" s="3">
        <v>3720</v>
      </c>
      <c r="F82" s="4">
        <v>234614</v>
      </c>
      <c r="G82" s="11" t="str" cm="1">
        <f t="array" aca="1" ref="G82" ca="1">IFERROR(VLOOKUP("*" &amp; B82  &amp; "*" &amp; (MID(CELL("filename",A81),FIND("]",CELL("filename",A81))+1,31)) &amp; "*",CHOOSE({1,2}, Super_CBSA!$B$2:$B$1917, Super_CBSA!$A$2:$A$1917), 2,FALSE), IFERROR(VLOOKUP(B82  &amp; " city",CHOOSE({1,2}, Super_CBSA!$E$2:$E$1917, Super_CBSA!$A$2:$A$1917), 2,FALSE), ""))</f>
        <v/>
      </c>
    </row>
    <row r="83" spans="1:7" ht="17">
      <c r="A83" s="1" t="s">
        <v>5567</v>
      </c>
      <c r="B83" s="2" t="s">
        <v>2092</v>
      </c>
      <c r="C83" s="2">
        <v>204</v>
      </c>
      <c r="D83" s="3">
        <v>1167</v>
      </c>
      <c r="E83" s="3">
        <v>3969</v>
      </c>
      <c r="F83" s="4">
        <v>213454</v>
      </c>
      <c r="G83" s="11" cm="1">
        <f t="array" aca="1" ref="G83" ca="1">IFERROR(VLOOKUP("*" &amp; B83  &amp; "*" &amp; (MID(CELL("filename",A82),FIND("]",CELL("filename",A82))+1,31)) &amp; "*",CHOOSE({1,2}, Super_CBSA!$B$2:$B$1917, Super_CBSA!$A$2:$A$1917), 2,FALSE), IFERROR(VLOOKUP(B83  &amp; " city",CHOOSE({1,2}, Super_CBSA!$E$2:$E$1917, Super_CBSA!$A$2:$A$1917), 2,FALSE), ""))</f>
        <v>47260</v>
      </c>
    </row>
    <row r="84" spans="1:7" ht="17">
      <c r="A84" s="1" t="s">
        <v>5568</v>
      </c>
      <c r="B84" s="2" t="s">
        <v>5569</v>
      </c>
      <c r="C84" s="2">
        <v>80</v>
      </c>
      <c r="D84" s="2">
        <v>745</v>
      </c>
      <c r="E84" s="3">
        <v>2895</v>
      </c>
      <c r="F84" s="4">
        <v>208996</v>
      </c>
      <c r="G84" s="11" t="str" cm="1">
        <f t="array" aca="1" ref="G84" ca="1">IFERROR(VLOOKUP("*" &amp; B84  &amp; "*" &amp; (MID(CELL("filename",A83),FIND("]",CELL("filename",A83))+1,31)) &amp; "*",CHOOSE({1,2}, Super_CBSA!$B$2:$B$1917, Super_CBSA!$A$2:$A$1917), 2,FALSE), IFERROR(VLOOKUP(B84  &amp; " city",CHOOSE({1,2}, Super_CBSA!$E$2:$E$1917, Super_CBSA!$A$2:$A$1917), 2,FALSE), ""))</f>
        <v/>
      </c>
    </row>
    <row r="85" spans="1:7" ht="17">
      <c r="A85" s="1" t="s">
        <v>5570</v>
      </c>
      <c r="B85" s="2" t="s">
        <v>5495</v>
      </c>
      <c r="C85" s="2">
        <v>300</v>
      </c>
      <c r="D85" s="3">
        <v>11419</v>
      </c>
      <c r="E85" s="3">
        <v>54898</v>
      </c>
      <c r="F85" s="4">
        <v>1980924</v>
      </c>
      <c r="G85" s="11" cm="1">
        <f t="array" aca="1" ref="G85" ca="1">IFERROR(VLOOKUP("*" &amp; B85  &amp; "*" &amp; (MID(CELL("filename",A84),FIND("]",CELL("filename",A84))+1,31)) &amp; "*",CHOOSE({1,2}, Super_CBSA!$B$2:$B$1917, Super_CBSA!$A$2:$A$1917), 2,FALSE), IFERROR(VLOOKUP(B85  &amp; " city",CHOOSE({1,2}, Super_CBSA!$E$2:$E$1917, Super_CBSA!$A$2:$A$1917), 2,FALSE), ""))</f>
        <v>40060</v>
      </c>
    </row>
    <row r="86" spans="1:7" ht="17">
      <c r="A86" s="1" t="s">
        <v>5574</v>
      </c>
      <c r="B86" s="2" t="s">
        <v>5161</v>
      </c>
      <c r="C86" s="2">
        <v>133</v>
      </c>
      <c r="D86" s="3">
        <v>6000</v>
      </c>
      <c r="E86" s="3">
        <v>21540</v>
      </c>
      <c r="F86" s="4">
        <v>533930</v>
      </c>
      <c r="G86" s="11" cm="1">
        <f t="array" aca="1" ref="G86" ca="1">IFERROR(VLOOKUP("*" &amp; B86  &amp; "*" &amp; (MID(CELL("filename",A85),FIND("]",CELL("filename",A85))+1,31)) &amp; "*",CHOOSE({1,2}, Super_CBSA!$B$2:$B$1917, Super_CBSA!$A$2:$A$1917), 2,FALSE), IFERROR(VLOOKUP(B86  &amp; " city",CHOOSE({1,2}, Super_CBSA!$E$2:$E$1917, Super_CBSA!$A$2:$A$1917), 2,FALSE), ""))</f>
        <v>47900</v>
      </c>
    </row>
    <row r="87" spans="1:7" ht="17">
      <c r="A87" s="1" t="s">
        <v>5575</v>
      </c>
      <c r="B87" s="2" t="s">
        <v>5576</v>
      </c>
      <c r="C87" s="2">
        <v>90</v>
      </c>
      <c r="D87" s="3">
        <v>4817</v>
      </c>
      <c r="E87" s="3">
        <v>17027</v>
      </c>
      <c r="F87" s="4">
        <v>294511</v>
      </c>
      <c r="G87" s="11" t="str" cm="1">
        <f t="array" aca="1" ref="G87" ca="1">IFERROR(VLOOKUP("*" &amp; B87  &amp; "*" &amp; (MID(CELL("filename",A86),FIND("]",CELL("filename",A86))+1,31)) &amp; "*",CHOOSE({1,2}, Super_CBSA!$B$2:$B$1917, Super_CBSA!$A$2:$A$1917), 2,FALSE), IFERROR(VLOOKUP(B87  &amp; " city",CHOOSE({1,2}, Super_CBSA!$E$2:$E$1917, Super_CBSA!$A$2:$A$1917), 2,FALSE), ""))</f>
        <v/>
      </c>
    </row>
    <row r="88" spans="1:7" ht="17">
      <c r="A88" s="1" t="s">
        <v>5577</v>
      </c>
      <c r="B88" s="2" t="s">
        <v>5578</v>
      </c>
      <c r="C88" s="2">
        <v>124</v>
      </c>
      <c r="D88" s="3">
        <v>1662</v>
      </c>
      <c r="E88" s="3">
        <v>5605</v>
      </c>
      <c r="F88" s="4">
        <v>197145</v>
      </c>
      <c r="G88" s="11" t="str" cm="1">
        <f t="array" aca="1" ref="G88" ca="1">IFERROR(VLOOKUP("*" &amp; B88  &amp; "*" &amp; (MID(CELL("filename",A87),FIND("]",CELL("filename",A87))+1,31)) &amp; "*",CHOOSE({1,2}, Super_CBSA!$B$2:$B$1917, Super_CBSA!$A$2:$A$1917), 2,FALSE), IFERROR(VLOOKUP(B88  &amp; " city",CHOOSE({1,2}, Super_CBSA!$E$2:$E$1917, Super_CBSA!$A$2:$A$1917), 2,FALSE), ""))</f>
        <v/>
      </c>
    </row>
    <row r="89" spans="1:7" ht="17">
      <c r="A89" s="1" t="s">
        <v>5579</v>
      </c>
      <c r="B89" s="2" t="s">
        <v>5580</v>
      </c>
      <c r="C89" s="2">
        <v>141</v>
      </c>
      <c r="D89" s="3">
        <v>3263</v>
      </c>
      <c r="E89" s="3">
        <v>11457</v>
      </c>
      <c r="F89" s="4">
        <v>272377</v>
      </c>
      <c r="G89" s="11" t="str" cm="1">
        <f t="array" aca="1" ref="G89" ca="1">IFERROR(VLOOKUP("*" &amp; B89  &amp; "*" &amp; (MID(CELL("filename",A88),FIND("]",CELL("filename",A88))+1,31)) &amp; "*",CHOOSE({1,2}, Super_CBSA!$B$2:$B$1917, Super_CBSA!$A$2:$A$1917), 2,FALSE), IFERROR(VLOOKUP(B89  &amp; " city",CHOOSE({1,2}, Super_CBSA!$E$2:$E$1917, Super_CBSA!$A$2:$A$1917), 2,FALSE), ""))</f>
        <v/>
      </c>
    </row>
    <row r="90" spans="1:7" ht="17">
      <c r="A90" s="1" t="s">
        <v>5583</v>
      </c>
      <c r="B90" s="2" t="s">
        <v>5584</v>
      </c>
      <c r="C90" s="2">
        <v>166</v>
      </c>
      <c r="D90" s="3">
        <v>1886</v>
      </c>
      <c r="E90" s="3">
        <v>6178</v>
      </c>
      <c r="F90" s="4">
        <v>171632</v>
      </c>
      <c r="G90" s="11" t="str" cm="1">
        <f t="array" aca="1" ref="G90" ca="1">IFERROR(VLOOKUP("*" &amp; B90  &amp; "*" &amp; (MID(CELL("filename",A89),FIND("]",CELL("filename",A89))+1,31)) &amp; "*",CHOOSE({1,2}, Super_CBSA!$B$2:$B$1917, Super_CBSA!$A$2:$A$1917), 2,FALSE), IFERROR(VLOOKUP(B90  &amp; " city",CHOOSE({1,2}, Super_CBSA!$E$2:$E$1917, Super_CBSA!$A$2:$A$1917), 2,FALSE), ""))</f>
        <v/>
      </c>
    </row>
    <row r="91" spans="1:7" ht="17">
      <c r="A91" s="1" t="s">
        <v>5586</v>
      </c>
      <c r="B91" s="2" t="s">
        <v>5587</v>
      </c>
      <c r="C91" s="2">
        <v>100</v>
      </c>
      <c r="D91" s="3">
        <v>1958</v>
      </c>
      <c r="E91" s="3">
        <v>6313</v>
      </c>
      <c r="F91" s="4">
        <v>241639</v>
      </c>
      <c r="G91" s="11" t="str" cm="1">
        <f t="array" aca="1" ref="G91" ca="1">IFERROR(VLOOKUP("*" &amp; B91  &amp; "*" &amp; (MID(CELL("filename",A90),FIND("]",CELL("filename",A90))+1,31)) &amp; "*",CHOOSE({1,2}, Super_CBSA!$B$2:$B$1917, Super_CBSA!$A$2:$A$1917), 2,FALSE), IFERROR(VLOOKUP(B91  &amp; " city",CHOOSE({1,2}, Super_CBSA!$E$2:$E$1917, Super_CBSA!$A$2:$A$1917), 2,FALSE), ""))</f>
        <v/>
      </c>
    </row>
    <row r="92" spans="1:7" ht="17">
      <c r="A92" s="2" t="s">
        <v>56</v>
      </c>
      <c r="B92" s="2"/>
      <c r="C92" s="3">
        <v>17706</v>
      </c>
      <c r="D92" s="3">
        <v>728607</v>
      </c>
      <c r="E92" s="3">
        <v>3487217</v>
      </c>
      <c r="F92" s="4">
        <v>84246314</v>
      </c>
    </row>
  </sheetData>
  <sortState xmlns:xlrd2="http://schemas.microsoft.com/office/spreadsheetml/2017/richdata2" ref="A2:G91">
    <sortCondition ref="G2:G91"/>
  </sortState>
  <hyperlinks>
    <hyperlink ref="A36" r:id="rId1" display="https://www.ahd.com/free_profile/490098/_VCU_Community_Memorial_Hospital/South_Hill/Virginia/" xr:uid="{7BC3EDAA-2691-7D4F-A234-6807F7BF336C}"/>
    <hyperlink ref="A37" r:id="rId2" display="https://www.ahd.com/free_profile/I41005/633d_Medical_Group_-Langley_Air_Force_Base/Hampton/Virginia/" xr:uid="{A422056A-03A1-D849-815C-12DF6BCAF86B}"/>
    <hyperlink ref="A38" r:id="rId3" display="https://www.ahd.com/free_profile/490018/Augusta_Health/Fishersville/Virginia/" xr:uid="{E99D8D74-CB22-D746-A647-223673611959}"/>
    <hyperlink ref="A6" r:id="rId4" display="https://www.ahd.com/free_profile/490011/Bon_Secours_DePaul_Medical_Center/Norfolk/Virginia/" xr:uid="{8E9D244F-6ED0-E34D-834E-43AC94122989}"/>
    <hyperlink ref="A7" r:id="rId5" display="https://www.ahd.com/free_profile/490041/Bon_Secours_Mary_Immaculate_Hospital/Newport_News/Virginia/" xr:uid="{72DF1171-07E2-9F44-9845-2B245778CB13}"/>
    <hyperlink ref="A39" r:id="rId6" display="https://www.ahd.com/free_profile/490017/Bon_Secours_Maryview_Medical_Center/Portsmouth/Virginia/" xr:uid="{F0565150-95AD-1D4D-BF9B-71BC66DAE33B}"/>
    <hyperlink ref="A40" r:id="rId7" display="https://www.ahd.com/free_profile/490127/Buchanan_General_Hospital/Grundy/Virginia/" xr:uid="{8E6B7719-5733-B543-A1F7-09BBE1A4B783}"/>
    <hyperlink ref="A2" r:id="rId8" display="https://www.ahd.com/free_profile/490129/Capital_Caring/Arlington_/Virginia/" xr:uid="{FE771DA6-4AED-0E4C-9930-23FF091C45A0}"/>
    <hyperlink ref="A41" r:id="rId9" display="https://www.ahd.com/free_profile/490089/Carilion_Franklin_Memorial_Hospital/Rocky_Mount/Virginia/" xr:uid="{AA72DDB2-280E-3140-916F-C36F69B32855}"/>
    <hyperlink ref="A29" r:id="rId10" display="https://www.ahd.com/free_profile/490042/Carilion_New_River_Valley_Medical_Center/Christiansburg/Virginia/" xr:uid="{BBCEC660-A968-8B4E-A41E-D51CB7DBE0B5}"/>
    <hyperlink ref="A23" r:id="rId11" display="https://www.ahd.com/free_profile/I42215/Carilion_Roanoke_Community_Hospital/Roanoke/Virginia/" xr:uid="{F96A9D17-C2CF-7D49-9EE2-823354F40706}"/>
    <hyperlink ref="A24" r:id="rId12" display="https://www.ahd.com/free_profile/490024/Carilion_Roanoke_Memorial_Hospital/Roanoke/Virginia/" xr:uid="{C6EC381B-A712-4E47-AD16-0FF2389D0B42}"/>
    <hyperlink ref="A42" r:id="rId13" display="https://www.ahd.com/free_profile/490117/Carilion_Tazewell_Community_Hospital/Tazewell/Virginia/" xr:uid="{751B9B18-9230-9140-B311-5B546DB1C9FF}"/>
    <hyperlink ref="A43" r:id="rId14" display="https://www.ahd.com/free_profile/490135/Catawba_Hospital/Catawba/Virginia/" xr:uid="{DD891E29-4509-2C41-8382-7D9D425F5C2A}"/>
    <hyperlink ref="A44" r:id="rId15" display="https://www.ahd.com/free_profile/490088/Centra_Bedford_Memorial_Hospital/Bedford/Virginia/" xr:uid="{FE724BA9-9405-0544-9000-2BA71BF5B5A3}"/>
    <hyperlink ref="A25" r:id="rId16" display="https://www.ahd.com/free_profile/490021/Centra_Lynchburg_General_Hospital/Lynchburg/Virginia/" xr:uid="{A0C9AB7D-64EC-AE4E-8CD6-C0CD1835F394}"/>
    <hyperlink ref="A45" r:id="rId17" display="https://www.ahd.com/free_profile/490090/Centra_Southside_Community_Hospital/Farmville/Virginia/" xr:uid="{A372AE26-EB7D-3743-B537-CFCAC0523456}"/>
    <hyperlink ref="A26" r:id="rId18" display="https://www.ahd.com/free_profile/I41030/Centra_Virginia_Baptist_Hospital/Lynchburg/Virginia/" xr:uid="{8D244363-F21E-FF4F-B9E0-D449D5BC8D86}"/>
    <hyperlink ref="A46" r:id="rId19" display="https://www.ahd.com/free_profile/490120/Chesapeake_Regional_Medical_Center/Chesapeake/Virginia/" xr:uid="{3C32B619-0488-3F43-A52A-D3B1BB8FB576}"/>
    <hyperlink ref="A14" r:id="rId20" display="https://www.ahd.com/free_profile/490112/Chippenham_Hospital_/Richmond/Virginia/" xr:uid="{BF02BE3F-0F61-3E4D-88F0-33E1F1AACCFA}"/>
    <hyperlink ref="A47" r:id="rId21" display="https://www.ahd.com/free_profile/490060/Clinch_Valley_Medical_Center/Richlands/Virginia/" xr:uid="{707F951B-711C-5D4B-B290-0B52D27CB049}"/>
    <hyperlink ref="A48" r:id="rId22" display="https://www.ahd.com/free_profile/490023/Fauquier_Hospital/Warrenton/Virginia/" xr:uid="{7628BCC6-66EB-C345-8211-2D56AD48E36F}"/>
    <hyperlink ref="A49" r:id="rId23" display="https://www.ahd.com/free_profile/49001F/Fort_Belvoir_Community_Hospital/Fort_Belvoir/Virginia/" xr:uid="{526D1782-5D40-5B47-BD2B-B0BA7C5C5220}"/>
    <hyperlink ref="A50" r:id="rId24" display="https://www.ahd.com/free_profile/49006F/Hampton_VA_Medical_Center/Hampton/Virginia/" xr:uid="{88323106-9467-324F-9BF6-69CE01623CC4}"/>
    <hyperlink ref="A15" r:id="rId25" display="https://www.ahd.com/free_profile/490118/Henrico_Doctors%27_Hospital/Richmond/Virginia/" xr:uid="{2A8E6530-56EF-7E43-BC7E-819E3E02D5B0}"/>
    <hyperlink ref="A51" r:id="rId26" display="https://www.ahd.com/free_profile/490104/Hiram_W_Davis_Medical_Center/Petersburg/Virginia/" xr:uid="{D7971C9E-A7C6-2448-8703-05B108180D62}"/>
    <hyperlink ref="A16" r:id="rId27" display="https://www.ahd.com/free_profile/49010F/Hunter_Holmes_McGuire_VA_Medical_Center_/Richmond/Virginia/" xr:uid="{69597E70-7ED2-4549-9DFA-33988BDCE77E}"/>
    <hyperlink ref="A3" r:id="rId28" display="https://www.ahd.com/free_profile/490040/Inova_Alexandria_Hospital/Alexandria/Virginia/" xr:uid="{FC283E46-DB43-674C-B2D0-A8A1DC00FA57}"/>
    <hyperlink ref="A52" r:id="rId29" display="https://www.ahd.com/free_profile/490101/Inova_Fair_Oaks_Hospital/Fairfax/Virginia/" xr:uid="{0E0AF356-64A9-8E4B-8918-73E64A3A23C0}"/>
    <hyperlink ref="A53" r:id="rId30" display="https://www.ahd.com/free_profile/490063/Inova_Fairfax_Hospital/Falls_Church/Virginia/" xr:uid="{F265A589-4C56-C644-AB8B-9E838FD07660}"/>
    <hyperlink ref="A54" r:id="rId31" display="https://www.ahd.com/free_profile/490043/Inova_Loudoun_Hospital/Leesburg/Virginia/" xr:uid="{8435AF7E-E9D0-4740-8289-7753EE48543D}"/>
    <hyperlink ref="A4" r:id="rId32" display="https://www.ahd.com/free_profile/490122/Inova_Mount_Vernon_Hospital/Alexandria/Virginia/" xr:uid="{E846A678-0E5D-1744-BD50-DBAD9EF1EA91}"/>
    <hyperlink ref="A55" r:id="rId33" display="https://www.ahd.com/free_profile/490020/John_Randolph_Medical_Center/Hopewell/Virginia/" xr:uid="{607F7558-B965-A14B-AFD9-CA22EA805D19}"/>
    <hyperlink ref="A56" r:id="rId34" display="https://www.ahd.com/free_profile/490053/Johnston_Memorial_Hospital/Abingdon/Virginia/" xr:uid="{D1A3E265-B9A3-FB43-A2C3-5E393B7CA4CC}"/>
    <hyperlink ref="A17" r:id="rId35" display="https://www.ahd.com/free_profile/490028/Johnston-Willis_Hospital/Richmond/Virginia/" xr:uid="{6A326C14-9BBC-944A-813D-BF38945ECBC3}"/>
    <hyperlink ref="A57" r:id="rId36" display="https://www.ahd.com/free_profile/490126/LewisGale_Hospital_-_Alleghany/Low_Moor/Virginia/" xr:uid="{36486A4E-F83D-7743-B8A6-DAB6092C7490}"/>
    <hyperlink ref="A30" r:id="rId37" display="https://www.ahd.com/free_profile/490110/LewisGale_Hospital_-_Montgomery/Blacksburg/Virginia/" xr:uid="{9EC83837-EE67-F146-B170-25D66AD8617E}"/>
    <hyperlink ref="A58" r:id="rId38" display="https://www.ahd.com/free_profile/490116/LewisGale_Hospital_-_Pulaski/Pulaski/Virginia/" xr:uid="{B2355C8E-DB54-CE41-AB3C-887B8A85B78F}"/>
    <hyperlink ref="A59" r:id="rId39" display="https://www.ahd.com/free_profile/490048/LewisGale_Medical_Center/Salem/Virginia/" xr:uid="{1C005A1D-F6CC-1447-B384-96D996BEA2A1}"/>
    <hyperlink ref="A35" r:id="rId40" display="https://www.ahd.com/free_profile/490114/Lonesome_Pine_Hospital/Big_Stone_Gap/Virginia/" xr:uid="{D851205D-2F18-4440-8A31-BA4C49576169}"/>
    <hyperlink ref="A60" r:id="rId41" display="https://www.ahd.com/free_profile/490022/Mary_Washington_Hospital/Fredericksburg/Virginia/" xr:uid="{6343FF07-E5DE-4A49-B380-F0E8822CE005}"/>
    <hyperlink ref="A61" r:id="rId42" display="https://www.ahd.com/free_profile/49002F/McDonald_Army_Health_Center/Fort_Eustis/Virginia/" xr:uid="{32366C55-8B7D-5445-93A6-9C97ADAA1CA2}"/>
    <hyperlink ref="A62" r:id="rId43" display="https://www.ahd.com/free_profile/490069/Memorial_Regional_Medical_Center/Mechanicsville/Virginia/" xr:uid="{F760E02B-8D82-BE4A-8B6C-7B4F160D7B17}"/>
    <hyperlink ref="A63" r:id="rId44" display="https://www.ahd.com/free_profile/490027/Mountain_View_Regional_Hospital/Norton/Virginia/" xr:uid="{36A89008-9B73-4545-A645-D22F1ADDBDFB}"/>
    <hyperlink ref="A64" r:id="rId45" display="https://www.ahd.com/free_profile/49008F/Naval_Medical_Center_Portsmouth/Portsmouth/Virginia/" xr:uid="{1A87CAE2-BB6B-C44E-BE0E-4E80F9632168}"/>
    <hyperlink ref="A65" r:id="rId46" display="https://www.ahd.com/free_profile/490001/Norton_Community_Hospital/Norton/Virginia/" xr:uid="{D83DA917-6CC2-D540-B119-4A64280367EE}"/>
    <hyperlink ref="A66" r:id="rId47" display="https://www.ahd.com/free_profile/490019/Novant_Health_UVA_Health_System_Culpeper_Medical_Center/Culpeper/Virginia/" xr:uid="{FB4BA7DC-0138-2C4F-B950-D9115E210963}"/>
    <hyperlink ref="A67" r:id="rId48" display="https://www.ahd.com/free_profile/490144/Novant_Health_UVA_Health_System_Haymarket_Medical_Center/Haymarket/Virginia/" xr:uid="{0B932404-270A-1049-8D8C-5131E13FF58C}"/>
    <hyperlink ref="A68" r:id="rId49" display="https://www.ahd.com/free_profile/490045/Novant_Health_UVA_Health_System_Prince_William_Medical_Center/Manassas/Virginia/" xr:uid="{3712FD08-1C58-5F41-AE6D-6D32454588F5}"/>
    <hyperlink ref="A18" r:id="rId50" display="https://www.ahd.com/free_profile/I41080/Parham_Doctor%27s_Hospital_-_A_Campus_of_Henrico_Doctor%27s_Hospital_/Richmond/Virginia/" xr:uid="{FECC459D-0EFE-934C-A33E-48DAF37AB21B}"/>
    <hyperlink ref="A69" r:id="rId51" display="https://www.ahd.com/free_profile/490107/Reston_Hospital_Center/Reston/Virginia/" xr:uid="{601807A8-D1A9-504F-B981-D1E818921E8C}"/>
    <hyperlink ref="A19" r:id="rId52" display="https://www.ahd.com/free_profile/490071/Retreat_Doctors_Hospital_-_A_Campus_of_Henrico_Doctor%27s_Hospital/Richmond/Virginia/" xr:uid="{CBD5C9B3-92C7-6745-BAD3-F49751B7170C}"/>
    <hyperlink ref="A20" r:id="rId53" display="https://www.ahd.com/free_profile/490094/Richmond_Community_Hospital/Richmond/Virginia/" xr:uid="{095D69D5-286A-DE4A-941B-9D75EA947C5E}"/>
    <hyperlink ref="A70" r:id="rId54" display="https://www.ahd.com/free_profile/490143/Riverside_Doctors_Hospital_Williamsburg/Williamsburg/Virginia/" xr:uid="{9606CE44-E9B1-A640-A440-1B857D2210E4}"/>
    <hyperlink ref="A8" r:id="rId55" display="https://www.ahd.com/free_profile/490052/Riverside_Regional_Medical_Center/Newport_News/Virginia/" xr:uid="{7FB5462F-E635-AC42-AB50-288DB2B8E013}"/>
    <hyperlink ref="A71" r:id="rId56" display="https://www.ahd.com/free_profile/490037/Riverside_Shore_Memorial_Hospital/Onancock/Virginia/" xr:uid="{604D290C-615E-1F43-97DA-D40E289AFCDE}"/>
    <hyperlink ref="A72" r:id="rId57" display="https://www.ahd.com/free_profile/490084/Riverside_Tappahannock_Hospital/Tappahannock/Virginia/" xr:uid="{509F2761-0851-3141-8AA5-F63D06DFC37C}"/>
    <hyperlink ref="A73" r:id="rId58" display="https://www.ahd.com/free_profile/490130/Riverside_Walter_Reed_Hospital/Gloucester/Virginia/" xr:uid="{7B7AFCD2-08BD-3240-8BAC-FB8EC6BF6E85}"/>
    <hyperlink ref="A74" r:id="rId59" display="https://www.ahd.com/free_profile/490002/Russell_County_Hospital/Lebanon/Virginia/" xr:uid="{F0B37AED-2BCF-1248-B2B8-CF46F23DF58F}"/>
    <hyperlink ref="A75" r:id="rId60" display="https://www.ahd.com/free_profile/490136/Saint_Francis_Medical_Center/Midlothian/Virginia/" xr:uid="{87D094BD-78E8-F64B-9DB4-5C323F491951}"/>
    <hyperlink ref="A21" r:id="rId61" display="https://www.ahd.com/free_profile/490059/Saint_Mary%27s_Hospital/Richmond/Virginia/" xr:uid="{57B59B80-1A1D-F643-8CE5-CCB1F64348C2}"/>
    <hyperlink ref="A76" r:id="rId62" display="https://www.ahd.com/free_profile/49011F/Salem_VA_Medical_Center/Salem/Virginia/" xr:uid="{CACDFF9E-17F7-3940-AD00-0356EF4A29A8}"/>
    <hyperlink ref="A77" r:id="rId63" display="https://www.ahd.com/free_profile/490093/Sentara_CarePlex_Hospital/Hampton/Virginia/" xr:uid="{C4F0048E-42F3-8D46-AB50-03ADECF6A499}"/>
    <hyperlink ref="A78" r:id="rId64" display="https://www.ahd.com/free_profile/490013/Sentara_Halifax_Regional_Hospital/South_Boston/Virginia/" xr:uid="{B579093E-3611-2144-BAEA-25C4DC9B25B5}"/>
    <hyperlink ref="A9" r:id="rId65" display="https://www.ahd.com/free_profile/I41151/Sentara_Heart_Hospital/Norfolk/Virginia/" xr:uid="{DDF88B98-9C06-6544-9443-BE2179721E12}"/>
    <hyperlink ref="A10" r:id="rId66" display="https://www.ahd.com/free_profile/490046/Sentara_Leigh_Hospital/Norfolk/Virginia/" xr:uid="{5FDCA559-B91A-2E42-8C80-99698D869FA8}"/>
    <hyperlink ref="A27" r:id="rId67" display="https://www.ahd.com/free_profile/490077/Sentara_Martha_Jefferson_Hospital/Charlottesville/Virginia/" xr:uid="{877B5DAF-AD25-4846-A10E-0E55AC0BDEF0}"/>
    <hyperlink ref="A11" r:id="rId68" display="https://www.ahd.com/free_profile/490007/Sentara_Norfolk_General_Hospital/Norfolk/Virginia/" xr:uid="{2B6442E2-6A43-7040-8D4D-159C5A366FA0}"/>
    <hyperlink ref="A79" r:id="rId69" display="https://www.ahd.com/free_profile/490113/Sentara_Northern_Virginia_Medical_Center/Woodbridge/Virginia/" xr:uid="{C71A9ABC-26B7-0E42-B84F-6CDA290232A5}"/>
    <hyperlink ref="A80" r:id="rId70" display="https://www.ahd.com/free_profile/490044/Sentara_Obici_Hospital/Suffolk/Virginia/" xr:uid="{6AC92BD0-9DE9-3E4A-BE0D-46F507F9DFCE}"/>
    <hyperlink ref="A12" r:id="rId71" display="https://www.ahd.com/free_profile/490119/Sentara_Princess_Anne_Hospital_/Virginia_Beach/Virginia/" xr:uid="{59D16B14-F972-B840-BF24-5A4CF290CA9A}"/>
    <hyperlink ref="A32" r:id="rId72" display="https://www.ahd.com/free_profile/490004/Sentara_RMH_Medical_Center/Harrisonburg/Virginia/" xr:uid="{144892CE-9B09-C24E-A978-154B7D64CF46}"/>
    <hyperlink ref="A13" r:id="rId73" display="https://www.ahd.com/free_profile/490057/Sentara_Virginia_Beach_General_Hospital/Virginia_Beach/Virginia/" xr:uid="{1B0843DD-6F6A-664E-96FF-EEA40F2C5256}"/>
    <hyperlink ref="A81" r:id="rId74" display="https://www.ahd.com/free_profile/490066/Sentara_Williamsburg_Regional_Medical_Center/Williamsburg/Virginia/" xr:uid="{35816F66-59F6-5245-BED7-E11A997253F0}"/>
    <hyperlink ref="A82" r:id="rId75" display="https://www.ahd.com/free_profile/490038/Smyth_County_Community_Hospital/Marion/Virginia/" xr:uid="{E1490A7B-23BD-FD43-9913-DD5AF244DA0D}"/>
    <hyperlink ref="A83" r:id="rId76" display="https://www.ahd.com/free_profile/490092/Southampton_Memorial_Hospital/Franklin/Virginia/" xr:uid="{0C63AD8C-F1ED-3F4C-BD6D-3D0A2414A229}"/>
    <hyperlink ref="A84" r:id="rId77" display="https://www.ahd.com/free_profile/490097/Southern_Virginia_Regional_Medical_Center/Emporia/Virginia/" xr:uid="{003A543A-6D1A-504D-BC63-8A70CEA4DB67}"/>
    <hyperlink ref="A85" r:id="rId78" display="https://www.ahd.com/free_profile/490067/Southside_Regional_Medical_Center/Petersburg/Virginia/" xr:uid="{A9231B0C-B980-BF40-A2FE-552CDAAECFC9}"/>
    <hyperlink ref="A33" r:id="rId79" display="https://www.ahd.com/free_profile/490075/SOVAH_Health_Danville/Danville/Virginia/" xr:uid="{540E2D3E-52F0-D242-BD7E-6B9889A4A418}"/>
    <hyperlink ref="A34" r:id="rId80" display="https://www.ahd.com/free_profile/490079/SOVAH_Health_Martinsville/Martinsville/Virginia/" xr:uid="{D1F052F9-2676-684D-BCA0-C0E0F27FB2A5}"/>
    <hyperlink ref="A86" r:id="rId81" display="https://www.ahd.com/free_profile/490141/Spotsylvania_Regional_Medical_Center/Fredericksburg/Virginia/" xr:uid="{F22FCFD5-673B-8E45-92D0-970C4DACB321}"/>
    <hyperlink ref="A87" r:id="rId82" display="https://www.ahd.com/free_profile/490140/Stafford_Hospital/Stafford/Virginia/" xr:uid="{89BFEF34-6431-AB47-AC2F-EB7699E54E76}"/>
    <hyperlink ref="A88" r:id="rId83" display="https://www.ahd.com/free_profile/490145/StoneSprings_Hospital_Center/Dulles/Virginia/" xr:uid="{308C1477-A50E-7C4E-960D-7C0F1265F8C5}"/>
    <hyperlink ref="A89" r:id="rId84" display="https://www.ahd.com/free_profile/490115/Twin_County_Regional_Hospital/Galax/Virginia/" xr:uid="{885B1F27-6F99-2246-A6DE-1EF5EF643AFF}"/>
    <hyperlink ref="A28" r:id="rId85" display="https://www.ahd.com/free_profile/490009/University_Hospital/Charlottesville/Virginia/" xr:uid="{8D5F4EAC-3E32-634A-8F72-701D3CC16136}"/>
    <hyperlink ref="A22" r:id="rId86" display="https://www.ahd.com/free_profile/490032/VCU_Medical_Center/Richmond/Virginia/" xr:uid="{AFDCF0A4-83A8-6A44-A2FE-13D99257B4E0}"/>
    <hyperlink ref="A5" r:id="rId87" display="https://www.ahd.com/free_profile/490050/Virginia_Hospital_Center/Arlington/Virginia/" xr:uid="{34048E3F-E1B0-ED40-98AC-6E01F5D56FAE}"/>
    <hyperlink ref="A90" r:id="rId88" display="https://www.ahd.com/free_profile/490033/Warren_Memorial_Hospital/Front_Royal/Virginia/" xr:uid="{69FD41CB-26DD-B049-9BCB-43CBDAE791A4}"/>
    <hyperlink ref="A31" r:id="rId89" display="https://www.ahd.com/free_profile/490005/Winchester_Medical_Center/Winchester/Virginia/" xr:uid="{7B340883-F7CE-0747-A868-29AA874FF1EB}"/>
    <hyperlink ref="A91" r:id="rId90" display="https://www.ahd.com/free_profile/490111/Wythe_County_Community_Hospital/Wytheville/Virginia/" xr:uid="{9AF762BA-B692-E549-8F58-710558D7DC19}"/>
  </hyperlink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E4B9C-4C08-374A-ACE1-F6448E6796FE}">
  <sheetPr codeName="Sheet48"/>
  <dimension ref="A1:G91"/>
  <sheetViews>
    <sheetView workbookViewId="0">
      <selection activeCell="G2" sqref="G2:G7"/>
    </sheetView>
  </sheetViews>
  <sheetFormatPr baseColWidth="10" defaultColWidth="27.6640625" defaultRowHeight="16"/>
  <cols>
    <col min="1" max="1" width="27.6640625" customWidth="1"/>
    <col min="3" max="6" width="27.6640625" customWidth="1"/>
  </cols>
  <sheetData>
    <row r="1" spans="1:7" s="14" customFormat="1" ht="36">
      <c r="A1" s="13" t="s">
        <v>57</v>
      </c>
      <c r="B1" s="13" t="s">
        <v>58</v>
      </c>
      <c r="C1" s="18" t="s">
        <v>7134</v>
      </c>
      <c r="D1" s="19" t="s">
        <v>7135</v>
      </c>
      <c r="E1" s="19" t="s">
        <v>7136</v>
      </c>
      <c r="F1" s="20" t="s">
        <v>7137</v>
      </c>
      <c r="G1" s="19" t="s">
        <v>7133</v>
      </c>
    </row>
    <row r="2" spans="1:7" ht="17">
      <c r="A2" s="1" t="s">
        <v>5595</v>
      </c>
      <c r="B2" s="2" t="s">
        <v>2574</v>
      </c>
      <c r="C2" s="2">
        <v>457</v>
      </c>
      <c r="D2" s="3">
        <v>20605</v>
      </c>
      <c r="E2" s="3">
        <v>121455</v>
      </c>
      <c r="F2" s="4">
        <v>2877767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 city",CHOOSE({1,2}, Super_CBSA!$E$2:$E$1917, Super_CBSA!$A$2:$A$1917), 2,FALSE), ""))</f>
        <v>15540</v>
      </c>
    </row>
    <row r="3" spans="1:7" ht="17">
      <c r="A3" s="1" t="s">
        <v>5590</v>
      </c>
      <c r="B3" s="2" t="s">
        <v>5591</v>
      </c>
      <c r="C3" s="2">
        <v>124</v>
      </c>
      <c r="D3" s="3">
        <v>6860</v>
      </c>
      <c r="E3" s="3">
        <v>30946</v>
      </c>
      <c r="F3" s="4">
        <v>567025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 city",CHOOSE({1,2}, Super_CBSA!$E$2:$E$1917, Super_CBSA!$A$2:$A$1917), 2,FALSE), ""))</f>
        <v>40860</v>
      </c>
    </row>
    <row r="4" spans="1:7" ht="17">
      <c r="A4" s="1" t="s">
        <v>5594</v>
      </c>
      <c r="B4" s="2" t="s">
        <v>2635</v>
      </c>
      <c r="C4" s="2">
        <v>76</v>
      </c>
      <c r="D4" s="3">
        <v>3864</v>
      </c>
      <c r="E4" s="3">
        <v>20400</v>
      </c>
      <c r="F4" s="4">
        <v>418151</v>
      </c>
      <c r="G4" s="11" t="str" cm="1">
        <f t="array" aca="1" ref="G4" ca="1">IFERROR(VLOOKUP("*" &amp; B4  &amp; "*" &amp; (MID(CELL("filename",A3),FIND("]",CELL("filename",A3))+1,31)) &amp; "*",CHOOSE({1,2}, Super_CBSA!$B$2:$B$1917, Super_CBSA!$A$2:$A$1917), 2,FALSE), IFERROR(VLOOKUP(B4  &amp; " city",CHOOSE({1,2}, Super_CBSA!$E$2:$E$1917, Super_CBSA!$A$2:$A$1917), 2,FALSE), ""))</f>
        <v/>
      </c>
    </row>
    <row r="5" spans="1:7" ht="17">
      <c r="A5" s="1" t="s">
        <v>5592</v>
      </c>
      <c r="B5" s="2" t="s">
        <v>5593</v>
      </c>
      <c r="C5" s="2">
        <v>78</v>
      </c>
      <c r="D5" s="3">
        <v>3394</v>
      </c>
      <c r="E5" s="3">
        <v>12511</v>
      </c>
      <c r="F5" s="4">
        <v>361468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 city",CHOOSE({1,2}, Super_CBSA!$E$2:$E$1917, Super_CBSA!$A$2:$A$1917), 2,FALSE), ""))</f>
        <v>13540</v>
      </c>
    </row>
    <row r="6" spans="1:7" ht="17">
      <c r="A6" s="1" t="s">
        <v>5588</v>
      </c>
      <c r="B6" s="2" t="s">
        <v>5589</v>
      </c>
      <c r="C6" s="2">
        <v>53</v>
      </c>
      <c r="D6" s="3">
        <v>2334</v>
      </c>
      <c r="E6" s="3">
        <v>6993</v>
      </c>
      <c r="F6" s="4">
        <v>211039</v>
      </c>
      <c r="G6" s="11" t="str" cm="1">
        <f t="array" aca="1" ref="G6" ca="1">IFERROR(VLOOKUP("*" &amp; B6  &amp; "*" &amp; (MID(CELL("filename",A5),FIND("]",CELL("filename",A5))+1,31)) &amp; "*",CHOOSE({1,2}, Super_CBSA!$B$2:$B$1917, Super_CBSA!$A$2:$A$1917), 2,FALSE), IFERROR(VLOOKUP(B6  &amp; " city",CHOOSE({1,2}, Super_CBSA!$E$2:$E$1917, Super_CBSA!$A$2:$A$1917), 2,FALSE), ""))</f>
        <v/>
      </c>
    </row>
    <row r="7" spans="1:7" ht="17">
      <c r="A7" s="1" t="s">
        <v>5596</v>
      </c>
      <c r="B7" s="2" t="s">
        <v>5597</v>
      </c>
      <c r="C7" s="2">
        <v>0</v>
      </c>
      <c r="D7" s="2">
        <v>0</v>
      </c>
      <c r="E7" s="2">
        <v>0</v>
      </c>
      <c r="F7" s="4">
        <v>0</v>
      </c>
      <c r="G7" s="11" t="str" cm="1">
        <f t="array" aca="1" ref="G7" ca="1">IFERROR(VLOOKUP("*" &amp; B7  &amp; "*" &amp; (MID(CELL("filename",A6),FIND("]",CELL("filename",A6))+1,31)) &amp; "*",CHOOSE({1,2}, Super_CBSA!$B$2:$B$1917, Super_CBSA!$A$2:$A$1917), 2,FALSE), IFERROR(VLOOKUP(B7  &amp; " city",CHOOSE({1,2}, Super_CBSA!$E$2:$E$1917, Super_CBSA!$A$2:$A$1917), 2,FALSE), ""))</f>
        <v/>
      </c>
    </row>
    <row r="8" spans="1:7" ht="17">
      <c r="A8" s="2" t="s">
        <v>56</v>
      </c>
      <c r="B8" s="2"/>
      <c r="C8" s="2">
        <v>835</v>
      </c>
      <c r="D8" s="3">
        <v>38540</v>
      </c>
      <c r="E8" s="3">
        <v>198496</v>
      </c>
      <c r="F8" s="4">
        <v>4617302</v>
      </c>
      <c r="G8" s="11"/>
    </row>
    <row r="9" spans="1:7">
      <c r="G9" s="11"/>
    </row>
    <row r="10" spans="1:7">
      <c r="G10" s="11"/>
    </row>
    <row r="11" spans="1:7">
      <c r="G11" s="11"/>
    </row>
    <row r="12" spans="1:7">
      <c r="G12" s="11"/>
    </row>
    <row r="13" spans="1:7">
      <c r="G13" s="11"/>
    </row>
    <row r="14" spans="1:7">
      <c r="G14" s="11"/>
    </row>
    <row r="15" spans="1:7">
      <c r="G15" s="11"/>
    </row>
    <row r="16" spans="1:7">
      <c r="G16" s="11"/>
    </row>
    <row r="17" spans="7:7">
      <c r="G17" s="11"/>
    </row>
    <row r="18" spans="7:7">
      <c r="G18" s="11"/>
    </row>
    <row r="19" spans="7:7">
      <c r="G19" s="11"/>
    </row>
    <row r="20" spans="7:7">
      <c r="G20" s="11"/>
    </row>
    <row r="21" spans="7:7">
      <c r="G21" s="11"/>
    </row>
    <row r="22" spans="7:7">
      <c r="G22" s="11"/>
    </row>
    <row r="23" spans="7:7">
      <c r="G23" s="11"/>
    </row>
    <row r="24" spans="7:7">
      <c r="G24" s="11"/>
    </row>
    <row r="25" spans="7:7">
      <c r="G25" s="11"/>
    </row>
    <row r="26" spans="7:7">
      <c r="G26" s="11"/>
    </row>
    <row r="27" spans="7:7">
      <c r="G27" s="11"/>
    </row>
    <row r="28" spans="7:7">
      <c r="G28" s="11"/>
    </row>
    <row r="29" spans="7:7">
      <c r="G29" s="11"/>
    </row>
    <row r="30" spans="7:7">
      <c r="G30" s="11"/>
    </row>
    <row r="31" spans="7:7">
      <c r="G31" s="11"/>
    </row>
    <row r="32" spans="7:7">
      <c r="G32" s="11"/>
    </row>
    <row r="33" spans="7:7">
      <c r="G33" s="11"/>
    </row>
    <row r="34" spans="7:7">
      <c r="G34" s="11"/>
    </row>
    <row r="35" spans="7:7">
      <c r="G35" s="11"/>
    </row>
    <row r="36" spans="7:7">
      <c r="G36" s="11"/>
    </row>
    <row r="37" spans="7:7">
      <c r="G37" s="11"/>
    </row>
    <row r="38" spans="7:7">
      <c r="G38" s="11"/>
    </row>
    <row r="39" spans="7:7">
      <c r="G39" s="11"/>
    </row>
    <row r="40" spans="7:7">
      <c r="G40" s="11"/>
    </row>
    <row r="41" spans="7:7">
      <c r="G41" s="11"/>
    </row>
    <row r="42" spans="7:7">
      <c r="G42" s="11"/>
    </row>
    <row r="43" spans="7:7">
      <c r="G43" s="11"/>
    </row>
    <row r="44" spans="7:7">
      <c r="G44" s="11"/>
    </row>
    <row r="45" spans="7:7">
      <c r="G45" s="11"/>
    </row>
    <row r="46" spans="7:7">
      <c r="G46" s="11"/>
    </row>
    <row r="47" spans="7:7">
      <c r="G47" s="11"/>
    </row>
    <row r="48" spans="7:7">
      <c r="G48" s="11"/>
    </row>
    <row r="49" spans="7:7">
      <c r="G49" s="11"/>
    </row>
    <row r="50" spans="7:7">
      <c r="G50" s="11"/>
    </row>
    <row r="51" spans="7:7">
      <c r="G51" s="11"/>
    </row>
    <row r="52" spans="7:7">
      <c r="G52" s="11"/>
    </row>
    <row r="53" spans="7:7">
      <c r="G53" s="11"/>
    </row>
    <row r="54" spans="7:7">
      <c r="G54" s="11"/>
    </row>
    <row r="55" spans="7:7">
      <c r="G55" s="11"/>
    </row>
    <row r="56" spans="7:7">
      <c r="G56" s="11"/>
    </row>
    <row r="57" spans="7:7">
      <c r="G57" s="11"/>
    </row>
    <row r="58" spans="7:7">
      <c r="G58" s="11"/>
    </row>
    <row r="59" spans="7:7">
      <c r="G59" s="11"/>
    </row>
    <row r="60" spans="7:7">
      <c r="G60" s="11"/>
    </row>
    <row r="61" spans="7:7">
      <c r="G61" s="11"/>
    </row>
    <row r="62" spans="7:7">
      <c r="G62" s="11"/>
    </row>
    <row r="63" spans="7:7">
      <c r="G63" s="11"/>
    </row>
    <row r="64" spans="7:7">
      <c r="G64" s="11"/>
    </row>
    <row r="65" spans="7:7">
      <c r="G65" s="11"/>
    </row>
    <row r="66" spans="7:7">
      <c r="G66" s="11"/>
    </row>
    <row r="67" spans="7:7">
      <c r="G67" s="11"/>
    </row>
    <row r="68" spans="7:7">
      <c r="G68" s="11"/>
    </row>
    <row r="69" spans="7:7">
      <c r="G69" s="11"/>
    </row>
    <row r="70" spans="7:7">
      <c r="G70" s="11"/>
    </row>
    <row r="71" spans="7:7">
      <c r="G71" s="11"/>
    </row>
    <row r="72" spans="7:7">
      <c r="G72" s="11"/>
    </row>
    <row r="73" spans="7:7">
      <c r="G73" s="11"/>
    </row>
    <row r="74" spans="7:7">
      <c r="G74" s="11"/>
    </row>
    <row r="75" spans="7:7">
      <c r="G75" s="11"/>
    </row>
    <row r="76" spans="7:7">
      <c r="G76" s="11"/>
    </row>
    <row r="77" spans="7:7">
      <c r="G77" s="11"/>
    </row>
    <row r="78" spans="7:7">
      <c r="G78" s="11"/>
    </row>
    <row r="79" spans="7:7">
      <c r="G79" s="11"/>
    </row>
    <row r="80" spans="7:7">
      <c r="G80" s="11"/>
    </row>
    <row r="81" spans="7:7">
      <c r="G81" s="11"/>
    </row>
    <row r="82" spans="7:7">
      <c r="G82" s="11"/>
    </row>
    <row r="83" spans="7:7">
      <c r="G83" s="11"/>
    </row>
    <row r="84" spans="7:7">
      <c r="G84" s="11"/>
    </row>
    <row r="85" spans="7:7">
      <c r="G85" s="11"/>
    </row>
    <row r="86" spans="7:7">
      <c r="G86" s="11"/>
    </row>
    <row r="87" spans="7:7">
      <c r="G87" s="11"/>
    </row>
    <row r="88" spans="7:7">
      <c r="G88" s="11"/>
    </row>
    <row r="89" spans="7:7">
      <c r="G89" s="11"/>
    </row>
    <row r="90" spans="7:7">
      <c r="G90" s="11"/>
    </row>
    <row r="91" spans="7:7">
      <c r="G91" s="11"/>
    </row>
  </sheetData>
  <sortState xmlns:xlrd2="http://schemas.microsoft.com/office/spreadsheetml/2017/richdata2" ref="A2:G7">
    <sortCondition ref="G2:G7"/>
  </sortState>
  <hyperlinks>
    <hyperlink ref="A6" r:id="rId1" display="https://www.ahd.com/free_profile/470024/Northwestern_Medical_Center/Saint_Albans/Vermont/" xr:uid="{2F4A4FF7-FE2C-1541-8787-4642FACD8675}"/>
    <hyperlink ref="A3" r:id="rId2" display="https://www.ahd.com/free_profile/470005/Rutland_Regional_Medical_Center/Rutland/Vermont/" xr:uid="{BB1B7F58-3FFD-B74F-9C28-7A4EB0DD580F}"/>
    <hyperlink ref="A5" r:id="rId3" display="https://www.ahd.com/free_profile/470012/Southwestern_Vermont_Medical_Center/Bennington/Vermont/" xr:uid="{58BF3680-DA95-0F43-8F88-736A179E8EC4}"/>
    <hyperlink ref="A4" r:id="rId4" display="https://www.ahd.com/free_profile/470001/The_University_of_Vermont_Health_Network_Central_Vermont_Medical_Center/Berlin/Vermont/" xr:uid="{217DDF73-C79E-744C-9D14-53B89168C482}"/>
    <hyperlink ref="A2" r:id="rId5" display="https://www.ahd.com/free_profile/470003/The_University_of_Vermont_Medical_Center/Burlington/Vermont/" xr:uid="{51F897A7-F772-9A49-B5B3-D40D06843402}"/>
    <hyperlink ref="A7" r:id="rId6" display="https://www.ahd.com/free_profile/47001F/White_River_Junction_VA_Medical_Center/White_River_Junction/Vermont/" xr:uid="{8BFABA80-6222-094C-AF78-B7FB976DC632}"/>
  </hyperlink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6A059-1B55-0540-B0EE-0D98C4B1FC1D}">
  <sheetPr codeName="Sheet49"/>
  <dimension ref="A1:G64"/>
  <sheetViews>
    <sheetView topLeftCell="A11" workbookViewId="0">
      <selection activeCell="G63" sqref="G2:G63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5613</v>
      </c>
      <c r="B2" s="2" t="s">
        <v>5614</v>
      </c>
      <c r="C2" s="2">
        <v>413</v>
      </c>
      <c r="D2" s="3">
        <v>14474</v>
      </c>
      <c r="E2" s="3">
        <v>111466</v>
      </c>
      <c r="F2" s="4">
        <v>2529967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 city",CHOOSE({1,2}, Super_CBSA!$E$2:$E$1917, Super_CBSA!$A$2:$A$1917), 2,FALSE), ""))</f>
        <v>42660</v>
      </c>
    </row>
    <row r="3" spans="1:7" ht="17">
      <c r="A3" s="1" t="s">
        <v>5627</v>
      </c>
      <c r="B3" s="2" t="s">
        <v>5628</v>
      </c>
      <c r="C3" s="2">
        <v>0</v>
      </c>
      <c r="D3" s="2">
        <v>0</v>
      </c>
      <c r="E3" s="2">
        <v>0</v>
      </c>
      <c r="F3" s="4">
        <v>0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 city",CHOOSE({1,2}, Super_CBSA!$E$2:$E$1917, Super_CBSA!$A$2:$A$1917), 2,FALSE), ""))</f>
        <v>42660</v>
      </c>
    </row>
    <row r="4" spans="1:7" ht="17">
      <c r="A4" s="1" t="s">
        <v>5629</v>
      </c>
      <c r="B4" s="2" t="s">
        <v>5628</v>
      </c>
      <c r="C4" s="2">
        <v>0</v>
      </c>
      <c r="D4" s="2">
        <v>0</v>
      </c>
      <c r="E4" s="2">
        <v>0</v>
      </c>
      <c r="F4" s="4">
        <v>0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 city",CHOOSE({1,2}, Super_CBSA!$E$2:$E$1917, Super_CBSA!$A$2:$A$1917), 2,FALSE), ""))</f>
        <v>42660</v>
      </c>
    </row>
    <row r="5" spans="1:7" ht="17">
      <c r="A5" s="1" t="s">
        <v>5635</v>
      </c>
      <c r="B5" s="2" t="s">
        <v>5628</v>
      </c>
      <c r="C5" s="2">
        <v>380</v>
      </c>
      <c r="D5" s="3">
        <v>17469</v>
      </c>
      <c r="E5" s="3">
        <v>107607</v>
      </c>
      <c r="F5" s="4">
        <v>3646615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 city",CHOOSE({1,2}, Super_CBSA!$E$2:$E$1917, Super_CBSA!$A$2:$A$1917), 2,FALSE), ""))</f>
        <v>42660</v>
      </c>
    </row>
    <row r="6" spans="1:7" ht="17">
      <c r="A6" s="1" t="s">
        <v>5644</v>
      </c>
      <c r="B6" s="2" t="s">
        <v>3455</v>
      </c>
      <c r="C6" s="2">
        <v>300</v>
      </c>
      <c r="D6" s="3">
        <v>19411</v>
      </c>
      <c r="E6" s="3">
        <v>65650</v>
      </c>
      <c r="F6" s="4">
        <v>1680136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 city",CHOOSE({1,2}, Super_CBSA!$E$2:$E$1917, Super_CBSA!$A$2:$A$1917), 2,FALSE), ""))</f>
        <v>42660</v>
      </c>
    </row>
    <row r="7" spans="1:7" ht="17">
      <c r="A7" s="1" t="s">
        <v>3077</v>
      </c>
      <c r="B7" s="2" t="s">
        <v>5628</v>
      </c>
      <c r="C7" s="2">
        <v>374</v>
      </c>
      <c r="D7" s="3">
        <v>24310</v>
      </c>
      <c r="E7" s="3">
        <v>116023</v>
      </c>
      <c r="F7" s="4">
        <v>3010628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 city",CHOOSE({1,2}, Super_CBSA!$E$2:$E$1917, Super_CBSA!$A$2:$A$1917), 2,FALSE), ""))</f>
        <v>42660</v>
      </c>
    </row>
    <row r="8" spans="1:7" ht="17">
      <c r="A8" s="1" t="s">
        <v>5659</v>
      </c>
      <c r="B8" s="2" t="s">
        <v>5614</v>
      </c>
      <c r="C8" s="2">
        <v>63</v>
      </c>
      <c r="D8" s="2">
        <v>921</v>
      </c>
      <c r="E8" s="3">
        <v>9378</v>
      </c>
      <c r="F8" s="4">
        <v>10877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 city",CHOOSE({1,2}, Super_CBSA!$E$2:$E$1917, Super_CBSA!$A$2:$A$1917), 2,FALSE), ""))</f>
        <v>42660</v>
      </c>
    </row>
    <row r="9" spans="1:7" ht="17">
      <c r="A9" s="1" t="s">
        <v>5660</v>
      </c>
      <c r="B9" s="2" t="s">
        <v>5614</v>
      </c>
      <c r="C9" s="2">
        <v>20</v>
      </c>
      <c r="D9" s="2">
        <v>560</v>
      </c>
      <c r="E9" s="3">
        <v>6703</v>
      </c>
      <c r="F9" s="4">
        <v>1298539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 city",CHOOSE({1,2}, Super_CBSA!$E$2:$E$1917, Super_CBSA!$A$2:$A$1917), 2,FALSE), ""))</f>
        <v>42660</v>
      </c>
    </row>
    <row r="10" spans="1:7" ht="17">
      <c r="A10" s="1" t="s">
        <v>5665</v>
      </c>
      <c r="B10" s="2" t="s">
        <v>5614</v>
      </c>
      <c r="C10" s="2">
        <v>0</v>
      </c>
      <c r="D10" s="2">
        <v>0</v>
      </c>
      <c r="E10" s="2">
        <v>0</v>
      </c>
      <c r="F10" s="4">
        <v>0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 city",CHOOSE({1,2}, Super_CBSA!$E$2:$E$1917, Super_CBSA!$A$2:$A$1917), 2,FALSE), ""))</f>
        <v>42660</v>
      </c>
    </row>
    <row r="11" spans="1:7" ht="17">
      <c r="A11" s="1" t="s">
        <v>5666</v>
      </c>
      <c r="B11" s="2" t="s">
        <v>5614</v>
      </c>
      <c r="C11" s="2">
        <v>211</v>
      </c>
      <c r="D11" s="3">
        <v>8959</v>
      </c>
      <c r="E11" s="3">
        <v>48244</v>
      </c>
      <c r="F11" s="4">
        <v>1763411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 city",CHOOSE({1,2}, Super_CBSA!$E$2:$E$1917, Super_CBSA!$A$2:$A$1917), 2,FALSE), ""))</f>
        <v>42660</v>
      </c>
    </row>
    <row r="12" spans="1:7" ht="17">
      <c r="A12" s="1" t="s">
        <v>5669</v>
      </c>
      <c r="B12" s="2" t="s">
        <v>5614</v>
      </c>
      <c r="C12" s="2">
        <v>668</v>
      </c>
      <c r="D12" s="3">
        <v>36115</v>
      </c>
      <c r="E12" s="3">
        <v>175093</v>
      </c>
      <c r="F12" s="4">
        <v>4513786</v>
      </c>
      <c r="G12" s="11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 city",CHOOSE({1,2}, Super_CBSA!$E$2:$E$1917, Super_CBSA!$A$2:$A$1917), 2,FALSE), ""))</f>
        <v>42660</v>
      </c>
    </row>
    <row r="13" spans="1:7" ht="17">
      <c r="A13" s="1" t="s">
        <v>5675</v>
      </c>
      <c r="B13" s="2" t="s">
        <v>5614</v>
      </c>
      <c r="C13" s="2">
        <v>470</v>
      </c>
      <c r="D13" s="3">
        <v>19054</v>
      </c>
      <c r="E13" s="3">
        <v>126094</v>
      </c>
      <c r="F13" s="4">
        <v>3175945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 city",CHOOSE({1,2}, Super_CBSA!$E$2:$E$1917, Super_CBSA!$A$2:$A$1917), 2,FALSE), ""))</f>
        <v>42660</v>
      </c>
    </row>
    <row r="14" spans="1:7" ht="17">
      <c r="A14" s="1" t="s">
        <v>5676</v>
      </c>
      <c r="B14" s="2" t="s">
        <v>5614</v>
      </c>
      <c r="C14" s="2">
        <v>206</v>
      </c>
      <c r="D14" s="3">
        <v>10515</v>
      </c>
      <c r="E14" s="3">
        <v>41077</v>
      </c>
      <c r="F14" s="4">
        <v>1145665</v>
      </c>
      <c r="G14" s="11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 city",CHOOSE({1,2}, Super_CBSA!$E$2:$E$1917, Super_CBSA!$A$2:$A$1917), 2,FALSE), ""))</f>
        <v>42660</v>
      </c>
    </row>
    <row r="15" spans="1:7" ht="17">
      <c r="A15" s="1" t="s">
        <v>5677</v>
      </c>
      <c r="B15" s="2" t="s">
        <v>5614</v>
      </c>
      <c r="C15" s="2">
        <v>0</v>
      </c>
      <c r="D15" s="2">
        <v>0</v>
      </c>
      <c r="E15" s="2">
        <v>0</v>
      </c>
      <c r="F15" s="4">
        <v>0</v>
      </c>
      <c r="G15" s="11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 city",CHOOSE({1,2}, Super_CBSA!$E$2:$E$1917, Super_CBSA!$A$2:$A$1917), 2,FALSE), ""))</f>
        <v>42660</v>
      </c>
    </row>
    <row r="16" spans="1:7" ht="17">
      <c r="A16" s="1" t="s">
        <v>5680</v>
      </c>
      <c r="B16" s="2" t="s">
        <v>5614</v>
      </c>
      <c r="C16" s="2">
        <v>246</v>
      </c>
      <c r="D16" s="3">
        <v>12272</v>
      </c>
      <c r="E16" s="3">
        <v>66969</v>
      </c>
      <c r="F16" s="4">
        <v>2393153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 city",CHOOSE({1,2}, Super_CBSA!$E$2:$E$1917, Super_CBSA!$A$2:$A$1917), 2,FALSE), ""))</f>
        <v>42660</v>
      </c>
    </row>
    <row r="17" spans="1:7" ht="17">
      <c r="A17" s="1" t="s">
        <v>5625</v>
      </c>
      <c r="B17" s="2" t="s">
        <v>5626</v>
      </c>
      <c r="C17" s="2">
        <v>166</v>
      </c>
      <c r="D17" s="3">
        <v>15519</v>
      </c>
      <c r="E17" s="3">
        <v>56845</v>
      </c>
      <c r="F17" s="4">
        <v>1101531</v>
      </c>
      <c r="G17" s="11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 city",CHOOSE({1,2}, Super_CBSA!$E$2:$E$1917, Super_CBSA!$A$2:$A$1917), 2,FALSE), ""))</f>
        <v>38900</v>
      </c>
    </row>
    <row r="18" spans="1:7" ht="17">
      <c r="A18" s="1" t="s">
        <v>5648</v>
      </c>
      <c r="B18" s="2" t="s">
        <v>5626</v>
      </c>
      <c r="C18" s="2">
        <v>450</v>
      </c>
      <c r="D18" s="3">
        <v>19767</v>
      </c>
      <c r="E18" s="3">
        <v>88093</v>
      </c>
      <c r="F18" s="4">
        <v>1975066</v>
      </c>
      <c r="G18" s="11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 city",CHOOSE({1,2}, Super_CBSA!$E$2:$E$1917, Super_CBSA!$A$2:$A$1917), 2,FALSE), ""))</f>
        <v>38900</v>
      </c>
    </row>
    <row r="19" spans="1:7" ht="17">
      <c r="A19" s="1" t="s">
        <v>5598</v>
      </c>
      <c r="B19" s="2" t="s">
        <v>5599</v>
      </c>
      <c r="C19" s="2">
        <v>184</v>
      </c>
      <c r="D19" s="3">
        <v>7955</v>
      </c>
      <c r="E19" s="3">
        <v>37378</v>
      </c>
      <c r="F19" s="4">
        <v>616794</v>
      </c>
      <c r="G19" s="11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 city",CHOOSE({1,2}, Super_CBSA!$E$2:$E$1917, Super_CBSA!$A$2:$A$1917), 2,FALSE), ""))</f>
        <v>44060</v>
      </c>
    </row>
    <row r="20" spans="1:7" ht="17">
      <c r="A20" s="1" t="s">
        <v>5632</v>
      </c>
      <c r="B20" s="2" t="s">
        <v>5599</v>
      </c>
      <c r="C20" s="2">
        <v>267</v>
      </c>
      <c r="D20" s="3">
        <v>9708</v>
      </c>
      <c r="E20" s="3">
        <v>55792</v>
      </c>
      <c r="F20" s="4">
        <v>1484983</v>
      </c>
      <c r="G20" s="11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 city",CHOOSE({1,2}, Super_CBSA!$E$2:$E$1917, Super_CBSA!$A$2:$A$1917), 2,FALSE), ""))</f>
        <v>44060</v>
      </c>
    </row>
    <row r="21" spans="1:7" ht="17">
      <c r="A21" s="1" t="s">
        <v>5636</v>
      </c>
      <c r="B21" s="2" t="s">
        <v>5637</v>
      </c>
      <c r="C21" s="2">
        <v>123</v>
      </c>
      <c r="D21" s="3">
        <v>5635</v>
      </c>
      <c r="E21" s="3">
        <v>22252</v>
      </c>
      <c r="F21" s="4">
        <v>699871</v>
      </c>
      <c r="G21" s="11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 city",CHOOSE({1,2}, Super_CBSA!$E$2:$E$1917, Super_CBSA!$A$2:$A$1917), 2,FALSE), ""))</f>
        <v>44060</v>
      </c>
    </row>
    <row r="22" spans="1:7" ht="17">
      <c r="A22" s="1" t="s">
        <v>5653</v>
      </c>
      <c r="B22" s="2" t="s">
        <v>5599</v>
      </c>
      <c r="C22" s="2">
        <v>632</v>
      </c>
      <c r="D22" s="3">
        <v>28060</v>
      </c>
      <c r="E22" s="3">
        <v>153076</v>
      </c>
      <c r="F22" s="4">
        <v>2513250</v>
      </c>
      <c r="G22" s="11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 city",CHOOSE({1,2}, Super_CBSA!$E$2:$E$1917, Super_CBSA!$A$2:$A$1917), 2,FALSE), ""))</f>
        <v>44060</v>
      </c>
    </row>
    <row r="23" spans="1:7" ht="17">
      <c r="A23" s="1" t="s">
        <v>5662</v>
      </c>
      <c r="B23" s="2" t="s">
        <v>5599</v>
      </c>
      <c r="C23" s="2">
        <v>0</v>
      </c>
      <c r="D23" s="2">
        <v>0</v>
      </c>
      <c r="E23" s="2">
        <v>0</v>
      </c>
      <c r="F23" s="4">
        <v>0</v>
      </c>
      <c r="G23" s="11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 city",CHOOSE({1,2}, Super_CBSA!$E$2:$E$1917, Super_CBSA!$A$2:$A$1917), 2,FALSE), ""))</f>
        <v>44060</v>
      </c>
    </row>
    <row r="24" spans="1:7" ht="17">
      <c r="A24" s="1" t="s">
        <v>5623</v>
      </c>
      <c r="B24" s="2" t="s">
        <v>5624</v>
      </c>
      <c r="C24" s="2">
        <v>270</v>
      </c>
      <c r="D24" s="3">
        <v>16318</v>
      </c>
      <c r="E24" s="3">
        <v>74029</v>
      </c>
      <c r="F24" s="4">
        <v>1909301</v>
      </c>
      <c r="G24" s="11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 city",CHOOSE({1,2}, Super_CBSA!$E$2:$E$1917, Super_CBSA!$A$2:$A$1917), 2,FALSE), ""))</f>
        <v>28420</v>
      </c>
    </row>
    <row r="25" spans="1:7" ht="17">
      <c r="A25" s="1" t="s">
        <v>5672</v>
      </c>
      <c r="B25" s="2" t="s">
        <v>5673</v>
      </c>
      <c r="C25" s="2">
        <v>0</v>
      </c>
      <c r="D25" s="2">
        <v>0</v>
      </c>
      <c r="E25" s="2">
        <v>0</v>
      </c>
      <c r="F25" s="4">
        <v>0</v>
      </c>
      <c r="G25" s="11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 city",CHOOSE({1,2}, Super_CBSA!$E$2:$E$1917, Super_CBSA!$A$2:$A$1917), 2,FALSE), ""))</f>
        <v>28420</v>
      </c>
    </row>
    <row r="26" spans="1:7" ht="17">
      <c r="A26" s="1" t="s">
        <v>5674</v>
      </c>
      <c r="B26" s="2" t="s">
        <v>5673</v>
      </c>
      <c r="C26" s="2">
        <v>111</v>
      </c>
      <c r="D26" s="3">
        <v>6735</v>
      </c>
      <c r="E26" s="3">
        <v>20309</v>
      </c>
      <c r="F26" s="4">
        <v>448892</v>
      </c>
      <c r="G26" s="11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 city",CHOOSE({1,2}, Super_CBSA!$E$2:$E$1917, Super_CBSA!$A$2:$A$1917), 2,FALSE), ""))</f>
        <v>28420</v>
      </c>
    </row>
    <row r="27" spans="1:7" ht="17">
      <c r="A27" s="1" t="s">
        <v>5602</v>
      </c>
      <c r="B27" s="2" t="s">
        <v>5603</v>
      </c>
      <c r="C27" s="2">
        <v>107</v>
      </c>
      <c r="D27" s="3">
        <v>4898</v>
      </c>
      <c r="E27" s="3">
        <v>17040</v>
      </c>
      <c r="F27" s="4">
        <v>639585</v>
      </c>
      <c r="G27" s="11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 city",CHOOSE({1,2}, Super_CBSA!$E$2:$E$1917, Super_CBSA!$A$2:$A$1917), 2,FALSE), ""))</f>
        <v>36500</v>
      </c>
    </row>
    <row r="28" spans="1:7" ht="17">
      <c r="A28" s="1" t="s">
        <v>5655</v>
      </c>
      <c r="B28" s="2" t="s">
        <v>5603</v>
      </c>
      <c r="C28" s="2">
        <v>322</v>
      </c>
      <c r="D28" s="3">
        <v>19056</v>
      </c>
      <c r="E28" s="3">
        <v>98823</v>
      </c>
      <c r="F28" s="4">
        <v>2045470</v>
      </c>
      <c r="G28" s="11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 city",CHOOSE({1,2}, Super_CBSA!$E$2:$E$1917, Super_CBSA!$A$2:$A$1917), 2,FALSE), ""))</f>
        <v>36500</v>
      </c>
    </row>
    <row r="29" spans="1:7" ht="17">
      <c r="A29" s="1" t="s">
        <v>5615</v>
      </c>
      <c r="B29" s="2" t="s">
        <v>5616</v>
      </c>
      <c r="C29" s="2">
        <v>0</v>
      </c>
      <c r="D29" s="2">
        <v>0</v>
      </c>
      <c r="E29" s="2">
        <v>0</v>
      </c>
      <c r="F29" s="4">
        <v>0</v>
      </c>
      <c r="G29" s="11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 city",CHOOSE({1,2}, Super_CBSA!$E$2:$E$1917, Super_CBSA!$A$2:$A$1917), 2,FALSE), ""))</f>
        <v>14740</v>
      </c>
    </row>
    <row r="30" spans="1:7" ht="17">
      <c r="A30" s="1" t="s">
        <v>5638</v>
      </c>
      <c r="B30" s="2" t="s">
        <v>5639</v>
      </c>
      <c r="C30" s="2">
        <v>0</v>
      </c>
      <c r="D30" s="2">
        <v>0</v>
      </c>
      <c r="E30" s="2">
        <v>0</v>
      </c>
      <c r="F30" s="4">
        <v>0</v>
      </c>
      <c r="G30" s="11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 city",CHOOSE({1,2}, Super_CBSA!$E$2:$E$1917, Super_CBSA!$A$2:$A$1917), 2,FALSE), ""))</f>
        <v>14740</v>
      </c>
    </row>
    <row r="31" spans="1:7" ht="17">
      <c r="A31" s="1" t="s">
        <v>5664</v>
      </c>
      <c r="B31" s="2" t="s">
        <v>5639</v>
      </c>
      <c r="C31" s="2">
        <v>298</v>
      </c>
      <c r="D31" s="3">
        <v>21249</v>
      </c>
      <c r="E31" s="3">
        <v>63885</v>
      </c>
      <c r="F31" s="4">
        <v>2430085</v>
      </c>
      <c r="G31" s="11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 city",CHOOSE({1,2}, Super_CBSA!$E$2:$E$1917, Super_CBSA!$A$2:$A$1917), 2,FALSE), ""))</f>
        <v>14740</v>
      </c>
    </row>
    <row r="32" spans="1:7" ht="17">
      <c r="A32" s="1" t="s">
        <v>5681</v>
      </c>
      <c r="B32" s="2" t="s">
        <v>5682</v>
      </c>
      <c r="C32" s="2">
        <v>226</v>
      </c>
      <c r="D32" s="3">
        <v>14325</v>
      </c>
      <c r="E32" s="3">
        <v>44961</v>
      </c>
      <c r="F32" s="4">
        <v>1221504</v>
      </c>
      <c r="G32" s="11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 city",CHOOSE({1,2}, Super_CBSA!$E$2:$E$1917, Super_CBSA!$A$2:$A$1917), 2,FALSE), ""))</f>
        <v>49420</v>
      </c>
    </row>
    <row r="33" spans="1:7" ht="17">
      <c r="A33" s="1" t="s">
        <v>5646</v>
      </c>
      <c r="B33" s="2" t="s">
        <v>5647</v>
      </c>
      <c r="C33" s="2">
        <v>241</v>
      </c>
      <c r="D33" s="3">
        <v>15948</v>
      </c>
      <c r="E33" s="3">
        <v>65024</v>
      </c>
      <c r="F33" s="4">
        <v>1630745</v>
      </c>
      <c r="G33" s="11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 city",CHOOSE({1,2}, Super_CBSA!$E$2:$E$1917, Super_CBSA!$A$2:$A$1917), 2,FALSE), ""))</f>
        <v>13380</v>
      </c>
    </row>
    <row r="34" spans="1:7" ht="17">
      <c r="A34" s="1" t="s">
        <v>5619</v>
      </c>
      <c r="B34" s="2" t="s">
        <v>5620</v>
      </c>
      <c r="C34" s="2">
        <v>43</v>
      </c>
      <c r="D34" s="3">
        <v>2602</v>
      </c>
      <c r="E34" s="3">
        <v>8162</v>
      </c>
      <c r="F34" s="4">
        <v>230663</v>
      </c>
      <c r="G34" s="11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 city",CHOOSE({1,2}, Super_CBSA!$E$2:$E$1917, Super_CBSA!$A$2:$A$1917), 2,FALSE), ""))</f>
        <v>34580</v>
      </c>
    </row>
    <row r="35" spans="1:7" ht="17">
      <c r="A35" s="1" t="s">
        <v>5661</v>
      </c>
      <c r="B35" s="2" t="s">
        <v>1863</v>
      </c>
      <c r="C35" s="2">
        <v>137</v>
      </c>
      <c r="D35" s="3">
        <v>8110</v>
      </c>
      <c r="E35" s="3">
        <v>36947</v>
      </c>
      <c r="F35" s="4">
        <v>1208604</v>
      </c>
      <c r="G35" s="11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 city",CHOOSE({1,2}, Super_CBSA!$E$2:$E$1917, Super_CBSA!$A$2:$A$1917), 2,FALSE), ""))</f>
        <v>34580</v>
      </c>
    </row>
    <row r="36" spans="1:7" ht="17">
      <c r="A36" s="1" t="s">
        <v>5605</v>
      </c>
      <c r="B36" s="2" t="s">
        <v>5606</v>
      </c>
      <c r="C36" s="2">
        <v>198</v>
      </c>
      <c r="D36" s="3">
        <v>11387</v>
      </c>
      <c r="E36" s="3">
        <v>46253</v>
      </c>
      <c r="F36" s="4">
        <v>877768</v>
      </c>
      <c r="G36" s="11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 city",CHOOSE({1,2}, Super_CBSA!$E$2:$E$1917, Super_CBSA!$A$2:$A$1917), 2,FALSE), ""))</f>
        <v>48300</v>
      </c>
    </row>
    <row r="37" spans="1:7" ht="17">
      <c r="A37" s="1" t="s">
        <v>5684</v>
      </c>
      <c r="B37" s="2" t="s">
        <v>5606</v>
      </c>
      <c r="C37" s="2">
        <v>20</v>
      </c>
      <c r="D37" s="2">
        <v>459</v>
      </c>
      <c r="E37" s="2">
        <v>939</v>
      </c>
      <c r="F37" s="4">
        <v>639452</v>
      </c>
      <c r="G37" s="11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 city",CHOOSE({1,2}, Super_CBSA!$E$2:$E$1917, Super_CBSA!$A$2:$A$1917), 2,FALSE), ""))</f>
        <v>48300</v>
      </c>
    </row>
    <row r="38" spans="1:7" ht="17">
      <c r="A38" s="1" t="s">
        <v>5645</v>
      </c>
      <c r="B38" s="2" t="s">
        <v>4913</v>
      </c>
      <c r="C38" s="2">
        <v>166</v>
      </c>
      <c r="D38" s="3">
        <v>8542</v>
      </c>
      <c r="E38" s="3">
        <v>32572</v>
      </c>
      <c r="F38" s="4">
        <v>881198</v>
      </c>
      <c r="G38" s="11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 city",CHOOSE({1,2}, Super_CBSA!$E$2:$E$1917, Super_CBSA!$A$2:$A$1917), 2,FALSE), ""))</f>
        <v>31020</v>
      </c>
    </row>
    <row r="39" spans="1:7" ht="17">
      <c r="A39" s="1" t="s">
        <v>5657</v>
      </c>
      <c r="B39" s="2" t="s">
        <v>5658</v>
      </c>
      <c r="C39" s="2">
        <v>48</v>
      </c>
      <c r="D39" s="3">
        <v>3163</v>
      </c>
      <c r="E39" s="3">
        <v>10545</v>
      </c>
      <c r="F39" s="4">
        <v>240640</v>
      </c>
      <c r="G39" s="11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 city",CHOOSE({1,2}, Super_CBSA!$E$2:$E$1917, Super_CBSA!$A$2:$A$1917), 2,FALSE), ""))</f>
        <v>34180</v>
      </c>
    </row>
    <row r="40" spans="1:7" ht="17">
      <c r="A40" s="1" t="s">
        <v>5640</v>
      </c>
      <c r="B40" s="2" t="s">
        <v>5641</v>
      </c>
      <c r="C40" s="2">
        <v>0</v>
      </c>
      <c r="D40" s="2">
        <v>0</v>
      </c>
      <c r="E40" s="2">
        <v>0</v>
      </c>
      <c r="F40" s="4">
        <v>0</v>
      </c>
      <c r="G40" s="11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 city",CHOOSE({1,2}, Super_CBSA!$E$2:$E$1917, Super_CBSA!$A$2:$A$1917), 2,FALSE), ""))</f>
        <v>36020</v>
      </c>
    </row>
    <row r="41" spans="1:7" ht="17">
      <c r="A41" s="1" t="s">
        <v>5649</v>
      </c>
      <c r="B41" s="2" t="s">
        <v>1995</v>
      </c>
      <c r="C41" s="2">
        <v>116</v>
      </c>
      <c r="D41" s="3">
        <v>4557</v>
      </c>
      <c r="E41" s="3">
        <v>18924</v>
      </c>
      <c r="F41" s="4">
        <v>740418</v>
      </c>
      <c r="G41" s="11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 city",CHOOSE({1,2}, Super_CBSA!$E$2:$E$1917, Super_CBSA!$A$2:$A$1917), 2,FALSE), ""))</f>
        <v>16500</v>
      </c>
    </row>
    <row r="42" spans="1:7" ht="17">
      <c r="A42" s="1" t="s">
        <v>5642</v>
      </c>
      <c r="B42" s="2" t="s">
        <v>5643</v>
      </c>
      <c r="C42" s="2">
        <v>78</v>
      </c>
      <c r="D42" s="3">
        <v>4454</v>
      </c>
      <c r="E42" s="3">
        <v>15331</v>
      </c>
      <c r="F42" s="4">
        <v>403824</v>
      </c>
      <c r="G42" s="11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 city",CHOOSE({1,2}, Super_CBSA!$E$2:$E$1917, Super_CBSA!$A$2:$A$1917), 2,FALSE), ""))</f>
        <v>38820</v>
      </c>
    </row>
    <row r="43" spans="1:7" ht="17">
      <c r="A43" s="1" t="s">
        <v>5612</v>
      </c>
      <c r="B43" s="2" t="s">
        <v>4731</v>
      </c>
      <c r="C43" s="2">
        <v>49</v>
      </c>
      <c r="D43" s="3">
        <v>3368</v>
      </c>
      <c r="E43" s="3">
        <v>14796</v>
      </c>
      <c r="F43" s="4">
        <v>358551</v>
      </c>
      <c r="G43" s="11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 city",CHOOSE({1,2}, Super_CBSA!$E$2:$E$1917, Super_CBSA!$A$2:$A$1917), 2,FALSE), ""))</f>
        <v>10140</v>
      </c>
    </row>
    <row r="44" spans="1:7" ht="17">
      <c r="A44" s="1" t="s">
        <v>5621</v>
      </c>
      <c r="B44" s="2" t="s">
        <v>5622</v>
      </c>
      <c r="C44" s="2">
        <v>0</v>
      </c>
      <c r="D44" s="2">
        <v>0</v>
      </c>
      <c r="E44" s="2">
        <v>0</v>
      </c>
      <c r="F44" s="4">
        <v>0</v>
      </c>
      <c r="G44" s="11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 city",CHOOSE({1,2}, Super_CBSA!$E$2:$E$1917, Super_CBSA!$A$2:$A$1917), 2,FALSE), ""))</f>
        <v>47460</v>
      </c>
    </row>
    <row r="45" spans="1:7" ht="17">
      <c r="A45" s="1" t="s">
        <v>5654</v>
      </c>
      <c r="B45" s="2" t="s">
        <v>5622</v>
      </c>
      <c r="C45" s="2">
        <v>128</v>
      </c>
      <c r="D45" s="3">
        <v>5751</v>
      </c>
      <c r="E45" s="3">
        <v>22150</v>
      </c>
      <c r="F45" s="4">
        <v>601682</v>
      </c>
      <c r="G45" s="11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 city",CHOOSE({1,2}, Super_CBSA!$E$2:$E$1917, Super_CBSA!$A$2:$A$1917), 2,FALSE), ""))</f>
        <v>47460</v>
      </c>
    </row>
    <row r="46" spans="1:7" ht="17">
      <c r="A46" s="1" t="s">
        <v>5683</v>
      </c>
      <c r="B46" s="2" t="s">
        <v>5622</v>
      </c>
      <c r="C46" s="2">
        <v>0</v>
      </c>
      <c r="D46" s="2">
        <v>0</v>
      </c>
      <c r="E46" s="2">
        <v>0</v>
      </c>
      <c r="F46" s="4">
        <v>0</v>
      </c>
      <c r="G46" s="11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 city",CHOOSE({1,2}, Super_CBSA!$E$2:$E$1917, Super_CBSA!$A$2:$A$1917), 2,FALSE), ""))</f>
        <v>47460</v>
      </c>
    </row>
    <row r="47" spans="1:7" ht="17">
      <c r="A47" s="1" t="s">
        <v>5600</v>
      </c>
      <c r="B47" s="2" t="s">
        <v>5601</v>
      </c>
      <c r="C47" s="2">
        <v>25</v>
      </c>
      <c r="D47" s="3">
        <v>1125</v>
      </c>
      <c r="E47" s="3">
        <v>3333</v>
      </c>
      <c r="F47" s="4">
        <v>104567</v>
      </c>
      <c r="G47" s="11" t="str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 city",CHOOSE({1,2}, Super_CBSA!$E$2:$E$1917, Super_CBSA!$A$2:$A$1917), 2,FALSE), ""))</f>
        <v/>
      </c>
    </row>
    <row r="48" spans="1:7" ht="17">
      <c r="A48" s="1" t="s">
        <v>5604</v>
      </c>
      <c r="B48" s="2" t="s">
        <v>5010</v>
      </c>
      <c r="C48" s="2">
        <v>48</v>
      </c>
      <c r="D48" s="3">
        <v>1431</v>
      </c>
      <c r="E48" s="3">
        <v>5779</v>
      </c>
      <c r="F48" s="4">
        <v>165939</v>
      </c>
      <c r="G48" s="11" t="str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 city",CHOOSE({1,2}, Super_CBSA!$E$2:$E$1917, Super_CBSA!$A$2:$A$1917), 2,FALSE), ""))</f>
        <v/>
      </c>
    </row>
    <row r="49" spans="1:7" ht="17">
      <c r="A49" s="1" t="s">
        <v>5607</v>
      </c>
      <c r="B49" s="2" t="s">
        <v>5608</v>
      </c>
      <c r="C49" s="2">
        <v>124</v>
      </c>
      <c r="D49" s="3">
        <v>9068</v>
      </c>
      <c r="E49" s="3">
        <v>34305</v>
      </c>
      <c r="F49" s="4">
        <v>1321116</v>
      </c>
      <c r="G49" s="11" t="str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 city",CHOOSE({1,2}, Super_CBSA!$E$2:$E$1917, Super_CBSA!$A$2:$A$1917), 2,FALSE), ""))</f>
        <v/>
      </c>
    </row>
    <row r="50" spans="1:7" ht="17">
      <c r="A50" s="1" t="s">
        <v>5609</v>
      </c>
      <c r="B50" s="2" t="s">
        <v>5610</v>
      </c>
      <c r="C50" s="2">
        <v>318</v>
      </c>
      <c r="D50" s="3">
        <v>19337</v>
      </c>
      <c r="E50" s="3">
        <v>68087</v>
      </c>
      <c r="F50" s="4">
        <v>1865938</v>
      </c>
      <c r="G50" s="11" t="str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 city",CHOOSE({1,2}, Super_CBSA!$E$2:$E$1917, Super_CBSA!$A$2:$A$1917), 2,FALSE), ""))</f>
        <v/>
      </c>
    </row>
    <row r="51" spans="1:7" ht="17">
      <c r="A51" s="1" t="s">
        <v>5611</v>
      </c>
      <c r="B51" s="2" t="s">
        <v>1624</v>
      </c>
      <c r="C51" s="2">
        <v>27</v>
      </c>
      <c r="D51" s="3">
        <v>1095</v>
      </c>
      <c r="E51" s="3">
        <v>3862</v>
      </c>
      <c r="F51" s="4">
        <v>136452</v>
      </c>
      <c r="G51" s="11" t="str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 city",CHOOSE({1,2}, Super_CBSA!$E$2:$E$1917, Super_CBSA!$A$2:$A$1917), 2,FALSE), ""))</f>
        <v/>
      </c>
    </row>
    <row r="52" spans="1:7" ht="17">
      <c r="A52" s="1" t="s">
        <v>5617</v>
      </c>
      <c r="B52" s="2" t="s">
        <v>5618</v>
      </c>
      <c r="C52" s="2">
        <v>129</v>
      </c>
      <c r="D52" s="3">
        <v>9118</v>
      </c>
      <c r="E52" s="3">
        <v>28583</v>
      </c>
      <c r="F52" s="4">
        <v>955776</v>
      </c>
      <c r="G52" s="11" t="str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 city",CHOOSE({1,2}, Super_CBSA!$E$2:$E$1917, Super_CBSA!$A$2:$A$1917), 2,FALSE), ""))</f>
        <v/>
      </c>
    </row>
    <row r="53" spans="1:7" ht="17">
      <c r="A53" s="1" t="s">
        <v>5630</v>
      </c>
      <c r="B53" s="2" t="s">
        <v>919</v>
      </c>
      <c r="C53" s="2">
        <v>131</v>
      </c>
      <c r="D53" s="3">
        <v>6199</v>
      </c>
      <c r="E53" s="3">
        <v>27853</v>
      </c>
      <c r="F53" s="4">
        <v>811035</v>
      </c>
      <c r="G53" s="11" t="str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 city",CHOOSE({1,2}, Super_CBSA!$E$2:$E$1917, Super_CBSA!$A$2:$A$1917), 2,FALSE), ""))</f>
        <v/>
      </c>
    </row>
    <row r="54" spans="1:7" ht="17">
      <c r="A54" s="1" t="s">
        <v>5631</v>
      </c>
      <c r="B54" s="2" t="s">
        <v>1620</v>
      </c>
      <c r="C54" s="2">
        <v>58</v>
      </c>
      <c r="D54" s="3">
        <v>1252</v>
      </c>
      <c r="E54" s="3">
        <v>3067</v>
      </c>
      <c r="F54" s="4">
        <v>304815</v>
      </c>
      <c r="G54" s="11" t="str" cm="1">
        <f t="array" aca="1" ref="G54" ca="1">IFERROR(VLOOKUP("*" &amp; B54  &amp; "*" &amp; (MID(CELL("filename",A53),FIND("]",CELL("filename",A53))+1,31)) &amp; "*",CHOOSE({1,2}, Super_CBSA!$B$2:$B$1917, Super_CBSA!$A$2:$A$1917), 2,FALSE), IFERROR(VLOOKUP(B54  &amp; " city",CHOOSE({1,2}, Super_CBSA!$E$2:$E$1917, Super_CBSA!$A$2:$A$1917), 2,FALSE), ""))</f>
        <v/>
      </c>
    </row>
    <row r="55" spans="1:7" ht="17">
      <c r="A55" s="1" t="s">
        <v>5633</v>
      </c>
      <c r="B55" s="2" t="s">
        <v>5634</v>
      </c>
      <c r="C55" s="2">
        <v>321</v>
      </c>
      <c r="D55" s="3">
        <v>16892</v>
      </c>
      <c r="E55" s="3">
        <v>85226</v>
      </c>
      <c r="F55" s="4">
        <v>1957077</v>
      </c>
      <c r="G55" s="11" t="str" cm="1">
        <f t="array" aca="1" ref="G55" ca="1">IFERROR(VLOOKUP("*" &amp; B55  &amp; "*" &amp; (MID(CELL("filename",A54),FIND("]",CELL("filename",A54))+1,31)) &amp; "*",CHOOSE({1,2}, Super_CBSA!$B$2:$B$1917, Super_CBSA!$A$2:$A$1917), 2,FALSE), IFERROR(VLOOKUP(B55  &amp; " city",CHOOSE({1,2}, Super_CBSA!$E$2:$E$1917, Super_CBSA!$A$2:$A$1917), 2,FALSE), ""))</f>
        <v/>
      </c>
    </row>
    <row r="56" spans="1:7" ht="17">
      <c r="A56" s="1" t="s">
        <v>5650</v>
      </c>
      <c r="B56" s="2" t="s">
        <v>2548</v>
      </c>
      <c r="C56" s="2">
        <v>0</v>
      </c>
      <c r="D56" s="2">
        <v>0</v>
      </c>
      <c r="E56" s="2">
        <v>0</v>
      </c>
      <c r="F56" s="4">
        <v>0</v>
      </c>
      <c r="G56" s="11" t="str" cm="1">
        <f t="array" aca="1" ref="G56" ca="1">IFERROR(VLOOKUP("*" &amp; B56  &amp; "*" &amp; (MID(CELL("filename",A55),FIND("]",CELL("filename",A55))+1,31)) &amp; "*",CHOOSE({1,2}, Super_CBSA!$B$2:$B$1917, Super_CBSA!$A$2:$A$1917), 2,FALSE), IFERROR(VLOOKUP(B56  &amp; " city",CHOOSE({1,2}, Super_CBSA!$E$2:$E$1917, Super_CBSA!$A$2:$A$1917), 2,FALSE), ""))</f>
        <v/>
      </c>
    </row>
    <row r="57" spans="1:7" ht="17">
      <c r="A57" s="1" t="s">
        <v>5651</v>
      </c>
      <c r="B57" s="2" t="s">
        <v>2548</v>
      </c>
      <c r="C57" s="2">
        <v>514</v>
      </c>
      <c r="D57" s="3">
        <v>29386</v>
      </c>
      <c r="E57" s="3">
        <v>149397</v>
      </c>
      <c r="F57" s="4">
        <v>2348409</v>
      </c>
      <c r="G57" s="11" t="str" cm="1">
        <f t="array" aca="1" ref="G57" ca="1">IFERROR(VLOOKUP("*" &amp; B57  &amp; "*" &amp; (MID(CELL("filename",A56),FIND("]",CELL("filename",A56))+1,31)) &amp; "*",CHOOSE({1,2}, Super_CBSA!$B$2:$B$1917, Super_CBSA!$A$2:$A$1917), 2,FALSE), IFERROR(VLOOKUP(B57  &amp; " city",CHOOSE({1,2}, Super_CBSA!$E$2:$E$1917, Super_CBSA!$A$2:$A$1917), 2,FALSE), ""))</f>
        <v/>
      </c>
    </row>
    <row r="58" spans="1:7" ht="17">
      <c r="A58" s="1" t="s">
        <v>5652</v>
      </c>
      <c r="B58" s="2" t="s">
        <v>2548</v>
      </c>
      <c r="C58" s="2">
        <v>0</v>
      </c>
      <c r="D58" s="2">
        <v>0</v>
      </c>
      <c r="E58" s="2">
        <v>0</v>
      </c>
      <c r="F58" s="4">
        <v>0</v>
      </c>
      <c r="G58" s="11" t="str" cm="1">
        <f t="array" aca="1" ref="G58" ca="1">IFERROR(VLOOKUP("*" &amp; B58  &amp; "*" &amp; (MID(CELL("filename",A57),FIND("]",CELL("filename",A57))+1,31)) &amp; "*",CHOOSE({1,2}, Super_CBSA!$B$2:$B$1917, Super_CBSA!$A$2:$A$1917), 2,FALSE), IFERROR(VLOOKUP(B58  &amp; " city",CHOOSE({1,2}, Super_CBSA!$E$2:$E$1917, Super_CBSA!$A$2:$A$1917), 2,FALSE), ""))</f>
        <v/>
      </c>
    </row>
    <row r="59" spans="1:7" ht="17">
      <c r="A59" s="1" t="s">
        <v>1037</v>
      </c>
      <c r="B59" s="2" t="s">
        <v>5656</v>
      </c>
      <c r="C59" s="2">
        <v>112</v>
      </c>
      <c r="D59" s="3">
        <v>5223</v>
      </c>
      <c r="E59" s="3">
        <v>25284</v>
      </c>
      <c r="F59" s="4">
        <v>824059</v>
      </c>
      <c r="G59" s="11" t="str" cm="1">
        <f t="array" aca="1" ref="G59" ca="1">IFERROR(VLOOKUP("*" &amp; B59  &amp; "*" &amp; (MID(CELL("filename",A58),FIND("]",CELL("filename",A58))+1,31)) &amp; "*",CHOOSE({1,2}, Super_CBSA!$B$2:$B$1917, Super_CBSA!$A$2:$A$1917), 2,FALSE), IFERROR(VLOOKUP(B59  &amp; " city",CHOOSE({1,2}, Super_CBSA!$E$2:$E$1917, Super_CBSA!$A$2:$A$1917), 2,FALSE), ""))</f>
        <v/>
      </c>
    </row>
    <row r="60" spans="1:7" ht="17">
      <c r="A60" s="1" t="s">
        <v>5663</v>
      </c>
      <c r="B60" s="2" t="s">
        <v>652</v>
      </c>
      <c r="C60" s="2">
        <v>106</v>
      </c>
      <c r="D60" s="3">
        <v>5282</v>
      </c>
      <c r="E60" s="3">
        <v>32120</v>
      </c>
      <c r="F60" s="4">
        <v>912628</v>
      </c>
      <c r="G60" s="11" t="str" cm="1">
        <f t="array" aca="1" ref="G60" ca="1">IFERROR(VLOOKUP("*" &amp; B60  &amp; "*" &amp; (MID(CELL("filename",A59),FIND("]",CELL("filename",A59))+1,31)) &amp; "*",CHOOSE({1,2}, Super_CBSA!$B$2:$B$1917, Super_CBSA!$A$2:$A$1917), 2,FALSE), IFERROR(VLOOKUP(B60  &amp; " city",CHOOSE({1,2}, Super_CBSA!$E$2:$E$1917, Super_CBSA!$A$2:$A$1917), 2,FALSE), ""))</f>
        <v/>
      </c>
    </row>
    <row r="61" spans="1:7" ht="17">
      <c r="A61" s="1" t="s">
        <v>5667</v>
      </c>
      <c r="B61" s="2" t="s">
        <v>5668</v>
      </c>
      <c r="C61" s="2">
        <v>178</v>
      </c>
      <c r="D61" s="3">
        <v>10467</v>
      </c>
      <c r="E61" s="3">
        <v>49163</v>
      </c>
      <c r="F61" s="4">
        <v>889789</v>
      </c>
      <c r="G61" s="11" t="str" cm="1">
        <f t="array" aca="1" ref="G61" ca="1">IFERROR(VLOOKUP("*" &amp; B61  &amp; "*" &amp; (MID(CELL("filename",A60),FIND("]",CELL("filename",A60))+1,31)) &amp; "*",CHOOSE({1,2}, Super_CBSA!$B$2:$B$1917, Super_CBSA!$A$2:$A$1917), 2,FALSE), IFERROR(VLOOKUP(B61  &amp; " city",CHOOSE({1,2}, Super_CBSA!$E$2:$E$1917, Super_CBSA!$A$2:$A$1917), 2,FALSE), ""))</f>
        <v/>
      </c>
    </row>
    <row r="62" spans="1:7" ht="17">
      <c r="A62" s="1" t="s">
        <v>5670</v>
      </c>
      <c r="B62" s="2" t="s">
        <v>5671</v>
      </c>
      <c r="C62" s="2">
        <v>126</v>
      </c>
      <c r="D62" s="3">
        <v>6688</v>
      </c>
      <c r="E62" s="3">
        <v>21934</v>
      </c>
      <c r="F62" s="4">
        <v>668757</v>
      </c>
      <c r="G62" s="11" t="str" cm="1">
        <f t="array" aca="1" ref="G62" ca="1">IFERROR(VLOOKUP("*" &amp; B62  &amp; "*" &amp; (MID(CELL("filename",A61),FIND("]",CELL("filename",A61))+1,31)) &amp; "*",CHOOSE({1,2}, Super_CBSA!$B$2:$B$1917, Super_CBSA!$A$2:$A$1917), 2,FALSE), IFERROR(VLOOKUP(B62  &amp; " city",CHOOSE({1,2}, Super_CBSA!$E$2:$E$1917, Super_CBSA!$A$2:$A$1917), 2,FALSE), ""))</f>
        <v/>
      </c>
    </row>
    <row r="63" spans="1:7" ht="17">
      <c r="A63" s="1" t="s">
        <v>5678</v>
      </c>
      <c r="B63" s="2" t="s">
        <v>5679</v>
      </c>
      <c r="C63" s="2">
        <v>311</v>
      </c>
      <c r="D63" s="3">
        <v>16709</v>
      </c>
      <c r="E63" s="3">
        <v>78823</v>
      </c>
      <c r="F63" s="4">
        <v>2155891</v>
      </c>
      <c r="G63" s="11" t="str" cm="1">
        <f t="array" aca="1" ref="G63" ca="1">IFERROR(VLOOKUP("*" &amp; B63  &amp; "*" &amp; (MID(CELL("filename",A62),FIND("]",CELL("filename",A62))+1,31)) &amp; "*",CHOOSE({1,2}, Super_CBSA!$B$2:$B$1917, Super_CBSA!$A$2:$A$1917), 2,FALSE), IFERROR(VLOOKUP(B63  &amp; " city",CHOOSE({1,2}, Super_CBSA!$E$2:$E$1917, Super_CBSA!$A$2:$A$1917), 2,FALSE), ""))</f>
        <v/>
      </c>
    </row>
    <row r="64" spans="1:7" ht="17">
      <c r="A64" s="2" t="s">
        <v>56</v>
      </c>
      <c r="B64" s="2"/>
      <c r="C64" s="3">
        <v>10259</v>
      </c>
      <c r="D64" s="3">
        <v>540898</v>
      </c>
      <c r="E64" s="3">
        <v>2495246</v>
      </c>
      <c r="F64" s="4">
        <v>65490845</v>
      </c>
    </row>
  </sheetData>
  <sortState xmlns:xlrd2="http://schemas.microsoft.com/office/spreadsheetml/2017/richdata2" ref="A2:G63">
    <sortCondition ref="G2:G63"/>
  </sortState>
  <hyperlinks>
    <hyperlink ref="A19" r:id="rId1" display="https://www.ahd.com/free_profile/500077/_Providence_Holy_Family_Hospital/Spokane/Washington/" xr:uid="{97577570-7328-0E49-9F29-E75A4F416E48}"/>
    <hyperlink ref="A47" r:id="rId2" display="https://www.ahd.com/free_profile/500037/Astria_Toppenish_Hospital/Toppenish/Washington/" xr:uid="{364B2D8A-B569-9147-BE58-15D8188C19D8}"/>
    <hyperlink ref="A27" r:id="rId3" display="https://www.ahd.com/free_profile/500139/Capital_Medical_Center/Olympia/Washington/" xr:uid="{992B3F05-B7FC-BB44-A0D3-A9ABC98C1E52}"/>
    <hyperlink ref="A48" r:id="rId4" display="https://www.ahd.com/free_profile/500060/Cascade_Valley_Hospital/Arlington/Washington/" xr:uid="{6789E0A6-9219-894B-9A4A-8B268F8A7FB3}"/>
    <hyperlink ref="A36" r:id="rId5" display="https://www.ahd.com/free_profile/500016/Central_Washington_Hospital/Wenatchee/Washington/" xr:uid="{07400C6C-82BC-604C-AAA6-3FBF477E3993}"/>
    <hyperlink ref="A49" r:id="rId6" display="https://www.ahd.com/free_profile/500141/CHI_Franciscan_Health_-_St_Francis_Hospital_/Federal_Way/Washington/" xr:uid="{D9C14295-E56E-F742-9F58-309C96399BDD}"/>
    <hyperlink ref="A50" r:id="rId7" display="https://www.ahd.com/free_profile/500124/EvergreenHealth_Kirkland/Kirkland/Washington/" xr:uid="{532614C5-060B-C54F-A359-0C5E3766481B}"/>
    <hyperlink ref="A51" r:id="rId8" display="https://www.ahd.com/free_profile/500084/EvergreenHealth_Monroe/Monroe/Washington/" xr:uid="{90C6A03D-C968-D440-944B-C0357EEA9BDF}"/>
    <hyperlink ref="A43" r:id="rId9" display="https://www.ahd.com/free_profile/500031/Grays_Harbor_Community_Hospital/Aberdeen/Washington/" xr:uid="{043CA68D-B957-0E47-B410-89B298819DB8}"/>
    <hyperlink ref="A2" r:id="rId10" display="https://www.ahd.com/free_profile/500064/Harborview_Medical_Center/Seattle/Washington/" xr:uid="{81700346-7992-3749-A8EC-95F0C31866E5}"/>
    <hyperlink ref="A29" r:id="rId11" display="https://www.ahd.com/free_profile/I41169/Harrison_Medical_Center_-_Silverdale/Silverdale/Washington/" xr:uid="{6DD50A2A-803D-434A-8711-8B44EFD152E3}"/>
    <hyperlink ref="A52" r:id="rId12" display="https://www.ahd.com/free_profile/500011/Highline_Medical_Center/Burien/Washington/" xr:uid="{B46DB89E-CF94-EB4C-AFE9-6B37773A52E3}"/>
    <hyperlink ref="A34" r:id="rId13" display="https://www.ahd.com/free_profile/500007/Island_Hospital/Anacortes/Washington/" xr:uid="{4E641DD0-BD85-1A45-B205-7EAEF1191222}"/>
    <hyperlink ref="A44" r:id="rId14" display="https://www.ahd.com/free_profile/50013F/Jonathon_M_Wainwright_Memorial_VA_Medical_Center/Walla_Walla/Washington/" xr:uid="{B98290BC-F23D-B543-A275-E0B6ACCB6E41}"/>
    <hyperlink ref="A24" r:id="rId15" display="https://www.ahd.com/free_profile/500058/Kadlec_Regional_Medical_Center/Richland/Washington/" xr:uid="{878057C1-D941-9749-B30D-87E36A272C73}"/>
    <hyperlink ref="A17" r:id="rId16" display="https://www.ahd.com/free_profile/500150/Legacy_Salmon_Creek_Hospital/Vancouver/Washington/" xr:uid="{3F5EEBD8-DE10-1248-983E-6B2801F09979}"/>
    <hyperlink ref="A3" r:id="rId17" display="https://www.ahd.com/free_profile/50005F/Madigan_Army_Medical_Center/Tacoma/Washington/" xr:uid="{7553E3A7-E2D7-1047-8425-78FFB9E7974A}"/>
    <hyperlink ref="A4" r:id="rId18" display="https://www.ahd.com/free_profile/I08455/Multicare_Allenmore_Hospital_/Tacoma/Washington/" xr:uid="{EBF7B759-EA02-AB4A-AB5C-52EBDAAA8B19}"/>
    <hyperlink ref="A53" r:id="rId19" display="https://www.ahd.com/free_profile/500015/Multicare_Auburn_Medical_Center/Auburn/Washington/" xr:uid="{9E34F421-4326-6342-AD4D-6FFB29F197F4}"/>
    <hyperlink ref="A54" r:id="rId20" display="https://www.ahd.com/free_profile/500154/MultiCare_Covington_Medical_Center/Covington/Washington/" xr:uid="{50A6044A-9738-1C4A-81B6-FF9A84C6C83C}"/>
    <hyperlink ref="A20" r:id="rId21" display="https://www.ahd.com/free_profile/500044/MultiCare_Deaconess_Hospital/Spokane/Washington/" xr:uid="{FDE44FEF-7839-F244-87C8-5BAE307FE8CC}"/>
    <hyperlink ref="A55" r:id="rId22" display="https://www.ahd.com/free_profile/500079/MultiCare_Good_Samaritan_Hospital/Puyallup/Washington/" xr:uid="{84200917-F787-D64B-9185-C44880C61A91}"/>
    <hyperlink ref="A5" r:id="rId23" display="https://www.ahd.com/free_profile/500129/Multicare_Tacoma_General_Hospital/Tacoma/Washington/" xr:uid="{BC77CA94-FA84-874E-A934-D5F4BC6761AA}"/>
    <hyperlink ref="A21" r:id="rId24" display="https://www.ahd.com/free_profile/500119/MultiCare_Valley_Hospital/Spokane_Valley/Washington/" xr:uid="{0D98EAE3-D5E2-F749-8A88-6FE605C6DDCF}"/>
    <hyperlink ref="A30" r:id="rId25" display="https://www.ahd.com/free_profile/50006F/Naval_Hospital_Bremerton/Bremerton/Washington/" xr:uid="{2E7C2F93-F614-E64B-A1F8-918DD70379A3}"/>
    <hyperlink ref="A40" r:id="rId26" display="https://www.ahd.com/free_profile/50014F/Naval_Hospital_Oak_Harbor/Oak_Harbor/Washington/" xr:uid="{E0493DAA-251D-DF44-BCA4-B5DD1A17672C}"/>
    <hyperlink ref="A42" r:id="rId27" display="https://www.ahd.com/free_profile/500072/Olympic_Medical_Center/Port_Angeles/Washington/" xr:uid="{12197943-E3BD-A448-9EB6-FC49CBDF3E34}"/>
    <hyperlink ref="A6" r:id="rId28" display="https://www.ahd.com/free_profile/500051/Overlake_Medical_Center/Bellevue/Washington/" xr:uid="{39E5F999-ED60-D14F-8DF9-CDCEDE8314CD}"/>
    <hyperlink ref="A38" r:id="rId29" display="https://www.ahd.com/free_profile/500041/PeaceHealth_Saint_John_Medical_Center/Longview/Washington/" xr:uid="{51D67637-1EED-B149-B3A6-426905D486C3}"/>
    <hyperlink ref="A33" r:id="rId30" display="https://www.ahd.com/free_profile/500030/PeaceHealth_Saint_Joseph_Medical_Center/Bellingham/Washington/" xr:uid="{BABBDC59-0FD9-9945-9AEC-9C5E7094EC37}"/>
    <hyperlink ref="A18" r:id="rId31" display="https://www.ahd.com/free_profile/500050/PeaceHealth_Southwest_Medical_Center_/Vancouver/Washington/" xr:uid="{F11959ED-630B-FE4E-9C2F-4B67294A8666}"/>
    <hyperlink ref="A41" r:id="rId32" display="https://www.ahd.com/free_profile/500019/Providence_Centralia_Hospital/Centralia/Washington/" xr:uid="{9314CEFF-B3E9-F740-8E8B-FE8C0F9FA72D}"/>
    <hyperlink ref="A56" r:id="rId33" display="https://www.ahd.com/free_profile/I42106/Providence_Pavilion_for_Women_and_Children/Everett/Washington/" xr:uid="{D8B5EFEE-CCD6-7947-891F-643CC5D47003}"/>
    <hyperlink ref="A57" r:id="rId34" display="https://www.ahd.com/free_profile/500014/Providence_Regional_Medical_Center_Everett/Everett/Washington/" xr:uid="{86044C47-D7ED-DD40-AD24-CB9DF1EC5BA0}"/>
    <hyperlink ref="A58" r:id="rId35" display="https://www.ahd.com/free_profile/I42105/Providence_Regional_Medical_Center_Everett_Pacific_Campus/Everett/Washington/" xr:uid="{A469FCF2-93AB-DB4D-8C73-771D458D0BB0}"/>
    <hyperlink ref="A22" r:id="rId36" display="https://www.ahd.com/free_profile/500054/Providence_Sacred_Heart_Medical_Center_and_Children%27s_Hospital/Spokane/Washington/" xr:uid="{05EE7C4A-9FB8-1143-B8C5-D381BFFAC1CC}"/>
    <hyperlink ref="A45" r:id="rId37" display="https://www.ahd.com/free_profile/500002/Providence_Saint_Mary_Medical_Center/Walla_Walla/Washington/" xr:uid="{16721D8F-2702-174F-959F-F77B8CC2FF2A}"/>
    <hyperlink ref="A28" r:id="rId38" display="https://www.ahd.com/free_profile/500024/Providence_Saint_Peter_Hospital/Olympia/Washington/" xr:uid="{DA92E5CE-5CFE-5045-A02E-8163D2B61BFA}"/>
    <hyperlink ref="A59" r:id="rId39" display="https://www.ahd.com/free_profile/500151/Saint_Anthony_Hospital/Gig_Harbor/Washington/" xr:uid="{FFC9F23A-1A7D-974F-9449-A63B8474F01D}"/>
    <hyperlink ref="A7" r:id="rId40" display="https://www.ahd.com/free_profile/500108/Saint_Joseph_Medical_Center/Tacoma/Washington/" xr:uid="{FA1DFB5C-2AE5-4749-8C2B-0806E7CC5FCC}"/>
    <hyperlink ref="A39" r:id="rId41" display="https://www.ahd.com/free_profile/500033/Samaritan_Hospital/Moses_Lake/Washington/" xr:uid="{6110FC48-3BC0-BB47-B0EC-DC9465DAF751}"/>
    <hyperlink ref="A8" r:id="rId42" display="https://www.ahd.com/free_profile/500134/Schick_Shadel_Hospital/Seattle/Washington/" xr:uid="{29B12117-6805-EA48-972B-20FD8539A059}"/>
    <hyperlink ref="A9" r:id="rId43" display="https://www.ahd.com/free_profile/500138/Seattle_Cancer_Care_Alliance/Seattle/Washington/" xr:uid="{5FEB3BF3-4DDF-0244-B629-26EAB0E62119}"/>
    <hyperlink ref="A35" r:id="rId44" display="https://www.ahd.com/free_profile/500003/Skagit_Valley_Hospital/Mount_Vernon/Washington/" xr:uid="{3A8FFC80-40CE-E345-AC40-9C204159796E}"/>
    <hyperlink ref="A23" r:id="rId45" display="https://www.ahd.com/free_profile/50011F/Spokane_VA_Medical_Center/Spokane/Washington/" xr:uid="{3CDF88BD-95C7-3A4F-AE24-786990818813}"/>
    <hyperlink ref="A60" r:id="rId46" display="https://www.ahd.com/free_profile/500021/St_Clare_Hospital/Lakewood/Washington/" xr:uid="{D39EF040-0F7E-8744-BC6B-55AB76AE0517}"/>
    <hyperlink ref="A31" r:id="rId47" display="https://www.ahd.com/free_profile/500039/St_Michael_Medical_Center/Bremerton/Washington/" xr:uid="{1F8F5FDF-6C41-EE40-84E2-DE935BABADA3}"/>
    <hyperlink ref="A10" r:id="rId48" display="https://www.ahd.com/free_profile/I08434/Swedish__Ballard_Campus/Seattle/Washington/" xr:uid="{2AC19D63-CC80-A74F-A6D9-FD1D7D0A92D7}"/>
    <hyperlink ref="A11" r:id="rId49" display="https://www.ahd.com/free_profile/500025/Swedish_Cherry_Hill_Campus/Seattle/Washington/" xr:uid="{288E10FB-3A61-A34F-B209-AE97041576A6}"/>
    <hyperlink ref="A61" r:id="rId50" display="https://www.ahd.com/free_profile/500026/Swedish_Edmonds_Campus/Edmonds/Washington/" xr:uid="{15460163-C41A-954A-87C0-2BFE4151D8FC}"/>
    <hyperlink ref="A12" r:id="rId51" display="https://www.ahd.com/free_profile/500027/Swedish_First_Hill_Campus/Seattle/Washington/" xr:uid="{A8F46567-EC40-3140-ADF0-6F805192FF0E}"/>
    <hyperlink ref="A62" r:id="rId52" display="https://www.ahd.com/free_profile/500152/Swedish_Issaquah_Campus/Issaquah/Washington/" xr:uid="{ABA0C59E-DF8C-1D47-A8D6-7A370BA74716}"/>
    <hyperlink ref="A25" r:id="rId53" display="https://www.ahd.com/free_profile/I42000/Trios_Southridge_Hospital/Kennewick/Washington/" xr:uid="{3E525102-014F-BD43-8010-0C74CADE8D7A}"/>
    <hyperlink ref="A26" r:id="rId54" display="https://www.ahd.com/free_profile/500053/Trios_Women%27s_and_Children%27s_Hospital_/Kennewick/Washington/" xr:uid="{36BA6EAB-D222-304B-AC82-172B742F1BF7}"/>
    <hyperlink ref="A13" r:id="rId55" display="https://www.ahd.com/free_profile/500008/University_of_Washington_Medical_Center_-_Montlake/Seattle/Washington/" xr:uid="{E24B7912-B786-724C-BE8C-1D52F5F23B09}"/>
    <hyperlink ref="A14" r:id="rId56" display="https://www.ahd.com/free_profile/500001/University_of_Washington_Medical_Center-Northwest/Seattle/Washington/" xr:uid="{466C6DCF-27A6-6242-8EA5-49A771B254D1}"/>
    <hyperlink ref="A15" r:id="rId57" display="https://www.ahd.com/free_profile/50030F/VA_Puget_Sound_Health_Care_System_-_Seattle_Division/Seattle/Washington/" xr:uid="{E5AC3A25-BA1B-BE4E-B9F1-ABDDF749E249}"/>
    <hyperlink ref="A63" r:id="rId58" display="https://www.ahd.com/free_profile/500088/Valley_Medical_Center/Renton/Washington/" xr:uid="{4FA2BC07-29EA-BE4D-8736-6DF6B3A6FC52}"/>
    <hyperlink ref="A16" r:id="rId59" display="https://www.ahd.com/free_profile/500005/Virginia_Mason_Hospital_and_Seattle_Medical_Center/Seattle/Washington/" xr:uid="{8DCBCE00-16D1-794C-85C3-54F39DDD6B49}"/>
    <hyperlink ref="A32" r:id="rId60" display="https://www.ahd.com/free_profile/500036/Virginia_Mason_Memorial/Yakima/Washington/" xr:uid="{18730E01-F9E6-8B45-BB18-D667AB6CF69A}"/>
    <hyperlink ref="A46" r:id="rId61" display="https://www.ahd.com/free_profile/I08359/Washington_State_Penitentiary_Hospital/Walla_Walla/Washington/" xr:uid="{FF8C4A58-CE4A-F949-A276-FC845B42BEF0}"/>
    <hyperlink ref="A37" r:id="rId62" display="https://www.ahd.com/free_profile/500148/Wenatchee_Valley_Hospital_and_Clinics/Wenatchee/Washington/" xr:uid="{134D3D68-B2ED-AE45-B0E7-7524103ED5F6}"/>
  </hyperlink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EB1F1-CCB6-AC46-A302-FC70E5CB6522}">
  <sheetPr codeName="Sheet50"/>
  <dimension ref="A1:G79"/>
  <sheetViews>
    <sheetView topLeftCell="A65" workbookViewId="0">
      <selection activeCell="G78" sqref="G2:G78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5685</v>
      </c>
      <c r="B2" s="2" t="s">
        <v>5686</v>
      </c>
      <c r="C2" s="2">
        <v>120</v>
      </c>
      <c r="D2" s="3">
        <v>5203</v>
      </c>
      <c r="E2" s="3">
        <v>21484</v>
      </c>
      <c r="F2" s="4">
        <v>567491</v>
      </c>
      <c r="G2" s="11" t="str" cm="1">
        <f t="array" aca="1" ref="G2" ca="1">IFERROR(VLOOKUP("*" &amp; B2  &amp; "*" &amp; (MID(CELL("filename",A1),FIND("]",CELL("filename",A1))+1,31)) &amp; "*",CHOOSE({1,2}, Super_CBSA!$B$2:$B$1917, Super_CBSA!$A$2:$A$1917), 2,FALSE), IFERROR(VLOOKUP(B2  &amp; " city",CHOOSE({1,2}, Super_CBSA!$E$2:$E$1917, Super_CBSA!$A$2:$A$1917), 2,FALSE), ""))</f>
        <v/>
      </c>
    </row>
    <row r="3" spans="1:7" ht="17">
      <c r="A3" s="1" t="s">
        <v>5687</v>
      </c>
      <c r="B3" s="2" t="s">
        <v>5688</v>
      </c>
      <c r="C3" s="2">
        <v>0</v>
      </c>
      <c r="D3" s="2">
        <v>0</v>
      </c>
      <c r="E3" s="2">
        <v>0</v>
      </c>
      <c r="F3" s="4">
        <v>0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 city",CHOOSE({1,2}, Super_CBSA!$E$2:$E$1917, Super_CBSA!$A$2:$A$1917), 2,FALSE), ""))</f>
        <v>33340</v>
      </c>
    </row>
    <row r="4" spans="1:7" ht="17">
      <c r="A4" s="1" t="s">
        <v>5689</v>
      </c>
      <c r="B4" s="2" t="s">
        <v>5690</v>
      </c>
      <c r="C4" s="2">
        <v>84</v>
      </c>
      <c r="D4" s="3">
        <v>4004</v>
      </c>
      <c r="E4" s="3">
        <v>11832</v>
      </c>
      <c r="F4" s="4">
        <v>353159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 city",CHOOSE({1,2}, Super_CBSA!$E$2:$E$1917, Super_CBSA!$A$2:$A$1917), 2,FALSE), ""))</f>
        <v>44620</v>
      </c>
    </row>
    <row r="5" spans="1:7" ht="17">
      <c r="A5" s="1" t="s">
        <v>5691</v>
      </c>
      <c r="B5" s="2" t="s">
        <v>168</v>
      </c>
      <c r="C5" s="2">
        <v>0</v>
      </c>
      <c r="D5" s="2">
        <v>0</v>
      </c>
      <c r="E5" s="2">
        <v>0</v>
      </c>
      <c r="F5" s="4">
        <v>0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 city",CHOOSE({1,2}, Super_CBSA!$E$2:$E$1917, Super_CBSA!$A$2:$A$1917), 2,FALSE), ""))</f>
        <v>31540</v>
      </c>
    </row>
    <row r="6" spans="1:7" ht="17">
      <c r="A6" s="1" t="s">
        <v>5692</v>
      </c>
      <c r="B6" s="2" t="s">
        <v>5693</v>
      </c>
      <c r="C6" s="2">
        <v>263</v>
      </c>
      <c r="D6" s="3">
        <v>12995</v>
      </c>
      <c r="E6" s="3">
        <v>55394</v>
      </c>
      <c r="F6" s="4">
        <v>970313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 city",CHOOSE({1,2}, Super_CBSA!$E$2:$E$1917, Super_CBSA!$A$2:$A$1917), 2,FALSE), ""))</f>
        <v>39540</v>
      </c>
    </row>
    <row r="7" spans="1:7" ht="17">
      <c r="A7" s="1" t="s">
        <v>5694</v>
      </c>
      <c r="B7" s="2" t="s">
        <v>5693</v>
      </c>
      <c r="C7" s="2">
        <v>175</v>
      </c>
      <c r="D7" s="3">
        <v>5280</v>
      </c>
      <c r="E7" s="3">
        <v>32003</v>
      </c>
      <c r="F7" s="4">
        <v>98395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 city",CHOOSE({1,2}, Super_CBSA!$E$2:$E$1917, Super_CBSA!$A$2:$A$1917), 2,FALSE), ""))</f>
        <v>39540</v>
      </c>
    </row>
    <row r="8" spans="1:7" ht="17">
      <c r="A8" s="1" t="s">
        <v>5695</v>
      </c>
      <c r="B8" s="2" t="s">
        <v>5688</v>
      </c>
      <c r="C8" s="2">
        <v>263</v>
      </c>
      <c r="D8" s="3">
        <v>14121</v>
      </c>
      <c r="E8" s="3">
        <v>69250</v>
      </c>
      <c r="F8" s="4">
        <v>1513524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 city",CHOOSE({1,2}, Super_CBSA!$E$2:$E$1917, Super_CBSA!$A$2:$A$1917), 2,FALSE), ""))</f>
        <v>33340</v>
      </c>
    </row>
    <row r="9" spans="1:7" ht="17">
      <c r="A9" s="1" t="s">
        <v>5696</v>
      </c>
      <c r="B9" s="2" t="s">
        <v>5697</v>
      </c>
      <c r="C9" s="2">
        <v>110</v>
      </c>
      <c r="D9" s="3">
        <v>3859</v>
      </c>
      <c r="E9" s="3">
        <v>14268</v>
      </c>
      <c r="F9" s="4">
        <v>231606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 city",CHOOSE({1,2}, Super_CBSA!$E$2:$E$1917, Super_CBSA!$A$2:$A$1917), 2,FALSE), ""))</f>
        <v>36780</v>
      </c>
    </row>
    <row r="10" spans="1:7" ht="17">
      <c r="A10" s="1" t="s">
        <v>5698</v>
      </c>
      <c r="B10" s="2" t="s">
        <v>5699</v>
      </c>
      <c r="C10" s="2">
        <v>308</v>
      </c>
      <c r="D10" s="3">
        <v>12822</v>
      </c>
      <c r="E10" s="3">
        <v>48724</v>
      </c>
      <c r="F10" s="4">
        <v>787327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 city",CHOOSE({1,2}, Super_CBSA!$E$2:$E$1917, Super_CBSA!$A$2:$A$1917), 2,FALSE), ""))</f>
        <v>11540</v>
      </c>
    </row>
    <row r="11" spans="1:7" ht="17">
      <c r="A11" s="1" t="s">
        <v>5700</v>
      </c>
      <c r="B11" s="2" t="s">
        <v>1268</v>
      </c>
      <c r="C11" s="2">
        <v>99</v>
      </c>
      <c r="D11" s="3">
        <v>5089</v>
      </c>
      <c r="E11" s="3">
        <v>17976</v>
      </c>
      <c r="F11" s="4">
        <v>254164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 city",CHOOSE({1,2}, Super_CBSA!$E$2:$E$1917, Super_CBSA!$A$2:$A$1917), 2,FALSE), ""))</f>
        <v>48140</v>
      </c>
    </row>
    <row r="12" spans="1:7" ht="17">
      <c r="A12" s="1" t="s">
        <v>5701</v>
      </c>
      <c r="B12" s="2" t="s">
        <v>5702</v>
      </c>
      <c r="C12" s="2">
        <v>63</v>
      </c>
      <c r="D12" s="3">
        <v>2440</v>
      </c>
      <c r="E12" s="3">
        <v>8924</v>
      </c>
      <c r="F12" s="4">
        <v>295406</v>
      </c>
      <c r="G12" s="11" t="str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 city",CHOOSE({1,2}, Super_CBSA!$E$2:$E$1917, Super_CBSA!$A$2:$A$1917), 2,FALSE), ""))</f>
        <v/>
      </c>
    </row>
    <row r="13" spans="1:7" ht="17">
      <c r="A13" s="1" t="s">
        <v>5703</v>
      </c>
      <c r="B13" s="2" t="s">
        <v>2092</v>
      </c>
      <c r="C13" s="2">
        <v>44</v>
      </c>
      <c r="D13" s="3">
        <v>3239</v>
      </c>
      <c r="E13" s="3">
        <v>12644</v>
      </c>
      <c r="F13" s="4">
        <v>272262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 city",CHOOSE({1,2}, Super_CBSA!$E$2:$E$1917, Super_CBSA!$A$2:$A$1917), 2,FALSE), ""))</f>
        <v>47260</v>
      </c>
    </row>
    <row r="14" spans="1:7" ht="17">
      <c r="A14" s="1" t="s">
        <v>5704</v>
      </c>
      <c r="B14" s="2" t="s">
        <v>5705</v>
      </c>
      <c r="C14" s="2">
        <v>108</v>
      </c>
      <c r="D14" s="3">
        <v>5472</v>
      </c>
      <c r="E14" s="3">
        <v>20971</v>
      </c>
      <c r="F14" s="4">
        <v>310494</v>
      </c>
      <c r="G14" s="11" t="str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 city",CHOOSE({1,2}, Super_CBSA!$E$2:$E$1917, Super_CBSA!$A$2:$A$1917), 2,FALSE), ""))</f>
        <v/>
      </c>
    </row>
    <row r="15" spans="1:7" ht="17">
      <c r="A15" s="1" t="s">
        <v>5706</v>
      </c>
      <c r="B15" s="2" t="s">
        <v>5688</v>
      </c>
      <c r="C15" s="2">
        <v>334</v>
      </c>
      <c r="D15" s="3">
        <v>14807</v>
      </c>
      <c r="E15" s="3">
        <v>60314</v>
      </c>
      <c r="F15" s="4">
        <v>1216659</v>
      </c>
      <c r="G15" s="11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 city",CHOOSE({1,2}, Super_CBSA!$E$2:$E$1917, Super_CBSA!$A$2:$A$1917), 2,FALSE), ""))</f>
        <v>33340</v>
      </c>
    </row>
    <row r="16" spans="1:7" ht="17">
      <c r="A16" s="1" t="s">
        <v>5707</v>
      </c>
      <c r="B16" s="2" t="s">
        <v>5688</v>
      </c>
      <c r="C16" s="2">
        <v>153</v>
      </c>
      <c r="D16" s="3">
        <v>5933</v>
      </c>
      <c r="E16" s="3">
        <v>27843</v>
      </c>
      <c r="F16" s="4">
        <v>493335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 city",CHOOSE({1,2}, Super_CBSA!$E$2:$E$1917, Super_CBSA!$A$2:$A$1917), 2,FALSE), ""))</f>
        <v>33340</v>
      </c>
    </row>
    <row r="17" spans="1:7" ht="17">
      <c r="A17" s="1" t="s">
        <v>5708</v>
      </c>
      <c r="B17" s="2" t="s">
        <v>5709</v>
      </c>
      <c r="C17" s="2">
        <v>45</v>
      </c>
      <c r="D17" s="3">
        <v>3011</v>
      </c>
      <c r="E17" s="3">
        <v>10021</v>
      </c>
      <c r="F17" s="4">
        <v>336797</v>
      </c>
      <c r="G17" s="11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 city",CHOOSE({1,2}, Super_CBSA!$E$2:$E$1917, Super_CBSA!$A$2:$A$1917), 2,FALSE), ""))</f>
        <v>49220</v>
      </c>
    </row>
    <row r="18" spans="1:7" ht="17">
      <c r="A18" s="1" t="s">
        <v>5710</v>
      </c>
      <c r="B18" s="2" t="s">
        <v>5711</v>
      </c>
      <c r="C18" s="2">
        <v>235</v>
      </c>
      <c r="D18" s="3">
        <v>14241</v>
      </c>
      <c r="E18" s="3">
        <v>64239</v>
      </c>
      <c r="F18" s="4">
        <v>1389423</v>
      </c>
      <c r="G18" s="11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 city",CHOOSE({1,2}, Super_CBSA!$E$2:$E$1917, Super_CBSA!$A$2:$A$1917), 2,FALSE), ""))</f>
        <v>48140</v>
      </c>
    </row>
    <row r="19" spans="1:7" ht="17">
      <c r="A19" s="1" t="s">
        <v>5712</v>
      </c>
      <c r="B19" s="2" t="s">
        <v>5713</v>
      </c>
      <c r="C19" s="2">
        <v>167</v>
      </c>
      <c r="D19" s="3">
        <v>9697</v>
      </c>
      <c r="E19" s="3">
        <v>43892</v>
      </c>
      <c r="F19" s="4">
        <v>1399882</v>
      </c>
      <c r="G19" s="11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 city",CHOOSE({1,2}, Super_CBSA!$E$2:$E$1917, Super_CBSA!$A$2:$A$1917), 2,FALSE), ""))</f>
        <v>24580</v>
      </c>
    </row>
    <row r="20" spans="1:7" ht="17">
      <c r="A20" s="1" t="s">
        <v>5714</v>
      </c>
      <c r="B20" s="2" t="s">
        <v>5715</v>
      </c>
      <c r="C20" s="2">
        <v>64</v>
      </c>
      <c r="D20" s="3">
        <v>2564</v>
      </c>
      <c r="E20" s="3">
        <v>9159</v>
      </c>
      <c r="F20" s="4">
        <v>207371</v>
      </c>
      <c r="G20" s="11" t="str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 city",CHOOSE({1,2}, Super_CBSA!$E$2:$E$1917, Super_CBSA!$A$2:$A$1917), 2,FALSE), ""))</f>
        <v/>
      </c>
    </row>
    <row r="21" spans="1:7" ht="17">
      <c r="A21" s="1" t="s">
        <v>5716</v>
      </c>
      <c r="B21" s="2" t="s">
        <v>5717</v>
      </c>
      <c r="C21" s="2">
        <v>126</v>
      </c>
      <c r="D21" s="3">
        <v>7878</v>
      </c>
      <c r="E21" s="3">
        <v>31053</v>
      </c>
      <c r="F21" s="4">
        <v>849040</v>
      </c>
      <c r="G21" s="11" t="str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 city",CHOOSE({1,2}, Super_CBSA!$E$2:$E$1917, Super_CBSA!$A$2:$A$1917), 2,FALSE), ""))</f>
        <v/>
      </c>
    </row>
    <row r="22" spans="1:7" ht="17">
      <c r="A22" s="1" t="s">
        <v>5718</v>
      </c>
      <c r="B22" s="2" t="s">
        <v>2574</v>
      </c>
      <c r="C22" s="2">
        <v>55</v>
      </c>
      <c r="D22" s="3">
        <v>2049</v>
      </c>
      <c r="E22" s="3">
        <v>7663</v>
      </c>
      <c r="F22" s="4">
        <v>326056</v>
      </c>
      <c r="G22" s="11" t="str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 city",CHOOSE({1,2}, Super_CBSA!$E$2:$E$1917, Super_CBSA!$A$2:$A$1917), 2,FALSE), ""))</f>
        <v/>
      </c>
    </row>
    <row r="23" spans="1:7" ht="17">
      <c r="A23" s="1" t="s">
        <v>5719</v>
      </c>
      <c r="B23" s="2" t="s">
        <v>3556</v>
      </c>
      <c r="C23" s="2">
        <v>91</v>
      </c>
      <c r="D23" s="3">
        <v>4135</v>
      </c>
      <c r="E23" s="3">
        <v>16106</v>
      </c>
      <c r="F23" s="4">
        <v>395488</v>
      </c>
      <c r="G23" s="11" t="str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 city",CHOOSE({1,2}, Super_CBSA!$E$2:$E$1917, Super_CBSA!$A$2:$A$1917), 2,FALSE), ""))</f>
        <v/>
      </c>
    </row>
    <row r="24" spans="1:7" ht="17">
      <c r="A24" s="1" t="s">
        <v>5720</v>
      </c>
      <c r="B24" s="2" t="s">
        <v>5721</v>
      </c>
      <c r="C24" s="2">
        <v>74</v>
      </c>
      <c r="D24" s="3">
        <v>5593</v>
      </c>
      <c r="E24" s="3">
        <v>19965</v>
      </c>
      <c r="F24" s="4">
        <v>758050</v>
      </c>
      <c r="G24" s="11" t="str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 city",CHOOSE({1,2}, Super_CBSA!$E$2:$E$1917, Super_CBSA!$A$2:$A$1917), 2,FALSE), ""))</f>
        <v/>
      </c>
    </row>
    <row r="25" spans="1:7" ht="17">
      <c r="A25" s="1" t="s">
        <v>5722</v>
      </c>
      <c r="B25" s="2" t="s">
        <v>5723</v>
      </c>
      <c r="C25" s="2">
        <v>69</v>
      </c>
      <c r="D25" s="3">
        <v>2074</v>
      </c>
      <c r="E25" s="3">
        <v>6228</v>
      </c>
      <c r="F25" s="4">
        <v>231613</v>
      </c>
      <c r="G25" s="11" t="str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 city",CHOOSE({1,2}, Super_CBSA!$E$2:$E$1917, Super_CBSA!$A$2:$A$1917), 2,FALSE), ""))</f>
        <v/>
      </c>
    </row>
    <row r="26" spans="1:7" ht="17">
      <c r="A26" s="1" t="s">
        <v>5724</v>
      </c>
      <c r="B26" s="2" t="s">
        <v>5697</v>
      </c>
      <c r="C26" s="2">
        <v>72</v>
      </c>
      <c r="D26" s="3">
        <v>3246</v>
      </c>
      <c r="E26" s="3">
        <v>11765</v>
      </c>
      <c r="F26" s="4">
        <v>470135</v>
      </c>
      <c r="G26" s="11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 city",CHOOSE({1,2}, Super_CBSA!$E$2:$E$1917, Super_CBSA!$A$2:$A$1917), 2,FALSE), ""))</f>
        <v>36780</v>
      </c>
    </row>
    <row r="27" spans="1:7" ht="17">
      <c r="A27" s="1" t="s">
        <v>5725</v>
      </c>
      <c r="B27" s="2" t="s">
        <v>1090</v>
      </c>
      <c r="C27" s="2">
        <v>35</v>
      </c>
      <c r="D27" s="3">
        <v>1649</v>
      </c>
      <c r="E27" s="3">
        <v>5118</v>
      </c>
      <c r="F27" s="4">
        <v>208061</v>
      </c>
      <c r="G27" s="11" t="str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 city",CHOOSE({1,2}, Super_CBSA!$E$2:$E$1917, Super_CBSA!$A$2:$A$1917), 2,FALSE), ""))</f>
        <v/>
      </c>
    </row>
    <row r="28" spans="1:7" ht="17">
      <c r="A28" s="1" t="s">
        <v>5726</v>
      </c>
      <c r="B28" s="2" t="s">
        <v>5727</v>
      </c>
      <c r="C28" s="2">
        <v>55</v>
      </c>
      <c r="D28" s="3">
        <v>3132</v>
      </c>
      <c r="E28" s="3">
        <v>10279</v>
      </c>
      <c r="F28" s="4">
        <v>341060</v>
      </c>
      <c r="G28" s="11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 city",CHOOSE({1,2}, Super_CBSA!$E$2:$E$1917, Super_CBSA!$A$2:$A$1917), 2,FALSE), ""))</f>
        <v>31940</v>
      </c>
    </row>
    <row r="29" spans="1:7" ht="17">
      <c r="A29" s="1" t="s">
        <v>5728</v>
      </c>
      <c r="B29" s="2" t="s">
        <v>5688</v>
      </c>
      <c r="C29" s="2">
        <v>933</v>
      </c>
      <c r="D29" s="3">
        <v>39683</v>
      </c>
      <c r="E29" s="3">
        <v>227336</v>
      </c>
      <c r="F29" s="4">
        <v>5786945</v>
      </c>
      <c r="G29" s="11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 city",CHOOSE({1,2}, Super_CBSA!$E$2:$E$1917, Super_CBSA!$A$2:$A$1917), 2,FALSE), ""))</f>
        <v>33340</v>
      </c>
    </row>
    <row r="30" spans="1:7" ht="17">
      <c r="A30" s="1" t="s">
        <v>5729</v>
      </c>
      <c r="B30" s="2" t="s">
        <v>5730</v>
      </c>
      <c r="C30" s="2">
        <v>0</v>
      </c>
      <c r="D30" s="2">
        <v>0</v>
      </c>
      <c r="E30" s="2">
        <v>0</v>
      </c>
      <c r="F30" s="4">
        <v>0</v>
      </c>
      <c r="G30" s="11" t="str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 city",CHOOSE({1,2}, Super_CBSA!$E$2:$E$1917, Super_CBSA!$A$2:$A$1917), 2,FALSE), ""))</f>
        <v/>
      </c>
    </row>
    <row r="31" spans="1:7" ht="17">
      <c r="A31" s="1" t="s">
        <v>5731</v>
      </c>
      <c r="B31" s="2" t="s">
        <v>5732</v>
      </c>
      <c r="C31" s="2">
        <v>136</v>
      </c>
      <c r="D31" s="3">
        <v>5470</v>
      </c>
      <c r="E31" s="3">
        <v>19407</v>
      </c>
      <c r="F31" s="4">
        <v>489416</v>
      </c>
      <c r="G31" s="11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 city",CHOOSE({1,2}, Super_CBSA!$E$2:$E$1917, Super_CBSA!$A$2:$A$1917), 2,FALSE), ""))</f>
        <v>43100</v>
      </c>
    </row>
    <row r="32" spans="1:7" ht="17">
      <c r="A32" s="1" t="s">
        <v>5733</v>
      </c>
      <c r="B32" s="2" t="s">
        <v>5688</v>
      </c>
      <c r="C32" s="2">
        <v>228</v>
      </c>
      <c r="D32" s="3">
        <v>9256</v>
      </c>
      <c r="E32" s="3">
        <v>43777</v>
      </c>
      <c r="F32" s="4">
        <v>502034</v>
      </c>
      <c r="G32" s="11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 city",CHOOSE({1,2}, Super_CBSA!$E$2:$E$1917, Super_CBSA!$A$2:$A$1917), 2,FALSE), ""))</f>
        <v>33340</v>
      </c>
    </row>
    <row r="33" spans="1:7" ht="17">
      <c r="A33" s="1" t="s">
        <v>5734</v>
      </c>
      <c r="B33" s="2" t="s">
        <v>5735</v>
      </c>
      <c r="C33" s="2">
        <v>277</v>
      </c>
      <c r="D33" s="3">
        <v>11864</v>
      </c>
      <c r="E33" s="3">
        <v>56733</v>
      </c>
      <c r="F33" s="4">
        <v>921452</v>
      </c>
      <c r="G33" s="11" t="str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 city",CHOOSE({1,2}, Super_CBSA!$E$2:$E$1917, Super_CBSA!$A$2:$A$1917), 2,FALSE), ""))</f>
        <v/>
      </c>
    </row>
    <row r="34" spans="1:7" ht="17">
      <c r="A34" s="1" t="s">
        <v>5736</v>
      </c>
      <c r="B34" s="2" t="s">
        <v>5713</v>
      </c>
      <c r="C34" s="2">
        <v>175</v>
      </c>
      <c r="D34" s="3">
        <v>7967</v>
      </c>
      <c r="E34" s="3">
        <v>29121</v>
      </c>
      <c r="F34" s="4">
        <v>1242241</v>
      </c>
      <c r="G34" s="11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 city",CHOOSE({1,2}, Super_CBSA!$E$2:$E$1917, Super_CBSA!$A$2:$A$1917), 2,FALSE), ""))</f>
        <v>24580</v>
      </c>
    </row>
    <row r="35" spans="1:7" ht="17">
      <c r="A35" s="1" t="s">
        <v>5737</v>
      </c>
      <c r="B35" s="2" t="s">
        <v>5738</v>
      </c>
      <c r="C35" s="2">
        <v>103</v>
      </c>
      <c r="D35" s="3">
        <v>4352</v>
      </c>
      <c r="E35" s="3">
        <v>17220</v>
      </c>
      <c r="F35" s="4">
        <v>850706</v>
      </c>
      <c r="G35" s="11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 city",CHOOSE({1,2}, Super_CBSA!$E$2:$E$1917, Super_CBSA!$A$2:$A$1917), 2,FALSE), ""))</f>
        <v>27500</v>
      </c>
    </row>
    <row r="36" spans="1:7" ht="17">
      <c r="A36" s="1" t="s">
        <v>5739</v>
      </c>
      <c r="B36" s="2" t="s">
        <v>2128</v>
      </c>
      <c r="C36" s="2">
        <v>126</v>
      </c>
      <c r="D36" s="3">
        <v>1693</v>
      </c>
      <c r="E36" s="3">
        <v>5583</v>
      </c>
      <c r="F36" s="4">
        <v>240809</v>
      </c>
      <c r="G36" s="11" t="str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 city",CHOOSE({1,2}, Super_CBSA!$E$2:$E$1917, Super_CBSA!$A$2:$A$1917), 2,FALSE), ""))</f>
        <v/>
      </c>
    </row>
    <row r="37" spans="1:7" ht="17">
      <c r="A37" s="1" t="s">
        <v>5740</v>
      </c>
      <c r="B37" s="2" t="s">
        <v>5741</v>
      </c>
      <c r="C37" s="2">
        <v>49</v>
      </c>
      <c r="D37" s="3">
        <v>1523</v>
      </c>
      <c r="E37" s="3">
        <v>5226</v>
      </c>
      <c r="F37" s="4">
        <v>333328</v>
      </c>
      <c r="G37" s="11" cm="1">
        <f t="array" aca="1" ref="G37" ca="1">IFERROR(VLOOKUP("*" &amp; B37  &amp; "*" &amp; (MID(CELL("filename",A36),FIND("]",CELL("filename",A36))+1,31)) &amp; "*",CHOOSE({1,2}, Super_CBSA!$B$2:$B$1917, Super_CBSA!$A$2:$A$1917), 2,FALSE), IFERROR(VLOOKUP(B37  &amp; " city",CHOOSE({1,2}, Super_CBSA!$E$2:$E$1917, Super_CBSA!$A$2:$A$1917), 2,FALSE), ""))</f>
        <v>48020</v>
      </c>
    </row>
    <row r="38" spans="1:7" ht="17">
      <c r="A38" s="1" t="s">
        <v>5742</v>
      </c>
      <c r="B38" s="2" t="s">
        <v>5688</v>
      </c>
      <c r="C38" s="2">
        <v>607</v>
      </c>
      <c r="D38" s="3">
        <v>30235</v>
      </c>
      <c r="E38" s="3">
        <v>176148</v>
      </c>
      <c r="F38" s="4">
        <v>5137068</v>
      </c>
      <c r="G38" s="11" cm="1">
        <f t="array" aca="1" ref="G38" ca="1">IFERROR(VLOOKUP("*" &amp; B38  &amp; "*" &amp; (MID(CELL("filename",A37),FIND("]",CELL("filename",A37))+1,31)) &amp; "*",CHOOSE({1,2}, Super_CBSA!$B$2:$B$1917, Super_CBSA!$A$2:$A$1917), 2,FALSE), IFERROR(VLOOKUP(B38  &amp; " city",CHOOSE({1,2}, Super_CBSA!$E$2:$E$1917, Super_CBSA!$A$2:$A$1917), 2,FALSE), ""))</f>
        <v>33340</v>
      </c>
    </row>
    <row r="39" spans="1:7" ht="17">
      <c r="A39" s="1" t="s">
        <v>5743</v>
      </c>
      <c r="B39" s="2" t="s">
        <v>5721</v>
      </c>
      <c r="C39" s="2">
        <v>200</v>
      </c>
      <c r="D39" s="3">
        <v>7725</v>
      </c>
      <c r="E39" s="3">
        <v>37615</v>
      </c>
      <c r="F39" s="4">
        <v>1012178</v>
      </c>
      <c r="G39" s="11" t="str" cm="1">
        <f t="array" aca="1" ref="G39" ca="1">IFERROR(VLOOKUP("*" &amp; B39  &amp; "*" &amp; (MID(CELL("filename",A38),FIND("]",CELL("filename",A38))+1,31)) &amp; "*",CHOOSE({1,2}, Super_CBSA!$B$2:$B$1917, Super_CBSA!$A$2:$A$1917), 2,FALSE), IFERROR(VLOOKUP(B39  &amp; " city",CHOOSE({1,2}, Super_CBSA!$E$2:$E$1917, Super_CBSA!$A$2:$A$1917), 2,FALSE), ""))</f>
        <v/>
      </c>
    </row>
    <row r="40" spans="1:7" ht="17">
      <c r="A40" s="1" t="s">
        <v>5744</v>
      </c>
      <c r="B40" s="2" t="s">
        <v>5745</v>
      </c>
      <c r="C40" s="2">
        <v>202</v>
      </c>
      <c r="D40" s="3">
        <v>8609</v>
      </c>
      <c r="E40" s="3">
        <v>30659</v>
      </c>
      <c r="F40" s="4">
        <v>821247</v>
      </c>
      <c r="G40" s="11" t="str" cm="1">
        <f t="array" aca="1" ref="G40" ca="1">IFERROR(VLOOKUP("*" &amp; B40  &amp; "*" &amp; (MID(CELL("filename",A39),FIND("]",CELL("filename",A39))+1,31)) &amp; "*",CHOOSE({1,2}, Super_CBSA!$B$2:$B$1917, Super_CBSA!$A$2:$A$1917), 2,FALSE), IFERROR(VLOOKUP(B40  &amp; " city",CHOOSE({1,2}, Super_CBSA!$E$2:$E$1917, Super_CBSA!$A$2:$A$1917), 2,FALSE), ""))</f>
        <v/>
      </c>
    </row>
    <row r="41" spans="1:7" ht="17">
      <c r="A41" s="1" t="s">
        <v>5746</v>
      </c>
      <c r="B41" s="2" t="s">
        <v>5747</v>
      </c>
      <c r="C41" s="2">
        <v>107</v>
      </c>
      <c r="D41" s="2">
        <v>53</v>
      </c>
      <c r="E41" s="2">
        <v>111</v>
      </c>
      <c r="F41" s="4">
        <v>24678</v>
      </c>
      <c r="G41" s="11" t="str" cm="1">
        <f t="array" aca="1" ref="G41" ca="1">IFERROR(VLOOKUP("*" &amp; B41  &amp; "*" &amp; (MID(CELL("filename",A40),FIND("]",CELL("filename",A40))+1,31)) &amp; "*",CHOOSE({1,2}, Super_CBSA!$B$2:$B$1917, Super_CBSA!$A$2:$A$1917), 2,FALSE), IFERROR(VLOOKUP(B41  &amp; " city",CHOOSE({1,2}, Super_CBSA!$E$2:$E$1917, Super_CBSA!$A$2:$A$1917), 2,FALSE), ""))</f>
        <v/>
      </c>
    </row>
    <row r="42" spans="1:7" ht="17">
      <c r="A42" s="1" t="s">
        <v>5748</v>
      </c>
      <c r="B42" s="2" t="s">
        <v>5749</v>
      </c>
      <c r="C42" s="2">
        <v>70</v>
      </c>
      <c r="D42" s="3">
        <v>4077</v>
      </c>
      <c r="E42" s="3">
        <v>14418</v>
      </c>
      <c r="F42" s="4">
        <v>446550</v>
      </c>
      <c r="G42" s="11" t="str" cm="1">
        <f t="array" aca="1" ref="G42" ca="1">IFERROR(VLOOKUP("*" &amp; B42  &amp; "*" &amp; (MID(CELL("filename",A41),FIND("]",CELL("filename",A41))+1,31)) &amp; "*",CHOOSE({1,2}, Super_CBSA!$B$2:$B$1917, Super_CBSA!$A$2:$A$1917), 2,FALSE), IFERROR(VLOOKUP(B42  &amp; " city",CHOOSE({1,2}, Super_CBSA!$E$2:$E$1917, Super_CBSA!$A$2:$A$1917), 2,FALSE), ""))</f>
        <v/>
      </c>
    </row>
    <row r="43" spans="1:7" ht="17">
      <c r="A43" s="1" t="s">
        <v>5750</v>
      </c>
      <c r="B43" s="2" t="s">
        <v>5751</v>
      </c>
      <c r="C43" s="2">
        <v>269</v>
      </c>
      <c r="D43" s="3">
        <v>14532</v>
      </c>
      <c r="E43" s="3">
        <v>65878</v>
      </c>
      <c r="F43" s="4">
        <v>2204719</v>
      </c>
      <c r="G43" s="11" cm="1">
        <f t="array" aca="1" ref="G43" ca="1">IFERROR(VLOOKUP("*" &amp; B43  &amp; "*" &amp; (MID(CELL("filename",A42),FIND("]",CELL("filename",A42))+1,31)) &amp; "*",CHOOSE({1,2}, Super_CBSA!$B$2:$B$1917, Super_CBSA!$A$2:$A$1917), 2,FALSE), IFERROR(VLOOKUP(B43  &amp; " city",CHOOSE({1,2}, Super_CBSA!$E$2:$E$1917, Super_CBSA!$A$2:$A$1917), 2,FALSE), ""))</f>
        <v>29100</v>
      </c>
    </row>
    <row r="44" spans="1:7" ht="17">
      <c r="A44" s="1" t="s">
        <v>5752</v>
      </c>
      <c r="B44" s="2" t="s">
        <v>5753</v>
      </c>
      <c r="C44" s="2">
        <v>58</v>
      </c>
      <c r="D44" s="3">
        <v>2493</v>
      </c>
      <c r="E44" s="3">
        <v>8633</v>
      </c>
      <c r="F44" s="4">
        <v>382861</v>
      </c>
      <c r="G44" s="11" cm="1">
        <f t="array" aca="1" ref="G44" ca="1">IFERROR(VLOOKUP("*" &amp; B44  &amp; "*" &amp; (MID(CELL("filename",A43),FIND("]",CELL("filename",A43))+1,31)) &amp; "*",CHOOSE({1,2}, Super_CBSA!$B$2:$B$1917, Super_CBSA!$A$2:$A$1917), 2,FALSE), IFERROR(VLOOKUP(B44  &amp; " city",CHOOSE({1,2}, Super_CBSA!$E$2:$E$1917, Super_CBSA!$A$2:$A$1917), 2,FALSE), ""))</f>
        <v>31820</v>
      </c>
    </row>
    <row r="45" spans="1:7" ht="17">
      <c r="A45" s="1" t="s">
        <v>5754</v>
      </c>
      <c r="B45" s="2" t="s">
        <v>5755</v>
      </c>
      <c r="C45" s="2">
        <v>50</v>
      </c>
      <c r="D45" s="3">
        <v>2514</v>
      </c>
      <c r="E45" s="3">
        <v>8081</v>
      </c>
      <c r="F45" s="4">
        <v>131129</v>
      </c>
      <c r="G45" s="11" t="str" cm="1">
        <f t="array" aca="1" ref="G45" ca="1">IFERROR(VLOOKUP("*" &amp; B45  &amp; "*" &amp; (MID(CELL("filename",A44),FIND("]",CELL("filename",A44))+1,31)) &amp; "*",CHOOSE({1,2}, Super_CBSA!$B$2:$B$1917, Super_CBSA!$A$2:$A$1917), 2,FALSE), IFERROR(VLOOKUP(B45  &amp; " city",CHOOSE({1,2}, Super_CBSA!$E$2:$E$1917, Super_CBSA!$A$2:$A$1917), 2,FALSE), ""))</f>
        <v/>
      </c>
    </row>
    <row r="46" spans="1:7" ht="17">
      <c r="A46" s="1" t="s">
        <v>5756</v>
      </c>
      <c r="B46" s="2" t="s">
        <v>5757</v>
      </c>
      <c r="C46" s="2">
        <v>192</v>
      </c>
      <c r="D46" s="3">
        <v>7013</v>
      </c>
      <c r="E46" s="3">
        <v>32744</v>
      </c>
      <c r="F46" s="4">
        <v>436635</v>
      </c>
      <c r="G46" s="11" cm="1">
        <f t="array" aca="1" ref="G46" ca="1">IFERROR(VLOOKUP("*" &amp; B46  &amp; "*" &amp; (MID(CELL("filename",A45),FIND("]",CELL("filename",A45))+1,31)) &amp; "*",CHOOSE({1,2}, Super_CBSA!$B$2:$B$1917, Super_CBSA!$A$2:$A$1917), 2,FALSE), IFERROR(VLOOKUP(B46  &amp; " city",CHOOSE({1,2}, Super_CBSA!$E$2:$E$1917, Super_CBSA!$A$2:$A$1917), 2,FALSE), ""))</f>
        <v>20740</v>
      </c>
    </row>
    <row r="47" spans="1:7" ht="17">
      <c r="A47" s="1" t="s">
        <v>5758</v>
      </c>
      <c r="B47" s="2" t="s">
        <v>5759</v>
      </c>
      <c r="C47" s="2">
        <v>102</v>
      </c>
      <c r="D47" s="3">
        <v>2905</v>
      </c>
      <c r="E47" s="3">
        <v>12527</v>
      </c>
      <c r="F47" s="4">
        <v>128295</v>
      </c>
      <c r="G47" s="11" t="str" cm="1">
        <f t="array" aca="1" ref="G47" ca="1">IFERROR(VLOOKUP("*" &amp; B47  &amp; "*" &amp; (MID(CELL("filename",A46),FIND("]",CELL("filename",A46))+1,31)) &amp; "*",CHOOSE({1,2}, Super_CBSA!$B$2:$B$1917, Super_CBSA!$A$2:$A$1917), 2,FALSE), IFERROR(VLOOKUP(B47  &amp; " city",CHOOSE({1,2}, Super_CBSA!$E$2:$E$1917, Super_CBSA!$A$2:$A$1917), 2,FALSE), ""))</f>
        <v/>
      </c>
    </row>
    <row r="48" spans="1:7" ht="17">
      <c r="A48" s="1" t="s">
        <v>5760</v>
      </c>
      <c r="B48" s="2" t="s">
        <v>5713</v>
      </c>
      <c r="C48" s="2">
        <v>83</v>
      </c>
      <c r="D48" s="3">
        <v>3432</v>
      </c>
      <c r="E48" s="3">
        <v>12775</v>
      </c>
      <c r="F48" s="4">
        <v>373846</v>
      </c>
      <c r="G48" s="11" cm="1">
        <f t="array" aca="1" ref="G48" ca="1">IFERROR(VLOOKUP("*" &amp; B48  &amp; "*" &amp; (MID(CELL("filename",A47),FIND("]",CELL("filename",A47))+1,31)) &amp; "*",CHOOSE({1,2}, Super_CBSA!$B$2:$B$1917, Super_CBSA!$A$2:$A$1917), 2,FALSE), IFERROR(VLOOKUP(B48  &amp; " city",CHOOSE({1,2}, Super_CBSA!$E$2:$E$1917, Super_CBSA!$A$2:$A$1917), 2,FALSE), ""))</f>
        <v>24580</v>
      </c>
    </row>
    <row r="49" spans="1:7" ht="17">
      <c r="A49" s="1" t="s">
        <v>5761</v>
      </c>
      <c r="B49" s="2" t="s">
        <v>5732</v>
      </c>
      <c r="C49" s="2">
        <v>53</v>
      </c>
      <c r="D49" s="3">
        <v>1938</v>
      </c>
      <c r="E49" s="3">
        <v>6723</v>
      </c>
      <c r="F49" s="4">
        <v>323606</v>
      </c>
      <c r="G49" s="11" cm="1">
        <f t="array" aca="1" ref="G49" ca="1">IFERROR(VLOOKUP("*" &amp; B49  &amp; "*" &amp; (MID(CELL("filename",A48),FIND("]",CELL("filename",A48))+1,31)) &amp; "*",CHOOSE({1,2}, Super_CBSA!$B$2:$B$1917, Super_CBSA!$A$2:$A$1917), 2,FALSE), IFERROR(VLOOKUP(B49  &amp; " city",CHOOSE({1,2}, Super_CBSA!$E$2:$E$1917, Super_CBSA!$A$2:$A$1917), 2,FALSE), ""))</f>
        <v>43100</v>
      </c>
    </row>
    <row r="50" spans="1:7" ht="17">
      <c r="A50" s="1" t="s">
        <v>5762</v>
      </c>
      <c r="B50" s="2" t="s">
        <v>5713</v>
      </c>
      <c r="C50" s="2">
        <v>255</v>
      </c>
      <c r="D50" s="3">
        <v>10166</v>
      </c>
      <c r="E50" s="3">
        <v>48770</v>
      </c>
      <c r="F50" s="4">
        <v>1529138</v>
      </c>
      <c r="G50" s="11" cm="1">
        <f t="array" aca="1" ref="G50" ca="1">IFERROR(VLOOKUP("*" &amp; B50  &amp; "*" &amp; (MID(CELL("filename",A49),FIND("]",CELL("filename",A49))+1,31)) &amp; "*",CHOOSE({1,2}, Super_CBSA!$B$2:$B$1917, Super_CBSA!$A$2:$A$1917), 2,FALSE), IFERROR(VLOOKUP(B50  &amp; " city",CHOOSE({1,2}, Super_CBSA!$E$2:$E$1917, Super_CBSA!$A$2:$A$1917), 2,FALSE), ""))</f>
        <v>24580</v>
      </c>
    </row>
    <row r="51" spans="1:7" ht="17">
      <c r="A51" s="1" t="s">
        <v>5763</v>
      </c>
      <c r="B51" s="2" t="s">
        <v>5764</v>
      </c>
      <c r="C51" s="2">
        <v>210</v>
      </c>
      <c r="D51" s="3">
        <v>11697</v>
      </c>
      <c r="E51" s="3">
        <v>66238</v>
      </c>
      <c r="F51" s="4">
        <v>1734553</v>
      </c>
      <c r="G51" s="11" cm="1">
        <f t="array" aca="1" ref="G51" ca="1">IFERROR(VLOOKUP("*" &amp; B51  &amp; "*" &amp; (MID(CELL("filename",A50),FIND("]",CELL("filename",A50))+1,31)) &amp; "*",CHOOSE({1,2}, Super_CBSA!$B$2:$B$1917, Super_CBSA!$A$2:$A$1917), 2,FALSE), IFERROR(VLOOKUP(B51  &amp; " city",CHOOSE({1,2}, Super_CBSA!$E$2:$E$1917, Super_CBSA!$A$2:$A$1917), 2,FALSE), ""))</f>
        <v>49220</v>
      </c>
    </row>
    <row r="52" spans="1:7" ht="17">
      <c r="A52" s="1" t="s">
        <v>5765</v>
      </c>
      <c r="B52" s="2" t="s">
        <v>5766</v>
      </c>
      <c r="C52" s="2">
        <v>0</v>
      </c>
      <c r="D52" s="2">
        <v>0</v>
      </c>
      <c r="E52" s="2">
        <v>0</v>
      </c>
      <c r="F52" s="4">
        <v>0</v>
      </c>
      <c r="G52" s="11" t="str" cm="1">
        <f t="array" aca="1" ref="G52" ca="1">IFERROR(VLOOKUP("*" &amp; B52  &amp; "*" &amp; (MID(CELL("filename",A51),FIND("]",CELL("filename",A51))+1,31)) &amp; "*",CHOOSE({1,2}, Super_CBSA!$B$2:$B$1917, Super_CBSA!$A$2:$A$1917), 2,FALSE), IFERROR(VLOOKUP(B52  &amp; " city",CHOOSE({1,2}, Super_CBSA!$E$2:$E$1917, Super_CBSA!$A$2:$A$1917), 2,FALSE), ""))</f>
        <v/>
      </c>
    </row>
    <row r="53" spans="1:7" ht="17">
      <c r="A53" s="1" t="s">
        <v>5767</v>
      </c>
      <c r="B53" s="2" t="s">
        <v>5757</v>
      </c>
      <c r="C53" s="2">
        <v>44</v>
      </c>
      <c r="D53" s="3">
        <v>2878</v>
      </c>
      <c r="E53" s="3">
        <v>11314</v>
      </c>
      <c r="F53" s="4">
        <v>618855</v>
      </c>
      <c r="G53" s="11" cm="1">
        <f t="array" aca="1" ref="G53" ca="1">IFERROR(VLOOKUP("*" &amp; B53  &amp; "*" &amp; (MID(CELL("filename",A52),FIND("]",CELL("filename",A52))+1,31)) &amp; "*",CHOOSE({1,2}, Super_CBSA!$B$2:$B$1917, Super_CBSA!$A$2:$A$1917), 2,FALSE), IFERROR(VLOOKUP(B53  &amp; " city",CHOOSE({1,2}, Super_CBSA!$E$2:$E$1917, Super_CBSA!$A$2:$A$1917), 2,FALSE), ""))</f>
        <v>20740</v>
      </c>
    </row>
    <row r="54" spans="1:7" ht="17">
      <c r="A54" s="1" t="s">
        <v>5768</v>
      </c>
      <c r="B54" s="2" t="s">
        <v>5769</v>
      </c>
      <c r="C54" s="2">
        <v>240</v>
      </c>
      <c r="D54" s="3">
        <v>1380</v>
      </c>
      <c r="E54" s="3">
        <v>4744</v>
      </c>
      <c r="F54" s="4">
        <v>263862</v>
      </c>
      <c r="G54" s="11" cm="1">
        <f t="array" aca="1" ref="G54" ca="1">IFERROR(VLOOKUP("*" &amp; B54  &amp; "*" &amp; (MID(CELL("filename",A53),FIND("]",CELL("filename",A53))+1,31)) &amp; "*",CHOOSE({1,2}, Super_CBSA!$B$2:$B$1917, Super_CBSA!$A$2:$A$1917), 2,FALSE), IFERROR(VLOOKUP(B54  &amp; " city",CHOOSE({1,2}, Super_CBSA!$E$2:$E$1917, Super_CBSA!$A$2:$A$1917), 2,FALSE), ""))</f>
        <v>13180</v>
      </c>
    </row>
    <row r="55" spans="1:7" ht="17">
      <c r="A55" s="1" t="s">
        <v>5770</v>
      </c>
      <c r="B55" s="2" t="s">
        <v>5771</v>
      </c>
      <c r="C55" s="2">
        <v>40</v>
      </c>
      <c r="D55" s="3">
        <v>2042</v>
      </c>
      <c r="E55" s="3">
        <v>6636</v>
      </c>
      <c r="F55" s="4">
        <v>326519</v>
      </c>
      <c r="G55" s="11" t="str" cm="1">
        <f t="array" aca="1" ref="G55" ca="1">IFERROR(VLOOKUP("*" &amp; B55  &amp; "*" &amp; (MID(CELL("filename",A54),FIND("]",CELL("filename",A54))+1,31)) &amp; "*",CHOOSE({1,2}, Super_CBSA!$B$2:$B$1917, Super_CBSA!$A$2:$A$1917), 2,FALSE), IFERROR(VLOOKUP(B55  &amp; " city",CHOOSE({1,2}, Super_CBSA!$E$2:$E$1917, Super_CBSA!$A$2:$A$1917), 2,FALSE), ""))</f>
        <v/>
      </c>
    </row>
    <row r="56" spans="1:7" ht="17">
      <c r="A56" s="1" t="s">
        <v>5772</v>
      </c>
      <c r="B56" s="2" t="s">
        <v>5751</v>
      </c>
      <c r="C56" s="2">
        <v>142</v>
      </c>
      <c r="D56" s="3">
        <v>5383</v>
      </c>
      <c r="E56" s="3">
        <v>22971</v>
      </c>
      <c r="F56" s="4">
        <v>965928</v>
      </c>
      <c r="G56" s="11" cm="1">
        <f t="array" aca="1" ref="G56" ca="1">IFERROR(VLOOKUP("*" &amp; B56  &amp; "*" &amp; (MID(CELL("filename",A55),FIND("]",CELL("filename",A55))+1,31)) &amp; "*",CHOOSE({1,2}, Super_CBSA!$B$2:$B$1917, Super_CBSA!$A$2:$A$1917), 2,FALSE), IFERROR(VLOOKUP(B56  &amp; " city",CHOOSE({1,2}, Super_CBSA!$E$2:$E$1917, Super_CBSA!$A$2:$A$1917), 2,FALSE), ""))</f>
        <v>29100</v>
      </c>
    </row>
    <row r="57" spans="1:7" ht="17">
      <c r="A57" s="1" t="s">
        <v>5773</v>
      </c>
      <c r="B57" s="2" t="s">
        <v>5757</v>
      </c>
      <c r="C57" s="2">
        <v>193</v>
      </c>
      <c r="D57" s="3">
        <v>10683</v>
      </c>
      <c r="E57" s="3">
        <v>48316</v>
      </c>
      <c r="F57" s="4">
        <v>1420777</v>
      </c>
      <c r="G57" s="11" cm="1">
        <f t="array" aca="1" ref="G57" ca="1">IFERROR(VLOOKUP("*" &amp; B57  &amp; "*" &amp; (MID(CELL("filename",A56),FIND("]",CELL("filename",A56))+1,31)) &amp; "*",CHOOSE({1,2}, Super_CBSA!$B$2:$B$1917, Super_CBSA!$A$2:$A$1917), 2,FALSE), IFERROR(VLOOKUP(B57  &amp; " city",CHOOSE({1,2}, Super_CBSA!$E$2:$E$1917, Super_CBSA!$A$2:$A$1917), 2,FALSE), ""))</f>
        <v>20740</v>
      </c>
    </row>
    <row r="58" spans="1:7" ht="17">
      <c r="A58" s="1" t="s">
        <v>5774</v>
      </c>
      <c r="B58" s="2" t="s">
        <v>5775</v>
      </c>
      <c r="C58" s="2">
        <v>237</v>
      </c>
      <c r="D58" s="3">
        <v>6990</v>
      </c>
      <c r="E58" s="3">
        <v>30410</v>
      </c>
      <c r="F58" s="4">
        <v>1572485</v>
      </c>
      <c r="G58" s="11" cm="1">
        <f t="array" aca="1" ref="G58" ca="1">IFERROR(VLOOKUP("*" &amp; B58  &amp; "*" &amp; (MID(CELL("filename",A57),FIND("]",CELL("filename",A57))+1,31)) &amp; "*",CHOOSE({1,2}, Super_CBSA!$B$2:$B$1917, Super_CBSA!$A$2:$A$1917), 2,FALSE), IFERROR(VLOOKUP(B58  &amp; " city",CHOOSE({1,2}, Super_CBSA!$E$2:$E$1917, Super_CBSA!$A$2:$A$1917), 2,FALSE), ""))</f>
        <v>27500</v>
      </c>
    </row>
    <row r="59" spans="1:7" ht="17">
      <c r="A59" s="1" t="s">
        <v>5776</v>
      </c>
      <c r="B59" s="2" t="s">
        <v>2092</v>
      </c>
      <c r="C59" s="2">
        <v>16</v>
      </c>
      <c r="D59" s="3">
        <v>1588</v>
      </c>
      <c r="E59" s="3">
        <v>3131</v>
      </c>
      <c r="F59" s="4">
        <v>175130</v>
      </c>
      <c r="G59" s="11" cm="1">
        <f t="array" aca="1" ref="G59" ca="1">IFERROR(VLOOKUP("*" &amp; B59  &amp; "*" &amp; (MID(CELL("filename",A58),FIND("]",CELL("filename",A58))+1,31)) &amp; "*",CHOOSE({1,2}, Super_CBSA!$B$2:$B$1917, Super_CBSA!$A$2:$A$1917), 2,FALSE), IFERROR(VLOOKUP(B59  &amp; " city",CHOOSE({1,2}, Super_CBSA!$E$2:$E$1917, Super_CBSA!$A$2:$A$1917), 2,FALSE), ""))</f>
        <v>47260</v>
      </c>
    </row>
    <row r="60" spans="1:7" ht="17">
      <c r="A60" s="1" t="s">
        <v>5777</v>
      </c>
      <c r="B60" s="2" t="s">
        <v>5778</v>
      </c>
      <c r="C60" s="2">
        <v>100</v>
      </c>
      <c r="D60" s="2">
        <v>879</v>
      </c>
      <c r="E60" s="3">
        <v>2798</v>
      </c>
      <c r="F60" s="4">
        <v>190868</v>
      </c>
      <c r="G60" s="11" t="str" cm="1">
        <f t="array" aca="1" ref="G60" ca="1">IFERROR(VLOOKUP("*" &amp; B60  &amp; "*" &amp; (MID(CELL("filename",A59),FIND("]",CELL("filename",A59))+1,31)) &amp; "*",CHOOSE({1,2}, Super_CBSA!$B$2:$B$1917, Super_CBSA!$A$2:$A$1917), 2,FALSE), IFERROR(VLOOKUP(B60  &amp; " city",CHOOSE({1,2}, Super_CBSA!$E$2:$E$1917, Super_CBSA!$A$2:$A$1917), 2,FALSE), ""))</f>
        <v/>
      </c>
    </row>
    <row r="61" spans="1:7" ht="17">
      <c r="A61" s="1" t="s">
        <v>5779</v>
      </c>
      <c r="B61" s="2" t="s">
        <v>5688</v>
      </c>
      <c r="C61" s="2">
        <v>0</v>
      </c>
      <c r="D61" s="2">
        <v>0</v>
      </c>
      <c r="E61" s="2">
        <v>0</v>
      </c>
      <c r="F61" s="4">
        <v>0</v>
      </c>
      <c r="G61" s="11" cm="1">
        <f t="array" aca="1" ref="G61" ca="1">IFERROR(VLOOKUP("*" &amp; B61  &amp; "*" &amp; (MID(CELL("filename",A60),FIND("]",CELL("filename",A60))+1,31)) &amp; "*",CHOOSE({1,2}, Super_CBSA!$B$2:$B$1917, Super_CBSA!$A$2:$A$1917), 2,FALSE), IFERROR(VLOOKUP(B61  &amp; " city",CHOOSE({1,2}, Super_CBSA!$E$2:$E$1917, Super_CBSA!$A$2:$A$1917), 2,FALSE), ""))</f>
        <v>33340</v>
      </c>
    </row>
    <row r="62" spans="1:7" ht="17">
      <c r="A62" s="1" t="s">
        <v>5780</v>
      </c>
      <c r="B62" s="2" t="s">
        <v>4462</v>
      </c>
      <c r="C62" s="2">
        <v>13</v>
      </c>
      <c r="D62" s="2">
        <v>641</v>
      </c>
      <c r="E62" s="3">
        <v>1263</v>
      </c>
      <c r="F62" s="4">
        <v>146764</v>
      </c>
      <c r="G62" s="11" t="str" cm="1">
        <f t="array" aca="1" ref="G62" ca="1">IFERROR(VLOOKUP("*" &amp; B62  &amp; "*" &amp; (MID(CELL("filename",A61),FIND("]",CELL("filename",A61))+1,31)) &amp; "*",CHOOSE({1,2}, Super_CBSA!$B$2:$B$1917, Super_CBSA!$A$2:$A$1917), 2,FALSE), IFERROR(VLOOKUP(B62  &amp; " city",CHOOSE({1,2}, Super_CBSA!$E$2:$E$1917, Super_CBSA!$A$2:$A$1917), 2,FALSE), ""))</f>
        <v/>
      </c>
    </row>
    <row r="63" spans="1:7" ht="17">
      <c r="A63" s="1" t="s">
        <v>5781</v>
      </c>
      <c r="B63" s="2" t="s">
        <v>327</v>
      </c>
      <c r="C63" s="2">
        <v>30</v>
      </c>
      <c r="D63" s="3">
        <v>1486</v>
      </c>
      <c r="E63" s="3">
        <v>3203</v>
      </c>
      <c r="F63" s="4">
        <v>170431</v>
      </c>
      <c r="G63" s="11" t="str" cm="1">
        <f t="array" aca="1" ref="G63" ca="1">IFERROR(VLOOKUP("*" &amp; B63  &amp; "*" &amp; (MID(CELL("filename",A62),FIND("]",CELL("filename",A62))+1,31)) &amp; "*",CHOOSE({1,2}, Super_CBSA!$B$2:$B$1917, Super_CBSA!$A$2:$A$1917), 2,FALSE), IFERROR(VLOOKUP(B63  &amp; " city",CHOOSE({1,2}, Super_CBSA!$E$2:$E$1917, Super_CBSA!$A$2:$A$1917), 2,FALSE), ""))</f>
        <v/>
      </c>
    </row>
    <row r="64" spans="1:7" ht="17">
      <c r="A64" s="1" t="s">
        <v>5782</v>
      </c>
      <c r="B64" s="2" t="s">
        <v>5783</v>
      </c>
      <c r="C64" s="2">
        <v>58</v>
      </c>
      <c r="D64" s="3">
        <v>2939</v>
      </c>
      <c r="E64" s="3">
        <v>9893</v>
      </c>
      <c r="F64" s="4">
        <v>325421</v>
      </c>
      <c r="G64" s="11" t="str" cm="1">
        <f t="array" aca="1" ref="G64" ca="1">IFERROR(VLOOKUP("*" &amp; B64  &amp; "*" &amp; (MID(CELL("filename",A63),FIND("]",CELL("filename",A63))+1,31)) &amp; "*",CHOOSE({1,2}, Super_CBSA!$B$2:$B$1917, Super_CBSA!$A$2:$A$1917), 2,FALSE), IFERROR(VLOOKUP(B64  &amp; " city",CHOOSE({1,2}, Super_CBSA!$E$2:$E$1917, Super_CBSA!$A$2:$A$1917), 2,FALSE), ""))</f>
        <v/>
      </c>
    </row>
    <row r="65" spans="1:7" ht="17">
      <c r="A65" s="1" t="s">
        <v>5784</v>
      </c>
      <c r="B65" s="2" t="s">
        <v>5785</v>
      </c>
      <c r="C65" s="2">
        <v>262</v>
      </c>
      <c r="D65" s="3">
        <v>12495</v>
      </c>
      <c r="E65" s="3">
        <v>52079</v>
      </c>
      <c r="F65" s="4">
        <v>1659408</v>
      </c>
      <c r="G65" s="11" cm="1">
        <f t="array" aca="1" ref="G65" ca="1">IFERROR(VLOOKUP("*" &amp; B65  &amp; "*" &amp; (MID(CELL("filename",A64),FIND("]",CELL("filename",A64))+1,31)) &amp; "*",CHOOSE({1,2}, Super_CBSA!$B$2:$B$1917, Super_CBSA!$A$2:$A$1917), 2,FALSE), IFERROR(VLOOKUP(B65  &amp; " city",CHOOSE({1,2}, Super_CBSA!$E$2:$E$1917, Super_CBSA!$A$2:$A$1917), 2,FALSE), ""))</f>
        <v>33340</v>
      </c>
    </row>
    <row r="66" spans="1:7" ht="17">
      <c r="A66" s="1" t="s">
        <v>2672</v>
      </c>
      <c r="B66" s="2" t="s">
        <v>5786</v>
      </c>
      <c r="C66" s="2">
        <v>136</v>
      </c>
      <c r="D66" s="3">
        <v>5641</v>
      </c>
      <c r="E66" s="3">
        <v>22939</v>
      </c>
      <c r="F66" s="4">
        <v>1053406</v>
      </c>
      <c r="G66" s="11" cm="1">
        <f t="array" aca="1" ref="G66" ca="1">IFERROR(VLOOKUP("*" &amp; B66  &amp; "*" &amp; (MID(CELL("filename",A65),FIND("]",CELL("filename",A65))+1,31)) &amp; "*",CHOOSE({1,2}, Super_CBSA!$B$2:$B$1917, Super_CBSA!$A$2:$A$1917), 2,FALSE), IFERROR(VLOOKUP(B66  &amp; " city",CHOOSE({1,2}, Super_CBSA!$E$2:$E$1917, Super_CBSA!$A$2:$A$1917), 2,FALSE), ""))</f>
        <v>22540</v>
      </c>
    </row>
    <row r="67" spans="1:7" ht="17">
      <c r="A67" s="1" t="s">
        <v>5787</v>
      </c>
      <c r="B67" s="2" t="s">
        <v>5788</v>
      </c>
      <c r="C67" s="2">
        <v>36</v>
      </c>
      <c r="D67" s="3">
        <v>1898</v>
      </c>
      <c r="E67" s="3">
        <v>3732</v>
      </c>
      <c r="F67" s="4">
        <v>208272</v>
      </c>
      <c r="G67" s="11" t="str" cm="1">
        <f t="array" aca="1" ref="G67" ca="1">IFERROR(VLOOKUP("*" &amp; B67  &amp; "*" &amp; (MID(CELL("filename",A66),FIND("]",CELL("filename",A66))+1,31)) &amp; "*",CHOOSE({1,2}, Super_CBSA!$B$2:$B$1917, Super_CBSA!$A$2:$A$1917), 2,FALSE), IFERROR(VLOOKUP(B67  &amp; " city",CHOOSE({1,2}, Super_CBSA!$E$2:$E$1917, Super_CBSA!$A$2:$A$1917), 2,FALSE), ""))</f>
        <v/>
      </c>
    </row>
    <row r="68" spans="1:7" ht="17">
      <c r="A68" s="1" t="s">
        <v>5789</v>
      </c>
      <c r="B68" s="2" t="s">
        <v>5790</v>
      </c>
      <c r="C68" s="2">
        <v>43</v>
      </c>
      <c r="D68" s="3">
        <v>2152</v>
      </c>
      <c r="E68" s="3">
        <v>6212</v>
      </c>
      <c r="F68" s="4">
        <v>184296</v>
      </c>
      <c r="G68" s="11" cm="1">
        <f t="array" aca="1" ref="G68" ca="1">IFERROR(VLOOKUP("*" &amp; B68  &amp; "*" &amp; (MID(CELL("filename",A67),FIND("]",CELL("filename",A67))+1,31)) &amp; "*",CHOOSE({1,2}, Super_CBSA!$B$2:$B$1917, Super_CBSA!$A$2:$A$1917), 2,FALSE), IFERROR(VLOOKUP(B68  &amp; " city",CHOOSE({1,2}, Super_CBSA!$E$2:$E$1917, Super_CBSA!$A$2:$A$1917), 2,FALSE), ""))</f>
        <v>12660</v>
      </c>
    </row>
    <row r="69" spans="1:7" ht="17">
      <c r="A69" s="1" t="s">
        <v>5791</v>
      </c>
      <c r="B69" s="2" t="s">
        <v>168</v>
      </c>
      <c r="C69" s="2">
        <v>362</v>
      </c>
      <c r="D69" s="3">
        <v>18306</v>
      </c>
      <c r="E69" s="3">
        <v>89997</v>
      </c>
      <c r="F69" s="4">
        <v>1257325</v>
      </c>
      <c r="G69" s="11" cm="1">
        <f t="array" aca="1" ref="G69" ca="1">IFERROR(VLOOKUP("*" &amp; B69  &amp; "*" &amp; (MID(CELL("filename",A68),FIND("]",CELL("filename",A68))+1,31)) &amp; "*",CHOOSE({1,2}, Super_CBSA!$B$2:$B$1917, Super_CBSA!$A$2:$A$1917), 2,FALSE), IFERROR(VLOOKUP(B69  &amp; " city",CHOOSE({1,2}, Super_CBSA!$E$2:$E$1917, Super_CBSA!$A$2:$A$1917), 2,FALSE), ""))</f>
        <v>31540</v>
      </c>
    </row>
    <row r="70" spans="1:7" ht="17">
      <c r="A70" s="1" t="s">
        <v>5792</v>
      </c>
      <c r="B70" s="2" t="s">
        <v>5775</v>
      </c>
      <c r="C70" s="2">
        <v>50</v>
      </c>
      <c r="D70" s="3">
        <v>3286</v>
      </c>
      <c r="E70" s="3">
        <v>9607</v>
      </c>
      <c r="F70" s="4">
        <v>214011</v>
      </c>
      <c r="G70" s="11" cm="1">
        <f t="array" aca="1" ref="G70" ca="1">IFERROR(VLOOKUP("*" &amp; B70  &amp; "*" &amp; (MID(CELL("filename",A69),FIND("]",CELL("filename",A69))+1,31)) &amp; "*",CHOOSE({1,2}, Super_CBSA!$B$2:$B$1917, Super_CBSA!$A$2:$A$1917), 2,FALSE), IFERROR(VLOOKUP(B70  &amp; " city",CHOOSE({1,2}, Super_CBSA!$E$2:$E$1917, Super_CBSA!$A$2:$A$1917), 2,FALSE), ""))</f>
        <v>27500</v>
      </c>
    </row>
    <row r="71" spans="1:7" ht="17">
      <c r="A71" s="1" t="s">
        <v>5793</v>
      </c>
      <c r="B71" s="2" t="s">
        <v>1624</v>
      </c>
      <c r="C71" s="2">
        <v>58</v>
      </c>
      <c r="D71" s="3">
        <v>2540</v>
      </c>
      <c r="E71" s="3">
        <v>9609</v>
      </c>
      <c r="F71" s="4">
        <v>509233</v>
      </c>
      <c r="G71" s="11" t="str" cm="1">
        <f t="array" aca="1" ref="G71" ca="1">IFERROR(VLOOKUP("*" &amp; B71  &amp; "*" &amp; (MID(CELL("filename",A70),FIND("]",CELL("filename",A70))+1,31)) &amp; "*",CHOOSE({1,2}, Super_CBSA!$B$2:$B$1917, Super_CBSA!$A$2:$A$1917), 2,FALSE), IFERROR(VLOOKUP(B71  &amp; " city",CHOOSE({1,2}, Super_CBSA!$E$2:$E$1917, Super_CBSA!$A$2:$A$1917), 2,FALSE), ""))</f>
        <v/>
      </c>
    </row>
    <row r="72" spans="1:7" ht="17">
      <c r="A72" s="1" t="s">
        <v>5794</v>
      </c>
      <c r="B72" s="2" t="s">
        <v>5699</v>
      </c>
      <c r="C72" s="2">
        <v>147</v>
      </c>
      <c r="D72" s="3">
        <v>9770</v>
      </c>
      <c r="E72" s="3">
        <v>32742</v>
      </c>
      <c r="F72" s="4">
        <v>702481</v>
      </c>
      <c r="G72" s="11" cm="1">
        <f t="array" aca="1" ref="G72" ca="1">IFERROR(VLOOKUP("*" &amp; B72  &amp; "*" &amp; (MID(CELL("filename",A71),FIND("]",CELL("filename",A71))+1,31)) &amp; "*",CHOOSE({1,2}, Super_CBSA!$B$2:$B$1917, Super_CBSA!$A$2:$A$1917), 2,FALSE), IFERROR(VLOOKUP(B72  &amp; " city",CHOOSE({1,2}, Super_CBSA!$E$2:$E$1917, Super_CBSA!$A$2:$A$1917), 2,FALSE), ""))</f>
        <v>11540</v>
      </c>
    </row>
    <row r="73" spans="1:7" ht="17">
      <c r="A73" s="1" t="s">
        <v>5795</v>
      </c>
      <c r="B73" s="2" t="s">
        <v>5796</v>
      </c>
      <c r="C73" s="2">
        <v>151</v>
      </c>
      <c r="D73" s="3">
        <v>9940</v>
      </c>
      <c r="E73" s="3">
        <v>32064</v>
      </c>
      <c r="F73" s="4">
        <v>475843</v>
      </c>
      <c r="G73" s="11" cm="1">
        <f t="array" aca="1" ref="G73" ca="1">IFERROR(VLOOKUP("*" &amp; B73  &amp; "*" &amp; (MID(CELL("filename",A72),FIND("]",CELL("filename",A72))+1,31)) &amp; "*",CHOOSE({1,2}, Super_CBSA!$B$2:$B$1917, Super_CBSA!$A$2:$A$1917), 2,FALSE), IFERROR(VLOOKUP(B73  &amp; " city",CHOOSE({1,2}, Super_CBSA!$E$2:$E$1917, Super_CBSA!$A$2:$A$1917), 2,FALSE), ""))</f>
        <v>36780</v>
      </c>
    </row>
    <row r="74" spans="1:7" ht="17">
      <c r="A74" s="1" t="s">
        <v>5797</v>
      </c>
      <c r="B74" s="2" t="s">
        <v>5798</v>
      </c>
      <c r="C74" s="2">
        <v>0</v>
      </c>
      <c r="D74" s="2">
        <v>0</v>
      </c>
      <c r="E74" s="2">
        <v>0</v>
      </c>
      <c r="F74" s="4">
        <v>0</v>
      </c>
      <c r="G74" s="11" t="str" cm="1">
        <f t="array" aca="1" ref="G74" ca="1">IFERROR(VLOOKUP("*" &amp; B74  &amp; "*" &amp; (MID(CELL("filename",A73),FIND("]",CELL("filename",A73))+1,31)) &amp; "*",CHOOSE({1,2}, Super_CBSA!$B$2:$B$1917, Super_CBSA!$A$2:$A$1917), 2,FALSE), IFERROR(VLOOKUP(B74  &amp; " city",CHOOSE({1,2}, Super_CBSA!$E$2:$E$1917, Super_CBSA!$A$2:$A$1917), 2,FALSE), ""))</f>
        <v/>
      </c>
    </row>
    <row r="75" spans="1:7" ht="17">
      <c r="A75" s="1" t="s">
        <v>5799</v>
      </c>
      <c r="B75" s="2" t="s">
        <v>168</v>
      </c>
      <c r="C75" s="2">
        <v>290</v>
      </c>
      <c r="D75" s="3">
        <v>15248</v>
      </c>
      <c r="E75" s="3">
        <v>69047</v>
      </c>
      <c r="F75" s="4">
        <v>1215155</v>
      </c>
      <c r="G75" s="11" cm="1">
        <f t="array" aca="1" ref="G75" ca="1">IFERROR(VLOOKUP("*" &amp; B75  &amp; "*" &amp; (MID(CELL("filename",A74),FIND("]",CELL("filename",A74))+1,31)) &amp; "*",CHOOSE({1,2}, Super_CBSA!$B$2:$B$1917, Super_CBSA!$A$2:$A$1917), 2,FALSE), IFERROR(VLOOKUP(B75  &amp; " city",CHOOSE({1,2}, Super_CBSA!$E$2:$E$1917, Super_CBSA!$A$2:$A$1917), 2,FALSE), ""))</f>
        <v>31540</v>
      </c>
    </row>
    <row r="76" spans="1:7" ht="17">
      <c r="A76" s="1" t="s">
        <v>1654</v>
      </c>
      <c r="B76" s="2" t="s">
        <v>168</v>
      </c>
      <c r="C76" s="2">
        <v>626</v>
      </c>
      <c r="D76" s="3">
        <v>32219</v>
      </c>
      <c r="E76" s="3">
        <v>168930</v>
      </c>
      <c r="F76" s="4">
        <v>4787930</v>
      </c>
      <c r="G76" s="11" cm="1">
        <f t="array" aca="1" ref="G76" ca="1">IFERROR(VLOOKUP("*" &amp; B76  &amp; "*" &amp; (MID(CELL("filename",A75),FIND("]",CELL("filename",A75))+1,31)) &amp; "*",CHOOSE({1,2}, Super_CBSA!$B$2:$B$1917, Super_CBSA!$A$2:$A$1917), 2,FALSE), IFERROR(VLOOKUP(B76  &amp; " city",CHOOSE({1,2}, Super_CBSA!$E$2:$E$1917, Super_CBSA!$A$2:$A$1917), 2,FALSE), ""))</f>
        <v>31540</v>
      </c>
    </row>
    <row r="77" spans="1:7" ht="17">
      <c r="A77" s="1" t="s">
        <v>5800</v>
      </c>
      <c r="B77" s="2" t="s">
        <v>3914</v>
      </c>
      <c r="C77" s="2">
        <v>95</v>
      </c>
      <c r="D77" s="3">
        <v>1741</v>
      </c>
      <c r="E77" s="3">
        <v>6079</v>
      </c>
      <c r="F77" s="4">
        <v>260095</v>
      </c>
      <c r="G77" s="11" cm="1">
        <f t="array" aca="1" ref="G77" ca="1">IFERROR(VLOOKUP("*" &amp; B77  &amp; "*" &amp; (MID(CELL("filename",A76),FIND("]",CELL("filename",A76))+1,31)) &amp; "*",CHOOSE({1,2}, Super_CBSA!$B$2:$B$1917, Super_CBSA!$A$2:$A$1917), 2,FALSE), IFERROR(VLOOKUP(B77  &amp; " city",CHOOSE({1,2}, Super_CBSA!$E$2:$E$1917, Super_CBSA!$A$2:$A$1917), 2,FALSE), ""))</f>
        <v>48020</v>
      </c>
    </row>
    <row r="78" spans="1:7" ht="17">
      <c r="A78" s="1" t="s">
        <v>5801</v>
      </c>
      <c r="B78" s="2" t="s">
        <v>168</v>
      </c>
      <c r="C78" s="2">
        <v>0</v>
      </c>
      <c r="D78" s="2">
        <v>0</v>
      </c>
      <c r="E78" s="2">
        <v>0</v>
      </c>
      <c r="F78" s="4">
        <v>0</v>
      </c>
      <c r="G78" s="11" cm="1">
        <f t="array" aca="1" ref="G78" ca="1">IFERROR(VLOOKUP("*" &amp; B78  &amp; "*" &amp; (MID(CELL("filename",A77),FIND("]",CELL("filename",A77))+1,31)) &amp; "*",CHOOSE({1,2}, Super_CBSA!$B$2:$B$1917, Super_CBSA!$A$2:$A$1917), 2,FALSE), IFERROR(VLOOKUP(B78  &amp; " city",CHOOSE({1,2}, Super_CBSA!$E$2:$E$1917, Super_CBSA!$A$2:$A$1917), 2,FALSE), ""))</f>
        <v>31540</v>
      </c>
    </row>
    <row r="79" spans="1:7" ht="17">
      <c r="A79" s="2" t="s">
        <v>56</v>
      </c>
      <c r="B79" s="2"/>
      <c r="C79" s="3">
        <v>11066</v>
      </c>
      <c r="D79" s="3">
        <v>495855</v>
      </c>
      <c r="E79" s="3">
        <v>2210554</v>
      </c>
      <c r="F79" s="4">
        <v>58035043</v>
      </c>
    </row>
  </sheetData>
  <hyperlinks>
    <hyperlink ref="A2" r:id="rId1" display="https://www.ahd.com/free_profile/520027/_Ascension_Columbia_Saint_Mary%27s_Hospital_Ozaukee/Mequon/Wisconsin/" xr:uid="{0CB611C7-EF16-E943-960B-6038EDBC2F76}"/>
    <hyperlink ref="A3" r:id="rId2" display="https://www.ahd.com/free_profile/I41836/_Ascension_Columbia_Saint_Mary%27s_Women%27s_Hospital/Milwaukee/Wisconsin/" xr:uid="{656BB811-1484-D84F-BAD0-9395437BAD6A}"/>
    <hyperlink ref="A4" r:id="rId3" display="https://www.ahd.com/free_profile/520002/_Ascension_Saint_Michael%27s_Hospital/Stevens_Point/Wisconsin/" xr:uid="{52FA000E-3608-EC4B-A44A-00AD1C853294}"/>
    <hyperlink ref="A5" r:id="rId4" display="https://www.ahd.com/free_profile/I42221/American_Family_Children%27s_Hospital_/Madison/Wisconsin/" xr:uid="{1F1E2ED0-A7F6-F845-B2AC-32DDBA1490DD}"/>
    <hyperlink ref="A6" r:id="rId5" display="https://www.ahd.com/free_profile/520096/Ascension_All_Saints_Hospital_-_Spring_Street_Campus/Racine/Wisconsin/" xr:uid="{418FE10F-EAB6-8448-BE40-A73173E4E20B}"/>
    <hyperlink ref="A7" r:id="rId6" display="https://www.ahd.com/free_profile/520094/Ascension_All_Saints_Hospital_Wisconsin_Avenue_Campus/Racine/Wisconsin/" xr:uid="{BAA14C98-4D32-C24A-AF65-E4D84A8E6544}"/>
    <hyperlink ref="A8" r:id="rId7" display="https://www.ahd.com/free_profile/520051/Ascension_Columbia_Saint_Mary%27s_Hospital_Milwaukee/Milwaukee/Wisconsin/" xr:uid="{753F0FF4-5B95-3F43-BEBB-2CED0A0E318F}"/>
    <hyperlink ref="A9" r:id="rId8" display="https://www.ahd.com/free_profile/520048/Ascension_North_East_Wisconsin_-_Mercy_Campus/Oshkosh/Wisconsin/" xr:uid="{6258E86B-492C-0B44-89D4-E4C766C02827}"/>
    <hyperlink ref="A10" r:id="rId9" display="https://www.ahd.com/free_profile/520009/Ascension_Northeast__Wisconsin_Saint_Elizabeth_Campus/Appleton/Wisconsin/" xr:uid="{FE825516-E213-2443-806B-51916CD91A4E}"/>
    <hyperlink ref="A11" r:id="rId10" display="https://www.ahd.com/free_profile/520202/Ascension_Saint_Clare%27s_Hospital/Weston/Wisconsin/" xr:uid="{EB730D13-2E2E-BC4C-A182-48316A62B379}"/>
    <hyperlink ref="A12" r:id="rId11" display="https://www.ahd.com/free_profile/520019/Ascension_Saint_Mary%27s_Hospital_/Rhinelander/Wisconsin/" xr:uid="{D5D953B0-26A0-664C-A5F2-2EDB277E9923}"/>
    <hyperlink ref="A13" r:id="rId12" display="https://www.ahd.com/free_profile/520204/Ascension_SE_Wisconsin_Hospital_Franklin_Campus/Franklin/Wisconsin/" xr:uid="{0D5CAA0F-0C90-0545-A1AE-7E4326BB6139}"/>
    <hyperlink ref="A14" r:id="rId13" display="https://www.ahd.com/free_profile/520170/Ascension_SE_Wisconsin_Hospital-Elmbrook_Campus/Brookfield/Wisconsin/" xr:uid="{6C80BD05-43B5-1E4E-97BF-762FB2DBD76F}"/>
    <hyperlink ref="A15" r:id="rId14" display="https://www.ahd.com/free_profile/520136/Ascension_SE_Wisconsin_Hospital-St_Joseph_Campus/Milwaukee/Wisconsin/" xr:uid="{3B48C00C-2997-9347-AA62-3EA666C57F9C}"/>
    <hyperlink ref="A16" r:id="rId15" display="https://www.ahd.com/free_profile/520078/Ascension_St_Francis_Hospital/Milwaukee/Wisconsin/" xr:uid="{D62B7A07-5899-5245-AA0E-E3FFBC5CBFB9}"/>
    <hyperlink ref="A17" r:id="rId16" display="https://www.ahd.com/free_profile/520033/Aspirus_Riverview_Hospital/Wisconsin_Rapids/Wisconsin/" xr:uid="{CC68F7FA-6FE1-F147-A7F0-56274C110827}"/>
    <hyperlink ref="A18" r:id="rId17" display="https://www.ahd.com/free_profile/520030/Aspirus_Wausau_Hospital/Wausau/Wisconsin/" xr:uid="{913F0C1F-5698-2E49-96E3-E8F6791A0D7F}"/>
    <hyperlink ref="A19" r:id="rId18" display="https://www.ahd.com/free_profile/520193/Aurora_BayCare_Medical_Center/Green_Bay/Wisconsin/" xr:uid="{6E44794B-545B-B944-97D4-357F676432E0}"/>
    <hyperlink ref="A20" r:id="rId19" display="https://www.ahd.com/free_profile/520102/Aurora_Lakeland_Medical_Center/Elkhorn/Wisconsin/" xr:uid="{4575984F-98F6-CA45-906D-87D3475E13F8}"/>
    <hyperlink ref="A21" r:id="rId20" display="https://www.ahd.com/free_profile/520207/Aurora_Medical_Center_Grafton/Grafton/Wisconsin/" xr:uid="{F1710017-BE7E-514C-A2AC-E630164D0F19}"/>
    <hyperlink ref="A22" r:id="rId21" display="https://www.ahd.com/free_profile/520059/Aurora_Medical_Center_in_Burlington/Burlington/Wisconsin/" xr:uid="{104DEA81-0FB0-FE4F-AEFE-942323F7C23B}"/>
    <hyperlink ref="A23" r:id="rId22" display="https://www.ahd.com/free_profile/520206/Aurora_Medical_Center_in_Summit/Summit/Wisconsin/" xr:uid="{54AD0DEA-4CDC-9A41-B4C7-D6C3FA83A93B}"/>
    <hyperlink ref="A24" r:id="rId23" display="https://www.ahd.com/free_profile/520189/Aurora_Medical_Center_Kenosha/Kenosha/Wisconsin/" xr:uid="{7167E8A3-B164-0741-BAA8-854FBF003BD7}"/>
    <hyperlink ref="A25" r:id="rId24" display="https://www.ahd.com/free_profile/520034/Aurora_Medical_Center_Manitowoc_County/Two_Rivers/Wisconsin/" xr:uid="{B8D4DAA6-D5CF-494D-9F2C-C03A0067B7CE}"/>
    <hyperlink ref="A26" r:id="rId25" display="https://www.ahd.com/free_profile/520198/Aurora_Medical_Center_Oshkosh/Oshkosh/Wisconsin/" xr:uid="{69326383-875C-104A-B65D-DC86668CA7EE}"/>
    <hyperlink ref="A27" r:id="rId26" display="https://www.ahd.com/free_profile/520038/Aurora_Medical_Center_Washington_County/Hartford/Wisconsin/" xr:uid="{D6CB6F20-35A0-1948-8320-E5140DE16A2F}"/>
    <hyperlink ref="A28" r:id="rId27" display="https://www.ahd.com/free_profile/520113/Aurora_Medical_Center-Bay_Area/Marinette/Wisconsin/" xr:uid="{C0216905-1AF0-5F41-8B25-C4E1916D2C3C}"/>
    <hyperlink ref="A29" r:id="rId28" display="https://www.ahd.com/free_profile/520138/Aurora_Saint_Luke%27s_Medical_Center/Milwaukee/Wisconsin/" xr:uid="{A645BF28-D6C6-324E-A06C-24BF87408C7A}"/>
    <hyperlink ref="A30" r:id="rId29" display="https://www.ahd.com/free_profile/I08171/Aurora_Saint_Luke%27s_South_Shore/Cudahy/Wisconsin/" xr:uid="{F33C6083-484E-164F-917C-87D831309CFD}"/>
    <hyperlink ref="A31" r:id="rId30" display="https://www.ahd.com/free_profile/520035/Aurora_Sheboygan_Memorial_Medical_Center/Sheboygan/Wisconsin/" xr:uid="{B4CE3D8F-8AF9-4C4F-B6E8-FA1C96F497DB}"/>
    <hyperlink ref="A32" r:id="rId31" display="https://www.ahd.com/free_profile/520064/Aurora_Sinai_Medical_Center/Milwaukee/Wisconsin/" xr:uid="{8D00E897-A83E-FD44-98A8-C5D3629B93CD}"/>
    <hyperlink ref="A33" r:id="rId32" display="https://www.ahd.com/free_profile/520139/Aurora_West_Allis_Medical_Center/West_Allis/Wisconsin/" xr:uid="{02F98AE4-0210-1748-9A65-B76371013890}"/>
    <hyperlink ref="A34" r:id="rId33" display="https://www.ahd.com/free_profile/520049/Bellin_Hospital/Green_Bay/Wisconsin/" xr:uid="{5D2732EF-AE47-A44B-8B25-D617B3388F01}"/>
    <hyperlink ref="A35" r:id="rId34" display="https://www.ahd.com/free_profile/520100/Beloit_Memorial_Hospital/Beloit/Wisconsin/" xr:uid="{4BFEFD48-4C45-884A-9370-8F7AC799ED09}"/>
    <hyperlink ref="A36" r:id="rId35" display="https://www.ahd.com/free_profile/520041/Divine_Savior_Healthcare/Portage/Wisconsin/" xr:uid="{D30DD835-E871-6A41-BB15-C0B8BCA2F494}"/>
    <hyperlink ref="A37" r:id="rId36" display="https://www.ahd.com/free_profile/520071/Fort_Memorial_Hospital/Fort_Atkinson/Wisconsin/" xr:uid="{3A0A777B-FC8B-0E4D-B29F-13A377879AB7}"/>
    <hyperlink ref="A38" r:id="rId37" display="https://www.ahd.com/free_profile/520177/Froedtert_Hospital/Milwaukee/Wisconsin/" xr:uid="{58DA9AB6-594E-2040-9475-BC453AC1234B}"/>
    <hyperlink ref="A39" r:id="rId38" display="https://www.ahd.com/free_profile/520021/Froedtert_Kenosha_Hospital/Kenosha/Wisconsin/" xr:uid="{2C794124-ECDA-9040-B547-AA87B7E2CE5D}"/>
    <hyperlink ref="A40" r:id="rId39" display="https://www.ahd.com/free_profile/520103/Froedtert_Menomonee_Falls_Hospital/Menomonee_Falls/Wisconsin/" xr:uid="{61F94EE8-038D-194B-91F8-7A0DA4267873}"/>
    <hyperlink ref="A41" r:id="rId40" display="https://www.ahd.com/free_profile/520069/Froedtert_Pleasant_Prairie_Hospital/Pleasant_Prairie/Wisconsin/" xr:uid="{D44F172D-57B2-1C49-A454-7D66624CD389}"/>
    <hyperlink ref="A42" r:id="rId41" display="https://www.ahd.com/free_profile/520063/Froedtert_West_Bend_Hospital/West_Bend/Wisconsin/" xr:uid="{1BF5FFA5-D7E9-6D4D-84DC-1EB99569C71D}"/>
    <hyperlink ref="A43" r:id="rId42" display="https://www.ahd.com/free_profile/520087/Gundersen_Lutheran_Medical_Center/La_Crosse/Wisconsin/" xr:uid="{5ED1AC16-0E71-3543-AFF0-7A41500D4438}"/>
    <hyperlink ref="A44" r:id="rId43" display="https://www.ahd.com/free_profile/520107/Holy_Family_Memorial_Medical_Center/Manitowoc/Wisconsin/" xr:uid="{F91381BF-8767-0445-9649-0F8E467A1ABB}"/>
    <hyperlink ref="A45" r:id="rId44" display="https://www.ahd.com/free_profile/520091/Howard_Young_Medical_Center/Woodruff/Wisconsin/" xr:uid="{A0531E76-48F4-0440-8B38-BC10A305BE3F}"/>
    <hyperlink ref="A46" r:id="rId45" display="https://www.ahd.com/free_profile/520013/HSHS_Sacred_Heart_Hospital/Eau_Claire/Wisconsin/" xr:uid="{2768F70B-FBBC-F443-ACA3-F8402AC33516}"/>
    <hyperlink ref="A47" r:id="rId46" display="https://www.ahd.com/free_profile/520017/HSHS_Saint_Joseph%27s_Hospital/Chippewa_Falls/Wisconsin/" xr:uid="{B2055C89-B12A-6A4E-9512-879C6A06FF47}"/>
    <hyperlink ref="A48" r:id="rId47" display="https://www.ahd.com/free_profile/520097/HSHS_Saint_Mary%27s_Hospital_Medical_Center/Green_Bay/Wisconsin/" xr:uid="{A3AC82E2-727B-C243-B957-4569D00A9965}"/>
    <hyperlink ref="A49" r:id="rId48" display="https://www.ahd.com/free_profile/520044/HSHS_Saint_Nicholas_Hospital/Sheboygan/Wisconsin/" xr:uid="{A959306E-2D8A-2946-A15D-AC9CB5457667}"/>
    <hyperlink ref="A50" r:id="rId49" display="https://www.ahd.com/free_profile/520075/HSHS_Saint_Vincent_Hospital/Green_Bay/Wisconsin/" xr:uid="{1A7177F1-946E-9743-9807-B4C6F2F5F3C2}"/>
    <hyperlink ref="A51" r:id="rId50" display="https://www.ahd.com/free_profile/520037/Marshfield_Medical_Center/Marshfield/Wisconsin/" xr:uid="{74C8A7FF-A925-1C42-B151-8205A82CFE91}"/>
    <hyperlink ref="A52" r:id="rId51" display="https://www.ahd.com/free_profile/I42377/Marshfield_Medical_Center_%26%238211%3B_Minocqua/Minocqua/Wisconsin/" xr:uid="{79333E46-52CC-D94F-94E4-D943DDE40471}"/>
    <hyperlink ref="A53" r:id="rId52" display="https://www.ahd.com/free_profile/520210/Marshfield_Medical_Center_-_Eau_Claire/Eau_Claire/Wisconsin/" xr:uid="{675E02D8-FA5F-9F4D-B8E5-E865F6B5EBD4}"/>
    <hyperlink ref="A54" r:id="rId53" display="https://www.ahd.com/free_profile/520076/Marshfield_Medical_Center_Beaver_Dam/Beaver_Dam/Wisconsin/" xr:uid="{35B8C663-AC7A-6B4D-9828-AE3D0C739A4F}"/>
    <hyperlink ref="A55" r:id="rId54" display="https://www.ahd.com/free_profile/520011/Marshfield_Medical_Center_Rice_Lake/Rice_Lake/Wisconsin/" xr:uid="{6C88B591-AD99-5343-972D-754A3CA22CE0}"/>
    <hyperlink ref="A56" r:id="rId55" display="https://www.ahd.com/free_profile/520004/Mayo_Clinic_Health_System_-_Franciscan_Healthcare_in_La_Crosse/La_Crosse/Wisconsin/" xr:uid="{25C262FF-8496-E241-9BA3-01B9D377C91A}"/>
    <hyperlink ref="A57" r:id="rId56" display="https://www.ahd.com/free_profile/520070/Mayo_Clinic_Health_System_in_Eau_Claire/Eau_Claire/Wisconsin/" xr:uid="{3FEF1DF7-7084-7046-8C7A-AFA0AB8DF7BE}"/>
    <hyperlink ref="A58" r:id="rId57" display="https://www.ahd.com/free_profile/520066/Mercyhealth_Hospital_and_Trauma_Center-Janesville/Janesville/Wisconsin/" xr:uid="{E75715E7-B198-004A-B3C7-4FA7D2C96331}"/>
    <hyperlink ref="A59" r:id="rId58" display="https://www.ahd.com/free_profile/520205/Midwest_Orthopedic_Specialty_Hospital/Franklin/Wisconsin/" xr:uid="{984F6D61-A9F4-6C40-A885-DDFB536DD428}"/>
    <hyperlink ref="A60" r:id="rId59" display="https://www.ahd.com/free_profile/520109/Mile_Bluff_Medical_Center/Mauston/Wisconsin/" xr:uid="{067990D0-F21F-6D42-97FF-C9B31B102F60}"/>
    <hyperlink ref="A61" r:id="rId60" display="https://www.ahd.com/free_profile/52003F/Milwaukee_VA_Medical_Center/Milwaukee/Wisconsin/" xr:uid="{C58A2205-735E-ED47-8A37-5CA3E23FAE8B}"/>
    <hyperlink ref="A62" r:id="rId61" display="https://www.ahd.com/free_profile/520196/Oakleaf_Surgical_Hospital/Altoona/Wisconsin/" xr:uid="{D9FCC5D1-1C10-A840-9921-1B00528CBDDC}"/>
    <hyperlink ref="A63" r:id="rId62" display="https://www.ahd.com/free_profile/520194/Orthopaedic_Hospital_of_Wisconsin/Glendale/Wisconsin/" xr:uid="{EF35626B-6464-4049-9C2B-6557881727B2}"/>
    <hyperlink ref="A64" r:id="rId63" display="https://www.ahd.com/free_profile/520062/ProHealth_Oconomowoc_Memorial_Hospital/Oconomowoc/Wisconsin/" xr:uid="{47B8461A-5650-484A-A805-BE96D638ED01}"/>
    <hyperlink ref="A65" r:id="rId64" display="https://www.ahd.com/free_profile/520008/ProHealth_Waukesha_Memorial_Hospital/Waukesha/Wisconsin/" xr:uid="{54DF453E-5B55-574D-BE51-1154A4AD2CD0}"/>
    <hyperlink ref="A66" r:id="rId65" display="https://www.ahd.com/free_profile/520088/Saint_Agnes_Hospital/Fond_du_Lac/Wisconsin/" xr:uid="{4ED4E899-FB75-AD4E-B8D4-268849F1A8B0}"/>
    <hyperlink ref="A67" r:id="rId66" display="https://www.ahd.com/free_profile/520095/Sauk_Prairie_Memorial_Hospital/Prairie_du_Sac/Wisconsin/" xr:uid="{A3600C5C-41DF-004D-8652-906D62CD3ED9}"/>
    <hyperlink ref="A68" r:id="rId67" display="https://www.ahd.com/free_profile/520057/SSM_Health_Saint_Clare_Hospital_-Baraboo/Baraboo/Wisconsin/" xr:uid="{EE686A26-43AC-9748-AC6F-0C7AEFACE165}"/>
    <hyperlink ref="A69" r:id="rId68" display="https://www.ahd.com/free_profile/520083/SSM_Health_Saint_Mary%27s_Hospital_-_Madison/Madison/Wisconsin/" xr:uid="{511FECAC-E551-C847-835A-2CD8BAB38133}"/>
    <hyperlink ref="A70" r:id="rId69" display="https://www.ahd.com/free_profile/520208/SSM_Health_Saint_Mary%27s_Hospital-Janesville/Janesville/Wisconsin/" xr:uid="{AC58BFF9-DF41-0343-986A-C1D1B1403682}"/>
    <hyperlink ref="A71" r:id="rId70" display="https://www.ahd.com/free_profile/520028/The_Monroe_Clinic_Hospital/Monroe/Wisconsin/" xr:uid="{E98AD554-AB47-E44C-B76E-9795B970FE45}"/>
    <hyperlink ref="A72" r:id="rId71" display="https://www.ahd.com/free_profile/520160/ThedaCare_Regional_Medical_Center-Appleton_/Appleton/Wisconsin/" xr:uid="{DC0EFCC7-0F5B-2749-9C22-3F812A0EDE02}"/>
    <hyperlink ref="A73" r:id="rId72" display="https://www.ahd.com/free_profile/520045/ThedaCare_Regional_Medical_Center-Neenah/Neenah/Wisconsin/" xr:uid="{C98DF5F7-0355-E845-8B48-76801DC1CDAE}"/>
    <hyperlink ref="A74" r:id="rId73" display="https://www.ahd.com/free_profile/52002F/Tomah_VA_Medical_Center/Tomah/Wisconsin/" xr:uid="{B96639EB-3A2E-4E41-8746-3363B4BCE517}"/>
    <hyperlink ref="A75" r:id="rId74" display="https://www.ahd.com/free_profile/520089/UnityPoint_Health_Meriter/Madison/Wisconsin/" xr:uid="{526B5AB8-DDE5-304A-974E-0F259DD43D14}"/>
    <hyperlink ref="A76" r:id="rId75" display="https://www.ahd.com/free_profile/520098/University_Hospital_/Madison/Wisconsin/" xr:uid="{B534C196-B670-ED49-B683-37942D0B0F93}"/>
    <hyperlink ref="A77" r:id="rId76" display="https://www.ahd.com/free_profile/520116/Watertown_Regional_Medical_Center/Watertown/Wisconsin/" xr:uid="{10274C8E-5919-4048-BD68-73165F683893}"/>
    <hyperlink ref="A78" r:id="rId77" display="https://www.ahd.com/free_profile/52004F/William_S_Middleton_Memorial_Veterans_Hospital/Madison/Wisconsin/" xr:uid="{35A398A7-4104-5C4D-AEA1-6808464736CF}"/>
  </hyperlink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1FBC4-7BC6-A445-9862-7D0CC718FA39}">
  <sheetPr codeName="Sheet51"/>
  <dimension ref="A1:G37"/>
  <sheetViews>
    <sheetView workbookViewId="0">
      <selection activeCell="G2" sqref="G2:G36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5802</v>
      </c>
      <c r="B2" s="2" t="s">
        <v>3274</v>
      </c>
      <c r="C2" s="2">
        <v>0</v>
      </c>
      <c r="D2" s="2">
        <v>0</v>
      </c>
      <c r="E2" s="2">
        <v>0</v>
      </c>
      <c r="F2" s="4">
        <v>0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 city",CHOOSE({1,2}, Super_CBSA!$E$2:$E$1917, Super_CBSA!$A$2:$A$1917), 2,FALSE), ""))</f>
        <v>34060</v>
      </c>
    </row>
    <row r="3" spans="1:7" ht="17">
      <c r="A3" s="1" t="s">
        <v>5803</v>
      </c>
      <c r="B3" s="2" t="s">
        <v>5804</v>
      </c>
      <c r="C3" s="2">
        <v>173</v>
      </c>
      <c r="D3" s="3">
        <v>4012</v>
      </c>
      <c r="E3" s="3">
        <v>21199</v>
      </c>
      <c r="F3" s="4">
        <v>353650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 city",CHOOSE({1,2}, Super_CBSA!$E$2:$E$1917, Super_CBSA!$A$2:$A$1917), 2,FALSE), ""))</f>
        <v>13220</v>
      </c>
    </row>
    <row r="4" spans="1:7" ht="17">
      <c r="A4" s="1" t="s">
        <v>5805</v>
      </c>
      <c r="B4" s="2" t="s">
        <v>5804</v>
      </c>
      <c r="C4" s="2">
        <v>0</v>
      </c>
      <c r="D4" s="2">
        <v>0</v>
      </c>
      <c r="E4" s="2">
        <v>0</v>
      </c>
      <c r="F4" s="4">
        <v>0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 city",CHOOSE({1,2}, Super_CBSA!$E$2:$E$1917, Super_CBSA!$A$2:$A$1917), 2,FALSE), ""))</f>
        <v>13220</v>
      </c>
    </row>
    <row r="5" spans="1:7" ht="17">
      <c r="A5" s="1" t="s">
        <v>5806</v>
      </c>
      <c r="B5" s="2" t="s">
        <v>5807</v>
      </c>
      <c r="C5" s="2">
        <v>169</v>
      </c>
      <c r="D5" s="3">
        <v>7809</v>
      </c>
      <c r="E5" s="3">
        <v>35217</v>
      </c>
      <c r="F5" s="4">
        <v>504166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 city",CHOOSE({1,2}, Super_CBSA!$E$2:$E$1917, Super_CBSA!$A$2:$A$1917), 2,FALSE), ""))</f>
        <v>25180</v>
      </c>
    </row>
    <row r="6" spans="1:7" ht="17">
      <c r="A6" s="1" t="s">
        <v>5808</v>
      </c>
      <c r="B6" s="2" t="s">
        <v>5809</v>
      </c>
      <c r="C6" s="2">
        <v>57</v>
      </c>
      <c r="D6" s="3">
        <v>2962</v>
      </c>
      <c r="E6" s="3">
        <v>10616</v>
      </c>
      <c r="F6" s="4">
        <v>221008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 city",CHOOSE({1,2}, Super_CBSA!$E$2:$E$1917, Super_CBSA!$A$2:$A$1917), 2,FALSE), ""))</f>
        <v>14140</v>
      </c>
    </row>
    <row r="7" spans="1:7" ht="17">
      <c r="A7" s="1" t="s">
        <v>5810</v>
      </c>
      <c r="B7" s="2" t="s">
        <v>2115</v>
      </c>
      <c r="C7" s="2">
        <v>330</v>
      </c>
      <c r="D7" s="3">
        <v>15325</v>
      </c>
      <c r="E7" s="3">
        <v>89671</v>
      </c>
      <c r="F7" s="4">
        <v>2032058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 city",CHOOSE({1,2}, Super_CBSA!$E$2:$E$1917, Super_CBSA!$A$2:$A$1917), 2,FALSE), ""))</f>
        <v>26580</v>
      </c>
    </row>
    <row r="8" spans="1:7" ht="17">
      <c r="A8" s="1" t="s">
        <v>5811</v>
      </c>
      <c r="B8" s="2" t="s">
        <v>5812</v>
      </c>
      <c r="C8" s="2">
        <v>249</v>
      </c>
      <c r="D8" s="3">
        <v>11491</v>
      </c>
      <c r="E8" s="3">
        <v>50009</v>
      </c>
      <c r="F8" s="4">
        <v>776256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 city",CHOOSE({1,2}, Super_CBSA!$E$2:$E$1917, Super_CBSA!$A$2:$A$1917), 2,FALSE), ""))</f>
        <v>37620</v>
      </c>
    </row>
    <row r="9" spans="1:7" ht="17">
      <c r="A9" s="1" t="s">
        <v>5813</v>
      </c>
      <c r="B9" s="2" t="s">
        <v>4644</v>
      </c>
      <c r="C9" s="2">
        <v>0</v>
      </c>
      <c r="D9" s="2">
        <v>0</v>
      </c>
      <c r="E9" s="2">
        <v>0</v>
      </c>
      <c r="F9" s="4">
        <v>0</v>
      </c>
      <c r="G9" s="11" cm="1">
        <f t="array" aca="1" ref="G9" ca="1">IFERROR(VLOOKUP("*" &amp; B9  &amp; "*" &amp; (MID(CELL("filename",A8),FIND("]",CELL("filename",A8))+1,31)) &amp; "*",CHOOSE({1,2}, Super_CBSA!$B$2:$B$1917, Super_CBSA!$A$2:$A$1917), 2,FALSE), IFERROR(VLOOKUP(B9  &amp; " city",CHOOSE({1,2}, Super_CBSA!$E$2:$E$1917, Super_CBSA!$A$2:$A$1917), 2,FALSE), ""))</f>
        <v>16620</v>
      </c>
    </row>
    <row r="10" spans="1:7" ht="17">
      <c r="A10" s="1" t="s">
        <v>5814</v>
      </c>
      <c r="B10" s="2" t="s">
        <v>4644</v>
      </c>
      <c r="C10" s="2">
        <v>864</v>
      </c>
      <c r="D10" s="3">
        <v>40662</v>
      </c>
      <c r="E10" s="3">
        <v>205059</v>
      </c>
      <c r="F10" s="4">
        <v>3615699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 city",CHOOSE({1,2}, Super_CBSA!$E$2:$E$1917, Super_CBSA!$A$2:$A$1917), 2,FALSE), ""))</f>
        <v>16620</v>
      </c>
    </row>
    <row r="11" spans="1:7" ht="17">
      <c r="A11" s="1" t="s">
        <v>5815</v>
      </c>
      <c r="B11" s="2" t="s">
        <v>4644</v>
      </c>
      <c r="C11" s="2">
        <v>0</v>
      </c>
      <c r="D11" s="2">
        <v>0</v>
      </c>
      <c r="E11" s="2">
        <v>0</v>
      </c>
      <c r="F11" s="4">
        <v>0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 city",CHOOSE({1,2}, Super_CBSA!$E$2:$E$1917, Super_CBSA!$A$2:$A$1917), 2,FALSE), ""))</f>
        <v>16620</v>
      </c>
    </row>
    <row r="12" spans="1:7" ht="17">
      <c r="A12" s="1" t="s">
        <v>5816</v>
      </c>
      <c r="B12" s="2" t="s">
        <v>5817</v>
      </c>
      <c r="C12" s="2">
        <v>70</v>
      </c>
      <c r="D12" s="3">
        <v>2228</v>
      </c>
      <c r="E12" s="3">
        <v>11696</v>
      </c>
      <c r="F12" s="4">
        <v>160164</v>
      </c>
      <c r="G12" s="11" t="str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 city",CHOOSE({1,2}, Super_CBSA!$E$2:$E$1917, Super_CBSA!$A$2:$A$1917), 2,FALSE), ""))</f>
        <v/>
      </c>
    </row>
    <row r="13" spans="1:7" ht="17">
      <c r="A13" s="1" t="s">
        <v>5818</v>
      </c>
      <c r="B13" s="2" t="s">
        <v>4644</v>
      </c>
      <c r="C13" s="2">
        <v>8</v>
      </c>
      <c r="D13" s="2">
        <v>311</v>
      </c>
      <c r="E13" s="2">
        <v>546</v>
      </c>
      <c r="F13" s="4">
        <v>59078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 city",CHOOSE({1,2}, Super_CBSA!$E$2:$E$1917, Super_CBSA!$A$2:$A$1917), 2,FALSE), ""))</f>
        <v>16620</v>
      </c>
    </row>
    <row r="14" spans="1:7" ht="17">
      <c r="A14" s="1" t="s">
        <v>5819</v>
      </c>
      <c r="B14" s="2" t="s">
        <v>5820</v>
      </c>
      <c r="C14" s="2">
        <v>90</v>
      </c>
      <c r="D14" s="3">
        <v>2705</v>
      </c>
      <c r="E14" s="3">
        <v>9546</v>
      </c>
      <c r="F14" s="4">
        <v>206155</v>
      </c>
      <c r="G14" s="11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 city",CHOOSE({1,2}, Super_CBSA!$E$2:$E$1917, Super_CBSA!$A$2:$A$1917), 2,FALSE), ""))</f>
        <v>21180</v>
      </c>
    </row>
    <row r="15" spans="1:7" ht="17">
      <c r="A15" s="1" t="s">
        <v>5821</v>
      </c>
      <c r="B15" s="2" t="s">
        <v>5822</v>
      </c>
      <c r="C15" s="2">
        <v>92</v>
      </c>
      <c r="D15" s="3">
        <v>2878</v>
      </c>
      <c r="E15" s="3">
        <v>11469</v>
      </c>
      <c r="F15" s="4">
        <v>271225</v>
      </c>
      <c r="G15" s="11" t="str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 city",CHOOSE({1,2}, Super_CBSA!$E$2:$E$1917, Super_CBSA!$A$2:$A$1917), 2,FALSE), ""))</f>
        <v/>
      </c>
    </row>
    <row r="16" spans="1:7" ht="17">
      <c r="A16" s="1" t="s">
        <v>5823</v>
      </c>
      <c r="B16" s="2" t="s">
        <v>2115</v>
      </c>
      <c r="C16" s="2">
        <v>0</v>
      </c>
      <c r="D16" s="2">
        <v>0</v>
      </c>
      <c r="E16" s="2">
        <v>0</v>
      </c>
      <c r="F16" s="4">
        <v>0</v>
      </c>
      <c r="G16" s="11" cm="1">
        <f t="array" aca="1" ref="G16" ca="1">IFERROR(VLOOKUP("*" &amp; B16  &amp; "*" &amp; (MID(CELL("filename",A15),FIND("]",CELL("filename",A15))+1,31)) &amp; "*",CHOOSE({1,2}, Super_CBSA!$B$2:$B$1917, Super_CBSA!$A$2:$A$1917), 2,FALSE), IFERROR(VLOOKUP(B16  &amp; " city",CHOOSE({1,2}, Super_CBSA!$E$2:$E$1917, Super_CBSA!$A$2:$A$1917), 2,FALSE), ""))</f>
        <v>26580</v>
      </c>
    </row>
    <row r="17" spans="1:7" ht="17">
      <c r="A17" s="1" t="s">
        <v>5824</v>
      </c>
      <c r="B17" s="2" t="s">
        <v>2115</v>
      </c>
      <c r="C17" s="2">
        <v>0</v>
      </c>
      <c r="D17" s="2">
        <v>0</v>
      </c>
      <c r="E17" s="2">
        <v>0</v>
      </c>
      <c r="F17" s="4">
        <v>0</v>
      </c>
      <c r="G17" s="11" cm="1">
        <f t="array" aca="1" ref="G17" ca="1">IFERROR(VLOOKUP("*" &amp; B17  &amp; "*" &amp; (MID(CELL("filename",A16),FIND("]",CELL("filename",A16))+1,31)) &amp; "*",CHOOSE({1,2}, Super_CBSA!$B$2:$B$1917, Super_CBSA!$A$2:$A$1917), 2,FALSE), IFERROR(VLOOKUP(B17  &amp; " city",CHOOSE({1,2}, Super_CBSA!$E$2:$E$1917, Super_CBSA!$A$2:$A$1917), 2,FALSE), ""))</f>
        <v>26580</v>
      </c>
    </row>
    <row r="18" spans="1:7" ht="17">
      <c r="A18" s="1" t="s">
        <v>5825</v>
      </c>
      <c r="B18" s="2" t="s">
        <v>3274</v>
      </c>
      <c r="C18" s="2">
        <v>652</v>
      </c>
      <c r="D18" s="3">
        <v>29374</v>
      </c>
      <c r="E18" s="3">
        <v>191729</v>
      </c>
      <c r="F18" s="4">
        <v>2923753</v>
      </c>
      <c r="G18" s="11" cm="1">
        <f t="array" aca="1" ref="G18" ca="1">IFERROR(VLOOKUP("*" &amp; B18  &amp; "*" &amp; (MID(CELL("filename",A17),FIND("]",CELL("filename",A17))+1,31)) &amp; "*",CHOOSE({1,2}, Super_CBSA!$B$2:$B$1917, Super_CBSA!$A$2:$A$1917), 2,FALSE), IFERROR(VLOOKUP(B18  &amp; " city",CHOOSE({1,2}, Super_CBSA!$E$2:$E$1917, Super_CBSA!$A$2:$A$1917), 2,FALSE), ""))</f>
        <v>34060</v>
      </c>
    </row>
    <row r="19" spans="1:7" ht="17">
      <c r="A19" s="1" t="s">
        <v>5826</v>
      </c>
      <c r="B19" s="2" t="s">
        <v>5427</v>
      </c>
      <c r="C19" s="2">
        <v>140</v>
      </c>
      <c r="D19" s="3">
        <v>4606</v>
      </c>
      <c r="E19" s="3">
        <v>18203</v>
      </c>
      <c r="F19" s="4">
        <v>405594</v>
      </c>
      <c r="G19" s="11" t="str" cm="1">
        <f t="array" aca="1" ref="G19" ca="1">IFERROR(VLOOKUP("*" &amp; B19  &amp; "*" &amp; (MID(CELL("filename",A18),FIND("]",CELL("filename",A18))+1,31)) &amp; "*",CHOOSE({1,2}, Super_CBSA!$B$2:$B$1917, Super_CBSA!$A$2:$A$1917), 2,FALSE), IFERROR(VLOOKUP(B19  &amp; " city",CHOOSE({1,2}, Super_CBSA!$E$2:$E$1917, Super_CBSA!$A$2:$A$1917), 2,FALSE), ""))</f>
        <v/>
      </c>
    </row>
    <row r="20" spans="1:7" ht="17">
      <c r="A20" s="1" t="s">
        <v>5827</v>
      </c>
      <c r="B20" s="2" t="s">
        <v>5828</v>
      </c>
      <c r="C20" s="2">
        <v>0</v>
      </c>
      <c r="D20" s="2">
        <v>0</v>
      </c>
      <c r="E20" s="2">
        <v>0</v>
      </c>
      <c r="F20" s="4">
        <v>0</v>
      </c>
      <c r="G20" s="11" cm="1">
        <f t="array" aca="1" ref="G20" ca="1">IFERROR(VLOOKUP("*" &amp; B20  &amp; "*" &amp; (MID(CELL("filename",A19),FIND("]",CELL("filename",A19))+1,31)) &amp; "*",CHOOSE({1,2}, Super_CBSA!$B$2:$B$1917, Super_CBSA!$A$2:$A$1917), 2,FALSE), IFERROR(VLOOKUP(B20  &amp; " city",CHOOSE({1,2}, Super_CBSA!$E$2:$E$1917, Super_CBSA!$A$2:$A$1917), 2,FALSE), ""))</f>
        <v>17220</v>
      </c>
    </row>
    <row r="21" spans="1:7" ht="17">
      <c r="A21" s="1" t="s">
        <v>5829</v>
      </c>
      <c r="B21" s="2" t="s">
        <v>5807</v>
      </c>
      <c r="C21" s="2">
        <v>0</v>
      </c>
      <c r="D21" s="2">
        <v>0</v>
      </c>
      <c r="E21" s="2">
        <v>0</v>
      </c>
      <c r="F21" s="4">
        <v>0</v>
      </c>
      <c r="G21" s="11" cm="1">
        <f t="array" aca="1" ref="G21" ca="1">IFERROR(VLOOKUP("*" &amp; B21  &amp; "*" &amp; (MID(CELL("filename",A20),FIND("]",CELL("filename",A20))+1,31)) &amp; "*",CHOOSE({1,2}, Super_CBSA!$B$2:$B$1917, Super_CBSA!$A$2:$A$1917), 2,FALSE), IFERROR(VLOOKUP(B21  &amp; " city",CHOOSE({1,2}, Super_CBSA!$E$2:$E$1917, Super_CBSA!$A$2:$A$1917), 2,FALSE), ""))</f>
        <v>25180</v>
      </c>
    </row>
    <row r="22" spans="1:7" ht="17">
      <c r="A22" s="1" t="s">
        <v>5830</v>
      </c>
      <c r="B22" s="2" t="s">
        <v>3274</v>
      </c>
      <c r="C22" s="2">
        <v>189</v>
      </c>
      <c r="D22" s="3">
        <v>8515</v>
      </c>
      <c r="E22" s="3">
        <v>31789</v>
      </c>
      <c r="F22" s="4">
        <v>746083</v>
      </c>
      <c r="G22" s="11" cm="1">
        <f t="array" aca="1" ref="G22" ca="1">IFERROR(VLOOKUP("*" &amp; B22  &amp; "*" &amp; (MID(CELL("filename",A21),FIND("]",CELL("filename",A21))+1,31)) &amp; "*",CHOOSE({1,2}, Super_CBSA!$B$2:$B$1917, Super_CBSA!$A$2:$A$1917), 2,FALSE), IFERROR(VLOOKUP(B22  &amp; " city",CHOOSE({1,2}, Super_CBSA!$E$2:$E$1917, Super_CBSA!$A$2:$A$1917), 2,FALSE), ""))</f>
        <v>34060</v>
      </c>
    </row>
    <row r="23" spans="1:7" ht="17">
      <c r="A23" s="1" t="s">
        <v>5831</v>
      </c>
      <c r="B23" s="2" t="s">
        <v>5832</v>
      </c>
      <c r="C23" s="2">
        <v>149</v>
      </c>
      <c r="D23" s="3">
        <v>1350</v>
      </c>
      <c r="E23" s="3">
        <v>4467</v>
      </c>
      <c r="F23" s="4">
        <v>167631</v>
      </c>
      <c r="G23" s="11" cm="1">
        <f t="array" aca="1" ref="G23" ca="1">IFERROR(VLOOKUP("*" &amp; B23  &amp; "*" &amp; (MID(CELL("filename",A22),FIND("]",CELL("filename",A22))+1,31)) &amp; "*",CHOOSE({1,2}, Super_CBSA!$B$2:$B$1917, Super_CBSA!$A$2:$A$1917), 2,FALSE), IFERROR(VLOOKUP(B23  &amp; " city",CHOOSE({1,2}, Super_CBSA!$E$2:$E$1917, Super_CBSA!$A$2:$A$1917), 2,FALSE), ""))</f>
        <v>38580</v>
      </c>
    </row>
    <row r="24" spans="1:7" ht="17">
      <c r="A24" s="1" t="s">
        <v>5833</v>
      </c>
      <c r="B24" s="2" t="s">
        <v>2937</v>
      </c>
      <c r="C24" s="2">
        <v>153</v>
      </c>
      <c r="D24" s="3">
        <v>5947</v>
      </c>
      <c r="E24" s="3">
        <v>23645</v>
      </c>
      <c r="F24" s="4">
        <v>464273</v>
      </c>
      <c r="G24" s="11" t="str" cm="1">
        <f t="array" aca="1" ref="G24" ca="1">IFERROR(VLOOKUP("*" &amp; B24  &amp; "*" &amp; (MID(CELL("filename",A23),FIND("]",CELL("filename",A23))+1,31)) &amp; "*",CHOOSE({1,2}, Super_CBSA!$B$2:$B$1917, Super_CBSA!$A$2:$A$1917), 2,FALSE), IFERROR(VLOOKUP(B24  &amp; " city",CHOOSE({1,2}, Super_CBSA!$E$2:$E$1917, Super_CBSA!$A$2:$A$1917), 2,FALSE), ""))</f>
        <v/>
      </c>
    </row>
    <row r="25" spans="1:7" ht="17">
      <c r="A25" s="1" t="s">
        <v>5834</v>
      </c>
      <c r="B25" s="2" t="s">
        <v>5804</v>
      </c>
      <c r="C25" s="2">
        <v>300</v>
      </c>
      <c r="D25" s="3">
        <v>11220</v>
      </c>
      <c r="E25" s="3">
        <v>52210</v>
      </c>
      <c r="F25" s="4">
        <v>769526</v>
      </c>
      <c r="G25" s="11" cm="1">
        <f t="array" aca="1" ref="G25" ca="1">IFERROR(VLOOKUP("*" &amp; B25  &amp; "*" &amp; (MID(CELL("filename",A24),FIND("]",CELL("filename",A24))+1,31)) &amp; "*",CHOOSE({1,2}, Super_CBSA!$B$2:$B$1917, Super_CBSA!$A$2:$A$1917), 2,FALSE), IFERROR(VLOOKUP(B25  &amp; " city",CHOOSE({1,2}, Super_CBSA!$E$2:$E$1917, Super_CBSA!$A$2:$A$1917), 2,FALSE), ""))</f>
        <v>13220</v>
      </c>
    </row>
    <row r="26" spans="1:7" ht="17">
      <c r="A26" s="1" t="s">
        <v>5835</v>
      </c>
      <c r="B26" s="2" t="s">
        <v>5836</v>
      </c>
      <c r="C26" s="2">
        <v>79</v>
      </c>
      <c r="D26" s="3">
        <v>1745</v>
      </c>
      <c r="E26" s="3">
        <v>6329</v>
      </c>
      <c r="F26" s="4">
        <v>124362</v>
      </c>
      <c r="G26" s="11" t="str" cm="1">
        <f t="array" aca="1" ref="G26" ca="1">IFERROR(VLOOKUP("*" &amp; B26  &amp; "*" &amp; (MID(CELL("filename",A25),FIND("]",CELL("filename",A25))+1,31)) &amp; "*",CHOOSE({1,2}, Super_CBSA!$B$2:$B$1917, Super_CBSA!$A$2:$A$1917), 2,FALSE), IFERROR(VLOOKUP(B26  &amp; " city",CHOOSE({1,2}, Super_CBSA!$E$2:$E$1917, Super_CBSA!$A$2:$A$1917), 2,FALSE), ""))</f>
        <v/>
      </c>
    </row>
    <row r="27" spans="1:7" ht="17">
      <c r="A27" s="1" t="s">
        <v>1108</v>
      </c>
      <c r="B27" s="2" t="s">
        <v>4644</v>
      </c>
      <c r="C27" s="2">
        <v>64</v>
      </c>
      <c r="D27" s="2">
        <v>642</v>
      </c>
      <c r="E27" s="3">
        <v>9540</v>
      </c>
      <c r="F27" s="4">
        <v>207797</v>
      </c>
      <c r="G27" s="11" cm="1">
        <f t="array" aca="1" ref="G27" ca="1">IFERROR(VLOOKUP("*" &amp; B27  &amp; "*" &amp; (MID(CELL("filename",A26),FIND("]",CELL("filename",A26))+1,31)) &amp; "*",CHOOSE({1,2}, Super_CBSA!$B$2:$B$1917, Super_CBSA!$A$2:$A$1917), 2,FALSE), IFERROR(VLOOKUP(B27  &amp; " city",CHOOSE({1,2}, Super_CBSA!$E$2:$E$1917, Super_CBSA!$A$2:$A$1917), 2,FALSE), ""))</f>
        <v>16620</v>
      </c>
    </row>
    <row r="28" spans="1:7" ht="17">
      <c r="A28" s="1" t="s">
        <v>835</v>
      </c>
      <c r="B28" s="2" t="s">
        <v>2115</v>
      </c>
      <c r="C28" s="2">
        <v>378</v>
      </c>
      <c r="D28" s="3">
        <v>15786</v>
      </c>
      <c r="E28" s="3">
        <v>89747</v>
      </c>
      <c r="F28" s="4">
        <v>1381016</v>
      </c>
      <c r="G28" s="11" cm="1">
        <f t="array" aca="1" ref="G28" ca="1">IFERROR(VLOOKUP("*" &amp; B28  &amp; "*" &amp; (MID(CELL("filename",A27),FIND("]",CELL("filename",A27))+1,31)) &amp; "*",CHOOSE({1,2}, Super_CBSA!$B$2:$B$1917, Super_CBSA!$A$2:$A$1917), 2,FALSE), IFERROR(VLOOKUP(B28  &amp; " city",CHOOSE({1,2}, Super_CBSA!$E$2:$E$1917, Super_CBSA!$A$2:$A$1917), 2,FALSE), ""))</f>
        <v>26580</v>
      </c>
    </row>
    <row r="29" spans="1:7" ht="17">
      <c r="A29" s="1" t="s">
        <v>5837</v>
      </c>
      <c r="B29" s="2" t="s">
        <v>1268</v>
      </c>
      <c r="C29" s="2">
        <v>70</v>
      </c>
      <c r="D29" s="3">
        <v>1510</v>
      </c>
      <c r="E29" s="3">
        <v>5562</v>
      </c>
      <c r="F29" s="4">
        <v>113524</v>
      </c>
      <c r="G29" s="11" t="str" cm="1">
        <f t="array" aca="1" ref="G29" ca="1">IFERROR(VLOOKUP("*" &amp; B29  &amp; "*" &amp; (MID(CELL("filename",A28),FIND("]",CELL("filename",A28))+1,31)) &amp; "*",CHOOSE({1,2}, Super_CBSA!$B$2:$B$1917, Super_CBSA!$A$2:$A$1917), 2,FALSE), IFERROR(VLOOKUP(B29  &amp; " city",CHOOSE({1,2}, Super_CBSA!$E$2:$E$1917, Super_CBSA!$A$2:$A$1917), 2,FALSE), ""))</f>
        <v/>
      </c>
    </row>
    <row r="30" spans="1:7" ht="17">
      <c r="A30" s="1" t="s">
        <v>5838</v>
      </c>
      <c r="B30" s="2" t="s">
        <v>5839</v>
      </c>
      <c r="C30" s="2">
        <v>101</v>
      </c>
      <c r="D30" s="3">
        <v>1152</v>
      </c>
      <c r="E30" s="3">
        <v>4125</v>
      </c>
      <c r="F30" s="4">
        <v>112445</v>
      </c>
      <c r="G30" s="11" t="str" cm="1">
        <f t="array" aca="1" ref="G30" ca="1">IFERROR(VLOOKUP("*" &amp; B30  &amp; "*" &amp; (MID(CELL("filename",A29),FIND("]",CELL("filename",A29))+1,31)) &amp; "*",CHOOSE({1,2}, Super_CBSA!$B$2:$B$1917, Super_CBSA!$A$2:$A$1917), 2,FALSE), IFERROR(VLOOKUP(B30  &amp; " city",CHOOSE({1,2}, Super_CBSA!$E$2:$E$1917, Super_CBSA!$A$2:$A$1917), 2,FALSE), ""))</f>
        <v/>
      </c>
    </row>
    <row r="31" spans="1:7" ht="17">
      <c r="A31" s="1" t="s">
        <v>5840</v>
      </c>
      <c r="B31" s="2" t="s">
        <v>5841</v>
      </c>
      <c r="C31" s="2">
        <v>178</v>
      </c>
      <c r="D31" s="3">
        <v>6532</v>
      </c>
      <c r="E31" s="3">
        <v>31241</v>
      </c>
      <c r="F31" s="4">
        <v>639775</v>
      </c>
      <c r="G31" s="11" t="str" cm="1">
        <f t="array" aca="1" ref="G31" ca="1">IFERROR(VLOOKUP("*" &amp; B31  &amp; "*" &amp; (MID(CELL("filename",A30),FIND("]",CELL("filename",A30))+1,31)) &amp; "*",CHOOSE({1,2}, Super_CBSA!$B$2:$B$1917, Super_CBSA!$A$2:$A$1917), 2,FALSE), IFERROR(VLOOKUP(B31  &amp; " city",CHOOSE({1,2}, Super_CBSA!$E$2:$E$1917, Super_CBSA!$A$2:$A$1917), 2,FALSE), ""))</f>
        <v/>
      </c>
    </row>
    <row r="32" spans="1:7" ht="17">
      <c r="A32" s="1" t="s">
        <v>5842</v>
      </c>
      <c r="B32" s="2" t="s">
        <v>1074</v>
      </c>
      <c r="C32" s="2">
        <v>264</v>
      </c>
      <c r="D32" s="3">
        <v>12092</v>
      </c>
      <c r="E32" s="3">
        <v>56334</v>
      </c>
      <c r="F32" s="4">
        <v>951406</v>
      </c>
      <c r="G32" s="11" t="str" cm="1">
        <f t="array" aca="1" ref="G32" ca="1">IFERROR(VLOOKUP("*" &amp; B32  &amp; "*" &amp; (MID(CELL("filename",A31),FIND("]",CELL("filename",A31))+1,31)) &amp; "*",CHOOSE({1,2}, Super_CBSA!$B$2:$B$1917, Super_CBSA!$A$2:$A$1917), 2,FALSE), IFERROR(VLOOKUP(B32  &amp; " city",CHOOSE({1,2}, Super_CBSA!$E$2:$E$1917, Super_CBSA!$A$2:$A$1917), 2,FALSE), ""))</f>
        <v/>
      </c>
    </row>
    <row r="33" spans="1:7" ht="17">
      <c r="A33" s="1" t="s">
        <v>5843</v>
      </c>
      <c r="B33" s="2" t="s">
        <v>5844</v>
      </c>
      <c r="C33" s="2">
        <v>167</v>
      </c>
      <c r="D33" s="3">
        <v>5132</v>
      </c>
      <c r="E33" s="3">
        <v>20757</v>
      </c>
      <c r="F33" s="4">
        <v>577794</v>
      </c>
      <c r="G33" s="11" cm="1">
        <f t="array" aca="1" ref="G33" ca="1">IFERROR(VLOOKUP("*" &amp; B33  &amp; "*" &amp; (MID(CELL("filename",A32),FIND("]",CELL("filename",A32))+1,31)) &amp; "*",CHOOSE({1,2}, Super_CBSA!$B$2:$B$1917, Super_CBSA!$A$2:$A$1917), 2,FALSE), IFERROR(VLOOKUP(B33  &amp; " city",CHOOSE({1,2}, Super_CBSA!$E$2:$E$1917, Super_CBSA!$A$2:$A$1917), 2,FALSE), ""))</f>
        <v>48260</v>
      </c>
    </row>
    <row r="34" spans="1:7" ht="17">
      <c r="A34" s="1" t="s">
        <v>5845</v>
      </c>
      <c r="B34" s="2" t="s">
        <v>5846</v>
      </c>
      <c r="C34" s="2">
        <v>108</v>
      </c>
      <c r="D34" s="2">
        <v>593</v>
      </c>
      <c r="E34" s="3">
        <v>2270</v>
      </c>
      <c r="F34" s="4">
        <v>38800</v>
      </c>
      <c r="G34" s="11" t="str" cm="1">
        <f t="array" aca="1" ref="G34" ca="1">IFERROR(VLOOKUP("*" &amp; B34  &amp; "*" &amp; (MID(CELL("filename",A33),FIND("]",CELL("filename",A33))+1,31)) &amp; "*",CHOOSE({1,2}, Super_CBSA!$B$2:$B$1917, Super_CBSA!$A$2:$A$1917), 2,FALSE), IFERROR(VLOOKUP(B34  &amp; " city",CHOOSE({1,2}, Super_CBSA!$E$2:$E$1917, Super_CBSA!$A$2:$A$1917), 2,FALSE), ""))</f>
        <v/>
      </c>
    </row>
    <row r="35" spans="1:7" ht="17">
      <c r="A35" s="1" t="s">
        <v>5847</v>
      </c>
      <c r="B35" s="2" t="s">
        <v>5848</v>
      </c>
      <c r="C35" s="2">
        <v>48</v>
      </c>
      <c r="D35" s="2">
        <v>325</v>
      </c>
      <c r="E35" s="3">
        <v>1095</v>
      </c>
      <c r="F35" s="4">
        <v>59746</v>
      </c>
      <c r="G35" s="11" t="str" cm="1">
        <f t="array" aca="1" ref="G35" ca="1">IFERROR(VLOOKUP("*" &amp; B35  &amp; "*" &amp; (MID(CELL("filename",A34),FIND("]",CELL("filename",A34))+1,31)) &amp; "*",CHOOSE({1,2}, Super_CBSA!$B$2:$B$1917, Super_CBSA!$A$2:$A$1917), 2,FALSE), IFERROR(VLOOKUP(B35  &amp; " city",CHOOSE({1,2}, Super_CBSA!$E$2:$E$1917, Super_CBSA!$A$2:$A$1917), 2,FALSE), ""))</f>
        <v/>
      </c>
    </row>
    <row r="36" spans="1:7" ht="17">
      <c r="A36" s="1" t="s">
        <v>5849</v>
      </c>
      <c r="B36" s="2" t="s">
        <v>5850</v>
      </c>
      <c r="C36" s="2">
        <v>367</v>
      </c>
      <c r="D36" s="3">
        <v>10237</v>
      </c>
      <c r="E36" s="3">
        <v>52304</v>
      </c>
      <c r="F36" s="4">
        <v>1127167</v>
      </c>
      <c r="G36" s="11" cm="1">
        <f t="array" aca="1" ref="G36" ca="1">IFERROR(VLOOKUP("*" &amp; B36  &amp; "*" &amp; (MID(CELL("filename",A35),FIND("]",CELL("filename",A35))+1,31)) &amp; "*",CHOOSE({1,2}, Super_CBSA!$B$2:$B$1917, Super_CBSA!$A$2:$A$1917), 2,FALSE), IFERROR(VLOOKUP(B36  &amp; " city",CHOOSE({1,2}, Super_CBSA!$E$2:$E$1917, Super_CBSA!$A$2:$A$1917), 2,FALSE), ""))</f>
        <v>48540</v>
      </c>
    </row>
    <row r="37" spans="1:7" ht="17">
      <c r="A37" s="2" t="s">
        <v>56</v>
      </c>
      <c r="B37" s="2"/>
      <c r="C37" s="3">
        <v>5509</v>
      </c>
      <c r="D37" s="3">
        <v>207141</v>
      </c>
      <c r="E37" s="3">
        <v>1046375</v>
      </c>
      <c r="F37" s="4">
        <v>19010151</v>
      </c>
    </row>
  </sheetData>
  <hyperlinks>
    <hyperlink ref="A2" r:id="rId1" display="https://www.ahd.com/free_profile/510092/Acuity_Specialty_Hospital_of_Morgantown/Morgantown/West_Virginia/" xr:uid="{157C7D51-98CD-DE4D-B3EB-B2A4C2901494}"/>
    <hyperlink ref="A3" r:id="rId2" display="https://www.ahd.com/free_profile/510062/Beckley_ARH_Hospital/Beckley/West_Virginia/" xr:uid="{58B267BD-0D91-0040-B7A3-D3ED79633234}"/>
    <hyperlink ref="A4" r:id="rId3" display="https://www.ahd.com/free_profile/51002F/Beckley_VA_Medical_Center/Beckley/West_Virginia/" xr:uid="{9AFABEF8-6A81-7543-AC6C-F7DDF3BF7995}"/>
    <hyperlink ref="A5" r:id="rId4" display="https://www.ahd.com/free_profile/510008/Berkeley_Medical_Center/Martinsburg/West_Virginia/" xr:uid="{DF54AB5E-8563-7F47-A0BC-1787765FEDFF}"/>
    <hyperlink ref="A6" r:id="rId5" display="https://www.ahd.com/free_profile/510071/Bluefield_Regional_Medical_Center/Bluefield/West_Virginia/" xr:uid="{30A28C9B-FA8E-A34C-8159-EAED85F34D62}"/>
    <hyperlink ref="A7" r:id="rId6" display="https://www.ahd.com/free_profile/510055/Cabell_Huntington_Hospital/Huntington/West_Virginia/" xr:uid="{95D0B2A2-031D-B64D-B0EA-5C375EA13573}"/>
    <hyperlink ref="A8" r:id="rId7" display="https://www.ahd.com/free_profile/510058/Camden_Clark_Medical_Center/Parkersburg/West_Virginia/" xr:uid="{D2B55EA3-E277-8541-A7B5-7EBFFAF4A174}"/>
    <hyperlink ref="A9" r:id="rId8" display="https://www.ahd.com/free_profile/I41207/Charleston_Area_Medical_Center__Women_and_Children%27s_Hospital/Charleston/West_Virginia/" xr:uid="{FFC05001-333E-1F4B-8710-B110BE49821D}"/>
    <hyperlink ref="A10" r:id="rId9" display="https://www.ahd.com/free_profile/510022/Charleston_Area_Medical_Center_General_Hospital/Charleston/West_Virginia/" xr:uid="{192FA1B6-6E44-3947-B3D9-21CB27F310EA}"/>
    <hyperlink ref="A11" r:id="rId10" display="https://www.ahd.com/free_profile/I41208/Charleston_Area_Medical_Center_Memorial_Hospital/Charleston/West_Virginia/" xr:uid="{FD4BB4B9-78AA-7447-8175-793579FBAED9}"/>
    <hyperlink ref="A12" r:id="rId11" display="https://www.ahd.com/free_profile/510085/Charleston_Area_Medical_Center_Teays_Valley_Hospital/Hurricane/West_Virginia/" xr:uid="{5908741C-F905-384D-A24D-FC9146EDA940}"/>
    <hyperlink ref="A13" r:id="rId12" display="https://www.ahd.com/free_profile/510091/Charleston_Surgical_Hospital/Charleston/West_Virginia/" xr:uid="{1D06B83C-58C3-324B-B347-1CCEDC4CAB32}"/>
    <hyperlink ref="A14" r:id="rId13" display="https://www.ahd.com/free_profile/510030/Davis_Medical_Center/Elkins/West_Virginia/" xr:uid="{FECC79A1-E91F-E44F-A9F0-52FD99CCFADF}"/>
    <hyperlink ref="A15" r:id="rId14" display="https://www.ahd.com/free_profile/510002/Greenbrier_Valley_Medical_Center/Ronceverte/West_Virginia/" xr:uid="{BA2787A3-F36A-1246-9CD2-3FB7C5827C98}"/>
    <hyperlink ref="A16" r:id="rId15" display="https://www.ahd.com/free_profile/51004F/Hershel_Woody_Williams_VA_Medical_Center/Huntington/West_Virginia/" xr:uid="{1C37B316-B8D1-AF4F-860E-47F36A032BD2}"/>
    <hyperlink ref="A17" r:id="rId16" display="https://www.ahd.com/free_profile/I42256/Hoops_Family_Children%27s_Hospital/Huntington/West_Virginia/" xr:uid="{A6C1B07D-F6AE-824B-8A47-CAEBDD415DC2}"/>
    <hyperlink ref="A18" r:id="rId17" display="https://www.ahd.com/free_profile/510001/JW_Ruby_Memorial_Hospital/Morgantown/West_Virginia/" xr:uid="{9E1080F9-ECD3-9E41-A5D2-D08CF51CB323}"/>
    <hyperlink ref="A19" r:id="rId18" display="https://www.ahd.com/free_profile/510048/Logan_Regional_Medical_Center/Logan/West_Virginia/" xr:uid="{B78B2185-54BA-4F4E-B5D1-59F4BEE577ED}"/>
    <hyperlink ref="A20" r:id="rId19" display="https://www.ahd.com/free_profile/51003F/Louis_A_Johnson_VA_Medical_Center/Clarksburg/West_Virginia/" xr:uid="{08466730-0F40-2844-90BA-76258AAD95BC}"/>
    <hyperlink ref="A21" r:id="rId20" display="https://www.ahd.com/free_profile/51005F/Martinsburg_VA_Medical_Center/Martinsburg/West_Virginia/" xr:uid="{BFE8452A-8F02-0C44-824B-BA6DB550D829}"/>
    <hyperlink ref="A22" r:id="rId21" display="https://www.ahd.com/free_profile/510024/Mon_Health_Medical_Center/Morgantown/West_Virginia/" xr:uid="{AE879215-698F-F841-92E4-95C743429CDC}"/>
    <hyperlink ref="A23" r:id="rId22" display="https://www.ahd.com/free_profile/510012/Pleasant_Valley_Hospital/Point_Pleasant/West_Virginia/" xr:uid="{6C1B865F-730F-8F4B-AA9D-978291EAF461}"/>
    <hyperlink ref="A24" r:id="rId23" display="https://www.ahd.com/free_profile/510046/Princeton_Community_Hospital/Princeton/West_Virginia/" xr:uid="{76294B11-A8AC-634F-AFAD-5A2FAA8B3E80}"/>
    <hyperlink ref="A25" r:id="rId24" display="https://www.ahd.com/free_profile/510070/Raleigh_General_Hospital/Beckley/West_Virginia/" xr:uid="{5DC6B902-07F1-1B4A-8A1F-7773872488D4}"/>
    <hyperlink ref="A26" r:id="rId25" display="https://www.ahd.com/free_profile/510013/Reynolds_Memorial_Hospital/Glen_Dale/West_Virginia/" xr:uid="{B0AC1A38-8E0E-A440-85FE-533D6971ACE8}"/>
    <hyperlink ref="A27" r:id="rId26" display="https://www.ahd.com/free_profile/510031/Saint_Francis_Hospital/Charleston/West_Virginia/" xr:uid="{C9CBC3BD-E5E9-974E-A7A6-59734CB02B15}"/>
    <hyperlink ref="A28" r:id="rId27" display="https://www.ahd.com/free_profile/510007/Saint_Mary%27s_Medical_Center/Huntington/West_Virginia/" xr:uid="{FC52543D-1C10-A149-A908-57A5032C58F0}"/>
    <hyperlink ref="A29" r:id="rId28" display="https://www.ahd.com/free_profile/510038/Stonewall_Jackson_Memorial_Hospital/Weston/West_Virginia/" xr:uid="{D35DD612-0613-5C42-B482-369D17D44FA0}"/>
    <hyperlink ref="A30" r:id="rId29" display="https://www.ahd.com/free_profile/510082/Summersville_Regional_Medical_Center/Summersville/West_Virginia/" xr:uid="{A1290C53-44A7-3E42-AB7E-EA91E37E34E5}"/>
    <hyperlink ref="A31" r:id="rId30" display="https://www.ahd.com/free_profile/510029/Thomas_Memorial_Hospital/South_Charleston/West_Virginia/" xr:uid="{B3F7C112-F486-7844-B8CD-C3277FF2AC7C}"/>
    <hyperlink ref="A32" r:id="rId31" display="https://www.ahd.com/free_profile/510006/United_Hospital_Center/Bridgeport/West_Virginia/" xr:uid="{10033C24-B3F3-474B-A453-3D5F115D7CA9}"/>
    <hyperlink ref="A33" r:id="rId32" display="https://www.ahd.com/free_profile/510023/Weirton_Medical_Center/Weirton/West_Virginia/" xr:uid="{C9BBEE94-96D0-EB45-9C93-83F396E80399}"/>
    <hyperlink ref="A34" r:id="rId33" display="https://www.ahd.com/free_profile/510086/Welch_Community_Hospital/Welch/West_Virginia/" xr:uid="{D22B5673-C924-EF41-89BC-5258EF070063}"/>
    <hyperlink ref="A35" r:id="rId34" display="https://www.ahd.com/free_profile/510072/Wetzel_County_Hospital/New_Martinsville/West_Virginia/" xr:uid="{A6FB6B31-D75F-9348-BD35-73F526110EBC}"/>
    <hyperlink ref="A36" r:id="rId35" display="https://www.ahd.com/free_profile/510050/Wheeling_Hospital/Wheeling/West_Virginia/" xr:uid="{FC4ADB46-70D0-B643-AC77-FE2BBECD586E}"/>
  </hyperlink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E3372-23A8-804C-A591-B586451916F1}">
  <sheetPr codeName="Sheet52"/>
  <dimension ref="A1:G16"/>
  <sheetViews>
    <sheetView workbookViewId="0">
      <selection activeCell="G2" sqref="G2:G15"/>
    </sheetView>
  </sheetViews>
  <sheetFormatPr baseColWidth="10" defaultColWidth="27.6640625" defaultRowHeight="16"/>
  <sheetData>
    <row r="1" spans="1:7" s="14" customFormat="1" ht="29">
      <c r="A1" s="13" t="s">
        <v>57</v>
      </c>
      <c r="B1" s="13" t="s">
        <v>58</v>
      </c>
      <c r="C1" s="13" t="s">
        <v>7134</v>
      </c>
      <c r="D1" s="13" t="s">
        <v>7135</v>
      </c>
      <c r="E1" s="13" t="s">
        <v>7136</v>
      </c>
      <c r="F1" s="13" t="s">
        <v>7137</v>
      </c>
      <c r="G1" s="13" t="s">
        <v>7133</v>
      </c>
    </row>
    <row r="2" spans="1:7" ht="17">
      <c r="A2" s="1" t="s">
        <v>5851</v>
      </c>
      <c r="B2" s="2" t="s">
        <v>5852</v>
      </c>
      <c r="C2" s="2">
        <v>0</v>
      </c>
      <c r="D2" s="2">
        <v>0</v>
      </c>
      <c r="E2" s="2">
        <v>0</v>
      </c>
      <c r="F2" s="4">
        <v>0</v>
      </c>
      <c r="G2" s="11" cm="1">
        <f t="array" aca="1" ref="G2" ca="1">IFERROR(VLOOKUP("*" &amp; B2  &amp; "*" &amp; (MID(CELL("filename",A1),FIND("]",CELL("filename",A1))+1,31)) &amp; "*",CHOOSE({1,2}, Super_CBSA!$B$2:$B$1917, Super_CBSA!$A$2:$A$1917), 2,FALSE), IFERROR(VLOOKUP(B2  &amp; " city",CHOOSE({1,2}, Super_CBSA!$E$2:$E$1917, Super_CBSA!$A$2:$A$1917), 2,FALSE), ""))</f>
        <v>40540</v>
      </c>
    </row>
    <row r="3" spans="1:7" ht="17">
      <c r="A3" s="1" t="s">
        <v>5853</v>
      </c>
      <c r="B3" s="2" t="s">
        <v>5854</v>
      </c>
      <c r="C3" s="2">
        <v>232</v>
      </c>
      <c r="D3" s="3">
        <v>2195</v>
      </c>
      <c r="E3" s="3">
        <v>7490</v>
      </c>
      <c r="F3" s="4">
        <v>359172</v>
      </c>
      <c r="G3" s="11" cm="1">
        <f t="array" aca="1" ref="G3" ca="1">IFERROR(VLOOKUP("*" &amp; B3  &amp; "*" &amp; (MID(CELL("filename",A2),FIND("]",CELL("filename",A2))+1,31)) &amp; "*",CHOOSE({1,2}, Super_CBSA!$B$2:$B$1917, Super_CBSA!$A$2:$A$1917), 2,FALSE), IFERROR(VLOOKUP(B3  &amp; " city",CHOOSE({1,2}, Super_CBSA!$E$2:$E$1917, Super_CBSA!$A$2:$A$1917), 2,FALSE), ""))</f>
        <v>23940</v>
      </c>
    </row>
    <row r="4" spans="1:7" ht="17">
      <c r="A4" s="1" t="s">
        <v>5855</v>
      </c>
      <c r="B4" s="2" t="s">
        <v>5856</v>
      </c>
      <c r="C4" s="2">
        <v>222</v>
      </c>
      <c r="D4" s="3">
        <v>8673</v>
      </c>
      <c r="E4" s="3">
        <v>33729</v>
      </c>
      <c r="F4" s="4">
        <v>864106</v>
      </c>
      <c r="G4" s="11" cm="1">
        <f t="array" aca="1" ref="G4" ca="1">IFERROR(VLOOKUP("*" &amp; B4  &amp; "*" &amp; (MID(CELL("filename",A3),FIND("]",CELL("filename",A3))+1,31)) &amp; "*",CHOOSE({1,2}, Super_CBSA!$B$2:$B$1917, Super_CBSA!$A$2:$A$1917), 2,FALSE), IFERROR(VLOOKUP(B4  &amp; " city",CHOOSE({1,2}, Super_CBSA!$E$2:$E$1917, Super_CBSA!$A$2:$A$1917), 2,FALSE), ""))</f>
        <v>16940</v>
      </c>
    </row>
    <row r="5" spans="1:7" ht="17">
      <c r="A5" s="1" t="s">
        <v>5857</v>
      </c>
      <c r="B5" s="2" t="s">
        <v>5856</v>
      </c>
      <c r="C5" s="2">
        <v>0</v>
      </c>
      <c r="D5" s="2">
        <v>0</v>
      </c>
      <c r="E5" s="2">
        <v>0</v>
      </c>
      <c r="F5" s="4">
        <v>0</v>
      </c>
      <c r="G5" s="11" cm="1">
        <f t="array" aca="1" ref="G5" ca="1">IFERROR(VLOOKUP("*" &amp; B5  &amp; "*" &amp; (MID(CELL("filename",A4),FIND("]",CELL("filename",A4))+1,31)) &amp; "*",CHOOSE({1,2}, Super_CBSA!$B$2:$B$1917, Super_CBSA!$A$2:$A$1917), 2,FALSE), IFERROR(VLOOKUP(B5  &amp; " city",CHOOSE({1,2}, Super_CBSA!$E$2:$E$1917, Super_CBSA!$A$2:$A$1917), 2,FALSE), ""))</f>
        <v>16940</v>
      </c>
    </row>
    <row r="6" spans="1:7" ht="17">
      <c r="A6" s="1" t="s">
        <v>5858</v>
      </c>
      <c r="B6" s="2" t="s">
        <v>1837</v>
      </c>
      <c r="C6" s="2">
        <v>32</v>
      </c>
      <c r="D6" s="2">
        <v>699</v>
      </c>
      <c r="E6" s="3">
        <v>1736</v>
      </c>
      <c r="F6" s="4">
        <v>86242</v>
      </c>
      <c r="G6" s="11" cm="1">
        <f t="array" aca="1" ref="G6" ca="1">IFERROR(VLOOKUP("*" &amp; B6  &amp; "*" &amp; (MID(CELL("filename",A5),FIND("]",CELL("filename",A5))+1,31)) &amp; "*",CHOOSE({1,2}, Super_CBSA!$B$2:$B$1917, Super_CBSA!$A$2:$A$1917), 2,FALSE), IFERROR(VLOOKUP(B6  &amp; " city",CHOOSE({1,2}, Super_CBSA!$E$2:$E$1917, Super_CBSA!$A$2:$A$1917), 2,FALSE), ""))</f>
        <v>21740</v>
      </c>
    </row>
    <row r="7" spans="1:7" ht="17">
      <c r="A7" s="1" t="s">
        <v>5859</v>
      </c>
      <c r="B7" s="2" t="s">
        <v>5860</v>
      </c>
      <c r="C7" s="2">
        <v>86</v>
      </c>
      <c r="D7" s="3">
        <v>1577</v>
      </c>
      <c r="E7" s="3">
        <v>5038</v>
      </c>
      <c r="F7" s="4">
        <v>179229</v>
      </c>
      <c r="G7" s="11" cm="1">
        <f t="array" aca="1" ref="G7" ca="1">IFERROR(VLOOKUP("*" &amp; B7  &amp; "*" &amp; (MID(CELL("filename",A6),FIND("]",CELL("filename",A6))+1,31)) &amp; "*",CHOOSE({1,2}, Super_CBSA!$B$2:$B$1917, Super_CBSA!$A$2:$A$1917), 2,FALSE), IFERROR(VLOOKUP(B7  &amp; " city",CHOOSE({1,2}, Super_CBSA!$E$2:$E$1917, Super_CBSA!$A$2:$A$1917), 2,FALSE), ""))</f>
        <v>29660</v>
      </c>
    </row>
    <row r="8" spans="1:7" ht="17">
      <c r="A8" s="1" t="s">
        <v>5861</v>
      </c>
      <c r="B8" s="2" t="s">
        <v>5852</v>
      </c>
      <c r="C8" s="2">
        <v>58</v>
      </c>
      <c r="D8" s="3">
        <v>2024</v>
      </c>
      <c r="E8" s="3">
        <v>5311</v>
      </c>
      <c r="F8" s="4">
        <v>164917</v>
      </c>
      <c r="G8" s="11" cm="1">
        <f t="array" aca="1" ref="G8" ca="1">IFERROR(VLOOKUP("*" &amp; B8  &amp; "*" &amp; (MID(CELL("filename",A7),FIND("]",CELL("filename",A7))+1,31)) &amp; "*",CHOOSE({1,2}, Super_CBSA!$B$2:$B$1917, Super_CBSA!$A$2:$A$1917), 2,FALSE), IFERROR(VLOOKUP(B8  &amp; " city",CHOOSE({1,2}, Super_CBSA!$E$2:$E$1917, Super_CBSA!$A$2:$A$1917), 2,FALSE), ""))</f>
        <v>40540</v>
      </c>
    </row>
    <row r="9" spans="1:7" ht="17">
      <c r="A9" s="1" t="s">
        <v>5862</v>
      </c>
      <c r="B9" s="2" t="s">
        <v>5863</v>
      </c>
      <c r="C9" s="2">
        <v>86</v>
      </c>
      <c r="D9" s="3">
        <v>1542</v>
      </c>
      <c r="E9" s="3">
        <v>4801</v>
      </c>
      <c r="F9" s="4">
        <v>128783</v>
      </c>
      <c r="G9" s="11" t="str" cm="1">
        <f t="array" aca="1" ref="G9" ca="1">IFERROR(VLOOKUP("*" &amp; B9  &amp; "*" &amp; (MID(CELL("filename",A8),FIND("]",CELL("filename",A8))+1,31)) &amp; "*",CHOOSE({1,2}, Super_CBSA!$B$2:$B$1917, Super_CBSA!$A$2:$A$1917), 2,FALSE), IFERROR(VLOOKUP(B9  &amp; " city",CHOOSE({1,2}, Super_CBSA!$E$2:$E$1917, Super_CBSA!$A$2:$A$1917), 2,FALSE), ""))</f>
        <v/>
      </c>
    </row>
    <row r="10" spans="1:7" ht="17">
      <c r="A10" s="1" t="s">
        <v>5864</v>
      </c>
      <c r="B10" s="2" t="s">
        <v>5443</v>
      </c>
      <c r="C10" s="2">
        <v>154</v>
      </c>
      <c r="D10" s="3">
        <v>2389</v>
      </c>
      <c r="E10" s="3">
        <v>6998</v>
      </c>
      <c r="F10" s="4">
        <v>231513</v>
      </c>
      <c r="G10" s="11" cm="1">
        <f t="array" aca="1" ref="G10" ca="1">IFERROR(VLOOKUP("*" &amp; B10  &amp; "*" &amp; (MID(CELL("filename",A9),FIND("]",CELL("filename",A9))+1,31)) &amp; "*",CHOOSE({1,2}, Super_CBSA!$B$2:$B$1917, Super_CBSA!$A$2:$A$1917), 2,FALSE), IFERROR(VLOOKUP(B10  &amp; " city",CHOOSE({1,2}, Super_CBSA!$E$2:$E$1917, Super_CBSA!$A$2:$A$1917), 2,FALSE), ""))</f>
        <v>40180</v>
      </c>
    </row>
    <row r="11" spans="1:7" ht="17">
      <c r="A11" s="1" t="s">
        <v>5865</v>
      </c>
      <c r="B11" s="2" t="s">
        <v>158</v>
      </c>
      <c r="C11" s="2">
        <v>108</v>
      </c>
      <c r="D11" s="3">
        <v>1671</v>
      </c>
      <c r="E11" s="3">
        <v>6248</v>
      </c>
      <c r="F11" s="4">
        <v>196675</v>
      </c>
      <c r="G11" s="11" cm="1">
        <f t="array" aca="1" ref="G11" ca="1">IFERROR(VLOOKUP("*" &amp; B11  &amp; "*" &amp; (MID(CELL("filename",A10),FIND("]",CELL("filename",A10))+1,31)) &amp; "*",CHOOSE({1,2}, Super_CBSA!$B$2:$B$1917, Super_CBSA!$A$2:$A$1917), 2,FALSE), IFERROR(VLOOKUP(B11  &amp; " city",CHOOSE({1,2}, Super_CBSA!$E$2:$E$1917, Super_CBSA!$A$2:$A$1917), 2,FALSE), ""))</f>
        <v>27220</v>
      </c>
    </row>
    <row r="12" spans="1:7" ht="17">
      <c r="A12" s="1" t="s">
        <v>5866</v>
      </c>
      <c r="B12" s="2" t="s">
        <v>5867</v>
      </c>
      <c r="C12" s="2">
        <v>71</v>
      </c>
      <c r="D12" s="3">
        <v>2332</v>
      </c>
      <c r="E12" s="3">
        <v>7165</v>
      </c>
      <c r="F12" s="4">
        <v>221693</v>
      </c>
      <c r="G12" s="11" cm="1">
        <f t="array" aca="1" ref="G12" ca="1">IFERROR(VLOOKUP("*" &amp; B12  &amp; "*" &amp; (MID(CELL("filename",A11),FIND("]",CELL("filename",A11))+1,31)) &amp; "*",CHOOSE({1,2}, Super_CBSA!$B$2:$B$1917, Super_CBSA!$A$2:$A$1917), 2,FALSE), IFERROR(VLOOKUP(B12  &amp; " city",CHOOSE({1,2}, Super_CBSA!$E$2:$E$1917, Super_CBSA!$A$2:$A$1917), 2,FALSE), ""))</f>
        <v>43260</v>
      </c>
    </row>
    <row r="13" spans="1:7" ht="17">
      <c r="A13" s="1" t="s">
        <v>5868</v>
      </c>
      <c r="B13" s="2" t="s">
        <v>5867</v>
      </c>
      <c r="C13" s="2">
        <v>0</v>
      </c>
      <c r="D13" s="2">
        <v>0</v>
      </c>
      <c r="E13" s="2">
        <v>0</v>
      </c>
      <c r="F13" s="4">
        <v>0</v>
      </c>
      <c r="G13" s="11" cm="1">
        <f t="array" aca="1" ref="G13" ca="1">IFERROR(VLOOKUP("*" &amp; B13  &amp; "*" &amp; (MID(CELL("filename",A12),FIND("]",CELL("filename",A12))+1,31)) &amp; "*",CHOOSE({1,2}, Super_CBSA!$B$2:$B$1917, Super_CBSA!$A$2:$A$1917), 2,FALSE), IFERROR(VLOOKUP(B13  &amp; " city",CHOOSE({1,2}, Super_CBSA!$E$2:$E$1917, Super_CBSA!$A$2:$A$1917), 2,FALSE), ""))</f>
        <v>43260</v>
      </c>
    </row>
    <row r="14" spans="1:7" ht="17">
      <c r="A14" s="1" t="s">
        <v>4292</v>
      </c>
      <c r="B14" s="2" t="s">
        <v>5869</v>
      </c>
      <c r="C14" s="2">
        <v>0</v>
      </c>
      <c r="D14" s="2">
        <v>0</v>
      </c>
      <c r="E14" s="2">
        <v>0</v>
      </c>
      <c r="F14" s="4">
        <v>0</v>
      </c>
      <c r="G14" s="11" cm="1">
        <f t="array" aca="1" ref="G14" ca="1">IFERROR(VLOOKUP("*" &amp; B14  &amp; "*" &amp; (MID(CELL("filename",A13),FIND("]",CELL("filename",A13))+1,31)) &amp; "*",CHOOSE({1,2}, Super_CBSA!$B$2:$B$1917, Super_CBSA!$A$2:$A$1917), 2,FALSE), IFERROR(VLOOKUP(B14  &amp; " city",CHOOSE({1,2}, Super_CBSA!$E$2:$E$1917, Super_CBSA!$A$2:$A$1917), 2,FALSE), ""))</f>
        <v>16220</v>
      </c>
    </row>
    <row r="15" spans="1:7" ht="17">
      <c r="A15" s="1" t="s">
        <v>5870</v>
      </c>
      <c r="B15" s="2" t="s">
        <v>5869</v>
      </c>
      <c r="C15" s="2">
        <v>212</v>
      </c>
      <c r="D15" s="3">
        <v>9119</v>
      </c>
      <c r="E15" s="3">
        <v>37631</v>
      </c>
      <c r="F15" s="4">
        <v>638314</v>
      </c>
      <c r="G15" s="11" cm="1">
        <f t="array" aca="1" ref="G15" ca="1">IFERROR(VLOOKUP("*" &amp; B15  &amp; "*" &amp; (MID(CELL("filename",A14),FIND("]",CELL("filename",A14))+1,31)) &amp; "*",CHOOSE({1,2}, Super_CBSA!$B$2:$B$1917, Super_CBSA!$A$2:$A$1917), 2,FALSE), IFERROR(VLOOKUP(B15  &amp; " city",CHOOSE({1,2}, Super_CBSA!$E$2:$E$1917, Super_CBSA!$A$2:$A$1917), 2,FALSE), ""))</f>
        <v>16220</v>
      </c>
    </row>
    <row r="16" spans="1:7" ht="17">
      <c r="A16" s="2" t="s">
        <v>56</v>
      </c>
      <c r="B16" s="2"/>
      <c r="C16" s="3">
        <v>1261</v>
      </c>
      <c r="D16" s="3">
        <v>32221</v>
      </c>
      <c r="E16" s="3">
        <v>116147</v>
      </c>
      <c r="F16" s="4">
        <v>3070645</v>
      </c>
    </row>
  </sheetData>
  <hyperlinks>
    <hyperlink ref="A2" r:id="rId1" display="https://www.ahd.com/free_profile/530035/Aspen_Mountain_Medical_Center/Rock_Springs/Wyoming/" xr:uid="{3C80A930-A019-8848-8B60-BD28850D9622}"/>
    <hyperlink ref="A3" r:id="rId2" display="https://www.ahd.com/free_profile/530002/Campbell_County_Memorial_Hospital/Gillette/Wyoming/" xr:uid="{6D383F6F-6557-E944-BF1C-3758DC2ADD44}"/>
    <hyperlink ref="A4" r:id="rId3" display="https://www.ahd.com/free_profile/530014/Cheyenne_Regional_Medical_Center/Cheyenne/Wyoming/" xr:uid="{E821DB34-AF3A-0247-80FF-1AD0E16277D5}"/>
    <hyperlink ref="A5" r:id="rId4" display="https://www.ahd.com/free_profile/53004F/Cheyenne_VA_Medical_Center/Cheyenne/Wyoming/" xr:uid="{13F36883-0809-8041-963F-DC7E20354F78}"/>
    <hyperlink ref="A6" r:id="rId5" display="https://www.ahd.com/free_profile/530032/Evanston_Regional_Hospital/Evanston/Wyoming/" xr:uid="{E711280F-E17F-164E-BEA1-94ADB45B6369}"/>
    <hyperlink ref="A7" r:id="rId6" display="https://www.ahd.com/free_profile/530025/Ivinson_Memorial_Hospital/Laramie/Wyoming/" xr:uid="{95E23879-5FD6-0543-85C2-E0DE0A45392A}"/>
    <hyperlink ref="A8" r:id="rId7" display="https://www.ahd.com/free_profile/530011/Memorial_Hospital_of_Sweetwater_County/Rock_Springs/Wyoming/" xr:uid="{374F8BDA-BC0A-D54A-95FC-9E11A972EC7E}"/>
    <hyperlink ref="A9" r:id="rId8" display="https://www.ahd.com/free_profile/530010/SageWest_Health_Care_at_Lander/Lander/Wyoming/" xr:uid="{D374976B-57AD-144F-BCBD-68BADCB0EE3B}"/>
    <hyperlink ref="A10" r:id="rId9" display="https://www.ahd.com/free_profile/530008/SageWest_Health_Care_at_Riverton/Riverton/Wyoming/" xr:uid="{3EEDDBF9-4F48-F14A-A3C2-6AC7D2A93E68}"/>
    <hyperlink ref="A11" r:id="rId10" display="https://www.ahd.com/free_profile/530015/Saint_John%27s_Medical_Center/Jackson/Wyoming/" xr:uid="{B8667C06-BB79-144B-B67A-B43558A3824B}"/>
    <hyperlink ref="A12" r:id="rId11" display="https://www.ahd.com/free_profile/530006/Sheridan_Memorial_Hospital/Sheridan/Wyoming/" xr:uid="{F58260FE-98BD-8245-85CC-6BEEACF4747A}"/>
    <hyperlink ref="A13" r:id="rId12" display="https://www.ahd.com/free_profile/53005F/Sheridan_VA_Medical_Center/Sheridan/Wyoming/" xr:uid="{610EA76A-C311-CB4B-9835-EAA4089087EF}"/>
    <hyperlink ref="A14" r:id="rId13" display="https://www.ahd.com/free_profile/530034/Summit_Medical_Center/Casper/Wyoming/" xr:uid="{AC91E7A9-8D3A-A94D-8ECD-2E28449E84EE}"/>
    <hyperlink ref="A15" r:id="rId14" display="https://www.ahd.com/free_profile/530012/Wyoming_Medical_Center/Casper/Wyoming/" xr:uid="{FFF2DF91-9CEF-144A-B712-893B14C3B497}"/>
  </hyperlink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B283-D356-0243-A35A-5F6B8DB8E5A6}">
  <sheetPr codeName="Sheet53"/>
  <dimension ref="A1:F920"/>
  <sheetViews>
    <sheetView topLeftCell="A714" workbookViewId="0">
      <selection activeCell="F8" sqref="F8"/>
    </sheetView>
  </sheetViews>
  <sheetFormatPr baseColWidth="10" defaultRowHeight="16"/>
  <cols>
    <col min="2" max="2" width="60.83203125" customWidth="1"/>
    <col min="3" max="3" width="13" customWidth="1"/>
    <col min="4" max="4" width="14" customWidth="1"/>
  </cols>
  <sheetData>
    <row r="1" spans="1:6" ht="18">
      <c r="A1" s="15" t="s">
        <v>5871</v>
      </c>
      <c r="B1" s="16"/>
      <c r="C1" s="16"/>
      <c r="D1" s="16"/>
      <c r="E1" s="16"/>
      <c r="F1" s="16"/>
    </row>
    <row r="2" spans="1:6" ht="18">
      <c r="A2" s="17"/>
      <c r="B2" s="16"/>
      <c r="C2" s="16"/>
      <c r="D2" s="16"/>
      <c r="E2" s="16"/>
      <c r="F2" s="16"/>
    </row>
    <row r="3" spans="1:6" ht="19">
      <c r="A3" s="5" t="s">
        <v>5872</v>
      </c>
      <c r="B3" s="5" t="s">
        <v>5873</v>
      </c>
      <c r="C3" s="5" t="s">
        <v>5874</v>
      </c>
      <c r="D3" s="5" t="s">
        <v>5875</v>
      </c>
      <c r="E3" s="5" t="s">
        <v>5876</v>
      </c>
      <c r="F3" s="5" t="s">
        <v>5877</v>
      </c>
    </row>
    <row r="4" spans="1:6" ht="19">
      <c r="A4" s="6">
        <v>1</v>
      </c>
      <c r="B4" s="1" t="s">
        <v>5878</v>
      </c>
      <c r="C4" s="7">
        <v>19831858</v>
      </c>
      <c r="D4" s="7">
        <v>19567410</v>
      </c>
      <c r="E4" s="8">
        <v>1.35E-2</v>
      </c>
      <c r="F4" s="1" t="s">
        <v>5879</v>
      </c>
    </row>
    <row r="5" spans="1:6" ht="19">
      <c r="A5" s="6">
        <v>2</v>
      </c>
      <c r="B5" s="1" t="s">
        <v>5880</v>
      </c>
      <c r="C5" s="7">
        <v>13052921</v>
      </c>
      <c r="D5" s="7">
        <v>12828837</v>
      </c>
      <c r="E5" s="8">
        <v>1.7500000000000002E-2</v>
      </c>
      <c r="F5" s="1" t="s">
        <v>5881</v>
      </c>
    </row>
    <row r="6" spans="1:6" ht="19">
      <c r="A6" s="6">
        <v>3</v>
      </c>
      <c r="B6" s="1" t="s">
        <v>5882</v>
      </c>
      <c r="C6" s="7">
        <v>9522434</v>
      </c>
      <c r="D6" s="7">
        <v>9461105</v>
      </c>
      <c r="E6" s="8">
        <v>6.4999999999999997E-3</v>
      </c>
      <c r="F6" s="1" t="s">
        <v>5883</v>
      </c>
    </row>
    <row r="7" spans="1:6" ht="19">
      <c r="A7" s="6">
        <v>4</v>
      </c>
      <c r="B7" s="1" t="s">
        <v>5884</v>
      </c>
      <c r="C7" s="7">
        <v>6700991</v>
      </c>
      <c r="D7" s="7">
        <v>6426214</v>
      </c>
      <c r="E7" s="8">
        <v>4.2799999999999998E-2</v>
      </c>
      <c r="F7" s="1" t="s">
        <v>5885</v>
      </c>
    </row>
    <row r="8" spans="1:6" ht="19">
      <c r="A8" s="6">
        <v>5</v>
      </c>
      <c r="B8" s="12" t="s">
        <v>5886</v>
      </c>
      <c r="C8" s="7">
        <v>6177035</v>
      </c>
      <c r="D8" s="7">
        <v>5920416</v>
      </c>
      <c r="E8" s="8">
        <v>4.3299999999999998E-2</v>
      </c>
      <c r="F8" s="1" t="s">
        <v>5887</v>
      </c>
    </row>
    <row r="9" spans="1:6" ht="19">
      <c r="A9" s="6">
        <v>6</v>
      </c>
      <c r="B9" s="1" t="s">
        <v>5888</v>
      </c>
      <c r="C9" s="7">
        <v>6018800</v>
      </c>
      <c r="D9" s="7">
        <v>5965343</v>
      </c>
      <c r="E9" s="8">
        <v>8.9999999999999993E-3</v>
      </c>
      <c r="F9" s="1" t="s">
        <v>5889</v>
      </c>
    </row>
    <row r="10" spans="1:6" ht="19">
      <c r="A10" s="6">
        <v>7</v>
      </c>
      <c r="B10" s="1" t="s">
        <v>5890</v>
      </c>
      <c r="C10" s="7">
        <v>5860342</v>
      </c>
      <c r="D10" s="7">
        <v>5636232</v>
      </c>
      <c r="E10" s="8">
        <v>3.9800000000000002E-2</v>
      </c>
      <c r="F10" s="1" t="s">
        <v>5891</v>
      </c>
    </row>
    <row r="11" spans="1:6" ht="19">
      <c r="A11" s="6">
        <v>8</v>
      </c>
      <c r="B11" s="1" t="s">
        <v>5892</v>
      </c>
      <c r="C11" s="7">
        <v>5762717</v>
      </c>
      <c r="D11" s="7">
        <v>5564635</v>
      </c>
      <c r="E11" s="8">
        <v>3.56E-2</v>
      </c>
      <c r="F11" s="1" t="s">
        <v>5893</v>
      </c>
    </row>
    <row r="12" spans="1:6" ht="19">
      <c r="A12" s="6">
        <v>9</v>
      </c>
      <c r="B12" s="1" t="s">
        <v>5894</v>
      </c>
      <c r="C12" s="7">
        <v>5457831</v>
      </c>
      <c r="D12" s="7">
        <v>5286728</v>
      </c>
      <c r="E12" s="8">
        <v>3.2399999999999998E-2</v>
      </c>
      <c r="F12" s="1" t="s">
        <v>5895</v>
      </c>
    </row>
    <row r="13" spans="1:6" ht="19">
      <c r="A13" s="6">
        <v>10</v>
      </c>
      <c r="B13" s="1" t="s">
        <v>5896</v>
      </c>
      <c r="C13" s="7">
        <v>4640802</v>
      </c>
      <c r="D13" s="7">
        <v>4552402</v>
      </c>
      <c r="E13" s="8">
        <v>1.9400000000000001E-2</v>
      </c>
      <c r="F13" s="1" t="s">
        <v>5897</v>
      </c>
    </row>
    <row r="14" spans="1:6" ht="19">
      <c r="A14" s="6">
        <v>11</v>
      </c>
      <c r="B14" s="1" t="s">
        <v>5898</v>
      </c>
      <c r="C14" s="7">
        <v>4455560</v>
      </c>
      <c r="D14" s="7">
        <v>4335391</v>
      </c>
      <c r="E14" s="8">
        <v>2.7699999999999999E-2</v>
      </c>
      <c r="F14" s="1" t="s">
        <v>5899</v>
      </c>
    </row>
    <row r="15" spans="1:6" ht="19">
      <c r="A15" s="6">
        <v>12</v>
      </c>
      <c r="B15" s="1" t="s">
        <v>5900</v>
      </c>
      <c r="C15" s="7">
        <v>4350096</v>
      </c>
      <c r="D15" s="7">
        <v>4224851</v>
      </c>
      <c r="E15" s="8">
        <v>2.9600000000000001E-2</v>
      </c>
      <c r="F15" s="1" t="s">
        <v>5881</v>
      </c>
    </row>
    <row r="16" spans="1:6" ht="19">
      <c r="A16" s="6">
        <v>13</v>
      </c>
      <c r="B16" s="1" t="s">
        <v>5901</v>
      </c>
      <c r="C16" s="7">
        <v>4329534</v>
      </c>
      <c r="D16" s="7">
        <v>4192887</v>
      </c>
      <c r="E16" s="8">
        <v>3.2599999999999997E-2</v>
      </c>
      <c r="F16" s="6"/>
    </row>
    <row r="17" spans="1:6" ht="19">
      <c r="A17" s="6">
        <v>14</v>
      </c>
      <c r="B17" s="1" t="s">
        <v>5902</v>
      </c>
      <c r="C17" s="7">
        <v>4292060</v>
      </c>
      <c r="D17" s="7">
        <v>4296250</v>
      </c>
      <c r="E17" s="9" t="s">
        <v>5903</v>
      </c>
      <c r="F17" s="1" t="s">
        <v>5904</v>
      </c>
    </row>
    <row r="18" spans="1:6" ht="19">
      <c r="A18" s="6">
        <v>15</v>
      </c>
      <c r="B18" s="1" t="s">
        <v>5905</v>
      </c>
      <c r="C18" s="7">
        <v>3552157</v>
      </c>
      <c r="D18" s="7">
        <v>3439809</v>
      </c>
      <c r="E18" s="8">
        <v>3.27E-2</v>
      </c>
      <c r="F18" s="1" t="s">
        <v>5906</v>
      </c>
    </row>
    <row r="19" spans="1:6" ht="19">
      <c r="A19" s="6">
        <v>16</v>
      </c>
      <c r="B19" s="1" t="s">
        <v>5907</v>
      </c>
      <c r="C19" s="7">
        <v>3422264</v>
      </c>
      <c r="D19" s="7">
        <v>3348859</v>
      </c>
      <c r="E19" s="8">
        <v>2.1899999999999999E-2</v>
      </c>
      <c r="F19" s="1" t="s">
        <v>5908</v>
      </c>
    </row>
    <row r="20" spans="1:6" ht="19">
      <c r="A20" s="6">
        <v>17</v>
      </c>
      <c r="B20" s="1" t="s">
        <v>5909</v>
      </c>
      <c r="C20" s="7">
        <v>3177063</v>
      </c>
      <c r="D20" s="7">
        <v>3095313</v>
      </c>
      <c r="E20" s="8">
        <v>2.64E-2</v>
      </c>
      <c r="F20" s="6"/>
    </row>
    <row r="21" spans="1:6" ht="19">
      <c r="A21" s="6">
        <v>18</v>
      </c>
      <c r="B21" s="1" t="s">
        <v>5910</v>
      </c>
      <c r="C21" s="7">
        <v>2842878</v>
      </c>
      <c r="D21" s="7">
        <v>2783243</v>
      </c>
      <c r="E21" s="8">
        <v>2.1399999999999999E-2</v>
      </c>
      <c r="F21" s="6"/>
    </row>
    <row r="22" spans="1:6" ht="19">
      <c r="A22" s="6">
        <v>19</v>
      </c>
      <c r="B22" s="1" t="s">
        <v>5911</v>
      </c>
      <c r="C22" s="7">
        <v>2795794</v>
      </c>
      <c r="D22" s="7">
        <v>2787701</v>
      </c>
      <c r="E22" s="8">
        <v>2.8999999999999998E-3</v>
      </c>
      <c r="F22" s="1" t="s">
        <v>5912</v>
      </c>
    </row>
    <row r="23" spans="1:6" ht="19">
      <c r="A23" s="6">
        <v>20</v>
      </c>
      <c r="B23" s="1" t="s">
        <v>5913</v>
      </c>
      <c r="C23" s="7">
        <v>2753149</v>
      </c>
      <c r="D23" s="7">
        <v>2710489</v>
      </c>
      <c r="E23" s="8">
        <v>1.5699999999999999E-2</v>
      </c>
      <c r="F23" s="1" t="s">
        <v>5891</v>
      </c>
    </row>
    <row r="24" spans="1:6" ht="19">
      <c r="A24" s="6">
        <v>21</v>
      </c>
      <c r="B24" s="1" t="s">
        <v>5914</v>
      </c>
      <c r="C24" s="7">
        <v>2645209</v>
      </c>
      <c r="D24" s="7">
        <v>2543482</v>
      </c>
      <c r="E24" s="8">
        <v>0.04</v>
      </c>
      <c r="F24" s="1" t="s">
        <v>5915</v>
      </c>
    </row>
    <row r="25" spans="1:6" ht="19">
      <c r="A25" s="6">
        <v>22</v>
      </c>
      <c r="B25" s="1" t="s">
        <v>5916</v>
      </c>
      <c r="C25" s="7">
        <v>2360733</v>
      </c>
      <c r="D25" s="7">
        <v>2356285</v>
      </c>
      <c r="E25" s="8">
        <v>1.9E-3</v>
      </c>
      <c r="F25" s="1" t="s">
        <v>5917</v>
      </c>
    </row>
    <row r="26" spans="1:6" ht="19">
      <c r="A26" s="6">
        <v>23</v>
      </c>
      <c r="B26" s="1" t="s">
        <v>5918</v>
      </c>
      <c r="C26" s="7">
        <v>2296569</v>
      </c>
      <c r="D26" s="7">
        <v>2217012</v>
      </c>
      <c r="E26" s="8">
        <v>3.5900000000000001E-2</v>
      </c>
      <c r="F26" s="1" t="s">
        <v>5919</v>
      </c>
    </row>
    <row r="27" spans="1:6" ht="19">
      <c r="A27" s="6">
        <v>24</v>
      </c>
      <c r="B27" s="1" t="s">
        <v>5920</v>
      </c>
      <c r="C27" s="7">
        <v>2289800</v>
      </c>
      <c r="D27" s="7">
        <v>2226009</v>
      </c>
      <c r="E27" s="8">
        <v>2.87E-2</v>
      </c>
      <c r="F27" s="1" t="s">
        <v>5921</v>
      </c>
    </row>
    <row r="28" spans="1:6" ht="19">
      <c r="A28" s="6">
        <v>25</v>
      </c>
      <c r="B28" s="1" t="s">
        <v>5922</v>
      </c>
      <c r="C28" s="7">
        <v>2234003</v>
      </c>
      <c r="D28" s="7">
        <v>2142508</v>
      </c>
      <c r="E28" s="8">
        <v>4.2700000000000002E-2</v>
      </c>
      <c r="F28" s="6"/>
    </row>
    <row r="29" spans="1:6" ht="19">
      <c r="A29" s="6">
        <v>26</v>
      </c>
      <c r="B29" s="1" t="s">
        <v>5923</v>
      </c>
      <c r="C29" s="7">
        <v>2223674</v>
      </c>
      <c r="D29" s="7">
        <v>2134411</v>
      </c>
      <c r="E29" s="8">
        <v>4.1799999999999997E-2</v>
      </c>
      <c r="F29" s="1" t="s">
        <v>5924</v>
      </c>
    </row>
    <row r="30" spans="1:6" ht="19">
      <c r="A30" s="6">
        <v>27</v>
      </c>
      <c r="B30" s="1" t="s">
        <v>5925</v>
      </c>
      <c r="C30" s="7">
        <v>2196482</v>
      </c>
      <c r="D30" s="7">
        <v>2149127</v>
      </c>
      <c r="E30" s="8">
        <v>2.1999999999999999E-2</v>
      </c>
      <c r="F30" s="1" t="s">
        <v>5926</v>
      </c>
    </row>
    <row r="31" spans="1:6" ht="19">
      <c r="A31" s="6">
        <v>28</v>
      </c>
      <c r="B31" s="1" t="s">
        <v>5927</v>
      </c>
      <c r="C31" s="7">
        <v>2128603</v>
      </c>
      <c r="D31" s="7">
        <v>2114580</v>
      </c>
      <c r="E31" s="8">
        <v>6.6E-3</v>
      </c>
      <c r="F31" s="1" t="s">
        <v>5928</v>
      </c>
    </row>
    <row r="32" spans="1:6" ht="19">
      <c r="A32" s="6">
        <v>29</v>
      </c>
      <c r="B32" s="1" t="s">
        <v>5929</v>
      </c>
      <c r="C32" s="7">
        <v>2063535</v>
      </c>
      <c r="D32" s="7">
        <v>2077240</v>
      </c>
      <c r="E32" s="9" t="s">
        <v>5930</v>
      </c>
      <c r="F32" s="1" t="s">
        <v>5931</v>
      </c>
    </row>
    <row r="33" spans="1:6" ht="19">
      <c r="A33" s="6">
        <v>30</v>
      </c>
      <c r="B33" s="1" t="s">
        <v>5932</v>
      </c>
      <c r="C33" s="7">
        <v>2038724</v>
      </c>
      <c r="D33" s="7">
        <v>2009342</v>
      </c>
      <c r="E33" s="8">
        <v>1.46E-2</v>
      </c>
      <c r="F33" s="1" t="s">
        <v>5933</v>
      </c>
    </row>
    <row r="34" spans="1:6" ht="19">
      <c r="A34" s="6">
        <v>31</v>
      </c>
      <c r="B34" s="1" t="s">
        <v>5934</v>
      </c>
      <c r="C34" s="7">
        <v>2000759</v>
      </c>
      <c r="D34" s="7">
        <v>1951269</v>
      </c>
      <c r="E34" s="8">
        <v>2.5399999999999999E-2</v>
      </c>
      <c r="F34" s="1" t="s">
        <v>5935</v>
      </c>
    </row>
    <row r="35" spans="1:6" ht="19">
      <c r="A35" s="6">
        <v>32</v>
      </c>
      <c r="B35" s="1" t="s">
        <v>5936</v>
      </c>
      <c r="C35" s="7">
        <v>1944002</v>
      </c>
      <c r="D35" s="7">
        <v>1901974</v>
      </c>
      <c r="E35" s="8">
        <v>2.2100000000000002E-2</v>
      </c>
      <c r="F35" s="1" t="s">
        <v>5937</v>
      </c>
    </row>
    <row r="36" spans="1:6" ht="19">
      <c r="A36" s="6">
        <v>33</v>
      </c>
      <c r="B36" s="1" t="s">
        <v>5938</v>
      </c>
      <c r="C36" s="7">
        <v>1928982</v>
      </c>
      <c r="D36" s="7">
        <v>1887877</v>
      </c>
      <c r="E36" s="8">
        <v>2.18E-2</v>
      </c>
      <c r="F36" s="1" t="s">
        <v>5939</v>
      </c>
    </row>
    <row r="37" spans="1:6" ht="19">
      <c r="A37" s="6">
        <v>34</v>
      </c>
      <c r="B37" s="1" t="s">
        <v>5940</v>
      </c>
      <c r="C37" s="7">
        <v>1894388</v>
      </c>
      <c r="D37" s="7">
        <v>1836911</v>
      </c>
      <c r="E37" s="8">
        <v>3.1300000000000001E-2</v>
      </c>
      <c r="F37" s="1" t="s">
        <v>5899</v>
      </c>
    </row>
    <row r="38" spans="1:6" ht="19">
      <c r="A38" s="6">
        <v>35</v>
      </c>
      <c r="B38" s="1" t="s">
        <v>5941</v>
      </c>
      <c r="C38" s="7">
        <v>1834303</v>
      </c>
      <c r="D38" s="7">
        <v>1716289</v>
      </c>
      <c r="E38" s="8">
        <v>6.88E-2</v>
      </c>
      <c r="F38" s="6"/>
    </row>
    <row r="39" spans="1:6" ht="19">
      <c r="A39" s="6">
        <v>36</v>
      </c>
      <c r="B39" s="1" t="s">
        <v>5942</v>
      </c>
      <c r="C39" s="7">
        <v>1726693</v>
      </c>
      <c r="D39" s="7">
        <v>1670890</v>
      </c>
      <c r="E39" s="8">
        <v>3.3399999999999999E-2</v>
      </c>
      <c r="F39" s="1" t="s">
        <v>5943</v>
      </c>
    </row>
    <row r="40" spans="1:6" ht="19">
      <c r="A40" s="6">
        <v>37</v>
      </c>
      <c r="B40" s="1" t="s">
        <v>5944</v>
      </c>
      <c r="C40" s="7">
        <v>1699925</v>
      </c>
      <c r="D40" s="7">
        <v>1676822</v>
      </c>
      <c r="E40" s="8">
        <v>1.38E-2</v>
      </c>
      <c r="F40" s="1" t="s">
        <v>5945</v>
      </c>
    </row>
    <row r="41" spans="1:6" ht="19">
      <c r="A41" s="6">
        <v>38</v>
      </c>
      <c r="B41" s="1" t="s">
        <v>5946</v>
      </c>
      <c r="C41" s="7">
        <v>1601374</v>
      </c>
      <c r="D41" s="7">
        <v>1600852</v>
      </c>
      <c r="E41" s="8">
        <v>2.9999999999999997E-4</v>
      </c>
      <c r="F41" s="1" t="s">
        <v>5897</v>
      </c>
    </row>
    <row r="42" spans="1:6" ht="19">
      <c r="A42" s="6">
        <v>39</v>
      </c>
      <c r="B42" s="1" t="s">
        <v>5947</v>
      </c>
      <c r="C42" s="7">
        <v>1566981</v>
      </c>
      <c r="D42" s="7">
        <v>1555908</v>
      </c>
      <c r="E42" s="8">
        <v>7.1000000000000004E-3</v>
      </c>
      <c r="F42" s="1" t="s">
        <v>5948</v>
      </c>
    </row>
    <row r="43" spans="1:6" ht="19">
      <c r="A43" s="6">
        <v>40</v>
      </c>
      <c r="B43" s="1" t="s">
        <v>5949</v>
      </c>
      <c r="C43" s="7">
        <v>1377850</v>
      </c>
      <c r="D43" s="7">
        <v>1345596</v>
      </c>
      <c r="E43" s="8">
        <v>2.4E-2</v>
      </c>
      <c r="F43" s="1" t="s">
        <v>5950</v>
      </c>
    </row>
    <row r="44" spans="1:6" ht="19">
      <c r="A44" s="6">
        <v>41</v>
      </c>
      <c r="B44" s="1" t="s">
        <v>5951</v>
      </c>
      <c r="C44" s="7">
        <v>1341690</v>
      </c>
      <c r="D44" s="7">
        <v>1324829</v>
      </c>
      <c r="E44" s="8">
        <v>1.2699999999999999E-2</v>
      </c>
      <c r="F44" s="1" t="s">
        <v>5952</v>
      </c>
    </row>
    <row r="45" spans="1:6" ht="19">
      <c r="A45" s="6">
        <v>42</v>
      </c>
      <c r="B45" s="1" t="s">
        <v>5953</v>
      </c>
      <c r="C45" s="7">
        <v>1296565</v>
      </c>
      <c r="D45" s="7">
        <v>1252987</v>
      </c>
      <c r="E45" s="8">
        <v>3.4799999999999998E-2</v>
      </c>
      <c r="F45" s="1" t="s">
        <v>5954</v>
      </c>
    </row>
    <row r="46" spans="1:6" ht="19">
      <c r="A46" s="6">
        <v>43</v>
      </c>
      <c r="B46" s="1" t="s">
        <v>5955</v>
      </c>
      <c r="C46" s="7">
        <v>1251351</v>
      </c>
      <c r="D46" s="7">
        <v>1235708</v>
      </c>
      <c r="E46" s="8">
        <v>1.2699999999999999E-2</v>
      </c>
      <c r="F46" s="1" t="s">
        <v>5956</v>
      </c>
    </row>
    <row r="47" spans="1:6" ht="19">
      <c r="A47" s="6">
        <v>44</v>
      </c>
      <c r="B47" s="1" t="s">
        <v>5957</v>
      </c>
      <c r="C47" s="7">
        <v>1231980</v>
      </c>
      <c r="D47" s="7">
        <v>1208101</v>
      </c>
      <c r="E47" s="8">
        <v>1.9800000000000002E-2</v>
      </c>
      <c r="F47" s="6"/>
    </row>
    <row r="48" spans="1:6" ht="19">
      <c r="A48" s="6">
        <v>45</v>
      </c>
      <c r="B48" s="1" t="s">
        <v>5958</v>
      </c>
      <c r="C48" s="7">
        <v>1227096</v>
      </c>
      <c r="D48" s="7">
        <v>1189866</v>
      </c>
      <c r="E48" s="8">
        <v>3.1300000000000001E-2</v>
      </c>
      <c r="F48" s="1" t="s">
        <v>5959</v>
      </c>
    </row>
    <row r="49" spans="1:6" ht="19">
      <c r="A49" s="6">
        <v>46</v>
      </c>
      <c r="B49" s="1" t="s">
        <v>5960</v>
      </c>
      <c r="C49" s="7">
        <v>1214400</v>
      </c>
      <c r="D49" s="7">
        <v>1212381</v>
      </c>
      <c r="E49" s="8">
        <v>1.6999999999999999E-3</v>
      </c>
      <c r="F49" s="1" t="s">
        <v>5961</v>
      </c>
    </row>
    <row r="50" spans="1:6" ht="19">
      <c r="A50" s="6">
        <v>47</v>
      </c>
      <c r="B50" s="1" t="s">
        <v>5962</v>
      </c>
      <c r="C50" s="7">
        <v>1188564</v>
      </c>
      <c r="D50" s="7">
        <v>1130490</v>
      </c>
      <c r="E50" s="8">
        <v>5.1400000000000001E-2</v>
      </c>
      <c r="F50" s="1" t="s">
        <v>5963</v>
      </c>
    </row>
    <row r="51" spans="1:6" ht="19">
      <c r="A51" s="6">
        <v>48</v>
      </c>
      <c r="B51" s="1" t="s">
        <v>5964</v>
      </c>
      <c r="C51" s="7">
        <v>1136650</v>
      </c>
      <c r="D51" s="7">
        <v>1128047</v>
      </c>
      <c r="E51" s="8">
        <v>7.6E-3</v>
      </c>
      <c r="F51" s="1" t="s">
        <v>5965</v>
      </c>
    </row>
    <row r="52" spans="1:6" ht="19">
      <c r="A52" s="6">
        <v>49</v>
      </c>
      <c r="B52" s="1" t="s">
        <v>5966</v>
      </c>
      <c r="C52" s="7">
        <v>1134210</v>
      </c>
      <c r="D52" s="7">
        <v>1135509</v>
      </c>
      <c r="E52" s="9" t="s">
        <v>5967</v>
      </c>
      <c r="F52" s="1" t="s">
        <v>5968</v>
      </c>
    </row>
    <row r="53" spans="1:6" ht="19">
      <c r="A53" s="6">
        <v>50</v>
      </c>
      <c r="B53" s="1" t="s">
        <v>5969</v>
      </c>
      <c r="C53" s="7">
        <v>1123712</v>
      </c>
      <c r="D53" s="7">
        <v>1087873</v>
      </c>
      <c r="E53" s="8">
        <v>3.2899999999999999E-2</v>
      </c>
      <c r="F53" s="1" t="s">
        <v>5970</v>
      </c>
    </row>
    <row r="54" spans="1:6" ht="19">
      <c r="A54" s="6">
        <v>51</v>
      </c>
      <c r="B54" s="1" t="s">
        <v>5971</v>
      </c>
      <c r="C54" s="7">
        <v>1082284</v>
      </c>
      <c r="D54" s="7">
        <v>1079671</v>
      </c>
      <c r="E54" s="8">
        <v>2.3999999999999998E-3</v>
      </c>
      <c r="F54" s="1" t="s">
        <v>5972</v>
      </c>
    </row>
    <row r="55" spans="1:6" ht="19">
      <c r="A55" s="6">
        <v>52</v>
      </c>
      <c r="B55" s="1" t="s">
        <v>5973</v>
      </c>
      <c r="C55" s="7">
        <v>1005648</v>
      </c>
      <c r="D55" s="7">
        <v>988938</v>
      </c>
      <c r="E55" s="8">
        <v>1.6899999999999998E-2</v>
      </c>
      <c r="F55" s="1" t="s">
        <v>5974</v>
      </c>
    </row>
    <row r="56" spans="1:6" ht="19">
      <c r="A56" s="6">
        <v>53</v>
      </c>
      <c r="B56" s="1" t="s">
        <v>5975</v>
      </c>
      <c r="C56" s="7">
        <v>992394</v>
      </c>
      <c r="D56" s="7">
        <v>980263</v>
      </c>
      <c r="E56" s="8">
        <v>1.24E-2</v>
      </c>
      <c r="F56" s="1" t="s">
        <v>5976</v>
      </c>
    </row>
    <row r="57" spans="1:6" ht="19">
      <c r="A57" s="6">
        <v>54</v>
      </c>
      <c r="B57" s="1" t="s">
        <v>5977</v>
      </c>
      <c r="C57" s="7">
        <v>976372</v>
      </c>
      <c r="D57" s="7">
        <v>953207</v>
      </c>
      <c r="E57" s="8">
        <v>2.4299999999999999E-2</v>
      </c>
      <c r="F57" s="6"/>
    </row>
    <row r="58" spans="1:6" ht="19">
      <c r="A58" s="6">
        <v>55</v>
      </c>
      <c r="B58" s="1" t="s">
        <v>5978</v>
      </c>
      <c r="C58" s="7">
        <v>951880</v>
      </c>
      <c r="D58" s="7">
        <v>937478</v>
      </c>
      <c r="E58" s="8">
        <v>1.54E-2</v>
      </c>
      <c r="F58" s="1" t="s">
        <v>5979</v>
      </c>
    </row>
    <row r="59" spans="1:6" ht="19">
      <c r="A59" s="6">
        <v>56</v>
      </c>
      <c r="B59" s="1" t="s">
        <v>5980</v>
      </c>
      <c r="C59" s="7">
        <v>947895</v>
      </c>
      <c r="D59" s="7">
        <v>930450</v>
      </c>
      <c r="E59" s="8">
        <v>1.8700000000000001E-2</v>
      </c>
      <c r="F59" s="1" t="s">
        <v>5981</v>
      </c>
    </row>
    <row r="60" spans="1:6" ht="19">
      <c r="A60" s="6">
        <v>57</v>
      </c>
      <c r="B60" s="1" t="s">
        <v>5982</v>
      </c>
      <c r="C60" s="7">
        <v>933835</v>
      </c>
      <c r="D60" s="7">
        <v>916829</v>
      </c>
      <c r="E60" s="8">
        <v>1.8499999999999999E-2</v>
      </c>
      <c r="F60" s="1" t="s">
        <v>5879</v>
      </c>
    </row>
    <row r="61" spans="1:6" ht="19">
      <c r="A61" s="6">
        <v>58</v>
      </c>
      <c r="B61" s="1" t="s">
        <v>5983</v>
      </c>
      <c r="C61" s="7">
        <v>923762</v>
      </c>
      <c r="D61" s="7">
        <v>916980</v>
      </c>
      <c r="E61" s="8">
        <v>7.4000000000000003E-3</v>
      </c>
      <c r="F61" s="1" t="s">
        <v>5897</v>
      </c>
    </row>
    <row r="62" spans="1:6" ht="19">
      <c r="A62" s="6">
        <v>59</v>
      </c>
      <c r="B62" s="1" t="s">
        <v>5984</v>
      </c>
      <c r="C62" s="7">
        <v>901700</v>
      </c>
      <c r="D62" s="7">
        <v>887077</v>
      </c>
      <c r="E62" s="8">
        <v>1.6500000000000001E-2</v>
      </c>
      <c r="F62" s="1" t="s">
        <v>5985</v>
      </c>
    </row>
    <row r="63" spans="1:6" ht="19">
      <c r="A63" s="6">
        <v>60</v>
      </c>
      <c r="B63" s="1" t="s">
        <v>5986</v>
      </c>
      <c r="C63" s="7">
        <v>885624</v>
      </c>
      <c r="D63" s="7">
        <v>865350</v>
      </c>
      <c r="E63" s="8">
        <v>2.3400000000000001E-2</v>
      </c>
      <c r="F63" s="1" t="s">
        <v>5987</v>
      </c>
    </row>
    <row r="64" spans="1:6" ht="19">
      <c r="A64" s="6">
        <v>61</v>
      </c>
      <c r="B64" s="1" t="s">
        <v>5988</v>
      </c>
      <c r="C64" s="7">
        <v>874646</v>
      </c>
      <c r="D64" s="7">
        <v>870716</v>
      </c>
      <c r="E64" s="8">
        <v>4.4999999999999997E-3</v>
      </c>
      <c r="F64" s="1" t="s">
        <v>5989</v>
      </c>
    </row>
    <row r="65" spans="1:6" ht="19">
      <c r="A65" s="6">
        <v>62</v>
      </c>
      <c r="B65" s="1" t="s">
        <v>5990</v>
      </c>
      <c r="C65" s="7">
        <v>862813</v>
      </c>
      <c r="D65" s="7">
        <v>862477</v>
      </c>
      <c r="E65" s="8">
        <v>4.0000000000000002E-4</v>
      </c>
      <c r="F65" s="1" t="s">
        <v>5879</v>
      </c>
    </row>
    <row r="66" spans="1:6" ht="19">
      <c r="A66" s="6">
        <v>63</v>
      </c>
      <c r="B66" s="1" t="s">
        <v>5991</v>
      </c>
      <c r="C66" s="7">
        <v>856158</v>
      </c>
      <c r="D66" s="7">
        <v>839631</v>
      </c>
      <c r="E66" s="8">
        <v>1.9699999999999999E-2</v>
      </c>
      <c r="F66" s="6"/>
    </row>
    <row r="67" spans="1:6" ht="19">
      <c r="A67" s="6">
        <v>64</v>
      </c>
      <c r="B67" s="1" t="s">
        <v>5992</v>
      </c>
      <c r="C67" s="7">
        <v>848350</v>
      </c>
      <c r="D67" s="7">
        <v>837571</v>
      </c>
      <c r="E67" s="8">
        <v>1.29E-2</v>
      </c>
      <c r="F67" s="1" t="s">
        <v>5993</v>
      </c>
    </row>
    <row r="68" spans="1:6" ht="19">
      <c r="A68" s="6">
        <v>65</v>
      </c>
      <c r="B68" s="1" t="s">
        <v>5994</v>
      </c>
      <c r="C68" s="7">
        <v>842853</v>
      </c>
      <c r="D68" s="7">
        <v>824112</v>
      </c>
      <c r="E68" s="8">
        <v>2.2700000000000001E-2</v>
      </c>
      <c r="F68" s="1" t="s">
        <v>5995</v>
      </c>
    </row>
    <row r="69" spans="1:6" ht="19">
      <c r="A69" s="6">
        <v>66</v>
      </c>
      <c r="B69" s="1" t="s">
        <v>5996</v>
      </c>
      <c r="C69" s="7">
        <v>835981</v>
      </c>
      <c r="D69" s="7">
        <v>823318</v>
      </c>
      <c r="E69" s="8">
        <v>1.54E-2</v>
      </c>
      <c r="F69" s="1" t="s">
        <v>5881</v>
      </c>
    </row>
    <row r="70" spans="1:6" ht="19">
      <c r="A70" s="6">
        <v>67</v>
      </c>
      <c r="B70" s="1" t="s">
        <v>5997</v>
      </c>
      <c r="C70" s="7">
        <v>830735</v>
      </c>
      <c r="D70" s="7">
        <v>804123</v>
      </c>
      <c r="E70" s="8">
        <v>3.3099999999999997E-2</v>
      </c>
      <c r="F70" s="1" t="s">
        <v>5998</v>
      </c>
    </row>
    <row r="71" spans="1:6" ht="19">
      <c r="A71" s="6">
        <v>68</v>
      </c>
      <c r="B71" s="1" t="s">
        <v>5999</v>
      </c>
      <c r="C71" s="7">
        <v>827171</v>
      </c>
      <c r="D71" s="7">
        <v>821173</v>
      </c>
      <c r="E71" s="8">
        <v>7.3000000000000001E-3</v>
      </c>
      <c r="F71" s="1" t="s">
        <v>5879</v>
      </c>
    </row>
    <row r="72" spans="1:6" ht="19">
      <c r="A72" s="6">
        <v>69</v>
      </c>
      <c r="B72" s="1" t="s">
        <v>6000</v>
      </c>
      <c r="C72" s="7">
        <v>815298</v>
      </c>
      <c r="D72" s="7">
        <v>802484</v>
      </c>
      <c r="E72" s="8">
        <v>1.6E-2</v>
      </c>
      <c r="F72" s="6"/>
    </row>
    <row r="73" spans="1:6" ht="19">
      <c r="A73" s="6">
        <v>70</v>
      </c>
      <c r="B73" s="1" t="s">
        <v>6001</v>
      </c>
      <c r="C73" s="7">
        <v>806552</v>
      </c>
      <c r="D73" s="7">
        <v>774769</v>
      </c>
      <c r="E73" s="8">
        <v>4.1000000000000002E-2</v>
      </c>
      <c r="F73" s="1" t="s">
        <v>6002</v>
      </c>
    </row>
    <row r="74" spans="1:6" ht="19">
      <c r="A74" s="6">
        <v>71</v>
      </c>
      <c r="B74" s="1" t="s">
        <v>6003</v>
      </c>
      <c r="C74" s="7">
        <v>800972</v>
      </c>
      <c r="D74" s="7">
        <v>799232</v>
      </c>
      <c r="E74" s="8">
        <v>2.2000000000000001E-3</v>
      </c>
      <c r="F74" s="1" t="s">
        <v>6004</v>
      </c>
    </row>
    <row r="75" spans="1:6" ht="19">
      <c r="A75" s="6">
        <v>72</v>
      </c>
      <c r="B75" s="1" t="s">
        <v>6005</v>
      </c>
      <c r="C75" s="7">
        <v>784745</v>
      </c>
      <c r="D75" s="7">
        <v>767598</v>
      </c>
      <c r="E75" s="8">
        <v>2.23E-2</v>
      </c>
      <c r="F75" s="1" t="s">
        <v>6006</v>
      </c>
    </row>
    <row r="76" spans="1:6" ht="19">
      <c r="A76" s="6">
        <v>73</v>
      </c>
      <c r="B76" s="1" t="s">
        <v>6007</v>
      </c>
      <c r="C76" s="7">
        <v>736065</v>
      </c>
      <c r="D76" s="7">
        <v>723801</v>
      </c>
      <c r="E76" s="8">
        <v>1.6899999999999998E-2</v>
      </c>
      <c r="F76" s="1" t="s">
        <v>6008</v>
      </c>
    </row>
    <row r="77" spans="1:6" ht="19">
      <c r="A77" s="6">
        <v>74</v>
      </c>
      <c r="B77" s="1" t="s">
        <v>6009</v>
      </c>
      <c r="C77" s="7">
        <v>720042</v>
      </c>
      <c r="D77" s="7">
        <v>702281</v>
      </c>
      <c r="E77" s="8">
        <v>2.53E-2</v>
      </c>
      <c r="F77" s="1" t="s">
        <v>6010</v>
      </c>
    </row>
    <row r="78" spans="1:6" ht="19">
      <c r="A78" s="6">
        <v>75</v>
      </c>
      <c r="B78" s="1" t="s">
        <v>6011</v>
      </c>
      <c r="C78" s="7">
        <v>717666</v>
      </c>
      <c r="D78" s="7">
        <v>699757</v>
      </c>
      <c r="E78" s="8">
        <v>2.5600000000000001E-2</v>
      </c>
      <c r="F78" s="1" t="s">
        <v>6012</v>
      </c>
    </row>
    <row r="79" spans="1:6" ht="19">
      <c r="A79" s="6">
        <v>76</v>
      </c>
      <c r="B79" s="1" t="s">
        <v>6013</v>
      </c>
      <c r="C79" s="7">
        <v>702612</v>
      </c>
      <c r="D79" s="7">
        <v>685306</v>
      </c>
      <c r="E79" s="8">
        <v>2.53E-2</v>
      </c>
      <c r="F79" s="1" t="s">
        <v>5899</v>
      </c>
    </row>
    <row r="80" spans="1:6" ht="19">
      <c r="A80" s="6">
        <v>77</v>
      </c>
      <c r="B80" s="1" t="s">
        <v>6014</v>
      </c>
      <c r="C80" s="7">
        <v>702262</v>
      </c>
      <c r="D80" s="7">
        <v>703200</v>
      </c>
      <c r="E80" s="9" t="s">
        <v>6015</v>
      </c>
      <c r="F80" s="1" t="s">
        <v>5931</v>
      </c>
    </row>
    <row r="81" spans="1:6" ht="19">
      <c r="A81" s="6">
        <v>78</v>
      </c>
      <c r="B81" s="1" t="s">
        <v>6016</v>
      </c>
      <c r="C81" s="7">
        <v>697439</v>
      </c>
      <c r="D81" s="7">
        <v>664607</v>
      </c>
      <c r="E81" s="8">
        <v>4.9399999999999999E-2</v>
      </c>
      <c r="F81" s="6"/>
    </row>
    <row r="82" spans="1:6" ht="19">
      <c r="A82" s="6">
        <v>79</v>
      </c>
      <c r="B82" s="1" t="s">
        <v>6017</v>
      </c>
      <c r="C82" s="7">
        <v>668353</v>
      </c>
      <c r="D82" s="7">
        <v>645613</v>
      </c>
      <c r="E82" s="8">
        <v>3.5200000000000002E-2</v>
      </c>
      <c r="F82" s="6"/>
    </row>
    <row r="83" spans="1:6" ht="19">
      <c r="A83" s="6">
        <v>80</v>
      </c>
      <c r="B83" s="1" t="s">
        <v>6018</v>
      </c>
      <c r="C83" s="7">
        <v>660934</v>
      </c>
      <c r="D83" s="7">
        <v>662577</v>
      </c>
      <c r="E83" s="9" t="s">
        <v>6019</v>
      </c>
      <c r="F83" s="1" t="s">
        <v>6020</v>
      </c>
    </row>
    <row r="84" spans="1:6" ht="19">
      <c r="A84" s="6">
        <v>81</v>
      </c>
      <c r="B84" s="1" t="s">
        <v>6021</v>
      </c>
      <c r="C84" s="7">
        <v>647697</v>
      </c>
      <c r="D84" s="7">
        <v>640595</v>
      </c>
      <c r="E84" s="8">
        <v>1.11E-2</v>
      </c>
      <c r="F84" s="1" t="s">
        <v>6008</v>
      </c>
    </row>
    <row r="85" spans="1:6" ht="19">
      <c r="A85" s="6">
        <v>82</v>
      </c>
      <c r="B85" s="1" t="s">
        <v>6022</v>
      </c>
      <c r="C85" s="7">
        <v>645293</v>
      </c>
      <c r="D85" s="7">
        <v>618754</v>
      </c>
      <c r="E85" s="8">
        <v>4.2900000000000001E-2</v>
      </c>
      <c r="F85" s="1" t="s">
        <v>6023</v>
      </c>
    </row>
    <row r="86" spans="1:6" ht="19">
      <c r="A86" s="6">
        <v>83</v>
      </c>
      <c r="B86" s="1" t="s">
        <v>6024</v>
      </c>
      <c r="C86" s="7">
        <v>637896</v>
      </c>
      <c r="D86" s="7">
        <v>616561</v>
      </c>
      <c r="E86" s="8">
        <v>3.4599999999999999E-2</v>
      </c>
      <c r="F86" s="1" t="s">
        <v>6025</v>
      </c>
    </row>
    <row r="87" spans="1:6" ht="19">
      <c r="A87" s="6">
        <v>84</v>
      </c>
      <c r="B87" s="1" t="s">
        <v>6026</v>
      </c>
      <c r="C87" s="7">
        <v>636105</v>
      </c>
      <c r="D87" s="7">
        <v>630919</v>
      </c>
      <c r="E87" s="8">
        <v>8.2000000000000007E-3</v>
      </c>
      <c r="F87" s="1" t="s">
        <v>6027</v>
      </c>
    </row>
    <row r="88" spans="1:6" ht="19">
      <c r="A88" s="6">
        <v>85</v>
      </c>
      <c r="B88" s="1" t="s">
        <v>6028</v>
      </c>
      <c r="C88" s="7">
        <v>625718</v>
      </c>
      <c r="D88" s="7">
        <v>621570</v>
      </c>
      <c r="E88" s="8">
        <v>6.7000000000000002E-3</v>
      </c>
      <c r="F88" s="1" t="s">
        <v>6029</v>
      </c>
    </row>
    <row r="89" spans="1:6" ht="19">
      <c r="A89" s="6">
        <v>86</v>
      </c>
      <c r="B89" s="1" t="s">
        <v>6030</v>
      </c>
      <c r="C89" s="7">
        <v>620778</v>
      </c>
      <c r="D89" s="7">
        <v>605435</v>
      </c>
      <c r="E89" s="8">
        <v>2.53E-2</v>
      </c>
      <c r="F89" s="1" t="s">
        <v>6031</v>
      </c>
    </row>
    <row r="90" spans="1:6" ht="19">
      <c r="A90" s="6">
        <v>87</v>
      </c>
      <c r="B90" s="1" t="s">
        <v>6032</v>
      </c>
      <c r="C90" s="7">
        <v>616158</v>
      </c>
      <c r="D90" s="7">
        <v>602095</v>
      </c>
      <c r="E90" s="8">
        <v>2.3400000000000001E-2</v>
      </c>
      <c r="F90" s="6"/>
    </row>
    <row r="91" spans="1:6" ht="19">
      <c r="A91" s="6">
        <v>88</v>
      </c>
      <c r="B91" s="1" t="s">
        <v>6033</v>
      </c>
      <c r="C91" s="7">
        <v>612441</v>
      </c>
      <c r="D91" s="7">
        <v>597159</v>
      </c>
      <c r="E91" s="8">
        <v>2.5600000000000001E-2</v>
      </c>
      <c r="F91" s="1" t="s">
        <v>5970</v>
      </c>
    </row>
    <row r="92" spans="1:6" ht="19">
      <c r="A92" s="6">
        <v>89</v>
      </c>
      <c r="B92" s="1" t="s">
        <v>6034</v>
      </c>
      <c r="C92" s="7">
        <v>608711</v>
      </c>
      <c r="D92" s="7">
        <v>610001</v>
      </c>
      <c r="E92" s="9" t="s">
        <v>6035</v>
      </c>
      <c r="F92" s="1" t="s">
        <v>6036</v>
      </c>
    </row>
    <row r="93" spans="1:6" ht="19">
      <c r="A93" s="6">
        <v>90</v>
      </c>
      <c r="B93" s="1" t="s">
        <v>6037</v>
      </c>
      <c r="C93" s="7">
        <v>595309</v>
      </c>
      <c r="D93" s="7">
        <v>590289</v>
      </c>
      <c r="E93" s="8">
        <v>8.5000000000000006E-3</v>
      </c>
      <c r="F93" s="1" t="s">
        <v>5924</v>
      </c>
    </row>
    <row r="94" spans="1:6" ht="19">
      <c r="A94" s="6">
        <v>91</v>
      </c>
      <c r="B94" s="1" t="s">
        <v>6038</v>
      </c>
      <c r="C94" s="7">
        <v>588999</v>
      </c>
      <c r="D94" s="7">
        <v>569633</v>
      </c>
      <c r="E94" s="8">
        <v>3.4000000000000002E-2</v>
      </c>
      <c r="F94" s="1" t="s">
        <v>6039</v>
      </c>
    </row>
    <row r="95" spans="1:6" ht="19">
      <c r="A95" s="6">
        <v>92</v>
      </c>
      <c r="B95" s="1" t="s">
        <v>6040</v>
      </c>
      <c r="C95" s="7">
        <v>576800</v>
      </c>
      <c r="D95" s="7">
        <v>567122</v>
      </c>
      <c r="E95" s="8">
        <v>1.7100000000000001E-2</v>
      </c>
      <c r="F95" s="1" t="s">
        <v>6041</v>
      </c>
    </row>
    <row r="96" spans="1:6" ht="19">
      <c r="A96" s="6">
        <v>93</v>
      </c>
      <c r="B96" s="1" t="s">
        <v>6042</v>
      </c>
      <c r="C96" s="7">
        <v>575898</v>
      </c>
      <c r="D96" s="7">
        <v>564873</v>
      </c>
      <c r="E96" s="8">
        <v>1.95E-2</v>
      </c>
      <c r="F96" s="6"/>
    </row>
    <row r="97" spans="1:6" ht="19">
      <c r="A97" s="6">
        <v>94</v>
      </c>
      <c r="B97" s="1" t="s">
        <v>6043</v>
      </c>
      <c r="C97" s="7">
        <v>563629</v>
      </c>
      <c r="D97" s="7">
        <v>563631</v>
      </c>
      <c r="E97" s="10">
        <v>0</v>
      </c>
      <c r="F97" s="6"/>
    </row>
    <row r="98" spans="1:6" ht="19">
      <c r="A98" s="6">
        <v>95</v>
      </c>
      <c r="B98" s="1" t="s">
        <v>6044</v>
      </c>
      <c r="C98" s="7">
        <v>558206</v>
      </c>
      <c r="D98" s="7">
        <v>565773</v>
      </c>
      <c r="E98" s="9" t="s">
        <v>6045</v>
      </c>
      <c r="F98" s="1" t="s">
        <v>6046</v>
      </c>
    </row>
    <row r="99" spans="1:6" ht="19">
      <c r="A99" s="6">
        <v>96</v>
      </c>
      <c r="B99" s="1" t="s">
        <v>6047</v>
      </c>
      <c r="C99" s="7">
        <v>553980</v>
      </c>
      <c r="D99" s="7">
        <v>549475</v>
      </c>
      <c r="E99" s="8">
        <v>8.2000000000000007E-3</v>
      </c>
      <c r="F99" s="1" t="s">
        <v>6048</v>
      </c>
    </row>
    <row r="100" spans="1:6" ht="19">
      <c r="A100" s="6">
        <v>97</v>
      </c>
      <c r="B100" s="1" t="s">
        <v>6049</v>
      </c>
      <c r="C100" s="7">
        <v>550845</v>
      </c>
      <c r="D100" s="7">
        <v>526810</v>
      </c>
      <c r="E100" s="8">
        <v>4.5600000000000002E-2</v>
      </c>
      <c r="F100" s="1" t="s">
        <v>5970</v>
      </c>
    </row>
    <row r="101" spans="1:6" ht="19">
      <c r="A101" s="6">
        <v>98</v>
      </c>
      <c r="B101" s="1" t="s">
        <v>6050</v>
      </c>
      <c r="C101" s="7">
        <v>547307</v>
      </c>
      <c r="D101" s="7">
        <v>543376</v>
      </c>
      <c r="E101" s="8">
        <v>7.1999999999999998E-3</v>
      </c>
      <c r="F101" s="6"/>
    </row>
    <row r="102" spans="1:6" ht="19">
      <c r="A102" s="6">
        <v>99</v>
      </c>
      <c r="B102" s="1" t="s">
        <v>6051</v>
      </c>
      <c r="C102" s="7">
        <v>537889</v>
      </c>
      <c r="D102" s="7">
        <v>528143</v>
      </c>
      <c r="E102" s="8">
        <v>1.8499999999999999E-2</v>
      </c>
      <c r="F102" s="1" t="s">
        <v>6052</v>
      </c>
    </row>
    <row r="103" spans="1:6" ht="19">
      <c r="A103" s="6">
        <v>100</v>
      </c>
      <c r="B103" s="1" t="s">
        <v>6053</v>
      </c>
      <c r="C103" s="7">
        <v>532253</v>
      </c>
      <c r="D103" s="7">
        <v>527753</v>
      </c>
      <c r="E103" s="8">
        <v>8.5000000000000006E-3</v>
      </c>
      <c r="F103" s="1" t="s">
        <v>6054</v>
      </c>
    </row>
    <row r="104" spans="1:6" ht="19">
      <c r="A104" s="6">
        <v>101</v>
      </c>
      <c r="B104" s="1" t="s">
        <v>6055</v>
      </c>
      <c r="C104" s="7">
        <v>526823</v>
      </c>
      <c r="D104" s="7">
        <v>519445</v>
      </c>
      <c r="E104" s="8">
        <v>1.4200000000000001E-2</v>
      </c>
      <c r="F104" s="6"/>
    </row>
    <row r="105" spans="1:6" ht="19">
      <c r="A105" s="6">
        <v>102</v>
      </c>
      <c r="B105" s="1" t="s">
        <v>6056</v>
      </c>
      <c r="C105" s="7">
        <v>522826</v>
      </c>
      <c r="D105" s="7">
        <v>504357</v>
      </c>
      <c r="E105" s="8">
        <v>3.6600000000000001E-2</v>
      </c>
      <c r="F105" s="1" t="s">
        <v>5963</v>
      </c>
    </row>
    <row r="106" spans="1:6" ht="19">
      <c r="A106" s="6">
        <v>103</v>
      </c>
      <c r="B106" s="1" t="s">
        <v>6057</v>
      </c>
      <c r="C106" s="7">
        <v>521726</v>
      </c>
      <c r="D106" s="7">
        <v>514453</v>
      </c>
      <c r="E106" s="8">
        <v>1.41E-2</v>
      </c>
      <c r="F106" s="1" t="s">
        <v>6058</v>
      </c>
    </row>
    <row r="107" spans="1:6" ht="19">
      <c r="A107" s="6">
        <v>104</v>
      </c>
      <c r="B107" s="1" t="s">
        <v>6059</v>
      </c>
      <c r="C107" s="7">
        <v>518117</v>
      </c>
      <c r="D107" s="7">
        <v>514098</v>
      </c>
      <c r="E107" s="8">
        <v>7.7999999999999996E-3</v>
      </c>
      <c r="F107" s="1" t="s">
        <v>6060</v>
      </c>
    </row>
    <row r="108" spans="1:6" ht="19">
      <c r="A108" s="6">
        <v>105</v>
      </c>
      <c r="B108" s="1" t="s">
        <v>6061</v>
      </c>
      <c r="C108" s="7">
        <v>491829</v>
      </c>
      <c r="D108" s="7">
        <v>483878</v>
      </c>
      <c r="E108" s="8">
        <v>1.6400000000000001E-2</v>
      </c>
      <c r="F108" s="1" t="s">
        <v>5899</v>
      </c>
    </row>
    <row r="109" spans="1:6" ht="19">
      <c r="A109" s="6">
        <v>106</v>
      </c>
      <c r="B109" s="1" t="s">
        <v>6062</v>
      </c>
      <c r="C109" s="7">
        <v>485023</v>
      </c>
      <c r="D109" s="7">
        <v>472099</v>
      </c>
      <c r="E109" s="8">
        <v>2.7400000000000001E-2</v>
      </c>
      <c r="F109" s="1" t="s">
        <v>6063</v>
      </c>
    </row>
    <row r="110" spans="1:6" ht="19">
      <c r="A110" s="6">
        <v>107</v>
      </c>
      <c r="B110" s="1" t="s">
        <v>6064</v>
      </c>
      <c r="C110" s="7">
        <v>482200</v>
      </c>
      <c r="D110" s="7">
        <v>463204</v>
      </c>
      <c r="E110" s="8">
        <v>4.1000000000000002E-2</v>
      </c>
      <c r="F110" s="6"/>
    </row>
    <row r="111" spans="1:6" ht="19">
      <c r="A111" s="6">
        <v>108</v>
      </c>
      <c r="B111" s="1" t="s">
        <v>6065</v>
      </c>
      <c r="C111" s="7">
        <v>474415</v>
      </c>
      <c r="D111" s="7">
        <v>466750</v>
      </c>
      <c r="E111" s="8">
        <v>1.6400000000000001E-2</v>
      </c>
      <c r="F111" s="1" t="s">
        <v>6066</v>
      </c>
    </row>
    <row r="112" spans="1:6" ht="19">
      <c r="A112" s="6">
        <v>109</v>
      </c>
      <c r="B112" s="1" t="s">
        <v>6067</v>
      </c>
      <c r="C112" s="7">
        <v>465732</v>
      </c>
      <c r="D112" s="7">
        <v>464036</v>
      </c>
      <c r="E112" s="8">
        <v>3.7000000000000002E-3</v>
      </c>
      <c r="F112" s="1" t="s">
        <v>6068</v>
      </c>
    </row>
    <row r="113" spans="1:6" ht="19">
      <c r="A113" s="6">
        <v>110</v>
      </c>
      <c r="B113" s="1" t="s">
        <v>6069</v>
      </c>
      <c r="C113" s="7">
        <v>461227</v>
      </c>
      <c r="D113" s="7">
        <v>448991</v>
      </c>
      <c r="E113" s="8">
        <v>2.7300000000000001E-2</v>
      </c>
      <c r="F113" s="6"/>
    </row>
    <row r="114" spans="1:6" ht="19">
      <c r="A114" s="6">
        <v>111</v>
      </c>
      <c r="B114" s="1" t="s">
        <v>6070</v>
      </c>
      <c r="C114" s="7">
        <v>451977</v>
      </c>
      <c r="D114" s="7">
        <v>442179</v>
      </c>
      <c r="E114" s="8">
        <v>2.2200000000000001E-2</v>
      </c>
      <c r="F114" s="1" t="s">
        <v>6071</v>
      </c>
    </row>
    <row r="115" spans="1:6" ht="19">
      <c r="A115" s="6">
        <v>112</v>
      </c>
      <c r="B115" s="1" t="s">
        <v>6072</v>
      </c>
      <c r="C115" s="7">
        <v>447193</v>
      </c>
      <c r="D115" s="7">
        <v>439811</v>
      </c>
      <c r="E115" s="8">
        <v>1.6799999999999999E-2</v>
      </c>
      <c r="F115" s="6"/>
    </row>
    <row r="116" spans="1:6" ht="19">
      <c r="A116" s="6">
        <v>113</v>
      </c>
      <c r="B116" s="1" t="s">
        <v>6073</v>
      </c>
      <c r="C116" s="7">
        <v>444617</v>
      </c>
      <c r="D116" s="7">
        <v>436712</v>
      </c>
      <c r="E116" s="8">
        <v>1.8100000000000002E-2</v>
      </c>
      <c r="F116" s="1" t="s">
        <v>6074</v>
      </c>
    </row>
    <row r="117" spans="1:6" ht="19">
      <c r="A117" s="6">
        <v>114</v>
      </c>
      <c r="B117" s="1" t="s">
        <v>6075</v>
      </c>
      <c r="C117" s="7">
        <v>437846</v>
      </c>
      <c r="D117" s="7">
        <v>434972</v>
      </c>
      <c r="E117" s="8">
        <v>6.6E-3</v>
      </c>
      <c r="F117" s="1" t="s">
        <v>6048</v>
      </c>
    </row>
    <row r="118" spans="1:6" ht="19">
      <c r="A118" s="6">
        <v>115</v>
      </c>
      <c r="B118" s="1" t="s">
        <v>6076</v>
      </c>
      <c r="C118" s="7">
        <v>437109</v>
      </c>
      <c r="D118" s="7">
        <v>428185</v>
      </c>
      <c r="E118" s="8">
        <v>2.0799999999999999E-2</v>
      </c>
      <c r="F118" s="1" t="s">
        <v>6077</v>
      </c>
    </row>
    <row r="119" spans="1:6" ht="19">
      <c r="A119" s="6">
        <v>116</v>
      </c>
      <c r="B119" s="1" t="s">
        <v>6078</v>
      </c>
      <c r="C119" s="7">
        <v>433843</v>
      </c>
      <c r="D119" s="7">
        <v>425417</v>
      </c>
      <c r="E119" s="8">
        <v>1.9800000000000002E-2</v>
      </c>
      <c r="F119" s="1" t="s">
        <v>6079</v>
      </c>
    </row>
    <row r="120" spans="1:6" ht="19">
      <c r="A120" s="6">
        <v>117</v>
      </c>
      <c r="B120" s="1" t="s">
        <v>6080</v>
      </c>
      <c r="C120" s="7">
        <v>432683</v>
      </c>
      <c r="D120" s="7">
        <v>424107</v>
      </c>
      <c r="E120" s="8">
        <v>2.0199999999999999E-2</v>
      </c>
      <c r="F120" s="1" t="s">
        <v>5893</v>
      </c>
    </row>
    <row r="121" spans="1:6" ht="19">
      <c r="A121" s="6">
        <v>118</v>
      </c>
      <c r="B121" s="1" t="s">
        <v>6081</v>
      </c>
      <c r="C121" s="7">
        <v>432406</v>
      </c>
      <c r="D121" s="7">
        <v>424858</v>
      </c>
      <c r="E121" s="8">
        <v>1.78E-2</v>
      </c>
      <c r="F121" s="1" t="s">
        <v>6082</v>
      </c>
    </row>
    <row r="122" spans="1:6" ht="19">
      <c r="A122" s="6">
        <v>119</v>
      </c>
      <c r="B122" s="1" t="s">
        <v>6083</v>
      </c>
      <c r="C122" s="7">
        <v>431249</v>
      </c>
      <c r="D122" s="7">
        <v>423895</v>
      </c>
      <c r="E122" s="8">
        <v>1.7299999999999999E-2</v>
      </c>
      <c r="F122" s="6"/>
    </row>
    <row r="123" spans="1:6" ht="19">
      <c r="A123" s="6">
        <v>120</v>
      </c>
      <c r="B123" s="1" t="s">
        <v>6084</v>
      </c>
      <c r="C123" s="7">
        <v>430734</v>
      </c>
      <c r="D123" s="7">
        <v>417593</v>
      </c>
      <c r="E123" s="8">
        <v>3.15E-2</v>
      </c>
      <c r="F123" s="1" t="s">
        <v>6085</v>
      </c>
    </row>
    <row r="124" spans="1:6" ht="19">
      <c r="A124" s="6">
        <v>121</v>
      </c>
      <c r="B124" s="1" t="s">
        <v>6086</v>
      </c>
      <c r="C124" s="7">
        <v>426762</v>
      </c>
      <c r="D124" s="7">
        <v>415057</v>
      </c>
      <c r="E124" s="8">
        <v>2.8199999999999999E-2</v>
      </c>
      <c r="F124" s="6"/>
    </row>
    <row r="125" spans="1:6" ht="19">
      <c r="A125" s="6">
        <v>122</v>
      </c>
      <c r="B125" s="1" t="s">
        <v>6087</v>
      </c>
      <c r="C125" s="7">
        <v>421406</v>
      </c>
      <c r="D125" s="7">
        <v>416257</v>
      </c>
      <c r="E125" s="8">
        <v>1.24E-2</v>
      </c>
      <c r="F125" s="1" t="s">
        <v>6088</v>
      </c>
    </row>
    <row r="126" spans="1:6" ht="19">
      <c r="A126" s="6">
        <v>123</v>
      </c>
      <c r="B126" s="1" t="s">
        <v>6089</v>
      </c>
      <c r="C126" s="7">
        <v>420757</v>
      </c>
      <c r="D126" s="7">
        <v>413344</v>
      </c>
      <c r="E126" s="8">
        <v>1.7899999999999999E-2</v>
      </c>
      <c r="F126" s="1" t="s">
        <v>5899</v>
      </c>
    </row>
    <row r="127" spans="1:6" ht="19">
      <c r="A127" s="6">
        <v>124</v>
      </c>
      <c r="B127" s="1" t="s">
        <v>6090</v>
      </c>
      <c r="C127" s="7">
        <v>420375</v>
      </c>
      <c r="D127" s="7">
        <v>405300</v>
      </c>
      <c r="E127" s="8">
        <v>3.7199999999999997E-2</v>
      </c>
      <c r="F127" s="6"/>
    </row>
    <row r="128" spans="1:6" ht="19">
      <c r="A128" s="6">
        <v>125</v>
      </c>
      <c r="B128" s="1" t="s">
        <v>6091</v>
      </c>
      <c r="C128" s="7">
        <v>418408</v>
      </c>
      <c r="D128" s="7">
        <v>425790</v>
      </c>
      <c r="E128" s="9" t="s">
        <v>6092</v>
      </c>
      <c r="F128" s="1" t="s">
        <v>5904</v>
      </c>
    </row>
    <row r="129" spans="1:6" ht="19">
      <c r="A129" s="6">
        <v>126</v>
      </c>
      <c r="B129" s="1" t="s">
        <v>6093</v>
      </c>
      <c r="C129" s="7">
        <v>415557</v>
      </c>
      <c r="D129" s="7">
        <v>406220</v>
      </c>
      <c r="E129" s="8">
        <v>2.3E-2</v>
      </c>
      <c r="F129" s="1" t="s">
        <v>6094</v>
      </c>
    </row>
    <row r="130" spans="1:6" ht="19">
      <c r="A130" s="6">
        <v>127</v>
      </c>
      <c r="B130" s="1" t="s">
        <v>6095</v>
      </c>
      <c r="C130" s="7">
        <v>413936</v>
      </c>
      <c r="D130" s="7">
        <v>412992</v>
      </c>
      <c r="E130" s="8">
        <v>2.3E-3</v>
      </c>
      <c r="F130" s="1" t="s">
        <v>6096</v>
      </c>
    </row>
    <row r="131" spans="1:6" ht="19">
      <c r="A131" s="6">
        <v>128</v>
      </c>
      <c r="B131" s="1" t="s">
        <v>6097</v>
      </c>
      <c r="C131" s="7">
        <v>413491</v>
      </c>
      <c r="D131" s="7">
        <v>411442</v>
      </c>
      <c r="E131" s="8">
        <v>5.0000000000000001E-3</v>
      </c>
      <c r="F131" s="1" t="s">
        <v>5889</v>
      </c>
    </row>
    <row r="132" spans="1:6" ht="19">
      <c r="A132" s="6">
        <v>129</v>
      </c>
      <c r="B132" s="1" t="s">
        <v>6098</v>
      </c>
      <c r="C132" s="7">
        <v>404180</v>
      </c>
      <c r="D132" s="7">
        <v>403190</v>
      </c>
      <c r="E132" s="8">
        <v>2.5000000000000001E-3</v>
      </c>
      <c r="F132" s="6"/>
    </row>
    <row r="133" spans="1:6" ht="19">
      <c r="A133" s="6">
        <v>130</v>
      </c>
      <c r="B133" s="1" t="s">
        <v>6099</v>
      </c>
      <c r="C133" s="7">
        <v>403455</v>
      </c>
      <c r="D133" s="7">
        <v>404422</v>
      </c>
      <c r="E133" s="9" t="s">
        <v>6100</v>
      </c>
      <c r="F133" s="1" t="s">
        <v>5931</v>
      </c>
    </row>
    <row r="134" spans="1:6" ht="19">
      <c r="A134" s="6">
        <v>131</v>
      </c>
      <c r="B134" s="1" t="s">
        <v>6101</v>
      </c>
      <c r="C134" s="7">
        <v>402922</v>
      </c>
      <c r="D134" s="7">
        <v>400721</v>
      </c>
      <c r="E134" s="8">
        <v>5.4999999999999997E-3</v>
      </c>
      <c r="F134" s="1" t="s">
        <v>5897</v>
      </c>
    </row>
    <row r="135" spans="1:6" ht="19">
      <c r="A135" s="6">
        <v>132</v>
      </c>
      <c r="B135" s="1" t="s">
        <v>6102</v>
      </c>
      <c r="C135" s="7">
        <v>396338</v>
      </c>
      <c r="D135" s="7">
        <v>390738</v>
      </c>
      <c r="E135" s="8">
        <v>1.43E-2</v>
      </c>
      <c r="F135" s="1" t="s">
        <v>5921</v>
      </c>
    </row>
    <row r="136" spans="1:6" ht="19">
      <c r="A136" s="6">
        <v>133</v>
      </c>
      <c r="B136" s="1" t="s">
        <v>6103</v>
      </c>
      <c r="C136" s="7">
        <v>394542</v>
      </c>
      <c r="D136" s="7">
        <v>376722</v>
      </c>
      <c r="E136" s="8">
        <v>4.7300000000000002E-2</v>
      </c>
      <c r="F136" s="1" t="s">
        <v>6104</v>
      </c>
    </row>
    <row r="137" spans="1:6" ht="19">
      <c r="A137" s="6">
        <v>134</v>
      </c>
      <c r="B137" s="1" t="s">
        <v>6105</v>
      </c>
      <c r="C137" s="7">
        <v>392535</v>
      </c>
      <c r="D137" s="7">
        <v>380821</v>
      </c>
      <c r="E137" s="8">
        <v>3.0800000000000001E-2</v>
      </c>
      <c r="F137" s="6"/>
    </row>
    <row r="138" spans="1:6" ht="19">
      <c r="A138" s="6">
        <v>135</v>
      </c>
      <c r="B138" s="1" t="s">
        <v>6106</v>
      </c>
      <c r="C138" s="7">
        <v>382630</v>
      </c>
      <c r="D138" s="7">
        <v>379690</v>
      </c>
      <c r="E138" s="8">
        <v>7.7000000000000002E-3</v>
      </c>
      <c r="F138" s="1" t="s">
        <v>6107</v>
      </c>
    </row>
    <row r="139" spans="1:6" ht="19">
      <c r="A139" s="6">
        <v>136</v>
      </c>
      <c r="B139" s="1" t="s">
        <v>6108</v>
      </c>
      <c r="C139" s="7">
        <v>381868</v>
      </c>
      <c r="D139" s="7">
        <v>373802</v>
      </c>
      <c r="E139" s="8">
        <v>2.1600000000000001E-2</v>
      </c>
      <c r="F139" s="6"/>
    </row>
    <row r="140" spans="1:6" ht="19">
      <c r="A140" s="6">
        <v>137</v>
      </c>
      <c r="B140" s="1" t="s">
        <v>6109</v>
      </c>
      <c r="C140" s="7">
        <v>380447</v>
      </c>
      <c r="D140" s="7">
        <v>379186</v>
      </c>
      <c r="E140" s="8">
        <v>3.3E-3</v>
      </c>
      <c r="F140" s="1" t="s">
        <v>6110</v>
      </c>
    </row>
    <row r="141" spans="1:6" ht="19">
      <c r="A141" s="6">
        <v>138</v>
      </c>
      <c r="B141" s="1" t="s">
        <v>6111</v>
      </c>
      <c r="C141" s="7">
        <v>379582</v>
      </c>
      <c r="D141" s="7">
        <v>370702</v>
      </c>
      <c r="E141" s="8">
        <v>2.4E-2</v>
      </c>
      <c r="F141" s="6"/>
    </row>
    <row r="142" spans="1:6" ht="19">
      <c r="A142" s="6">
        <v>139</v>
      </c>
      <c r="B142" s="1" t="s">
        <v>6112</v>
      </c>
      <c r="C142" s="7">
        <v>377149</v>
      </c>
      <c r="D142" s="7">
        <v>374536</v>
      </c>
      <c r="E142" s="8">
        <v>7.0000000000000001E-3</v>
      </c>
      <c r="F142" s="6"/>
    </row>
    <row r="143" spans="1:6" ht="19">
      <c r="A143" s="6">
        <v>140</v>
      </c>
      <c r="B143" s="1" t="s">
        <v>6113</v>
      </c>
      <c r="C143" s="7">
        <v>375371</v>
      </c>
      <c r="D143" s="7">
        <v>367413</v>
      </c>
      <c r="E143" s="8">
        <v>2.1700000000000001E-2</v>
      </c>
      <c r="F143" s="1" t="s">
        <v>6114</v>
      </c>
    </row>
    <row r="144" spans="1:6" ht="19">
      <c r="A144" s="6">
        <v>141</v>
      </c>
      <c r="B144" s="1" t="s">
        <v>6115</v>
      </c>
      <c r="C144" s="7">
        <v>374585</v>
      </c>
      <c r="D144" s="7">
        <v>366383</v>
      </c>
      <c r="E144" s="8">
        <v>2.24E-2</v>
      </c>
      <c r="F144" s="1" t="s">
        <v>6116</v>
      </c>
    </row>
    <row r="145" spans="1:6" ht="19">
      <c r="A145" s="6">
        <v>142</v>
      </c>
      <c r="B145" s="1" t="s">
        <v>6117</v>
      </c>
      <c r="C145" s="7">
        <v>368303</v>
      </c>
      <c r="D145" s="7">
        <v>366513</v>
      </c>
      <c r="E145" s="8">
        <v>4.8999999999999998E-3</v>
      </c>
      <c r="F145" s="1" t="s">
        <v>5879</v>
      </c>
    </row>
    <row r="146" spans="1:6" ht="19">
      <c r="A146" s="6">
        <v>143</v>
      </c>
      <c r="B146" s="1" t="s">
        <v>6118</v>
      </c>
      <c r="C146" s="7">
        <v>364665</v>
      </c>
      <c r="D146" s="7">
        <v>364908</v>
      </c>
      <c r="E146" s="9" t="s">
        <v>6119</v>
      </c>
      <c r="F146" s="1" t="s">
        <v>6120</v>
      </c>
    </row>
    <row r="147" spans="1:6" ht="19">
      <c r="A147" s="6">
        <v>144</v>
      </c>
      <c r="B147" s="1" t="s">
        <v>6121</v>
      </c>
      <c r="C147" s="7">
        <v>363627</v>
      </c>
      <c r="D147" s="7">
        <v>365497</v>
      </c>
      <c r="E147" s="9" t="s">
        <v>6122</v>
      </c>
      <c r="F147" s="1" t="s">
        <v>6123</v>
      </c>
    </row>
    <row r="148" spans="1:6" ht="19">
      <c r="A148" s="6">
        <v>145</v>
      </c>
      <c r="B148" s="1" t="s">
        <v>6124</v>
      </c>
      <c r="C148" s="7">
        <v>361941</v>
      </c>
      <c r="D148" s="7">
        <v>347611</v>
      </c>
      <c r="E148" s="8">
        <v>4.1200000000000001E-2</v>
      </c>
      <c r="F148" s="1" t="s">
        <v>6125</v>
      </c>
    </row>
    <row r="149" spans="1:6" ht="19">
      <c r="A149" s="6">
        <v>146</v>
      </c>
      <c r="B149" s="1" t="s">
        <v>6126</v>
      </c>
      <c r="C149" s="7">
        <v>354542</v>
      </c>
      <c r="D149" s="7">
        <v>351715</v>
      </c>
      <c r="E149" s="8">
        <v>8.0000000000000002E-3</v>
      </c>
      <c r="F149" s="6"/>
    </row>
    <row r="150" spans="1:6" ht="19">
      <c r="A150" s="6">
        <v>147</v>
      </c>
      <c r="B150" s="1" t="s">
        <v>6127</v>
      </c>
      <c r="C150" s="7">
        <v>350946</v>
      </c>
      <c r="D150" s="7">
        <v>344791</v>
      </c>
      <c r="E150" s="8">
        <v>1.7899999999999999E-2</v>
      </c>
      <c r="F150" s="1" t="s">
        <v>5904</v>
      </c>
    </row>
    <row r="151" spans="1:6" ht="19">
      <c r="A151" s="6">
        <v>148</v>
      </c>
      <c r="B151" s="1" t="s">
        <v>6128</v>
      </c>
      <c r="C151" s="7">
        <v>346009</v>
      </c>
      <c r="D151" s="7">
        <v>349431</v>
      </c>
      <c r="E151" s="9" t="s">
        <v>6129</v>
      </c>
      <c r="F151" s="1" t="s">
        <v>6130</v>
      </c>
    </row>
    <row r="152" spans="1:6" ht="19">
      <c r="A152" s="6">
        <v>149</v>
      </c>
      <c r="B152" s="1" t="s">
        <v>6131</v>
      </c>
      <c r="C152" s="7">
        <v>335125</v>
      </c>
      <c r="D152" s="7">
        <v>331298</v>
      </c>
      <c r="E152" s="8">
        <v>1.1599999999999999E-2</v>
      </c>
      <c r="F152" s="6"/>
    </row>
    <row r="153" spans="1:6" ht="19">
      <c r="A153" s="6">
        <v>150</v>
      </c>
      <c r="B153" s="1" t="s">
        <v>6132</v>
      </c>
      <c r="C153" s="7">
        <v>332427</v>
      </c>
      <c r="D153" s="7">
        <v>321520</v>
      </c>
      <c r="E153" s="8">
        <v>3.39E-2</v>
      </c>
      <c r="F153" s="1" t="s">
        <v>6023</v>
      </c>
    </row>
    <row r="154" spans="1:6" ht="19">
      <c r="A154" s="6">
        <v>151</v>
      </c>
      <c r="B154" s="1" t="s">
        <v>6133</v>
      </c>
      <c r="C154" s="7">
        <v>330034</v>
      </c>
      <c r="D154" s="7">
        <v>326589</v>
      </c>
      <c r="E154" s="8">
        <v>1.0500000000000001E-2</v>
      </c>
      <c r="F154" s="1" t="s">
        <v>6134</v>
      </c>
    </row>
    <row r="155" spans="1:6" ht="19">
      <c r="A155" s="6">
        <v>152</v>
      </c>
      <c r="B155" s="1" t="s">
        <v>6135</v>
      </c>
      <c r="C155" s="7">
        <v>318586</v>
      </c>
      <c r="D155" s="7">
        <v>319224</v>
      </c>
      <c r="E155" s="9" t="s">
        <v>6136</v>
      </c>
      <c r="F155" s="1" t="s">
        <v>6137</v>
      </c>
    </row>
    <row r="156" spans="1:6" ht="19">
      <c r="A156" s="6">
        <v>153</v>
      </c>
      <c r="B156" s="1" t="s">
        <v>6138</v>
      </c>
      <c r="C156" s="7">
        <v>316997</v>
      </c>
      <c r="D156" s="7">
        <v>313268</v>
      </c>
      <c r="E156" s="8">
        <v>1.1900000000000001E-2</v>
      </c>
      <c r="F156" s="1" t="s">
        <v>5995</v>
      </c>
    </row>
    <row r="157" spans="1:6" ht="19">
      <c r="A157" s="6">
        <v>154</v>
      </c>
      <c r="B157" s="1" t="s">
        <v>6139</v>
      </c>
      <c r="C157" s="7">
        <v>313433</v>
      </c>
      <c r="D157" s="7">
        <v>311552</v>
      </c>
      <c r="E157" s="8">
        <v>6.0000000000000001E-3</v>
      </c>
      <c r="F157" s="6"/>
    </row>
    <row r="158" spans="1:6" ht="19">
      <c r="A158" s="6">
        <v>155</v>
      </c>
      <c r="B158" s="1" t="s">
        <v>6140</v>
      </c>
      <c r="C158" s="7">
        <v>311098</v>
      </c>
      <c r="D158" s="7">
        <v>306241</v>
      </c>
      <c r="E158" s="8">
        <v>1.5900000000000001E-2</v>
      </c>
      <c r="F158" s="1" t="s">
        <v>6141</v>
      </c>
    </row>
    <row r="159" spans="1:6" ht="19">
      <c r="A159" s="6">
        <v>156</v>
      </c>
      <c r="B159" s="1" t="s">
        <v>6142</v>
      </c>
      <c r="C159" s="7">
        <v>310531</v>
      </c>
      <c r="D159" s="7">
        <v>294865</v>
      </c>
      <c r="E159" s="8">
        <v>5.3100000000000001E-2</v>
      </c>
      <c r="F159" s="1" t="s">
        <v>6143</v>
      </c>
    </row>
    <row r="160" spans="1:6" ht="19">
      <c r="A160" s="6">
        <v>157</v>
      </c>
      <c r="B160" s="1" t="s">
        <v>6144</v>
      </c>
      <c r="C160" s="7">
        <v>310487</v>
      </c>
      <c r="D160" s="7">
        <v>299630</v>
      </c>
      <c r="E160" s="8">
        <v>3.6200000000000003E-2</v>
      </c>
      <c r="F160" s="6"/>
    </row>
    <row r="161" spans="1:6" ht="19">
      <c r="A161" s="6">
        <v>158</v>
      </c>
      <c r="B161" s="1" t="s">
        <v>6145</v>
      </c>
      <c r="C161" s="7">
        <v>310342</v>
      </c>
      <c r="D161" s="7">
        <v>302157</v>
      </c>
      <c r="E161" s="8">
        <v>2.7099999999999999E-2</v>
      </c>
      <c r="F161" s="1" t="s">
        <v>6146</v>
      </c>
    </row>
    <row r="162" spans="1:6" ht="19">
      <c r="A162" s="6">
        <v>159</v>
      </c>
      <c r="B162" s="1" t="s">
        <v>6147</v>
      </c>
      <c r="C162" s="7">
        <v>310118</v>
      </c>
      <c r="D162" s="7">
        <v>308707</v>
      </c>
      <c r="E162" s="8">
        <v>4.5999999999999999E-3</v>
      </c>
      <c r="F162" s="6"/>
    </row>
    <row r="163" spans="1:6" ht="19">
      <c r="A163" s="6">
        <v>160</v>
      </c>
      <c r="B163" s="1" t="s">
        <v>6148</v>
      </c>
      <c r="C163" s="7">
        <v>309006</v>
      </c>
      <c r="D163" s="7">
        <v>309544</v>
      </c>
      <c r="E163" s="9" t="s">
        <v>6149</v>
      </c>
      <c r="F163" s="1" t="s">
        <v>6150</v>
      </c>
    </row>
    <row r="164" spans="1:6" ht="19">
      <c r="A164" s="6">
        <v>161</v>
      </c>
      <c r="B164" s="1" t="s">
        <v>6151</v>
      </c>
      <c r="C164" s="7">
        <v>305318</v>
      </c>
      <c r="D164" s="7">
        <v>294567</v>
      </c>
      <c r="E164" s="8">
        <v>3.6499999999999998E-2</v>
      </c>
      <c r="F164" s="1" t="s">
        <v>5915</v>
      </c>
    </row>
    <row r="165" spans="1:6" ht="19">
      <c r="A165" s="6">
        <v>162</v>
      </c>
      <c r="B165" s="1" t="s">
        <v>6152</v>
      </c>
      <c r="C165" s="7">
        <v>298064</v>
      </c>
      <c r="D165" s="7">
        <v>299397</v>
      </c>
      <c r="E165" s="9" t="s">
        <v>6153</v>
      </c>
      <c r="F165" s="6"/>
    </row>
    <row r="166" spans="1:6" ht="19">
      <c r="A166" s="6">
        <v>163</v>
      </c>
      <c r="B166" s="1" t="s">
        <v>6154</v>
      </c>
      <c r="C166" s="7">
        <v>297669</v>
      </c>
      <c r="D166" s="7">
        <v>290805</v>
      </c>
      <c r="E166" s="8">
        <v>2.3599999999999999E-2</v>
      </c>
      <c r="F166" s="1" t="s">
        <v>6155</v>
      </c>
    </row>
    <row r="167" spans="1:6" ht="19">
      <c r="A167" s="6">
        <v>164</v>
      </c>
      <c r="B167" s="1" t="s">
        <v>6156</v>
      </c>
      <c r="C167" s="7">
        <v>280646</v>
      </c>
      <c r="D167" s="7">
        <v>280566</v>
      </c>
      <c r="E167" s="8">
        <v>2.9999999999999997E-4</v>
      </c>
      <c r="F167" s="1" t="s">
        <v>6157</v>
      </c>
    </row>
    <row r="168" spans="1:6" ht="19">
      <c r="A168" s="6">
        <v>165</v>
      </c>
      <c r="B168" s="1" t="s">
        <v>6158</v>
      </c>
      <c r="C168" s="7">
        <v>280521</v>
      </c>
      <c r="D168" s="7">
        <v>280467</v>
      </c>
      <c r="E168" s="8">
        <v>2.0000000000000001E-4</v>
      </c>
      <c r="F168" s="6"/>
    </row>
    <row r="169" spans="1:6" ht="19">
      <c r="A169" s="6">
        <v>166</v>
      </c>
      <c r="B169" s="1" t="s">
        <v>6159</v>
      </c>
      <c r="C169" s="7">
        <v>279452</v>
      </c>
      <c r="D169" s="7">
        <v>279771</v>
      </c>
      <c r="E169" s="9" t="s">
        <v>5967</v>
      </c>
      <c r="F169" s="6"/>
    </row>
    <row r="170" spans="1:6" ht="19">
      <c r="A170" s="6">
        <v>167</v>
      </c>
      <c r="B170" s="1" t="s">
        <v>6160</v>
      </c>
      <c r="C170" s="7">
        <v>275422</v>
      </c>
      <c r="D170" s="7">
        <v>274549</v>
      </c>
      <c r="E170" s="8">
        <v>3.2000000000000002E-3</v>
      </c>
      <c r="F170" s="1" t="s">
        <v>5889</v>
      </c>
    </row>
    <row r="171" spans="1:6" ht="19">
      <c r="A171" s="6">
        <v>168</v>
      </c>
      <c r="B171" s="1" t="s">
        <v>6161</v>
      </c>
      <c r="C171" s="7">
        <v>274804</v>
      </c>
      <c r="D171" s="7">
        <v>269637</v>
      </c>
      <c r="E171" s="8">
        <v>1.9199999999999998E-2</v>
      </c>
      <c r="F171" s="6"/>
    </row>
    <row r="172" spans="1:6" ht="19">
      <c r="A172" s="6">
        <v>169</v>
      </c>
      <c r="B172" s="1" t="s">
        <v>6162</v>
      </c>
      <c r="C172" s="7">
        <v>274342</v>
      </c>
      <c r="D172" s="7">
        <v>260625</v>
      </c>
      <c r="E172" s="8">
        <v>5.2600000000000001E-2</v>
      </c>
      <c r="F172" s="6"/>
    </row>
    <row r="173" spans="1:6" ht="19">
      <c r="A173" s="6">
        <v>170</v>
      </c>
      <c r="B173" s="1" t="s">
        <v>6163</v>
      </c>
      <c r="C173" s="7">
        <v>274170</v>
      </c>
      <c r="D173" s="7">
        <v>274055</v>
      </c>
      <c r="E173" s="8">
        <v>4.0000000000000002E-4</v>
      </c>
      <c r="F173" s="1" t="s">
        <v>5961</v>
      </c>
    </row>
    <row r="174" spans="1:6" ht="19">
      <c r="A174" s="6">
        <v>171</v>
      </c>
      <c r="B174" s="1" t="s">
        <v>6164</v>
      </c>
      <c r="C174" s="7">
        <v>268243</v>
      </c>
      <c r="D174" s="7">
        <v>253340</v>
      </c>
      <c r="E174" s="8">
        <v>5.8799999999999998E-2</v>
      </c>
      <c r="F174" s="6"/>
    </row>
    <row r="175" spans="1:6" ht="19">
      <c r="A175" s="6">
        <v>172</v>
      </c>
      <c r="B175" s="1" t="s">
        <v>6165</v>
      </c>
      <c r="C175" s="7">
        <v>268232</v>
      </c>
      <c r="D175" s="7">
        <v>264275</v>
      </c>
      <c r="E175" s="8">
        <v>1.4999999999999999E-2</v>
      </c>
      <c r="F175" s="1" t="s">
        <v>6166</v>
      </c>
    </row>
    <row r="176" spans="1:6" ht="19">
      <c r="A176" s="6">
        <v>173</v>
      </c>
      <c r="B176" s="1" t="s">
        <v>6167</v>
      </c>
      <c r="C176" s="7">
        <v>266776</v>
      </c>
      <c r="D176" s="7">
        <v>262382</v>
      </c>
      <c r="E176" s="8">
        <v>1.67E-2</v>
      </c>
      <c r="F176" s="1" t="s">
        <v>5899</v>
      </c>
    </row>
    <row r="177" spans="1:6" ht="19">
      <c r="A177" s="6">
        <v>174</v>
      </c>
      <c r="B177" s="1" t="s">
        <v>6168</v>
      </c>
      <c r="C177" s="7">
        <v>263691</v>
      </c>
      <c r="D177" s="7">
        <v>252825</v>
      </c>
      <c r="E177" s="8">
        <v>4.2999999999999997E-2</v>
      </c>
      <c r="F177" s="1" t="s">
        <v>5915</v>
      </c>
    </row>
    <row r="178" spans="1:6" ht="19">
      <c r="A178" s="6">
        <v>175</v>
      </c>
      <c r="B178" s="1" t="s">
        <v>6169</v>
      </c>
      <c r="C178" s="7">
        <v>263429</v>
      </c>
      <c r="D178" s="7">
        <v>254884</v>
      </c>
      <c r="E178" s="8">
        <v>3.3500000000000002E-2</v>
      </c>
      <c r="F178" s="6"/>
    </row>
    <row r="179" spans="1:6" ht="19">
      <c r="A179" s="6">
        <v>176</v>
      </c>
      <c r="B179" s="1" t="s">
        <v>6170</v>
      </c>
      <c r="C179" s="7">
        <v>262305</v>
      </c>
      <c r="D179" s="7">
        <v>255793</v>
      </c>
      <c r="E179" s="8">
        <v>2.5499999999999998E-2</v>
      </c>
      <c r="F179" s="1" t="s">
        <v>6058</v>
      </c>
    </row>
    <row r="180" spans="1:6" ht="19">
      <c r="A180" s="6">
        <v>177</v>
      </c>
      <c r="B180" s="1" t="s">
        <v>6171</v>
      </c>
      <c r="C180" s="7">
        <v>261761</v>
      </c>
      <c r="D180" s="7">
        <v>257940</v>
      </c>
      <c r="E180" s="8">
        <v>1.4800000000000001E-2</v>
      </c>
      <c r="F180" s="1" t="s">
        <v>6172</v>
      </c>
    </row>
    <row r="181" spans="1:6" ht="19">
      <c r="A181" s="6">
        <v>178</v>
      </c>
      <c r="B181" s="1" t="s">
        <v>6173</v>
      </c>
      <c r="C181" s="7">
        <v>259172</v>
      </c>
      <c r="D181" s="7">
        <v>250304</v>
      </c>
      <c r="E181" s="8">
        <v>3.5400000000000001E-2</v>
      </c>
      <c r="F181" s="6"/>
    </row>
    <row r="182" spans="1:6" ht="19">
      <c r="A182" s="6">
        <v>179</v>
      </c>
      <c r="B182" s="1" t="s">
        <v>6174</v>
      </c>
      <c r="C182" s="7">
        <v>258332</v>
      </c>
      <c r="D182" s="7">
        <v>252264</v>
      </c>
      <c r="E182" s="8">
        <v>2.41E-2</v>
      </c>
      <c r="F182" s="1" t="s">
        <v>5906</v>
      </c>
    </row>
    <row r="183" spans="1:6" ht="19">
      <c r="A183" s="6">
        <v>180</v>
      </c>
      <c r="B183" s="1" t="s">
        <v>6175</v>
      </c>
      <c r="C183" s="7">
        <v>257578</v>
      </c>
      <c r="D183" s="7">
        <v>251933</v>
      </c>
      <c r="E183" s="8">
        <v>2.24E-2</v>
      </c>
      <c r="F183" s="1" t="s">
        <v>6176</v>
      </c>
    </row>
    <row r="184" spans="1:6" ht="19">
      <c r="A184" s="6">
        <v>181</v>
      </c>
      <c r="B184" s="1" t="s">
        <v>6177</v>
      </c>
      <c r="C184" s="7">
        <v>256317</v>
      </c>
      <c r="D184" s="7">
        <v>252772</v>
      </c>
      <c r="E184" s="8">
        <v>1.4E-2</v>
      </c>
      <c r="F184" s="6"/>
    </row>
    <row r="185" spans="1:6" ht="19">
      <c r="A185" s="6">
        <v>182</v>
      </c>
      <c r="B185" s="1" t="s">
        <v>6178</v>
      </c>
      <c r="C185" s="7">
        <v>256278</v>
      </c>
      <c r="D185" s="7">
        <v>251599</v>
      </c>
      <c r="E185" s="8">
        <v>1.8599999999999998E-2</v>
      </c>
      <c r="F185" s="1" t="s">
        <v>5891</v>
      </c>
    </row>
    <row r="186" spans="1:6" ht="19">
      <c r="A186" s="6">
        <v>183</v>
      </c>
      <c r="B186" s="1" t="s">
        <v>6179</v>
      </c>
      <c r="C186" s="7">
        <v>255342</v>
      </c>
      <c r="D186" s="7">
        <v>252634</v>
      </c>
      <c r="E186" s="8">
        <v>1.0699999999999999E-2</v>
      </c>
      <c r="F186" s="6"/>
    </row>
    <row r="187" spans="1:6" ht="19">
      <c r="A187" s="6">
        <v>184</v>
      </c>
      <c r="B187" s="1" t="s">
        <v>6180</v>
      </c>
      <c r="C187" s="7">
        <v>254991</v>
      </c>
      <c r="D187" s="7">
        <v>251133</v>
      </c>
      <c r="E187" s="8">
        <v>1.54E-2</v>
      </c>
      <c r="F187" s="1" t="s">
        <v>5906</v>
      </c>
    </row>
    <row r="188" spans="1:6" ht="19">
      <c r="A188" s="6">
        <v>185</v>
      </c>
      <c r="B188" s="1" t="s">
        <v>6181</v>
      </c>
      <c r="C188" s="7">
        <v>248538</v>
      </c>
      <c r="D188" s="7">
        <v>251725</v>
      </c>
      <c r="E188" s="9" t="s">
        <v>6182</v>
      </c>
      <c r="F188" s="6"/>
    </row>
    <row r="189" spans="1:6" ht="19">
      <c r="A189" s="6">
        <v>186</v>
      </c>
      <c r="B189" s="1" t="s">
        <v>6183</v>
      </c>
      <c r="C189" s="7">
        <v>247665</v>
      </c>
      <c r="D189" s="7">
        <v>235865</v>
      </c>
      <c r="E189" s="8">
        <v>0.05</v>
      </c>
      <c r="F189" s="6"/>
    </row>
    <row r="190" spans="1:6" ht="19">
      <c r="A190" s="6">
        <v>187</v>
      </c>
      <c r="B190" s="1" t="s">
        <v>6184</v>
      </c>
      <c r="C190" s="7">
        <v>246977</v>
      </c>
      <c r="D190" s="7">
        <v>243231</v>
      </c>
      <c r="E190" s="8">
        <v>1.54E-2</v>
      </c>
      <c r="F190" s="6"/>
    </row>
    <row r="191" spans="1:6" ht="19">
      <c r="A191" s="6">
        <v>188</v>
      </c>
      <c r="B191" s="1" t="s">
        <v>6185</v>
      </c>
      <c r="C191" s="7">
        <v>237251</v>
      </c>
      <c r="D191" s="7">
        <v>228261</v>
      </c>
      <c r="E191" s="8">
        <v>3.9399999999999998E-2</v>
      </c>
      <c r="F191" s="6"/>
    </row>
    <row r="192" spans="1:6" ht="19">
      <c r="A192" s="6">
        <v>189</v>
      </c>
      <c r="B192" s="1" t="s">
        <v>6186</v>
      </c>
      <c r="C192" s="7">
        <v>234566</v>
      </c>
      <c r="D192" s="7">
        <v>233870</v>
      </c>
      <c r="E192" s="8">
        <v>3.0000000000000001E-3</v>
      </c>
      <c r="F192" s="6"/>
    </row>
    <row r="193" spans="1:6" ht="19">
      <c r="A193" s="6">
        <v>190</v>
      </c>
      <c r="B193" s="1" t="s">
        <v>6187</v>
      </c>
      <c r="C193" s="7">
        <v>234501</v>
      </c>
      <c r="D193" s="7">
        <v>228660</v>
      </c>
      <c r="E193" s="8">
        <v>2.5499999999999998E-2</v>
      </c>
      <c r="F193" s="6"/>
    </row>
    <row r="194" spans="1:6" ht="19">
      <c r="A194" s="6">
        <v>191</v>
      </c>
      <c r="B194" s="1" t="s">
        <v>6188</v>
      </c>
      <c r="C194" s="7">
        <v>233788</v>
      </c>
      <c r="D194" s="7">
        <v>231891</v>
      </c>
      <c r="E194" s="8">
        <v>8.2000000000000007E-3</v>
      </c>
      <c r="F194" s="6"/>
    </row>
    <row r="195" spans="1:6" ht="19">
      <c r="A195" s="6">
        <v>192</v>
      </c>
      <c r="B195" s="1" t="s">
        <v>6189</v>
      </c>
      <c r="C195" s="7">
        <v>233389</v>
      </c>
      <c r="D195" s="7">
        <v>230162</v>
      </c>
      <c r="E195" s="8">
        <v>1.4E-2</v>
      </c>
      <c r="F195" s="6"/>
    </row>
    <row r="196" spans="1:6" ht="19">
      <c r="A196" s="6">
        <v>193</v>
      </c>
      <c r="B196" s="1" t="s">
        <v>6190</v>
      </c>
      <c r="C196" s="7">
        <v>232723</v>
      </c>
      <c r="D196" s="7">
        <v>232293</v>
      </c>
      <c r="E196" s="8">
        <v>1.9E-3</v>
      </c>
      <c r="F196" s="1" t="s">
        <v>6191</v>
      </c>
    </row>
    <row r="197" spans="1:6" ht="19">
      <c r="A197" s="6">
        <v>194</v>
      </c>
      <c r="B197" s="1" t="s">
        <v>6192</v>
      </c>
      <c r="C197" s="7">
        <v>228450</v>
      </c>
      <c r="D197" s="7">
        <v>225666</v>
      </c>
      <c r="E197" s="8">
        <v>1.23E-2</v>
      </c>
      <c r="F197" s="1" t="s">
        <v>6193</v>
      </c>
    </row>
    <row r="198" spans="1:6" ht="19">
      <c r="A198" s="6">
        <v>195</v>
      </c>
      <c r="B198" s="1" t="s">
        <v>6194</v>
      </c>
      <c r="C198" s="7">
        <v>225954</v>
      </c>
      <c r="D198" s="7">
        <v>227078</v>
      </c>
      <c r="E198" s="9" t="s">
        <v>6195</v>
      </c>
      <c r="F198" s="1" t="s">
        <v>6120</v>
      </c>
    </row>
    <row r="199" spans="1:6" ht="19">
      <c r="A199" s="6">
        <v>196</v>
      </c>
      <c r="B199" s="1" t="s">
        <v>6196</v>
      </c>
      <c r="C199" s="7">
        <v>222860</v>
      </c>
      <c r="D199" s="7">
        <v>218705</v>
      </c>
      <c r="E199" s="8">
        <v>1.9E-2</v>
      </c>
      <c r="F199" s="6"/>
    </row>
    <row r="200" spans="1:6" ht="19">
      <c r="A200" s="6">
        <v>197</v>
      </c>
      <c r="B200" s="1" t="s">
        <v>6197</v>
      </c>
      <c r="C200" s="7">
        <v>221539</v>
      </c>
      <c r="D200" s="7">
        <v>220000</v>
      </c>
      <c r="E200" s="8">
        <v>7.0000000000000001E-3</v>
      </c>
      <c r="F200" s="6"/>
    </row>
    <row r="201" spans="1:6" ht="19">
      <c r="A201" s="6">
        <v>198</v>
      </c>
      <c r="B201" s="1" t="s">
        <v>6198</v>
      </c>
      <c r="C201" s="7">
        <v>217390</v>
      </c>
      <c r="D201" s="7">
        <v>218466</v>
      </c>
      <c r="E201" s="9" t="s">
        <v>6195</v>
      </c>
      <c r="F201" s="6"/>
    </row>
    <row r="202" spans="1:6" ht="19">
      <c r="A202" s="6">
        <v>199</v>
      </c>
      <c r="B202" s="1" t="s">
        <v>6199</v>
      </c>
      <c r="C202" s="7">
        <v>216679</v>
      </c>
      <c r="D202" s="7">
        <v>214369</v>
      </c>
      <c r="E202" s="8">
        <v>1.0800000000000001E-2</v>
      </c>
      <c r="F202" s="1" t="s">
        <v>6200</v>
      </c>
    </row>
    <row r="203" spans="1:6" ht="19">
      <c r="A203" s="6">
        <v>200</v>
      </c>
      <c r="B203" s="1" t="s">
        <v>6201</v>
      </c>
      <c r="C203" s="7">
        <v>216312</v>
      </c>
      <c r="D203" s="7">
        <v>208777</v>
      </c>
      <c r="E203" s="8">
        <v>3.61E-2</v>
      </c>
      <c r="F203" s="1" t="s">
        <v>6202</v>
      </c>
    </row>
    <row r="204" spans="1:6" ht="19">
      <c r="A204" s="6">
        <v>201</v>
      </c>
      <c r="B204" s="1" t="s">
        <v>6203</v>
      </c>
      <c r="C204" s="7">
        <v>215423</v>
      </c>
      <c r="D204" s="7">
        <v>215888</v>
      </c>
      <c r="E204" s="9" t="s">
        <v>6204</v>
      </c>
      <c r="F204" s="1" t="s">
        <v>5897</v>
      </c>
    </row>
    <row r="205" spans="1:6" ht="19">
      <c r="A205" s="6">
        <v>202</v>
      </c>
      <c r="B205" s="1" t="s">
        <v>6205</v>
      </c>
      <c r="C205" s="7">
        <v>214821</v>
      </c>
      <c r="D205" s="7">
        <v>209714</v>
      </c>
      <c r="E205" s="8">
        <v>2.4400000000000002E-2</v>
      </c>
      <c r="F205" s="1" t="s">
        <v>6206</v>
      </c>
    </row>
    <row r="206" spans="1:6" ht="19">
      <c r="A206" s="6">
        <v>203</v>
      </c>
      <c r="B206" s="1" t="s">
        <v>6207</v>
      </c>
      <c r="C206" s="7">
        <v>214445</v>
      </c>
      <c r="D206" s="7">
        <v>209233</v>
      </c>
      <c r="E206" s="8">
        <v>2.4899999999999999E-2</v>
      </c>
      <c r="F206" s="1" t="s">
        <v>5998</v>
      </c>
    </row>
    <row r="207" spans="1:6" ht="19">
      <c r="A207" s="6">
        <v>204</v>
      </c>
      <c r="B207" s="1" t="s">
        <v>6208</v>
      </c>
      <c r="C207" s="7">
        <v>213701</v>
      </c>
      <c r="D207" s="7">
        <v>211261</v>
      </c>
      <c r="E207" s="8">
        <v>1.15E-2</v>
      </c>
      <c r="F207" s="6"/>
    </row>
    <row r="208" spans="1:6" ht="19">
      <c r="A208" s="6">
        <v>205</v>
      </c>
      <c r="B208" s="1" t="s">
        <v>6209</v>
      </c>
      <c r="C208" s="7">
        <v>212637</v>
      </c>
      <c r="D208" s="7">
        <v>211033</v>
      </c>
      <c r="E208" s="8">
        <v>7.6E-3</v>
      </c>
      <c r="F208" s="6"/>
    </row>
    <row r="209" spans="1:6" ht="19">
      <c r="A209" s="6">
        <v>206</v>
      </c>
      <c r="B209" s="1" t="s">
        <v>6210</v>
      </c>
      <c r="C209" s="7">
        <v>211993</v>
      </c>
      <c r="D209" s="7">
        <v>210170</v>
      </c>
      <c r="E209" s="8">
        <v>8.6999999999999994E-3</v>
      </c>
      <c r="F209" s="1" t="s">
        <v>6211</v>
      </c>
    </row>
    <row r="210" spans="1:6" ht="19">
      <c r="A210" s="6">
        <v>207</v>
      </c>
      <c r="B210" s="1" t="s">
        <v>6212</v>
      </c>
      <c r="C210" s="7">
        <v>209607</v>
      </c>
      <c r="D210" s="7">
        <v>206877</v>
      </c>
      <c r="E210" s="8">
        <v>1.32E-2</v>
      </c>
      <c r="F210" s="1" t="s">
        <v>6213</v>
      </c>
    </row>
    <row r="211" spans="1:6" ht="19">
      <c r="A211" s="6">
        <v>208</v>
      </c>
      <c r="B211" s="1" t="s">
        <v>6214</v>
      </c>
      <c r="C211" s="7">
        <v>208922</v>
      </c>
      <c r="D211" s="7">
        <v>208178</v>
      </c>
      <c r="E211" s="8">
        <v>3.5999999999999999E-3</v>
      </c>
      <c r="F211" s="6"/>
    </row>
    <row r="212" spans="1:6" ht="19">
      <c r="A212" s="6">
        <v>209</v>
      </c>
      <c r="B212" s="1" t="s">
        <v>6215</v>
      </c>
      <c r="C212" s="7">
        <v>206412</v>
      </c>
      <c r="D212" s="7">
        <v>203206</v>
      </c>
      <c r="E212" s="8">
        <v>1.5800000000000002E-2</v>
      </c>
      <c r="F212" s="1" t="s">
        <v>6216</v>
      </c>
    </row>
    <row r="213" spans="1:6" ht="19">
      <c r="A213" s="6">
        <v>209</v>
      </c>
      <c r="B213" s="1" t="s">
        <v>6217</v>
      </c>
      <c r="C213" s="7">
        <v>206412</v>
      </c>
      <c r="D213" s="7">
        <v>201789</v>
      </c>
      <c r="E213" s="8">
        <v>2.29E-2</v>
      </c>
      <c r="F213" s="1" t="s">
        <v>6218</v>
      </c>
    </row>
    <row r="214" spans="1:6" ht="19">
      <c r="A214" s="6">
        <v>211</v>
      </c>
      <c r="B214" s="1" t="s">
        <v>6219</v>
      </c>
      <c r="C214" s="7">
        <v>206087</v>
      </c>
      <c r="D214" s="7">
        <v>205566</v>
      </c>
      <c r="E214" s="8">
        <v>2.5000000000000001E-3</v>
      </c>
      <c r="F214" s="6"/>
    </row>
    <row r="215" spans="1:6" ht="19">
      <c r="A215" s="6">
        <v>212</v>
      </c>
      <c r="B215" s="1" t="s">
        <v>6220</v>
      </c>
      <c r="C215" s="7">
        <v>205262</v>
      </c>
      <c r="D215" s="7">
        <v>201140</v>
      </c>
      <c r="E215" s="8">
        <v>2.0500000000000001E-2</v>
      </c>
      <c r="F215" s="6"/>
    </row>
    <row r="216" spans="1:6" ht="19">
      <c r="A216" s="6">
        <v>213</v>
      </c>
      <c r="B216" s="1" t="s">
        <v>6221</v>
      </c>
      <c r="C216" s="7">
        <v>203334</v>
      </c>
      <c r="D216" s="7">
        <v>200186</v>
      </c>
      <c r="E216" s="8">
        <v>1.5699999999999999E-2</v>
      </c>
      <c r="F216" s="1" t="s">
        <v>5935</v>
      </c>
    </row>
    <row r="217" spans="1:6" ht="19">
      <c r="A217" s="6">
        <v>214</v>
      </c>
      <c r="B217" s="1" t="s">
        <v>6222</v>
      </c>
      <c r="C217" s="7">
        <v>201195</v>
      </c>
      <c r="D217" s="7">
        <v>199607</v>
      </c>
      <c r="E217" s="8">
        <v>8.0000000000000002E-3</v>
      </c>
      <c r="F217" s="6"/>
    </row>
    <row r="218" spans="1:6" ht="19">
      <c r="A218" s="6">
        <v>215</v>
      </c>
      <c r="B218" s="1" t="s">
        <v>6223</v>
      </c>
      <c r="C218" s="7">
        <v>200684</v>
      </c>
      <c r="D218" s="7">
        <v>198716</v>
      </c>
      <c r="E218" s="8">
        <v>9.9000000000000008E-3</v>
      </c>
      <c r="F218" s="1" t="s">
        <v>6150</v>
      </c>
    </row>
    <row r="219" spans="1:6" ht="19">
      <c r="A219" s="6">
        <v>216</v>
      </c>
      <c r="B219" s="1" t="s">
        <v>6224</v>
      </c>
      <c r="C219" s="7">
        <v>200022</v>
      </c>
      <c r="D219" s="7">
        <v>195751</v>
      </c>
      <c r="E219" s="8">
        <v>2.18E-2</v>
      </c>
      <c r="F219" s="6"/>
    </row>
    <row r="220" spans="1:6" ht="19">
      <c r="A220" s="6">
        <v>217</v>
      </c>
      <c r="B220" s="1" t="s">
        <v>6225</v>
      </c>
      <c r="C220" s="7">
        <v>199619</v>
      </c>
      <c r="D220" s="7">
        <v>197559</v>
      </c>
      <c r="E220" s="8">
        <v>1.04E-2</v>
      </c>
      <c r="F220" s="1" t="s">
        <v>6137</v>
      </c>
    </row>
    <row r="221" spans="1:6" ht="19">
      <c r="A221" s="6">
        <v>218</v>
      </c>
      <c r="B221" s="1" t="s">
        <v>6226</v>
      </c>
      <c r="C221" s="7">
        <v>198353</v>
      </c>
      <c r="D221" s="7">
        <v>200169</v>
      </c>
      <c r="E221" s="9" t="s">
        <v>6227</v>
      </c>
      <c r="F221" s="1" t="s">
        <v>6228</v>
      </c>
    </row>
    <row r="222" spans="1:6" ht="19">
      <c r="A222" s="6">
        <v>219</v>
      </c>
      <c r="B222" s="1" t="s">
        <v>6229</v>
      </c>
      <c r="C222" s="7">
        <v>196425</v>
      </c>
      <c r="D222" s="7">
        <v>192541</v>
      </c>
      <c r="E222" s="8">
        <v>2.0199999999999999E-2</v>
      </c>
      <c r="F222" s="1" t="s">
        <v>5895</v>
      </c>
    </row>
    <row r="223" spans="1:6" ht="19">
      <c r="A223" s="6">
        <v>220</v>
      </c>
      <c r="B223" s="1" t="s">
        <v>6230</v>
      </c>
      <c r="C223" s="7">
        <v>194797</v>
      </c>
      <c r="D223" s="7">
        <v>195408</v>
      </c>
      <c r="E223" s="9" t="s">
        <v>6231</v>
      </c>
      <c r="F223" s="1" t="s">
        <v>5948</v>
      </c>
    </row>
    <row r="224" spans="1:6" ht="19">
      <c r="A224" s="6">
        <v>221</v>
      </c>
      <c r="B224" s="1" t="s">
        <v>6232</v>
      </c>
      <c r="C224" s="7">
        <v>193882</v>
      </c>
      <c r="D224" s="7">
        <v>187010</v>
      </c>
      <c r="E224" s="8">
        <v>3.6700000000000003E-2</v>
      </c>
      <c r="F224" s="6"/>
    </row>
    <row r="225" spans="1:6" ht="19">
      <c r="A225" s="6">
        <v>222</v>
      </c>
      <c r="B225" s="1" t="s">
        <v>6233</v>
      </c>
      <c r="C225" s="7">
        <v>190790</v>
      </c>
      <c r="D225" s="7">
        <v>182265</v>
      </c>
      <c r="E225" s="8">
        <v>4.6800000000000001E-2</v>
      </c>
      <c r="F225" s="1" t="s">
        <v>6096</v>
      </c>
    </row>
    <row r="226" spans="1:6" ht="19">
      <c r="A226" s="6">
        <v>223</v>
      </c>
      <c r="B226" s="1" t="s">
        <v>6234</v>
      </c>
      <c r="C226" s="7">
        <v>190471</v>
      </c>
      <c r="D226" s="7">
        <v>189093</v>
      </c>
      <c r="E226" s="8">
        <v>7.3000000000000001E-3</v>
      </c>
      <c r="F226" s="1" t="s">
        <v>5908</v>
      </c>
    </row>
    <row r="227" spans="1:6" ht="19">
      <c r="A227" s="6">
        <v>224</v>
      </c>
      <c r="B227" s="1" t="s">
        <v>6235</v>
      </c>
      <c r="C227" s="7">
        <v>189191</v>
      </c>
      <c r="D227" s="7">
        <v>185079</v>
      </c>
      <c r="E227" s="8">
        <v>2.2200000000000001E-2</v>
      </c>
      <c r="F227" s="6"/>
    </row>
    <row r="228" spans="1:6" ht="19">
      <c r="A228" s="6">
        <v>225</v>
      </c>
      <c r="B228" s="1" t="s">
        <v>6236</v>
      </c>
      <c r="C228" s="7">
        <v>188715</v>
      </c>
      <c r="D228" s="7">
        <v>186133</v>
      </c>
      <c r="E228" s="8">
        <v>1.3899999999999999E-2</v>
      </c>
      <c r="F228" s="1" t="s">
        <v>6237</v>
      </c>
    </row>
    <row r="229" spans="1:6" ht="19">
      <c r="A229" s="6">
        <v>226</v>
      </c>
      <c r="B229" s="1" t="s">
        <v>6238</v>
      </c>
      <c r="C229" s="7">
        <v>187621</v>
      </c>
      <c r="D229" s="7">
        <v>184715</v>
      </c>
      <c r="E229" s="8">
        <v>1.5699999999999999E-2</v>
      </c>
      <c r="F229" s="6"/>
    </row>
    <row r="230" spans="1:6" ht="19">
      <c r="A230" s="6">
        <v>227</v>
      </c>
      <c r="B230" s="1" t="s">
        <v>6239</v>
      </c>
      <c r="C230" s="7">
        <v>187530</v>
      </c>
      <c r="D230" s="7">
        <v>189927</v>
      </c>
      <c r="E230" s="9" t="s">
        <v>6240</v>
      </c>
      <c r="F230" s="1" t="s">
        <v>5879</v>
      </c>
    </row>
    <row r="231" spans="1:6" ht="19">
      <c r="A231" s="6">
        <v>228</v>
      </c>
      <c r="B231" s="1" t="s">
        <v>6241</v>
      </c>
      <c r="C231" s="7">
        <v>185478</v>
      </c>
      <c r="D231" s="7">
        <v>179605</v>
      </c>
      <c r="E231" s="8">
        <v>3.27E-2</v>
      </c>
      <c r="F231" s="1" t="s">
        <v>6191</v>
      </c>
    </row>
    <row r="232" spans="1:6" ht="19">
      <c r="A232" s="6">
        <v>229</v>
      </c>
      <c r="B232" s="1" t="s">
        <v>6242</v>
      </c>
      <c r="C232" s="7">
        <v>185416</v>
      </c>
      <c r="D232" s="7">
        <v>179684</v>
      </c>
      <c r="E232" s="8">
        <v>3.1899999999999998E-2</v>
      </c>
      <c r="F232" s="1" t="s">
        <v>5895</v>
      </c>
    </row>
    <row r="233" spans="1:6" ht="19">
      <c r="A233" s="6">
        <v>230</v>
      </c>
      <c r="B233" s="1" t="s">
        <v>6243</v>
      </c>
      <c r="C233" s="7">
        <v>183263</v>
      </c>
      <c r="D233" s="7">
        <v>177772</v>
      </c>
      <c r="E233" s="8">
        <v>3.09E-2</v>
      </c>
      <c r="F233" s="6"/>
    </row>
    <row r="234" spans="1:6" ht="19">
      <c r="A234" s="6">
        <v>231</v>
      </c>
      <c r="B234" s="1" t="s">
        <v>6244</v>
      </c>
      <c r="C234" s="7">
        <v>181791</v>
      </c>
      <c r="D234" s="7">
        <v>182493</v>
      </c>
      <c r="E234" s="9" t="s">
        <v>6245</v>
      </c>
      <c r="F234" s="1" t="s">
        <v>5879</v>
      </c>
    </row>
    <row r="235" spans="1:6" ht="19">
      <c r="A235" s="6">
        <v>232</v>
      </c>
      <c r="B235" s="1" t="s">
        <v>6246</v>
      </c>
      <c r="C235" s="7">
        <v>178933</v>
      </c>
      <c r="D235" s="7">
        <v>178237</v>
      </c>
      <c r="E235" s="8">
        <v>3.8999999999999998E-3</v>
      </c>
      <c r="F235" s="6"/>
    </row>
    <row r="236" spans="1:6" ht="19">
      <c r="A236" s="6">
        <v>233</v>
      </c>
      <c r="B236" s="1" t="s">
        <v>6247</v>
      </c>
      <c r="C236" s="7">
        <v>178586</v>
      </c>
      <c r="D236" s="7">
        <v>177223</v>
      </c>
      <c r="E236" s="8">
        <v>7.7000000000000002E-3</v>
      </c>
      <c r="F236" s="1" t="s">
        <v>6248</v>
      </c>
    </row>
    <row r="237" spans="1:6" ht="19">
      <c r="A237" s="6">
        <v>234</v>
      </c>
      <c r="B237" s="1" t="s">
        <v>6249</v>
      </c>
      <c r="C237" s="7">
        <v>177782</v>
      </c>
      <c r="D237" s="7">
        <v>176441</v>
      </c>
      <c r="E237" s="8">
        <v>7.6E-3</v>
      </c>
      <c r="F237" s="1" t="s">
        <v>6250</v>
      </c>
    </row>
    <row r="238" spans="1:6" ht="19">
      <c r="A238" s="6">
        <v>235</v>
      </c>
      <c r="B238" s="1" t="s">
        <v>6251</v>
      </c>
      <c r="C238" s="7">
        <v>176948</v>
      </c>
      <c r="D238" s="7">
        <v>174528</v>
      </c>
      <c r="E238" s="8">
        <v>1.3899999999999999E-2</v>
      </c>
      <c r="F238" s="6"/>
    </row>
    <row r="239" spans="1:6" ht="19">
      <c r="A239" s="6">
        <v>236</v>
      </c>
      <c r="B239" s="1" t="s">
        <v>6252</v>
      </c>
      <c r="C239" s="7">
        <v>174327</v>
      </c>
      <c r="D239" s="7">
        <v>175518</v>
      </c>
      <c r="E239" s="9" t="s">
        <v>6253</v>
      </c>
      <c r="F239" s="1" t="s">
        <v>6254</v>
      </c>
    </row>
    <row r="240" spans="1:6" ht="19">
      <c r="A240" s="6">
        <v>237</v>
      </c>
      <c r="B240" s="1" t="s">
        <v>6255</v>
      </c>
      <c r="C240" s="7">
        <v>172554</v>
      </c>
      <c r="D240" s="7">
        <v>168148</v>
      </c>
      <c r="E240" s="8">
        <v>2.6200000000000001E-2</v>
      </c>
      <c r="F240" s="1" t="s">
        <v>6256</v>
      </c>
    </row>
    <row r="241" spans="1:6" ht="19">
      <c r="A241" s="6">
        <v>238</v>
      </c>
      <c r="B241" s="1" t="s">
        <v>6257</v>
      </c>
      <c r="C241" s="7">
        <v>172493</v>
      </c>
      <c r="D241" s="7">
        <v>172425</v>
      </c>
      <c r="E241" s="8">
        <v>4.0000000000000002E-4</v>
      </c>
      <c r="F241" s="6"/>
    </row>
    <row r="242" spans="1:6" ht="19">
      <c r="A242" s="6">
        <v>239</v>
      </c>
      <c r="B242" s="1" t="s">
        <v>6258</v>
      </c>
      <c r="C242" s="7">
        <v>170182</v>
      </c>
      <c r="D242" s="7">
        <v>172188</v>
      </c>
      <c r="E242" s="9" t="s">
        <v>6259</v>
      </c>
      <c r="F242" s="1" t="s">
        <v>5974</v>
      </c>
    </row>
    <row r="243" spans="1:6" ht="19">
      <c r="A243" s="6">
        <v>240</v>
      </c>
      <c r="B243" s="1" t="s">
        <v>6260</v>
      </c>
      <c r="C243" s="7">
        <v>168921</v>
      </c>
      <c r="D243" s="7">
        <v>168563</v>
      </c>
      <c r="E243" s="8">
        <v>2.0999999999999999E-3</v>
      </c>
      <c r="F243" s="1" t="s">
        <v>6261</v>
      </c>
    </row>
    <row r="244" spans="1:6" ht="19">
      <c r="A244" s="6">
        <v>241</v>
      </c>
      <c r="B244" s="1" t="s">
        <v>6262</v>
      </c>
      <c r="C244" s="7">
        <v>168798</v>
      </c>
      <c r="D244" s="7">
        <v>169842</v>
      </c>
      <c r="E244" s="9" t="s">
        <v>6263</v>
      </c>
      <c r="F244" s="1" t="s">
        <v>5879</v>
      </c>
    </row>
    <row r="245" spans="1:6" ht="19">
      <c r="A245" s="6">
        <v>242</v>
      </c>
      <c r="B245" s="1" t="s">
        <v>6264</v>
      </c>
      <c r="C245" s="7">
        <v>168794</v>
      </c>
      <c r="D245" s="7">
        <v>166994</v>
      </c>
      <c r="E245" s="8">
        <v>1.0800000000000001E-2</v>
      </c>
      <c r="F245" s="1" t="s">
        <v>6193</v>
      </c>
    </row>
    <row r="246" spans="1:6" ht="19">
      <c r="A246" s="6">
        <v>243</v>
      </c>
      <c r="B246" s="1" t="s">
        <v>6265</v>
      </c>
      <c r="C246" s="7">
        <v>168747</v>
      </c>
      <c r="D246" s="7">
        <v>167819</v>
      </c>
      <c r="E246" s="8">
        <v>5.4999999999999997E-3</v>
      </c>
      <c r="F246" s="6"/>
    </row>
    <row r="247" spans="1:6" ht="19">
      <c r="A247" s="6">
        <v>244</v>
      </c>
      <c r="B247" s="1" t="s">
        <v>6266</v>
      </c>
      <c r="C247" s="7">
        <v>168535</v>
      </c>
      <c r="D247" s="7">
        <v>162642</v>
      </c>
      <c r="E247" s="8">
        <v>3.6200000000000003E-2</v>
      </c>
      <c r="F247" s="1" t="s">
        <v>6267</v>
      </c>
    </row>
    <row r="248" spans="1:6" ht="19">
      <c r="A248" s="6">
        <v>245</v>
      </c>
      <c r="B248" s="1" t="s">
        <v>6268</v>
      </c>
      <c r="C248" s="7">
        <v>167948</v>
      </c>
      <c r="D248" s="7">
        <v>166892</v>
      </c>
      <c r="E248" s="8">
        <v>6.3E-3</v>
      </c>
      <c r="F248" s="1" t="s">
        <v>5926</v>
      </c>
    </row>
    <row r="249" spans="1:6" ht="19">
      <c r="A249" s="6">
        <v>246</v>
      </c>
      <c r="B249" s="1" t="s">
        <v>6269</v>
      </c>
      <c r="C249" s="7">
        <v>167626</v>
      </c>
      <c r="D249" s="7">
        <v>162310</v>
      </c>
      <c r="E249" s="8">
        <v>3.2800000000000003E-2</v>
      </c>
      <c r="F249" s="1" t="s">
        <v>5889</v>
      </c>
    </row>
    <row r="250" spans="1:6" ht="19">
      <c r="A250" s="6">
        <v>247</v>
      </c>
      <c r="B250" s="1" t="s">
        <v>6270</v>
      </c>
      <c r="C250" s="7">
        <v>166963</v>
      </c>
      <c r="D250" s="7">
        <v>165252</v>
      </c>
      <c r="E250" s="8">
        <v>1.04E-2</v>
      </c>
      <c r="F250" s="6"/>
    </row>
    <row r="251" spans="1:6" ht="19">
      <c r="A251" s="6">
        <v>248</v>
      </c>
      <c r="B251" s="1" t="s">
        <v>6271</v>
      </c>
      <c r="C251" s="7">
        <v>163599</v>
      </c>
      <c r="D251" s="7">
        <v>161151</v>
      </c>
      <c r="E251" s="8">
        <v>1.52E-2</v>
      </c>
      <c r="F251" s="1" t="s">
        <v>6272</v>
      </c>
    </row>
    <row r="252" spans="1:6" ht="19">
      <c r="A252" s="6">
        <v>249</v>
      </c>
      <c r="B252" s="1" t="s">
        <v>6273</v>
      </c>
      <c r="C252" s="7">
        <v>162848</v>
      </c>
      <c r="D252" s="7">
        <v>158934</v>
      </c>
      <c r="E252" s="8">
        <v>2.46E-2</v>
      </c>
      <c r="F252" s="6"/>
    </row>
    <row r="253" spans="1:6" ht="19">
      <c r="A253" s="6">
        <v>250</v>
      </c>
      <c r="B253" s="1" t="s">
        <v>6274</v>
      </c>
      <c r="C253" s="7">
        <v>162449</v>
      </c>
      <c r="D253" s="7">
        <v>159978</v>
      </c>
      <c r="E253" s="8">
        <v>1.54E-2</v>
      </c>
      <c r="F253" s="1" t="s">
        <v>6010</v>
      </c>
    </row>
    <row r="254" spans="1:6" ht="19">
      <c r="A254" s="6">
        <v>251</v>
      </c>
      <c r="B254" s="1" t="s">
        <v>6275</v>
      </c>
      <c r="C254" s="7">
        <v>162399</v>
      </c>
      <c r="D254" s="7">
        <v>159549</v>
      </c>
      <c r="E254" s="8">
        <v>1.7899999999999999E-2</v>
      </c>
      <c r="F254" s="1" t="s">
        <v>6276</v>
      </c>
    </row>
    <row r="255" spans="1:6" ht="19">
      <c r="A255" s="6">
        <v>252</v>
      </c>
      <c r="B255" s="1" t="s">
        <v>6277</v>
      </c>
      <c r="C255" s="7">
        <v>162277</v>
      </c>
      <c r="D255" s="7">
        <v>157733</v>
      </c>
      <c r="E255" s="8">
        <v>2.8799999999999999E-2</v>
      </c>
      <c r="F255" s="1" t="s">
        <v>6278</v>
      </c>
    </row>
    <row r="256" spans="1:6" ht="19">
      <c r="A256" s="6">
        <v>253</v>
      </c>
      <c r="B256" s="1" t="s">
        <v>6279</v>
      </c>
      <c r="C256" s="7">
        <v>162231</v>
      </c>
      <c r="D256" s="7">
        <v>158599</v>
      </c>
      <c r="E256" s="8">
        <v>2.29E-2</v>
      </c>
      <c r="F256" s="1" t="s">
        <v>6280</v>
      </c>
    </row>
    <row r="257" spans="1:6" ht="19">
      <c r="A257" s="6">
        <v>254</v>
      </c>
      <c r="B257" s="1" t="s">
        <v>6281</v>
      </c>
      <c r="C257" s="7">
        <v>160852</v>
      </c>
      <c r="D257" s="7">
        <v>159063</v>
      </c>
      <c r="E257" s="8">
        <v>1.12E-2</v>
      </c>
      <c r="F257" s="1" t="s">
        <v>6282</v>
      </c>
    </row>
    <row r="258" spans="1:6" ht="19">
      <c r="A258" s="6">
        <v>255</v>
      </c>
      <c r="B258" s="1" t="s">
        <v>6283</v>
      </c>
      <c r="C258" s="7">
        <v>160418</v>
      </c>
      <c r="D258" s="7">
        <v>160331</v>
      </c>
      <c r="E258" s="8">
        <v>5.0000000000000001E-4</v>
      </c>
      <c r="F258" s="1" t="s">
        <v>6031</v>
      </c>
    </row>
    <row r="259" spans="1:6" ht="19">
      <c r="A259" s="6">
        <v>256</v>
      </c>
      <c r="B259" s="1" t="s">
        <v>6284</v>
      </c>
      <c r="C259" s="7">
        <v>160309</v>
      </c>
      <c r="D259" s="7">
        <v>160248</v>
      </c>
      <c r="E259" s="8">
        <v>4.0000000000000002E-4</v>
      </c>
      <c r="F259" s="6"/>
    </row>
    <row r="260" spans="1:6" ht="19">
      <c r="A260" s="6">
        <v>257</v>
      </c>
      <c r="B260" s="1" t="s">
        <v>6285</v>
      </c>
      <c r="C260" s="7">
        <v>158316</v>
      </c>
      <c r="D260" s="7">
        <v>154924</v>
      </c>
      <c r="E260" s="8">
        <v>2.1899999999999999E-2</v>
      </c>
      <c r="F260" s="6"/>
    </row>
    <row r="261" spans="1:6" ht="19">
      <c r="A261" s="6">
        <v>258</v>
      </c>
      <c r="B261" s="1" t="s">
        <v>6286</v>
      </c>
      <c r="C261" s="7">
        <v>158231</v>
      </c>
      <c r="D261" s="7">
        <v>152586</v>
      </c>
      <c r="E261" s="8">
        <v>3.6999999999999998E-2</v>
      </c>
      <c r="F261" s="1" t="s">
        <v>6172</v>
      </c>
    </row>
    <row r="262" spans="1:6" ht="19">
      <c r="A262" s="6">
        <v>259</v>
      </c>
      <c r="B262" s="1" t="s">
        <v>6287</v>
      </c>
      <c r="C262" s="7">
        <v>157785</v>
      </c>
      <c r="D262" s="7">
        <v>156898</v>
      </c>
      <c r="E262" s="8">
        <v>5.7000000000000002E-3</v>
      </c>
      <c r="F262" s="1" t="s">
        <v>5889</v>
      </c>
    </row>
    <row r="263" spans="1:6" ht="19">
      <c r="A263" s="6">
        <v>260</v>
      </c>
      <c r="B263" s="1" t="s">
        <v>6288</v>
      </c>
      <c r="C263" s="7">
        <v>157399</v>
      </c>
      <c r="D263" s="7">
        <v>157308</v>
      </c>
      <c r="E263" s="8">
        <v>5.9999999999999995E-4</v>
      </c>
      <c r="F263" s="6"/>
    </row>
    <row r="264" spans="1:6" ht="19">
      <c r="A264" s="6">
        <v>261</v>
      </c>
      <c r="B264" s="1" t="s">
        <v>6289</v>
      </c>
      <c r="C264" s="7">
        <v>156067</v>
      </c>
      <c r="D264" s="7">
        <v>156813</v>
      </c>
      <c r="E264" s="9" t="s">
        <v>6290</v>
      </c>
      <c r="F264" s="1" t="s">
        <v>6137</v>
      </c>
    </row>
    <row r="265" spans="1:6" ht="19">
      <c r="A265" s="6">
        <v>262</v>
      </c>
      <c r="B265" s="1" t="s">
        <v>6291</v>
      </c>
      <c r="C265" s="7">
        <v>155171</v>
      </c>
      <c r="D265" s="7">
        <v>153990</v>
      </c>
      <c r="E265" s="8">
        <v>7.7000000000000002E-3</v>
      </c>
      <c r="F265" s="1" t="s">
        <v>6292</v>
      </c>
    </row>
    <row r="266" spans="1:6" ht="19">
      <c r="A266" s="6">
        <v>263</v>
      </c>
      <c r="B266" s="1" t="s">
        <v>6293</v>
      </c>
      <c r="C266" s="7">
        <v>154441</v>
      </c>
      <c r="D266" s="7">
        <v>153922</v>
      </c>
      <c r="E266" s="8">
        <v>3.3999999999999998E-3</v>
      </c>
      <c r="F266" s="6"/>
    </row>
    <row r="267" spans="1:6" ht="19">
      <c r="A267" s="6">
        <v>264</v>
      </c>
      <c r="B267" s="1" t="s">
        <v>6294</v>
      </c>
      <c r="C267" s="7">
        <v>154233</v>
      </c>
      <c r="D267" s="7">
        <v>153829</v>
      </c>
      <c r="E267" s="8">
        <v>2.5999999999999999E-3</v>
      </c>
      <c r="F267" s="1" t="s">
        <v>6085</v>
      </c>
    </row>
    <row r="268" spans="1:6" ht="19">
      <c r="A268" s="6">
        <v>265</v>
      </c>
      <c r="B268" s="1" t="s">
        <v>6295</v>
      </c>
      <c r="C268" s="7">
        <v>153920</v>
      </c>
      <c r="D268" s="7">
        <v>151131</v>
      </c>
      <c r="E268" s="8">
        <v>1.8499999999999999E-2</v>
      </c>
      <c r="F268" s="1" t="s">
        <v>6008</v>
      </c>
    </row>
    <row r="269" spans="1:6" ht="19">
      <c r="A269" s="6">
        <v>266</v>
      </c>
      <c r="B269" s="1" t="s">
        <v>6296</v>
      </c>
      <c r="C269" s="7">
        <v>153746</v>
      </c>
      <c r="D269" s="7">
        <v>153923</v>
      </c>
      <c r="E269" s="9" t="s">
        <v>5967</v>
      </c>
      <c r="F269" s="6"/>
    </row>
    <row r="270" spans="1:6" ht="19">
      <c r="A270" s="6">
        <v>267</v>
      </c>
      <c r="B270" s="1" t="s">
        <v>6297</v>
      </c>
      <c r="C270" s="7">
        <v>153182</v>
      </c>
      <c r="D270" s="7">
        <v>154908</v>
      </c>
      <c r="E270" s="9" t="s">
        <v>6298</v>
      </c>
      <c r="F270" s="1" t="s">
        <v>5883</v>
      </c>
    </row>
    <row r="271" spans="1:6" ht="19">
      <c r="A271" s="6">
        <v>268</v>
      </c>
      <c r="B271" s="1" t="s">
        <v>6299</v>
      </c>
      <c r="C271" s="7">
        <v>152218</v>
      </c>
      <c r="D271" s="7">
        <v>150865</v>
      </c>
      <c r="E271" s="8">
        <v>8.9999999999999993E-3</v>
      </c>
      <c r="F271" s="1" t="s">
        <v>5981</v>
      </c>
    </row>
    <row r="272" spans="1:6" ht="19">
      <c r="A272" s="6">
        <v>269</v>
      </c>
      <c r="B272" s="1" t="s">
        <v>6300</v>
      </c>
      <c r="C272" s="7">
        <v>151662</v>
      </c>
      <c r="D272" s="7">
        <v>152392</v>
      </c>
      <c r="E272" s="9" t="s">
        <v>6290</v>
      </c>
      <c r="F272" s="1" t="s">
        <v>6301</v>
      </c>
    </row>
    <row r="273" spans="1:6" ht="19">
      <c r="A273" s="6">
        <v>269</v>
      </c>
      <c r="B273" s="1" t="s">
        <v>6302</v>
      </c>
      <c r="C273" s="7">
        <v>151662</v>
      </c>
      <c r="D273" s="7">
        <v>141671</v>
      </c>
      <c r="E273" s="8">
        <v>7.0499999999999993E-2</v>
      </c>
      <c r="F273" s="1" t="s">
        <v>6303</v>
      </c>
    </row>
    <row r="274" spans="1:6" ht="19">
      <c r="A274" s="6">
        <v>271</v>
      </c>
      <c r="B274" s="1" t="s">
        <v>6304</v>
      </c>
      <c r="C274" s="7">
        <v>151364</v>
      </c>
      <c r="D274" s="7">
        <v>152982</v>
      </c>
      <c r="E274" s="9" t="s">
        <v>6305</v>
      </c>
      <c r="F274" s="1" t="s">
        <v>6071</v>
      </c>
    </row>
    <row r="275" spans="1:6" ht="19">
      <c r="A275" s="6">
        <v>272</v>
      </c>
      <c r="B275" s="1" t="s">
        <v>6306</v>
      </c>
      <c r="C275" s="7">
        <v>151275</v>
      </c>
      <c r="D275" s="7">
        <v>149618</v>
      </c>
      <c r="E275" s="8">
        <v>1.11E-2</v>
      </c>
      <c r="F275" s="1" t="s">
        <v>5891</v>
      </c>
    </row>
    <row r="276" spans="1:6" ht="19">
      <c r="A276" s="6">
        <v>273</v>
      </c>
      <c r="B276" s="1" t="s">
        <v>6307</v>
      </c>
      <c r="C276" s="7">
        <v>151048</v>
      </c>
      <c r="D276" s="7">
        <v>152021</v>
      </c>
      <c r="E276" s="9" t="s">
        <v>6308</v>
      </c>
      <c r="F276" s="1" t="s">
        <v>5904</v>
      </c>
    </row>
    <row r="277" spans="1:6" ht="19">
      <c r="A277" s="6">
        <v>274</v>
      </c>
      <c r="B277" s="1" t="s">
        <v>6309</v>
      </c>
      <c r="C277" s="7">
        <v>150829</v>
      </c>
      <c r="D277" s="7">
        <v>151306</v>
      </c>
      <c r="E277" s="9" t="s">
        <v>6310</v>
      </c>
      <c r="F277" s="6"/>
    </row>
    <row r="278" spans="1:6" ht="19">
      <c r="A278" s="6">
        <v>275</v>
      </c>
      <c r="B278" s="1" t="s">
        <v>6311</v>
      </c>
      <c r="C278" s="7">
        <v>150413</v>
      </c>
      <c r="D278" s="7">
        <v>148338</v>
      </c>
      <c r="E278" s="8">
        <v>1.4E-2</v>
      </c>
      <c r="F278" s="1" t="s">
        <v>5956</v>
      </c>
    </row>
    <row r="279" spans="1:6" ht="19">
      <c r="A279" s="6">
        <v>276</v>
      </c>
      <c r="B279" s="1" t="s">
        <v>6312</v>
      </c>
      <c r="C279" s="7">
        <v>150151</v>
      </c>
      <c r="D279" s="7">
        <v>149807</v>
      </c>
      <c r="E279" s="8">
        <v>2.3E-3</v>
      </c>
      <c r="F279" s="6"/>
    </row>
    <row r="280" spans="1:6" ht="19">
      <c r="A280" s="6">
        <v>277</v>
      </c>
      <c r="B280" s="1" t="s">
        <v>6313</v>
      </c>
      <c r="C280" s="7">
        <v>149701</v>
      </c>
      <c r="D280" s="7">
        <v>149198</v>
      </c>
      <c r="E280" s="8">
        <v>3.3999999999999998E-3</v>
      </c>
      <c r="F280" s="6"/>
    </row>
    <row r="281" spans="1:6" ht="19">
      <c r="A281" s="6">
        <v>278</v>
      </c>
      <c r="B281" s="1" t="s">
        <v>6314</v>
      </c>
      <c r="C281" s="7">
        <v>147848</v>
      </c>
      <c r="D281" s="7">
        <v>146723</v>
      </c>
      <c r="E281" s="8">
        <v>7.7000000000000002E-3</v>
      </c>
      <c r="F281" s="6"/>
    </row>
    <row r="282" spans="1:6" ht="19">
      <c r="A282" s="6">
        <v>279</v>
      </c>
      <c r="B282" s="1" t="s">
        <v>6315</v>
      </c>
      <c r="C282" s="7">
        <v>147620</v>
      </c>
      <c r="D282" s="7">
        <v>145639</v>
      </c>
      <c r="E282" s="8">
        <v>1.3599999999999999E-2</v>
      </c>
      <c r="F282" s="1" t="s">
        <v>6316</v>
      </c>
    </row>
    <row r="283" spans="1:6" ht="19">
      <c r="A283" s="6">
        <v>280</v>
      </c>
      <c r="B283" s="1" t="s">
        <v>6317</v>
      </c>
      <c r="C283" s="7">
        <v>147257</v>
      </c>
      <c r="D283" s="7">
        <v>140247</v>
      </c>
      <c r="E283" s="8">
        <v>0.05</v>
      </c>
      <c r="F283" s="1" t="s">
        <v>6143</v>
      </c>
    </row>
    <row r="284" spans="1:6" ht="19">
      <c r="A284" s="6">
        <v>281</v>
      </c>
      <c r="B284" s="1" t="s">
        <v>6318</v>
      </c>
      <c r="C284" s="7">
        <v>147063</v>
      </c>
      <c r="D284" s="7">
        <v>148289</v>
      </c>
      <c r="E284" s="9" t="s">
        <v>6319</v>
      </c>
      <c r="F284" s="6"/>
    </row>
    <row r="285" spans="1:6" ht="19">
      <c r="A285" s="6">
        <v>282</v>
      </c>
      <c r="B285" s="1" t="s">
        <v>6320</v>
      </c>
      <c r="C285" s="7">
        <v>146988</v>
      </c>
      <c r="D285" s="7">
        <v>147137</v>
      </c>
      <c r="E285" s="9" t="s">
        <v>5903</v>
      </c>
      <c r="F285" s="6"/>
    </row>
    <row r="286" spans="1:6" ht="19">
      <c r="A286" s="6">
        <v>283</v>
      </c>
      <c r="B286" s="1" t="s">
        <v>6321</v>
      </c>
      <c r="C286" s="7">
        <v>146766</v>
      </c>
      <c r="D286" s="7">
        <v>142842</v>
      </c>
      <c r="E286" s="8">
        <v>2.75E-2</v>
      </c>
      <c r="F286" s="6"/>
    </row>
    <row r="287" spans="1:6" ht="19">
      <c r="A287" s="6">
        <v>284</v>
      </c>
      <c r="B287" s="1" t="s">
        <v>6322</v>
      </c>
      <c r="C287" s="7">
        <v>146761</v>
      </c>
      <c r="D287" s="7">
        <v>146445</v>
      </c>
      <c r="E287" s="8">
        <v>2.2000000000000001E-3</v>
      </c>
      <c r="F287" s="1" t="s">
        <v>5897</v>
      </c>
    </row>
    <row r="288" spans="1:6" ht="19">
      <c r="A288" s="6">
        <v>285</v>
      </c>
      <c r="B288" s="1" t="s">
        <v>6323</v>
      </c>
      <c r="C288" s="7">
        <v>146420</v>
      </c>
      <c r="D288" s="7">
        <v>147950</v>
      </c>
      <c r="E288" s="9" t="s">
        <v>6324</v>
      </c>
      <c r="F288" s="6"/>
    </row>
    <row r="289" spans="1:6" ht="19">
      <c r="A289" s="6">
        <v>286</v>
      </c>
      <c r="B289" s="1" t="s">
        <v>6325</v>
      </c>
      <c r="C289" s="7">
        <v>146375</v>
      </c>
      <c r="D289" s="7">
        <v>144170</v>
      </c>
      <c r="E289" s="8">
        <v>1.5299999999999999E-2</v>
      </c>
      <c r="F289" s="1" t="s">
        <v>5985</v>
      </c>
    </row>
    <row r="290" spans="1:6" ht="19">
      <c r="A290" s="6">
        <v>287</v>
      </c>
      <c r="B290" s="1" t="s">
        <v>6326</v>
      </c>
      <c r="C290" s="7">
        <v>145283</v>
      </c>
      <c r="D290" s="7">
        <v>143372</v>
      </c>
      <c r="E290" s="8">
        <v>1.3299999999999999E-2</v>
      </c>
      <c r="F290" s="6"/>
    </row>
    <row r="291" spans="1:6" ht="19">
      <c r="A291" s="6">
        <v>288</v>
      </c>
      <c r="B291" s="1" t="s">
        <v>6327</v>
      </c>
      <c r="C291" s="7">
        <v>144809</v>
      </c>
      <c r="D291" s="7">
        <v>138115</v>
      </c>
      <c r="E291" s="8">
        <v>4.8500000000000001E-2</v>
      </c>
      <c r="F291" s="6"/>
    </row>
    <row r="292" spans="1:6" ht="19">
      <c r="A292" s="6">
        <v>289</v>
      </c>
      <c r="B292" s="1" t="s">
        <v>6328</v>
      </c>
      <c r="C292" s="7">
        <v>144343</v>
      </c>
      <c r="D292" s="7">
        <v>139588</v>
      </c>
      <c r="E292" s="8">
        <v>3.4099999999999998E-2</v>
      </c>
      <c r="F292" s="6"/>
    </row>
    <row r="293" spans="1:6" ht="19">
      <c r="A293" s="6">
        <v>290</v>
      </c>
      <c r="B293" s="1" t="s">
        <v>6329</v>
      </c>
      <c r="C293" s="7">
        <v>144325</v>
      </c>
      <c r="D293" s="7">
        <v>137130</v>
      </c>
      <c r="E293" s="8">
        <v>5.2499999999999998E-2</v>
      </c>
      <c r="F293" s="1" t="s">
        <v>6303</v>
      </c>
    </row>
    <row r="294" spans="1:6" ht="19">
      <c r="A294" s="6">
        <v>291</v>
      </c>
      <c r="B294" s="1" t="s">
        <v>6330</v>
      </c>
      <c r="C294" s="7">
        <v>142751</v>
      </c>
      <c r="D294" s="7">
        <v>142227</v>
      </c>
      <c r="E294" s="8">
        <v>3.7000000000000002E-3</v>
      </c>
      <c r="F294" s="1" t="s">
        <v>6052</v>
      </c>
    </row>
    <row r="295" spans="1:6" ht="19">
      <c r="A295" s="6">
        <v>292</v>
      </c>
      <c r="B295" s="1" t="s">
        <v>6331</v>
      </c>
      <c r="C295" s="7">
        <v>142357</v>
      </c>
      <c r="D295" s="7">
        <v>138494</v>
      </c>
      <c r="E295" s="8">
        <v>2.7900000000000001E-2</v>
      </c>
      <c r="F295" s="1" t="s">
        <v>6054</v>
      </c>
    </row>
    <row r="296" spans="1:6" ht="19">
      <c r="A296" s="6">
        <v>293</v>
      </c>
      <c r="B296" s="1" t="s">
        <v>6332</v>
      </c>
      <c r="C296" s="7">
        <v>141584</v>
      </c>
      <c r="D296" s="7">
        <v>143679</v>
      </c>
      <c r="E296" s="9" t="s">
        <v>6333</v>
      </c>
      <c r="F296" s="1" t="s">
        <v>6334</v>
      </c>
    </row>
    <row r="297" spans="1:6" ht="19">
      <c r="A297" s="6">
        <v>294</v>
      </c>
      <c r="B297" s="1" t="s">
        <v>6335</v>
      </c>
      <c r="C297" s="7">
        <v>140567</v>
      </c>
      <c r="D297" s="7">
        <v>138028</v>
      </c>
      <c r="E297" s="8">
        <v>1.84E-2</v>
      </c>
      <c r="F297" s="1" t="s">
        <v>5893</v>
      </c>
    </row>
    <row r="298" spans="1:6" ht="19">
      <c r="A298" s="6">
        <v>295</v>
      </c>
      <c r="B298" s="1" t="s">
        <v>6336</v>
      </c>
      <c r="C298" s="7">
        <v>139360</v>
      </c>
      <c r="D298" s="7">
        <v>141236</v>
      </c>
      <c r="E298" s="9" t="s">
        <v>6337</v>
      </c>
      <c r="F298" s="6"/>
    </row>
    <row r="299" spans="1:6" ht="19">
      <c r="A299" s="6">
        <v>296</v>
      </c>
      <c r="B299" s="1" t="s">
        <v>6338</v>
      </c>
      <c r="C299" s="7">
        <v>139045</v>
      </c>
      <c r="D299" s="7">
        <v>136484</v>
      </c>
      <c r="E299" s="8">
        <v>1.8800000000000001E-2</v>
      </c>
      <c r="F299" s="1" t="s">
        <v>5899</v>
      </c>
    </row>
    <row r="300" spans="1:6" ht="19">
      <c r="A300" s="6">
        <v>297</v>
      </c>
      <c r="B300" s="1" t="s">
        <v>6339</v>
      </c>
      <c r="C300" s="7">
        <v>138976</v>
      </c>
      <c r="D300" s="7">
        <v>136268</v>
      </c>
      <c r="E300" s="8">
        <v>1.9900000000000001E-2</v>
      </c>
      <c r="F300" s="6"/>
    </row>
    <row r="301" spans="1:6" ht="19">
      <c r="A301" s="6">
        <v>298</v>
      </c>
      <c r="B301" s="1" t="s">
        <v>6340</v>
      </c>
      <c r="C301" s="7">
        <v>138738</v>
      </c>
      <c r="D301" s="7">
        <v>134598</v>
      </c>
      <c r="E301" s="8">
        <v>3.0800000000000001E-2</v>
      </c>
      <c r="F301" s="1" t="s">
        <v>6341</v>
      </c>
    </row>
    <row r="302" spans="1:6" ht="19">
      <c r="A302" s="6">
        <v>299</v>
      </c>
      <c r="B302" s="1" t="s">
        <v>6342</v>
      </c>
      <c r="C302" s="7">
        <v>137206</v>
      </c>
      <c r="D302" s="7">
        <v>138333</v>
      </c>
      <c r="E302" s="9" t="s">
        <v>6343</v>
      </c>
      <c r="F302" s="1" t="s">
        <v>6004</v>
      </c>
    </row>
    <row r="303" spans="1:6" ht="19">
      <c r="A303" s="6">
        <v>300</v>
      </c>
      <c r="B303" s="1" t="s">
        <v>6344</v>
      </c>
      <c r="C303" s="7">
        <v>136108</v>
      </c>
      <c r="D303" s="7">
        <v>133265</v>
      </c>
      <c r="E303" s="8">
        <v>2.1299999999999999E-2</v>
      </c>
      <c r="F303" s="1" t="s">
        <v>6345</v>
      </c>
    </row>
    <row r="304" spans="1:6" ht="19">
      <c r="A304" s="6">
        <v>301</v>
      </c>
      <c r="B304" s="1" t="s">
        <v>6346</v>
      </c>
      <c r="C304" s="7">
        <v>136011</v>
      </c>
      <c r="D304" s="7">
        <v>134421</v>
      </c>
      <c r="E304" s="8">
        <v>1.18E-2</v>
      </c>
      <c r="F304" s="6"/>
    </row>
    <row r="305" spans="1:6" ht="19">
      <c r="A305" s="6">
        <v>302</v>
      </c>
      <c r="B305" s="1" t="s">
        <v>6347</v>
      </c>
      <c r="C305" s="7">
        <v>135496</v>
      </c>
      <c r="D305" s="7">
        <v>134168</v>
      </c>
      <c r="E305" s="8">
        <v>9.9000000000000008E-3</v>
      </c>
      <c r="F305" s="1" t="s">
        <v>6116</v>
      </c>
    </row>
    <row r="306" spans="1:6" ht="19">
      <c r="A306" s="6">
        <v>303</v>
      </c>
      <c r="B306" s="1" t="s">
        <v>6348</v>
      </c>
      <c r="C306" s="7">
        <v>135298</v>
      </c>
      <c r="D306" s="7">
        <v>133665</v>
      </c>
      <c r="E306" s="8">
        <v>1.2200000000000001E-2</v>
      </c>
      <c r="F306" s="6"/>
    </row>
    <row r="307" spans="1:6" ht="19">
      <c r="A307" s="6">
        <v>304</v>
      </c>
      <c r="B307" s="1" t="s">
        <v>6349</v>
      </c>
      <c r="C307" s="7">
        <v>135251</v>
      </c>
      <c r="D307" s="7">
        <v>133568</v>
      </c>
      <c r="E307" s="8">
        <v>1.26E-2</v>
      </c>
      <c r="F307" s="1" t="s">
        <v>6048</v>
      </c>
    </row>
    <row r="308" spans="1:6" ht="19">
      <c r="A308" s="6">
        <v>305</v>
      </c>
      <c r="B308" s="1" t="s">
        <v>6350</v>
      </c>
      <c r="C308" s="7">
        <v>135099</v>
      </c>
      <c r="D308" s="7">
        <v>136146</v>
      </c>
      <c r="E308" s="9" t="s">
        <v>6351</v>
      </c>
      <c r="F308" s="1" t="s">
        <v>6134</v>
      </c>
    </row>
    <row r="309" spans="1:6" ht="19">
      <c r="A309" s="6">
        <v>306</v>
      </c>
      <c r="B309" s="1" t="s">
        <v>6352</v>
      </c>
      <c r="C309" s="7">
        <v>134827</v>
      </c>
      <c r="D309" s="7">
        <v>134623</v>
      </c>
      <c r="E309" s="8">
        <v>1.5E-3</v>
      </c>
      <c r="F309" s="6"/>
    </row>
    <row r="310" spans="1:6" ht="19">
      <c r="A310" s="6">
        <v>307</v>
      </c>
      <c r="B310" s="1" t="s">
        <v>6353</v>
      </c>
      <c r="C310" s="7">
        <v>134735</v>
      </c>
      <c r="D310" s="7">
        <v>134063</v>
      </c>
      <c r="E310" s="8">
        <v>5.0000000000000001E-3</v>
      </c>
      <c r="F310" s="1" t="s">
        <v>6354</v>
      </c>
    </row>
    <row r="311" spans="1:6" ht="19">
      <c r="A311" s="6">
        <v>308</v>
      </c>
      <c r="B311" s="1" t="s">
        <v>6355</v>
      </c>
      <c r="C311" s="7">
        <v>134164</v>
      </c>
      <c r="D311" s="7">
        <v>129709</v>
      </c>
      <c r="E311" s="8">
        <v>3.4299999999999997E-2</v>
      </c>
      <c r="F311" s="1" t="s">
        <v>6356</v>
      </c>
    </row>
    <row r="312" spans="1:6" ht="19">
      <c r="A312" s="6">
        <v>309</v>
      </c>
      <c r="B312" s="1" t="s">
        <v>6357</v>
      </c>
      <c r="C312" s="7">
        <v>133539</v>
      </c>
      <c r="D312" s="7">
        <v>134905</v>
      </c>
      <c r="E312" s="9" t="s">
        <v>6358</v>
      </c>
      <c r="F312" s="6"/>
    </row>
    <row r="313" spans="1:6" ht="19">
      <c r="A313" s="6">
        <v>310</v>
      </c>
      <c r="B313" s="1" t="s">
        <v>6359</v>
      </c>
      <c r="C313" s="7">
        <v>132545</v>
      </c>
      <c r="D313" s="7">
        <v>130291</v>
      </c>
      <c r="E313" s="8">
        <v>1.7299999999999999E-2</v>
      </c>
      <c r="F313" s="6"/>
    </row>
    <row r="314" spans="1:6" ht="19">
      <c r="A314" s="6">
        <v>311</v>
      </c>
      <c r="B314" s="1" t="s">
        <v>6360</v>
      </c>
      <c r="C314" s="7">
        <v>132088</v>
      </c>
      <c r="D314" s="7">
        <v>131346</v>
      </c>
      <c r="E314" s="8">
        <v>5.5999999999999999E-3</v>
      </c>
      <c r="F314" s="6"/>
    </row>
    <row r="315" spans="1:6" ht="19">
      <c r="A315" s="6">
        <v>312</v>
      </c>
      <c r="B315" s="1" t="s">
        <v>6361</v>
      </c>
      <c r="C315" s="7">
        <v>130907</v>
      </c>
      <c r="D315" s="7">
        <v>128472</v>
      </c>
      <c r="E315" s="8">
        <v>1.9E-2</v>
      </c>
      <c r="F315" s="1" t="s">
        <v>5891</v>
      </c>
    </row>
    <row r="316" spans="1:6" ht="19">
      <c r="A316" s="6">
        <v>313</v>
      </c>
      <c r="B316" s="1" t="s">
        <v>6362</v>
      </c>
      <c r="C316" s="7">
        <v>130450</v>
      </c>
      <c r="D316" s="7">
        <v>130011</v>
      </c>
      <c r="E316" s="8">
        <v>3.3999999999999998E-3</v>
      </c>
      <c r="F316" s="6"/>
    </row>
    <row r="317" spans="1:6" ht="19">
      <c r="A317" s="6">
        <v>314</v>
      </c>
      <c r="B317" s="1" t="s">
        <v>6363</v>
      </c>
      <c r="C317" s="7">
        <v>130016</v>
      </c>
      <c r="D317" s="7">
        <v>131219</v>
      </c>
      <c r="E317" s="9" t="s">
        <v>6364</v>
      </c>
      <c r="F317" s="6"/>
    </row>
    <row r="318" spans="1:6" ht="19">
      <c r="A318" s="6">
        <v>315</v>
      </c>
      <c r="B318" s="1" t="s">
        <v>6365</v>
      </c>
      <c r="C318" s="7">
        <v>128529</v>
      </c>
      <c r="D318" s="7">
        <v>130044</v>
      </c>
      <c r="E318" s="9" t="s">
        <v>6366</v>
      </c>
      <c r="F318" s="6"/>
    </row>
    <row r="319" spans="1:6" ht="19">
      <c r="A319" s="6">
        <v>316</v>
      </c>
      <c r="B319" s="1" t="s">
        <v>6367</v>
      </c>
      <c r="C319" s="7">
        <v>128472</v>
      </c>
      <c r="D319" s="7">
        <v>128923</v>
      </c>
      <c r="E319" s="9" t="s">
        <v>6368</v>
      </c>
      <c r="F319" s="1" t="s">
        <v>5989</v>
      </c>
    </row>
    <row r="320" spans="1:6" ht="19">
      <c r="A320" s="6">
        <v>317</v>
      </c>
      <c r="B320" s="1" t="s">
        <v>6369</v>
      </c>
      <c r="C320" s="7">
        <v>128372</v>
      </c>
      <c r="D320" s="7">
        <v>125228</v>
      </c>
      <c r="E320" s="8">
        <v>2.5100000000000001E-2</v>
      </c>
      <c r="F320" s="1" t="s">
        <v>6370</v>
      </c>
    </row>
    <row r="321" spans="1:6" ht="19">
      <c r="A321" s="6">
        <v>318</v>
      </c>
      <c r="B321" s="1" t="s">
        <v>6371</v>
      </c>
      <c r="C321" s="7">
        <v>128306</v>
      </c>
      <c r="D321" s="7">
        <v>125442</v>
      </c>
      <c r="E321" s="8">
        <v>2.2800000000000001E-2</v>
      </c>
      <c r="F321" s="6"/>
    </row>
    <row r="322" spans="1:6" ht="19">
      <c r="A322" s="6">
        <v>319</v>
      </c>
      <c r="B322" s="1" t="s">
        <v>6372</v>
      </c>
      <c r="C322" s="7">
        <v>128119</v>
      </c>
      <c r="D322" s="7">
        <v>126802</v>
      </c>
      <c r="E322" s="8">
        <v>1.04E-2</v>
      </c>
      <c r="F322" s="1" t="s">
        <v>6373</v>
      </c>
    </row>
    <row r="323" spans="1:6" ht="19">
      <c r="A323" s="6">
        <v>320</v>
      </c>
      <c r="B323" s="1" t="s">
        <v>6374</v>
      </c>
      <c r="C323" s="7">
        <v>127927</v>
      </c>
      <c r="D323" s="7">
        <v>127329</v>
      </c>
      <c r="E323" s="8">
        <v>4.7000000000000002E-3</v>
      </c>
      <c r="F323" s="1" t="s">
        <v>5933</v>
      </c>
    </row>
    <row r="324" spans="1:6" ht="19">
      <c r="A324" s="6">
        <v>321</v>
      </c>
      <c r="B324" s="1" t="s">
        <v>6375</v>
      </c>
      <c r="C324" s="7">
        <v>127121</v>
      </c>
      <c r="D324" s="7">
        <v>127089</v>
      </c>
      <c r="E324" s="8">
        <v>2.9999999999999997E-4</v>
      </c>
      <c r="F324" s="6"/>
    </row>
    <row r="325" spans="1:6" ht="19">
      <c r="A325" s="6">
        <v>322</v>
      </c>
      <c r="B325" s="1" t="s">
        <v>6376</v>
      </c>
      <c r="C325" s="7">
        <v>126745</v>
      </c>
      <c r="D325" s="7">
        <v>126575</v>
      </c>
      <c r="E325" s="8">
        <v>1.2999999999999999E-3</v>
      </c>
      <c r="F325" s="6"/>
    </row>
    <row r="326" spans="1:6" ht="19">
      <c r="A326" s="6">
        <v>323</v>
      </c>
      <c r="B326" s="1" t="s">
        <v>6377</v>
      </c>
      <c r="C326" s="7">
        <v>126696</v>
      </c>
      <c r="D326" s="7">
        <v>126369</v>
      </c>
      <c r="E326" s="8">
        <v>2.5999999999999999E-3</v>
      </c>
      <c r="F326" s="6"/>
    </row>
    <row r="327" spans="1:6" ht="19">
      <c r="A327" s="6">
        <v>324</v>
      </c>
      <c r="B327" s="1" t="s">
        <v>6378</v>
      </c>
      <c r="C327" s="7">
        <v>124890</v>
      </c>
      <c r="D327" s="7">
        <v>124898</v>
      </c>
      <c r="E327" s="9" t="s">
        <v>6379</v>
      </c>
      <c r="F327" s="6"/>
    </row>
    <row r="328" spans="1:6" ht="19">
      <c r="A328" s="6">
        <v>325</v>
      </c>
      <c r="B328" s="1" t="s">
        <v>6380</v>
      </c>
      <c r="C328" s="7">
        <v>124246</v>
      </c>
      <c r="D328" s="7">
        <v>122623</v>
      </c>
      <c r="E328" s="8">
        <v>1.32E-2</v>
      </c>
      <c r="F328" s="6"/>
    </row>
    <row r="329" spans="1:6" ht="19">
      <c r="A329" s="6">
        <v>326</v>
      </c>
      <c r="B329" s="1" t="s">
        <v>6381</v>
      </c>
      <c r="C329" s="7">
        <v>124042</v>
      </c>
      <c r="D329" s="7">
        <v>121026</v>
      </c>
      <c r="E329" s="8">
        <v>2.4899999999999999E-2</v>
      </c>
      <c r="F329" s="1" t="s">
        <v>6382</v>
      </c>
    </row>
    <row r="330" spans="1:6" ht="19">
      <c r="A330" s="6">
        <v>327</v>
      </c>
      <c r="B330" s="1" t="s">
        <v>6383</v>
      </c>
      <c r="C330" s="7">
        <v>123441</v>
      </c>
      <c r="D330" s="7">
        <v>121097</v>
      </c>
      <c r="E330" s="8">
        <v>1.9400000000000001E-2</v>
      </c>
      <c r="F330" s="1" t="s">
        <v>5959</v>
      </c>
    </row>
    <row r="331" spans="1:6" ht="19">
      <c r="A331" s="6">
        <v>328</v>
      </c>
      <c r="B331" s="1" t="s">
        <v>6384</v>
      </c>
      <c r="C331" s="7">
        <v>122673</v>
      </c>
      <c r="D331" s="7">
        <v>124475</v>
      </c>
      <c r="E331" s="9" t="s">
        <v>6385</v>
      </c>
      <c r="F331" s="1" t="s">
        <v>6386</v>
      </c>
    </row>
    <row r="332" spans="1:6" ht="19">
      <c r="A332" s="6">
        <v>329</v>
      </c>
      <c r="B332" s="1" t="s">
        <v>6387</v>
      </c>
      <c r="C332" s="7">
        <v>122547</v>
      </c>
      <c r="D332" s="7">
        <v>124454</v>
      </c>
      <c r="E332" s="9" t="s">
        <v>6388</v>
      </c>
      <c r="F332" s="1" t="s">
        <v>5917</v>
      </c>
    </row>
    <row r="333" spans="1:6" ht="19">
      <c r="A333" s="6">
        <v>330</v>
      </c>
      <c r="B333" s="1" t="s">
        <v>6389</v>
      </c>
      <c r="C333" s="7">
        <v>122135</v>
      </c>
      <c r="D333" s="7">
        <v>114678</v>
      </c>
      <c r="E333" s="8">
        <v>6.5000000000000002E-2</v>
      </c>
      <c r="F333" s="1" t="s">
        <v>5963</v>
      </c>
    </row>
    <row r="334" spans="1:6" ht="19">
      <c r="A334" s="6">
        <v>331</v>
      </c>
      <c r="B334" s="1" t="s">
        <v>6390</v>
      </c>
      <c r="C334" s="7">
        <v>121935</v>
      </c>
      <c r="D334" s="7">
        <v>120877</v>
      </c>
      <c r="E334" s="8">
        <v>8.8000000000000005E-3</v>
      </c>
      <c r="F334" s="1" t="s">
        <v>5885</v>
      </c>
    </row>
    <row r="335" spans="1:6" ht="19">
      <c r="A335" s="6">
        <v>332</v>
      </c>
      <c r="B335" s="1" t="s">
        <v>6391</v>
      </c>
      <c r="C335" s="7">
        <v>121853</v>
      </c>
      <c r="D335" s="7">
        <v>122151</v>
      </c>
      <c r="E335" s="9" t="s">
        <v>6100</v>
      </c>
      <c r="F335" s="6"/>
    </row>
    <row r="336" spans="1:6" ht="19">
      <c r="A336" s="6">
        <v>333</v>
      </c>
      <c r="B336" s="1" t="s">
        <v>6392</v>
      </c>
      <c r="C336" s="7">
        <v>120262</v>
      </c>
      <c r="D336" s="7">
        <v>116229</v>
      </c>
      <c r="E336" s="8">
        <v>3.4700000000000002E-2</v>
      </c>
      <c r="F336" s="6"/>
    </row>
    <row r="337" spans="1:6" ht="19">
      <c r="A337" s="6">
        <v>334</v>
      </c>
      <c r="B337" s="1" t="s">
        <v>6393</v>
      </c>
      <c r="C337" s="7">
        <v>120060</v>
      </c>
      <c r="D337" s="7">
        <v>114778</v>
      </c>
      <c r="E337" s="8">
        <v>4.5999999999999999E-2</v>
      </c>
      <c r="F337" s="6"/>
    </row>
    <row r="338" spans="1:6" ht="19">
      <c r="A338" s="6">
        <v>335</v>
      </c>
      <c r="B338" s="1" t="s">
        <v>6394</v>
      </c>
      <c r="C338" s="7">
        <v>118686</v>
      </c>
      <c r="D338" s="7">
        <v>118502</v>
      </c>
      <c r="E338" s="8">
        <v>1.6000000000000001E-3</v>
      </c>
      <c r="F338" s="1" t="s">
        <v>6370</v>
      </c>
    </row>
    <row r="339" spans="1:6" ht="19">
      <c r="A339" s="6">
        <v>336</v>
      </c>
      <c r="B339" s="1" t="s">
        <v>6395</v>
      </c>
      <c r="C339" s="7">
        <v>118360</v>
      </c>
      <c r="D339" s="7">
        <v>116672</v>
      </c>
      <c r="E339" s="8">
        <v>1.4500000000000001E-2</v>
      </c>
      <c r="F339" s="1" t="s">
        <v>5921</v>
      </c>
    </row>
    <row r="340" spans="1:6" ht="19">
      <c r="A340" s="6">
        <v>337</v>
      </c>
      <c r="B340" s="1" t="s">
        <v>6396</v>
      </c>
      <c r="C340" s="7">
        <v>118222</v>
      </c>
      <c r="D340" s="7">
        <v>116901</v>
      </c>
      <c r="E340" s="8">
        <v>1.1299999999999999E-2</v>
      </c>
      <c r="F340" s="1" t="s">
        <v>5906</v>
      </c>
    </row>
    <row r="341" spans="1:6" ht="19">
      <c r="A341" s="6">
        <v>338</v>
      </c>
      <c r="B341" s="1" t="s">
        <v>6397</v>
      </c>
      <c r="C341" s="7">
        <v>117820</v>
      </c>
      <c r="D341" s="7">
        <v>115788</v>
      </c>
      <c r="E341" s="8">
        <v>1.7500000000000002E-2</v>
      </c>
      <c r="F341" s="1" t="s">
        <v>6052</v>
      </c>
    </row>
    <row r="342" spans="1:6" ht="19">
      <c r="A342" s="6">
        <v>339</v>
      </c>
      <c r="B342" s="1" t="s">
        <v>6398</v>
      </c>
      <c r="C342" s="7">
        <v>117364</v>
      </c>
      <c r="D342" s="7">
        <v>117671</v>
      </c>
      <c r="E342" s="9" t="s">
        <v>6399</v>
      </c>
      <c r="F342" s="1" t="s">
        <v>5939</v>
      </c>
    </row>
    <row r="343" spans="1:6" ht="19">
      <c r="A343" s="6">
        <v>340</v>
      </c>
      <c r="B343" s="1" t="s">
        <v>6400</v>
      </c>
      <c r="C343" s="7">
        <v>117296</v>
      </c>
      <c r="D343" s="7">
        <v>118572</v>
      </c>
      <c r="E343" s="9" t="s">
        <v>6401</v>
      </c>
      <c r="F343" s="6"/>
    </row>
    <row r="344" spans="1:6" ht="19">
      <c r="A344" s="6">
        <v>341</v>
      </c>
      <c r="B344" s="1" t="s">
        <v>6402</v>
      </c>
      <c r="C344" s="7">
        <v>117168</v>
      </c>
      <c r="D344" s="7">
        <v>116111</v>
      </c>
      <c r="E344" s="8">
        <v>9.1000000000000004E-3</v>
      </c>
      <c r="F344" s="1" t="s">
        <v>6403</v>
      </c>
    </row>
    <row r="345" spans="1:6" ht="19">
      <c r="A345" s="6">
        <v>342</v>
      </c>
      <c r="B345" s="1" t="s">
        <v>6404</v>
      </c>
      <c r="C345" s="7">
        <v>116030</v>
      </c>
      <c r="D345" s="7">
        <v>114752</v>
      </c>
      <c r="E345" s="8">
        <v>1.11E-2</v>
      </c>
      <c r="F345" s="6"/>
    </row>
    <row r="346" spans="1:6" ht="19">
      <c r="A346" s="6">
        <v>343</v>
      </c>
      <c r="B346" s="1" t="s">
        <v>6405</v>
      </c>
      <c r="C346" s="7">
        <v>115009</v>
      </c>
      <c r="D346" s="7">
        <v>115507</v>
      </c>
      <c r="E346" s="9" t="s">
        <v>6406</v>
      </c>
      <c r="F346" s="6"/>
    </row>
    <row r="347" spans="1:6" ht="19">
      <c r="A347" s="6">
        <v>344</v>
      </c>
      <c r="B347" s="1" t="s">
        <v>6407</v>
      </c>
      <c r="C347" s="7">
        <v>114937</v>
      </c>
      <c r="D347" s="7">
        <v>113951</v>
      </c>
      <c r="E347" s="8">
        <v>8.6999999999999994E-3</v>
      </c>
      <c r="F347" s="1" t="s">
        <v>5993</v>
      </c>
    </row>
    <row r="348" spans="1:6" ht="19">
      <c r="A348" s="6">
        <v>345</v>
      </c>
      <c r="B348" s="1" t="s">
        <v>6408</v>
      </c>
      <c r="C348" s="7">
        <v>114854</v>
      </c>
      <c r="D348" s="7">
        <v>111823</v>
      </c>
      <c r="E348" s="8">
        <v>2.7099999999999999E-2</v>
      </c>
      <c r="F348" s="6"/>
    </row>
    <row r="349" spans="1:6" ht="19">
      <c r="A349" s="6">
        <v>346</v>
      </c>
      <c r="B349" s="1" t="s">
        <v>6409</v>
      </c>
      <c r="C349" s="7">
        <v>114848</v>
      </c>
      <c r="D349" s="7">
        <v>114520</v>
      </c>
      <c r="E349" s="8">
        <v>2.8999999999999998E-3</v>
      </c>
      <c r="F349" s="6"/>
    </row>
    <row r="350" spans="1:6" ht="19">
      <c r="A350" s="6">
        <v>347</v>
      </c>
      <c r="B350" s="1" t="s">
        <v>6410</v>
      </c>
      <c r="C350" s="7">
        <v>113448</v>
      </c>
      <c r="D350" s="7">
        <v>112370</v>
      </c>
      <c r="E350" s="8">
        <v>9.5999999999999992E-3</v>
      </c>
      <c r="F350" s="6"/>
    </row>
    <row r="351" spans="1:6" ht="19">
      <c r="A351" s="6">
        <v>348</v>
      </c>
      <c r="B351" s="1" t="s">
        <v>6411</v>
      </c>
      <c r="C351" s="7">
        <v>113040</v>
      </c>
      <c r="D351" s="7">
        <v>113449</v>
      </c>
      <c r="E351" s="9" t="s">
        <v>6412</v>
      </c>
      <c r="F351" s="1" t="s">
        <v>5883</v>
      </c>
    </row>
    <row r="352" spans="1:6" ht="19">
      <c r="A352" s="6">
        <v>349</v>
      </c>
      <c r="B352" s="1" t="s">
        <v>6413</v>
      </c>
      <c r="C352" s="7">
        <v>113037</v>
      </c>
      <c r="D352" s="7">
        <v>110884</v>
      </c>
      <c r="E352" s="8">
        <v>1.9400000000000001E-2</v>
      </c>
      <c r="F352" s="6"/>
    </row>
    <row r="353" spans="1:6" ht="19">
      <c r="A353" s="6">
        <v>350</v>
      </c>
      <c r="B353" s="1" t="s">
        <v>6414</v>
      </c>
      <c r="C353" s="7">
        <v>112864</v>
      </c>
      <c r="D353" s="7">
        <v>110826</v>
      </c>
      <c r="E353" s="8">
        <v>1.84E-2</v>
      </c>
      <c r="F353" s="1" t="s">
        <v>5933</v>
      </c>
    </row>
    <row r="354" spans="1:6" ht="19">
      <c r="A354" s="6">
        <v>351</v>
      </c>
      <c r="B354" s="1" t="s">
        <v>6415</v>
      </c>
      <c r="C354" s="7">
        <v>112232</v>
      </c>
      <c r="D354" s="7">
        <v>111944</v>
      </c>
      <c r="E354" s="8">
        <v>2.5999999999999999E-3</v>
      </c>
      <c r="F354" s="6"/>
    </row>
    <row r="355" spans="1:6" ht="19">
      <c r="A355" s="6">
        <v>352</v>
      </c>
      <c r="B355" s="1" t="s">
        <v>6416</v>
      </c>
      <c r="C355" s="7">
        <v>112039</v>
      </c>
      <c r="D355" s="7">
        <v>111408</v>
      </c>
      <c r="E355" s="8">
        <v>5.7000000000000002E-3</v>
      </c>
      <c r="F355" s="1" t="s">
        <v>5974</v>
      </c>
    </row>
    <row r="356" spans="1:6" ht="19">
      <c r="A356" s="6">
        <v>353</v>
      </c>
      <c r="B356" s="1" t="s">
        <v>6417</v>
      </c>
      <c r="C356" s="7">
        <v>111246</v>
      </c>
      <c r="D356" s="7">
        <v>111467</v>
      </c>
      <c r="E356" s="9" t="s">
        <v>6136</v>
      </c>
      <c r="F356" s="1" t="s">
        <v>5883</v>
      </c>
    </row>
    <row r="357" spans="1:6" ht="19">
      <c r="A357" s="6">
        <v>354</v>
      </c>
      <c r="B357" s="1" t="s">
        <v>6418</v>
      </c>
      <c r="C357" s="7">
        <v>110977</v>
      </c>
      <c r="D357" s="7">
        <v>109299</v>
      </c>
      <c r="E357" s="8">
        <v>1.54E-2</v>
      </c>
      <c r="F357" s="6"/>
    </row>
    <row r="358" spans="1:6" ht="19">
      <c r="A358" s="6">
        <v>355</v>
      </c>
      <c r="B358" s="1" t="s">
        <v>6419</v>
      </c>
      <c r="C358" s="7">
        <v>110122</v>
      </c>
      <c r="D358" s="7">
        <v>110768</v>
      </c>
      <c r="E358" s="9" t="s">
        <v>6420</v>
      </c>
      <c r="F358" s="6"/>
    </row>
    <row r="359" spans="1:6" ht="19">
      <c r="A359" s="6">
        <v>356</v>
      </c>
      <c r="B359" s="1" t="s">
        <v>6421</v>
      </c>
      <c r="C359" s="7">
        <v>108987</v>
      </c>
      <c r="D359" s="7">
        <v>105151</v>
      </c>
      <c r="E359" s="8">
        <v>3.6499999999999998E-2</v>
      </c>
      <c r="F359" s="1" t="s">
        <v>5891</v>
      </c>
    </row>
    <row r="360" spans="1:6" ht="19">
      <c r="A360" s="6">
        <v>357</v>
      </c>
      <c r="B360" s="1" t="s">
        <v>6422</v>
      </c>
      <c r="C360" s="7">
        <v>108052</v>
      </c>
      <c r="D360" s="7">
        <v>107456</v>
      </c>
      <c r="E360" s="8">
        <v>5.4999999999999997E-3</v>
      </c>
      <c r="F360" s="6"/>
    </row>
    <row r="361" spans="1:6" ht="19">
      <c r="A361" s="6">
        <v>358</v>
      </c>
      <c r="B361" s="1" t="s">
        <v>6423</v>
      </c>
      <c r="C361" s="7">
        <v>107609</v>
      </c>
      <c r="D361" s="7">
        <v>107702</v>
      </c>
      <c r="E361" s="9" t="s">
        <v>6424</v>
      </c>
      <c r="F361" s="1" t="s">
        <v>6060</v>
      </c>
    </row>
    <row r="362" spans="1:6" ht="19">
      <c r="A362" s="6">
        <v>359</v>
      </c>
      <c r="B362" s="1" t="s">
        <v>6425</v>
      </c>
      <c r="C362" s="7">
        <v>107164</v>
      </c>
      <c r="D362" s="7">
        <v>107667</v>
      </c>
      <c r="E362" s="9" t="s">
        <v>6426</v>
      </c>
      <c r="F362" s="6"/>
    </row>
    <row r="363" spans="1:6" ht="19">
      <c r="A363" s="6">
        <v>360</v>
      </c>
      <c r="B363" s="1" t="s">
        <v>6427</v>
      </c>
      <c r="C363" s="7">
        <v>107111</v>
      </c>
      <c r="D363" s="7">
        <v>107449</v>
      </c>
      <c r="E363" s="9" t="s">
        <v>6231</v>
      </c>
      <c r="F363" s="6"/>
    </row>
    <row r="364" spans="1:6" ht="19">
      <c r="A364" s="6">
        <v>361</v>
      </c>
      <c r="B364" s="1" t="s">
        <v>6428</v>
      </c>
      <c r="C364" s="7">
        <v>107094</v>
      </c>
      <c r="D364" s="7">
        <v>107449</v>
      </c>
      <c r="E364" s="9" t="s">
        <v>6429</v>
      </c>
      <c r="F364" s="6"/>
    </row>
    <row r="365" spans="1:6" ht="19">
      <c r="A365" s="6">
        <v>362</v>
      </c>
      <c r="B365" s="1" t="s">
        <v>6430</v>
      </c>
      <c r="C365" s="7">
        <v>106935</v>
      </c>
      <c r="D365" s="7">
        <v>107771</v>
      </c>
      <c r="E365" s="9" t="s">
        <v>6431</v>
      </c>
      <c r="F365" s="1" t="s">
        <v>6228</v>
      </c>
    </row>
    <row r="366" spans="1:6" ht="19">
      <c r="A366" s="6">
        <v>363</v>
      </c>
      <c r="B366" s="1" t="s">
        <v>6432</v>
      </c>
      <c r="C366" s="7">
        <v>106860</v>
      </c>
      <c r="D366" s="7">
        <v>106042</v>
      </c>
      <c r="E366" s="8">
        <v>7.7000000000000002E-3</v>
      </c>
      <c r="F366" s="6"/>
    </row>
    <row r="367" spans="1:6" ht="19">
      <c r="A367" s="6">
        <v>364</v>
      </c>
      <c r="B367" s="1" t="s">
        <v>6433</v>
      </c>
      <c r="C367" s="7">
        <v>106791</v>
      </c>
      <c r="D367" s="7">
        <v>107342</v>
      </c>
      <c r="E367" s="9" t="s">
        <v>6122</v>
      </c>
      <c r="F367" s="6"/>
    </row>
    <row r="368" spans="1:6" ht="19">
      <c r="A368" s="6">
        <v>365</v>
      </c>
      <c r="B368" s="1" t="s">
        <v>6434</v>
      </c>
      <c r="C368" s="7">
        <v>106507</v>
      </c>
      <c r="D368" s="7">
        <v>107841</v>
      </c>
      <c r="E368" s="9" t="s">
        <v>6435</v>
      </c>
      <c r="F368" s="1" t="s">
        <v>6046</v>
      </c>
    </row>
    <row r="369" spans="1:6" ht="19">
      <c r="A369" s="6">
        <v>366</v>
      </c>
      <c r="B369" s="1" t="s">
        <v>6436</v>
      </c>
      <c r="C369" s="7">
        <v>105803</v>
      </c>
      <c r="D369" s="7">
        <v>106561</v>
      </c>
      <c r="E369" s="9" t="s">
        <v>6437</v>
      </c>
      <c r="F369" s="6"/>
    </row>
    <row r="370" spans="1:6" ht="19">
      <c r="A370" s="6">
        <v>367</v>
      </c>
      <c r="B370" s="1" t="s">
        <v>6438</v>
      </c>
      <c r="C370" s="7">
        <v>105141</v>
      </c>
      <c r="D370" s="7">
        <v>106331</v>
      </c>
      <c r="E370" s="9" t="s">
        <v>6439</v>
      </c>
      <c r="F370" s="1" t="s">
        <v>6440</v>
      </c>
    </row>
    <row r="371" spans="1:6" ht="19">
      <c r="A371" s="6">
        <v>368</v>
      </c>
      <c r="B371" s="1" t="s">
        <v>6441</v>
      </c>
      <c r="C371" s="7">
        <v>104392</v>
      </c>
      <c r="D371" s="7">
        <v>104430</v>
      </c>
      <c r="E371" s="9" t="s">
        <v>6442</v>
      </c>
      <c r="F371" s="6"/>
    </row>
    <row r="372" spans="1:6" ht="19">
      <c r="A372" s="6">
        <v>369</v>
      </c>
      <c r="B372" s="1" t="s">
        <v>6443</v>
      </c>
      <c r="C372" s="7">
        <v>102851</v>
      </c>
      <c r="D372" s="7">
        <v>102228</v>
      </c>
      <c r="E372" s="8">
        <v>6.1000000000000004E-3</v>
      </c>
      <c r="F372" s="1" t="s">
        <v>5948</v>
      </c>
    </row>
    <row r="373" spans="1:6" ht="19">
      <c r="A373" s="6">
        <v>370</v>
      </c>
      <c r="B373" s="1" t="s">
        <v>6444</v>
      </c>
      <c r="C373" s="7">
        <v>102554</v>
      </c>
      <c r="D373" s="7">
        <v>101564</v>
      </c>
      <c r="E373" s="8">
        <v>9.7000000000000003E-3</v>
      </c>
      <c r="F373" s="1" t="s">
        <v>6445</v>
      </c>
    </row>
    <row r="374" spans="1:6" ht="19">
      <c r="A374" s="6">
        <v>371</v>
      </c>
      <c r="B374" s="1" t="s">
        <v>6446</v>
      </c>
      <c r="C374" s="7">
        <v>101996</v>
      </c>
      <c r="D374" s="7">
        <v>102410</v>
      </c>
      <c r="E374" s="9" t="s">
        <v>6447</v>
      </c>
      <c r="F374" s="1" t="s">
        <v>5921</v>
      </c>
    </row>
    <row r="375" spans="1:6" ht="19">
      <c r="A375" s="6">
        <v>372</v>
      </c>
      <c r="B375" s="1" t="s">
        <v>6448</v>
      </c>
      <c r="C375" s="7">
        <v>101968</v>
      </c>
      <c r="D375" s="7">
        <v>103299</v>
      </c>
      <c r="E375" s="9" t="s">
        <v>6449</v>
      </c>
      <c r="F375" s="6"/>
    </row>
    <row r="376" spans="1:6" ht="19">
      <c r="A376" s="6">
        <v>373</v>
      </c>
      <c r="B376" s="1" t="s">
        <v>6450</v>
      </c>
      <c r="C376" s="7">
        <v>101843</v>
      </c>
      <c r="D376" s="7">
        <v>101633</v>
      </c>
      <c r="E376" s="8">
        <v>2.0999999999999999E-3</v>
      </c>
      <c r="F376" s="6"/>
    </row>
    <row r="377" spans="1:6" ht="19">
      <c r="A377" s="6">
        <v>374</v>
      </c>
      <c r="B377" s="1" t="s">
        <v>6451</v>
      </c>
      <c r="C377" s="7">
        <v>101792</v>
      </c>
      <c r="D377" s="7">
        <v>99972</v>
      </c>
      <c r="E377" s="8">
        <v>1.8200000000000001E-2</v>
      </c>
      <c r="F377" s="1" t="s">
        <v>6063</v>
      </c>
    </row>
    <row r="378" spans="1:6" ht="19">
      <c r="A378" s="6">
        <v>375</v>
      </c>
      <c r="B378" s="1" t="s">
        <v>6452</v>
      </c>
      <c r="C378" s="7">
        <v>101620</v>
      </c>
      <c r="D378" s="7">
        <v>93420</v>
      </c>
      <c r="E378" s="8">
        <v>8.7800000000000003E-2</v>
      </c>
      <c r="F378" s="1" t="s">
        <v>5924</v>
      </c>
    </row>
    <row r="379" spans="1:6" ht="19">
      <c r="A379" s="6">
        <v>376</v>
      </c>
      <c r="B379" s="1" t="s">
        <v>6453</v>
      </c>
      <c r="C379" s="7">
        <v>101482</v>
      </c>
      <c r="D379" s="7">
        <v>101407</v>
      </c>
      <c r="E379" s="8">
        <v>6.9999999999999999E-4</v>
      </c>
      <c r="F379" s="1" t="s">
        <v>6048</v>
      </c>
    </row>
    <row r="380" spans="1:6" ht="19">
      <c r="A380" s="6">
        <v>377</v>
      </c>
      <c r="B380" s="1" t="s">
        <v>6454</v>
      </c>
      <c r="C380" s="7">
        <v>101094</v>
      </c>
      <c r="D380" s="7">
        <v>99604</v>
      </c>
      <c r="E380" s="8">
        <v>1.4999999999999999E-2</v>
      </c>
      <c r="F380" s="6"/>
    </row>
    <row r="381" spans="1:6" ht="19">
      <c r="A381" s="6">
        <v>378</v>
      </c>
      <c r="B381" s="1" t="s">
        <v>6455</v>
      </c>
      <c r="C381" s="7">
        <v>100389</v>
      </c>
      <c r="D381" s="7">
        <v>101497</v>
      </c>
      <c r="E381" s="9" t="s">
        <v>6456</v>
      </c>
      <c r="F381" s="1" t="s">
        <v>5931</v>
      </c>
    </row>
    <row r="382" spans="1:6" ht="19">
      <c r="A382" s="6">
        <v>379</v>
      </c>
      <c r="B382" s="1" t="s">
        <v>6457</v>
      </c>
      <c r="C382" s="7">
        <v>100333</v>
      </c>
      <c r="D382" s="7">
        <v>100210</v>
      </c>
      <c r="E382" s="8">
        <v>1.1999999999999999E-3</v>
      </c>
      <c r="F382" s="6"/>
    </row>
    <row r="383" spans="1:6" ht="19">
      <c r="A383" s="6">
        <v>380</v>
      </c>
      <c r="B383" s="1" t="s">
        <v>6458</v>
      </c>
      <c r="C383" s="7">
        <v>100272</v>
      </c>
      <c r="D383" s="7">
        <v>97581</v>
      </c>
      <c r="E383" s="8">
        <v>2.76E-2</v>
      </c>
      <c r="F383" s="6"/>
    </row>
    <row r="384" spans="1:6" ht="19">
      <c r="A384" s="6">
        <v>381</v>
      </c>
      <c r="B384" s="1" t="s">
        <v>6459</v>
      </c>
      <c r="C384" s="7">
        <v>99063</v>
      </c>
      <c r="D384" s="7">
        <v>98990</v>
      </c>
      <c r="E384" s="8">
        <v>6.9999999999999999E-4</v>
      </c>
      <c r="F384" s="1" t="s">
        <v>6460</v>
      </c>
    </row>
    <row r="385" spans="1:6" ht="19">
      <c r="A385" s="6">
        <v>382</v>
      </c>
      <c r="B385" s="1" t="s">
        <v>6461</v>
      </c>
      <c r="C385" s="7">
        <v>98987</v>
      </c>
      <c r="D385" s="7">
        <v>99892</v>
      </c>
      <c r="E385" s="9" t="s">
        <v>6227</v>
      </c>
      <c r="F385" s="1" t="s">
        <v>5904</v>
      </c>
    </row>
    <row r="386" spans="1:6" ht="19">
      <c r="A386" s="6">
        <v>383</v>
      </c>
      <c r="B386" s="1" t="s">
        <v>6462</v>
      </c>
      <c r="C386" s="7">
        <v>98888</v>
      </c>
      <c r="D386" s="7">
        <v>98461</v>
      </c>
      <c r="E386" s="8">
        <v>4.3E-3</v>
      </c>
      <c r="F386" s="6"/>
    </row>
    <row r="387" spans="1:6" ht="19">
      <c r="A387" s="6">
        <v>384</v>
      </c>
      <c r="B387" s="1" t="s">
        <v>6463</v>
      </c>
      <c r="C387" s="7">
        <v>98539</v>
      </c>
      <c r="D387" s="7">
        <v>98762</v>
      </c>
      <c r="E387" s="9" t="s">
        <v>6464</v>
      </c>
      <c r="F387" s="1" t="s">
        <v>6465</v>
      </c>
    </row>
    <row r="388" spans="1:6" ht="19">
      <c r="A388" s="6">
        <v>385</v>
      </c>
      <c r="B388" s="1" t="s">
        <v>6466</v>
      </c>
      <c r="C388" s="7">
        <v>98292</v>
      </c>
      <c r="D388" s="7">
        <v>98764</v>
      </c>
      <c r="E388" s="9" t="s">
        <v>6290</v>
      </c>
      <c r="F388" s="1" t="s">
        <v>5926</v>
      </c>
    </row>
    <row r="389" spans="1:6" ht="19">
      <c r="A389" s="6">
        <v>386</v>
      </c>
      <c r="B389" s="1" t="s">
        <v>6467</v>
      </c>
      <c r="C389" s="7">
        <v>98128</v>
      </c>
      <c r="D389" s="7">
        <v>98786</v>
      </c>
      <c r="E389" s="9" t="s">
        <v>6468</v>
      </c>
      <c r="F389" s="6"/>
    </row>
    <row r="390" spans="1:6" ht="19">
      <c r="A390" s="6">
        <v>387</v>
      </c>
      <c r="B390" s="1" t="s">
        <v>6469</v>
      </c>
      <c r="C390" s="7">
        <v>98020</v>
      </c>
      <c r="D390" s="7">
        <v>96740</v>
      </c>
      <c r="E390" s="8">
        <v>1.32E-2</v>
      </c>
      <c r="F390" s="1" t="s">
        <v>6470</v>
      </c>
    </row>
    <row r="391" spans="1:6" ht="19">
      <c r="A391" s="6">
        <v>388</v>
      </c>
      <c r="B391" s="1" t="s">
        <v>6471</v>
      </c>
      <c r="C391" s="7">
        <v>97810</v>
      </c>
      <c r="D391" s="7">
        <v>92719</v>
      </c>
      <c r="E391" s="8">
        <v>5.4899999999999997E-2</v>
      </c>
      <c r="F391" s="1" t="s">
        <v>6472</v>
      </c>
    </row>
    <row r="392" spans="1:6" ht="19">
      <c r="A392" s="6">
        <v>389</v>
      </c>
      <c r="B392" s="1" t="s">
        <v>6473</v>
      </c>
      <c r="C392" s="7">
        <v>97474</v>
      </c>
      <c r="D392" s="7">
        <v>98078</v>
      </c>
      <c r="E392" s="9" t="s">
        <v>6474</v>
      </c>
      <c r="F392" s="1" t="s">
        <v>5919</v>
      </c>
    </row>
    <row r="393" spans="1:6" ht="19">
      <c r="A393" s="6">
        <v>390</v>
      </c>
      <c r="B393" s="1" t="s">
        <v>6475</v>
      </c>
      <c r="C393" s="7">
        <v>97451</v>
      </c>
      <c r="D393" s="7">
        <v>100258</v>
      </c>
      <c r="E393" s="9" t="s">
        <v>6476</v>
      </c>
      <c r="F393" s="1" t="s">
        <v>6012</v>
      </c>
    </row>
    <row r="394" spans="1:6" ht="19">
      <c r="A394" s="6">
        <v>391</v>
      </c>
      <c r="B394" s="1" t="s">
        <v>6477</v>
      </c>
      <c r="C394" s="7">
        <v>97080</v>
      </c>
      <c r="D394" s="7">
        <v>96275</v>
      </c>
      <c r="E394" s="8">
        <v>8.3999999999999995E-3</v>
      </c>
      <c r="F394" s="1" t="s">
        <v>6478</v>
      </c>
    </row>
    <row r="395" spans="1:6" ht="19">
      <c r="A395" s="6">
        <v>392</v>
      </c>
      <c r="B395" s="1" t="s">
        <v>6479</v>
      </c>
      <c r="C395" s="7">
        <v>96903</v>
      </c>
      <c r="D395" s="7">
        <v>96024</v>
      </c>
      <c r="E395" s="8">
        <v>9.1999999999999998E-3</v>
      </c>
      <c r="F395" s="1" t="s">
        <v>6480</v>
      </c>
    </row>
    <row r="396" spans="1:6" ht="19">
      <c r="A396" s="6">
        <v>393</v>
      </c>
      <c r="B396" s="1" t="s">
        <v>6481</v>
      </c>
      <c r="C396" s="7">
        <v>96620</v>
      </c>
      <c r="D396" s="7">
        <v>94003</v>
      </c>
      <c r="E396" s="8">
        <v>2.7799999999999998E-2</v>
      </c>
      <c r="F396" s="1" t="s">
        <v>6482</v>
      </c>
    </row>
    <row r="397" spans="1:6" ht="19">
      <c r="A397" s="6">
        <v>394</v>
      </c>
      <c r="B397" s="1" t="s">
        <v>6483</v>
      </c>
      <c r="C397" s="7">
        <v>96304</v>
      </c>
      <c r="D397" s="7">
        <v>97265</v>
      </c>
      <c r="E397" s="9" t="s">
        <v>6484</v>
      </c>
      <c r="F397" s="1" t="s">
        <v>5889</v>
      </c>
    </row>
    <row r="398" spans="1:6" ht="19">
      <c r="A398" s="6">
        <v>395</v>
      </c>
      <c r="B398" s="1" t="s">
        <v>6485</v>
      </c>
      <c r="C398" s="7">
        <v>96177</v>
      </c>
      <c r="D398" s="7">
        <v>96317</v>
      </c>
      <c r="E398" s="9" t="s">
        <v>6486</v>
      </c>
      <c r="F398" s="1" t="s">
        <v>6487</v>
      </c>
    </row>
    <row r="399" spans="1:6" ht="19">
      <c r="A399" s="6">
        <v>396</v>
      </c>
      <c r="B399" s="1" t="s">
        <v>6488</v>
      </c>
      <c r="C399" s="7">
        <v>95097</v>
      </c>
      <c r="D399" s="7">
        <v>93653</v>
      </c>
      <c r="E399" s="8">
        <v>1.54E-2</v>
      </c>
      <c r="F399" s="6"/>
    </row>
    <row r="400" spans="1:6" ht="19">
      <c r="A400" s="6">
        <v>397</v>
      </c>
      <c r="B400" s="1" t="s">
        <v>6489</v>
      </c>
      <c r="C400" s="7">
        <v>94857</v>
      </c>
      <c r="D400" s="7">
        <v>95078</v>
      </c>
      <c r="E400" s="9" t="s">
        <v>6464</v>
      </c>
      <c r="F400" s="1" t="s">
        <v>5995</v>
      </c>
    </row>
    <row r="401" spans="1:6" ht="19">
      <c r="A401" s="6">
        <v>398</v>
      </c>
      <c r="B401" s="1" t="s">
        <v>6490</v>
      </c>
      <c r="C401" s="7">
        <v>94776</v>
      </c>
      <c r="D401" s="7">
        <v>93019</v>
      </c>
      <c r="E401" s="8">
        <v>1.89E-2</v>
      </c>
      <c r="F401" s="1" t="s">
        <v>6085</v>
      </c>
    </row>
    <row r="402" spans="1:6" ht="19">
      <c r="A402" s="6">
        <v>399</v>
      </c>
      <c r="B402" s="1" t="s">
        <v>6491</v>
      </c>
      <c r="C402" s="7">
        <v>94483</v>
      </c>
      <c r="D402" s="7">
        <v>91738</v>
      </c>
      <c r="E402" s="8">
        <v>2.9899999999999999E-2</v>
      </c>
      <c r="F402" s="6"/>
    </row>
    <row r="403" spans="1:6" ht="19">
      <c r="A403" s="6">
        <v>400</v>
      </c>
      <c r="B403" s="1" t="s">
        <v>6492</v>
      </c>
      <c r="C403" s="7">
        <v>94428</v>
      </c>
      <c r="D403" s="7">
        <v>94528</v>
      </c>
      <c r="E403" s="9" t="s">
        <v>5967</v>
      </c>
      <c r="F403" s="1" t="s">
        <v>6493</v>
      </c>
    </row>
    <row r="404" spans="1:6" ht="19">
      <c r="A404" s="6">
        <v>401</v>
      </c>
      <c r="B404" s="1" t="s">
        <v>6494</v>
      </c>
      <c r="C404" s="7">
        <v>94310</v>
      </c>
      <c r="D404" s="7">
        <v>94196</v>
      </c>
      <c r="E404" s="8">
        <v>1.1999999999999999E-3</v>
      </c>
      <c r="F404" s="6"/>
    </row>
    <row r="405" spans="1:6" ht="19">
      <c r="A405" s="6">
        <v>402</v>
      </c>
      <c r="B405" s="1" t="s">
        <v>6495</v>
      </c>
      <c r="C405" s="7">
        <v>92728</v>
      </c>
      <c r="D405" s="7">
        <v>93830</v>
      </c>
      <c r="E405" s="9" t="s">
        <v>6259</v>
      </c>
      <c r="F405" s="1" t="s">
        <v>5965</v>
      </c>
    </row>
    <row r="406" spans="1:6" ht="19">
      <c r="A406" s="6">
        <v>403</v>
      </c>
      <c r="B406" s="1" t="s">
        <v>6496</v>
      </c>
      <c r="C406" s="7">
        <v>92614</v>
      </c>
      <c r="D406" s="7">
        <v>89513</v>
      </c>
      <c r="E406" s="8">
        <v>3.4599999999999999E-2</v>
      </c>
      <c r="F406" s="6"/>
    </row>
    <row r="407" spans="1:6" ht="19">
      <c r="A407" s="6">
        <v>404</v>
      </c>
      <c r="B407" s="1" t="s">
        <v>6497</v>
      </c>
      <c r="C407" s="7">
        <v>92548</v>
      </c>
      <c r="D407" s="7">
        <v>92673</v>
      </c>
      <c r="E407" s="9" t="s">
        <v>6015</v>
      </c>
      <c r="F407" s="1" t="s">
        <v>6498</v>
      </c>
    </row>
    <row r="408" spans="1:6" ht="19">
      <c r="A408" s="6">
        <v>405</v>
      </c>
      <c r="B408" s="1" t="s">
        <v>6499</v>
      </c>
      <c r="C408" s="7">
        <v>92512</v>
      </c>
      <c r="D408" s="7">
        <v>89889</v>
      </c>
      <c r="E408" s="8">
        <v>2.92E-2</v>
      </c>
      <c r="F408" s="1" t="s">
        <v>5993</v>
      </c>
    </row>
    <row r="409" spans="1:6" ht="19">
      <c r="A409" s="6">
        <v>406</v>
      </c>
      <c r="B409" s="1" t="s">
        <v>6500</v>
      </c>
      <c r="C409" s="7">
        <v>92392</v>
      </c>
      <c r="D409" s="7">
        <v>92582</v>
      </c>
      <c r="E409" s="9" t="s">
        <v>6035</v>
      </c>
      <c r="F409" s="1" t="s">
        <v>5931</v>
      </c>
    </row>
    <row r="410" spans="1:6" ht="19">
      <c r="A410" s="6">
        <v>407</v>
      </c>
      <c r="B410" s="1" t="s">
        <v>6501</v>
      </c>
      <c r="C410" s="7">
        <v>91723</v>
      </c>
      <c r="D410" s="7">
        <v>89120</v>
      </c>
      <c r="E410" s="8">
        <v>2.92E-2</v>
      </c>
      <c r="F410" s="1" t="s">
        <v>6502</v>
      </c>
    </row>
    <row r="411" spans="1:6" ht="19">
      <c r="A411" s="6">
        <v>408</v>
      </c>
      <c r="B411" s="1" t="s">
        <v>6503</v>
      </c>
      <c r="C411" s="7">
        <v>91633</v>
      </c>
      <c r="D411" s="7">
        <v>90928</v>
      </c>
      <c r="E411" s="8">
        <v>7.7999999999999996E-3</v>
      </c>
      <c r="F411" s="6"/>
    </row>
    <row r="412" spans="1:6" ht="19">
      <c r="A412" s="6">
        <v>409</v>
      </c>
      <c r="B412" s="1" t="s">
        <v>6504</v>
      </c>
      <c r="C412" s="7">
        <v>91476</v>
      </c>
      <c r="D412" s="7">
        <v>92501</v>
      </c>
      <c r="E412" s="9" t="s">
        <v>6298</v>
      </c>
      <c r="F412" s="1" t="s">
        <v>6006</v>
      </c>
    </row>
    <row r="413" spans="1:6" ht="19">
      <c r="A413" s="6">
        <v>410</v>
      </c>
      <c r="B413" s="1" t="s">
        <v>6505</v>
      </c>
      <c r="C413" s="7">
        <v>91239</v>
      </c>
      <c r="D413" s="7">
        <v>91067</v>
      </c>
      <c r="E413" s="8">
        <v>1.9E-3</v>
      </c>
      <c r="F413" s="6"/>
    </row>
    <row r="414" spans="1:6" ht="19">
      <c r="A414" s="6">
        <v>411</v>
      </c>
      <c r="B414" s="1" t="s">
        <v>6506</v>
      </c>
      <c r="C414" s="7">
        <v>91140</v>
      </c>
      <c r="D414" s="7">
        <v>89542</v>
      </c>
      <c r="E414" s="8">
        <v>1.78E-2</v>
      </c>
      <c r="F414" s="1" t="s">
        <v>6039</v>
      </c>
    </row>
    <row r="415" spans="1:6" ht="19">
      <c r="A415" s="6">
        <v>412</v>
      </c>
      <c r="B415" s="1" t="s">
        <v>6507</v>
      </c>
      <c r="C415" s="7">
        <v>90302</v>
      </c>
      <c r="D415" s="7">
        <v>88247</v>
      </c>
      <c r="E415" s="8">
        <v>2.3300000000000001E-2</v>
      </c>
      <c r="F415" s="6"/>
    </row>
    <row r="416" spans="1:6" ht="19">
      <c r="A416" s="6">
        <v>413</v>
      </c>
      <c r="B416" s="1" t="s">
        <v>6508</v>
      </c>
      <c r="C416" s="7">
        <v>89871</v>
      </c>
      <c r="D416" s="7">
        <v>91108</v>
      </c>
      <c r="E416" s="9" t="s">
        <v>6509</v>
      </c>
      <c r="F416" s="1" t="s">
        <v>5917</v>
      </c>
    </row>
    <row r="417" spans="1:6" ht="19">
      <c r="A417" s="6">
        <v>414</v>
      </c>
      <c r="B417" s="1" t="s">
        <v>6510</v>
      </c>
      <c r="C417" s="7">
        <v>88911</v>
      </c>
      <c r="D417" s="7">
        <v>88830</v>
      </c>
      <c r="E417" s="8">
        <v>8.9999999999999998E-4</v>
      </c>
      <c r="F417" s="1" t="s">
        <v>6460</v>
      </c>
    </row>
    <row r="418" spans="1:6" ht="19">
      <c r="A418" s="6">
        <v>415</v>
      </c>
      <c r="B418" s="1" t="s">
        <v>6511</v>
      </c>
      <c r="C418" s="7">
        <v>88415</v>
      </c>
      <c r="D418" s="7">
        <v>88759</v>
      </c>
      <c r="E418" s="9" t="s">
        <v>6512</v>
      </c>
      <c r="F418" s="1" t="s">
        <v>5948</v>
      </c>
    </row>
    <row r="419" spans="1:6" ht="19">
      <c r="A419" s="6">
        <v>416</v>
      </c>
      <c r="B419" s="1" t="s">
        <v>6513</v>
      </c>
      <c r="C419" s="7">
        <v>88218</v>
      </c>
      <c r="D419" s="7">
        <v>88880</v>
      </c>
      <c r="E419" s="9" t="s">
        <v>6514</v>
      </c>
      <c r="F419" s="1" t="s">
        <v>5917</v>
      </c>
    </row>
    <row r="420" spans="1:6" ht="19">
      <c r="A420" s="6">
        <v>417</v>
      </c>
      <c r="B420" s="1" t="s">
        <v>6515</v>
      </c>
      <c r="C420" s="7">
        <v>88064</v>
      </c>
      <c r="D420" s="7">
        <v>87062</v>
      </c>
      <c r="E420" s="8">
        <v>1.15E-2</v>
      </c>
      <c r="F420" s="6"/>
    </row>
    <row r="421" spans="1:6" ht="19">
      <c r="A421" s="6">
        <v>418</v>
      </c>
      <c r="B421" s="1" t="s">
        <v>6516</v>
      </c>
      <c r="C421" s="7">
        <v>87598</v>
      </c>
      <c r="D421" s="7">
        <v>88765</v>
      </c>
      <c r="E421" s="9" t="s">
        <v>6517</v>
      </c>
      <c r="F421" s="1" t="s">
        <v>6157</v>
      </c>
    </row>
    <row r="422" spans="1:6" ht="19">
      <c r="A422" s="6">
        <v>419</v>
      </c>
      <c r="B422" s="1" t="s">
        <v>6518</v>
      </c>
      <c r="C422" s="7">
        <v>87597</v>
      </c>
      <c r="D422" s="7">
        <v>86771</v>
      </c>
      <c r="E422" s="8">
        <v>9.4999999999999998E-3</v>
      </c>
      <c r="F422" s="6"/>
    </row>
    <row r="423" spans="1:6" ht="19">
      <c r="A423" s="6">
        <v>420</v>
      </c>
      <c r="B423" s="1" t="s">
        <v>6519</v>
      </c>
      <c r="C423" s="7">
        <v>87428</v>
      </c>
      <c r="D423" s="7">
        <v>87841</v>
      </c>
      <c r="E423" s="9" t="s">
        <v>6426</v>
      </c>
      <c r="F423" s="6"/>
    </row>
    <row r="424" spans="1:6" ht="19">
      <c r="A424" s="6">
        <v>421</v>
      </c>
      <c r="B424" s="1" t="s">
        <v>6520</v>
      </c>
      <c r="C424" s="7">
        <v>86430</v>
      </c>
      <c r="D424" s="7">
        <v>85579</v>
      </c>
      <c r="E424" s="8">
        <v>9.9000000000000008E-3</v>
      </c>
      <c r="F424" s="1" t="s">
        <v>5921</v>
      </c>
    </row>
    <row r="425" spans="1:6" ht="19">
      <c r="A425" s="6">
        <v>422</v>
      </c>
      <c r="B425" s="1" t="s">
        <v>6521</v>
      </c>
      <c r="C425" s="7">
        <v>85950</v>
      </c>
      <c r="D425" s="7">
        <v>86074</v>
      </c>
      <c r="E425" s="9" t="s">
        <v>6522</v>
      </c>
      <c r="F425" s="1" t="s">
        <v>5937</v>
      </c>
    </row>
    <row r="426" spans="1:6" ht="19">
      <c r="A426" s="6">
        <v>423</v>
      </c>
      <c r="B426" s="1" t="s">
        <v>6523</v>
      </c>
      <c r="C426" s="7">
        <v>85243</v>
      </c>
      <c r="D426" s="7">
        <v>85562</v>
      </c>
      <c r="E426" s="9" t="s">
        <v>6524</v>
      </c>
      <c r="F426" s="1" t="s">
        <v>6493</v>
      </c>
    </row>
    <row r="427" spans="1:6" ht="19">
      <c r="A427" s="6">
        <v>424</v>
      </c>
      <c r="B427" s="1" t="s">
        <v>6525</v>
      </c>
      <c r="C427" s="7">
        <v>85164</v>
      </c>
      <c r="D427" s="7">
        <v>84823</v>
      </c>
      <c r="E427" s="8">
        <v>4.0000000000000001E-3</v>
      </c>
      <c r="F427" s="6"/>
    </row>
    <row r="428" spans="1:6" ht="19">
      <c r="A428" s="6">
        <v>425</v>
      </c>
      <c r="B428" s="1" t="s">
        <v>6526</v>
      </c>
      <c r="C428" s="7">
        <v>84697</v>
      </c>
      <c r="D428" s="7">
        <v>83939</v>
      </c>
      <c r="E428" s="8">
        <v>8.9999999999999993E-3</v>
      </c>
      <c r="F428" s="6"/>
    </row>
    <row r="429" spans="1:6" ht="19">
      <c r="A429" s="6">
        <v>426</v>
      </c>
      <c r="B429" s="1" t="s">
        <v>6527</v>
      </c>
      <c r="C429" s="7">
        <v>84524</v>
      </c>
      <c r="D429" s="7">
        <v>83877</v>
      </c>
      <c r="E429" s="8">
        <v>7.7000000000000002E-3</v>
      </c>
      <c r="F429" s="1" t="s">
        <v>6074</v>
      </c>
    </row>
    <row r="430" spans="1:6" ht="19">
      <c r="A430" s="6">
        <v>427</v>
      </c>
      <c r="B430" s="1" t="s">
        <v>6528</v>
      </c>
      <c r="C430" s="7">
        <v>84498</v>
      </c>
      <c r="D430" s="7">
        <v>83686</v>
      </c>
      <c r="E430" s="8">
        <v>9.7000000000000003E-3</v>
      </c>
      <c r="F430" s="1" t="s">
        <v>5948</v>
      </c>
    </row>
    <row r="431" spans="1:6" ht="19">
      <c r="A431" s="6">
        <v>428</v>
      </c>
      <c r="B431" s="1" t="s">
        <v>6529</v>
      </c>
      <c r="C431" s="7">
        <v>83822</v>
      </c>
      <c r="D431" s="7">
        <v>83629</v>
      </c>
      <c r="E431" s="8">
        <v>2.3E-3</v>
      </c>
      <c r="F431" s="1" t="s">
        <v>6228</v>
      </c>
    </row>
    <row r="432" spans="1:6" ht="19">
      <c r="A432" s="6">
        <v>429</v>
      </c>
      <c r="B432" s="1" t="s">
        <v>6530</v>
      </c>
      <c r="C432" s="7">
        <v>83800</v>
      </c>
      <c r="D432" s="7">
        <v>82839</v>
      </c>
      <c r="E432" s="8">
        <v>1.1599999999999999E-2</v>
      </c>
      <c r="F432" s="6"/>
    </row>
    <row r="433" spans="1:6" ht="19">
      <c r="A433" s="6">
        <v>430</v>
      </c>
      <c r="B433" s="1" t="s">
        <v>6531</v>
      </c>
      <c r="C433" s="7">
        <v>83662</v>
      </c>
      <c r="D433" s="7">
        <v>83384</v>
      </c>
      <c r="E433" s="8">
        <v>3.3E-3</v>
      </c>
      <c r="F433" s="1" t="s">
        <v>6066</v>
      </c>
    </row>
    <row r="434" spans="1:6" ht="19">
      <c r="A434" s="6">
        <v>431</v>
      </c>
      <c r="B434" s="1" t="s">
        <v>6532</v>
      </c>
      <c r="C434" s="7">
        <v>83472</v>
      </c>
      <c r="D434" s="7">
        <v>81850</v>
      </c>
      <c r="E434" s="8">
        <v>1.9800000000000002E-2</v>
      </c>
      <c r="F434" s="6"/>
    </row>
    <row r="435" spans="1:6" ht="19">
      <c r="A435" s="6">
        <v>432</v>
      </c>
      <c r="B435" s="1" t="s">
        <v>6533</v>
      </c>
      <c r="C435" s="7">
        <v>82930</v>
      </c>
      <c r="D435" s="7">
        <v>82713</v>
      </c>
      <c r="E435" s="8">
        <v>2.5999999999999999E-3</v>
      </c>
      <c r="F435" s="1" t="s">
        <v>6216</v>
      </c>
    </row>
    <row r="436" spans="1:6" ht="19">
      <c r="A436" s="6">
        <v>433</v>
      </c>
      <c r="B436" s="1" t="s">
        <v>6534</v>
      </c>
      <c r="C436" s="7">
        <v>82849</v>
      </c>
      <c r="D436" s="7">
        <v>82752</v>
      </c>
      <c r="E436" s="8">
        <v>1.1999999999999999E-3</v>
      </c>
      <c r="F436" s="1" t="s">
        <v>6535</v>
      </c>
    </row>
    <row r="437" spans="1:6" ht="19">
      <c r="A437" s="6">
        <v>434</v>
      </c>
      <c r="B437" s="1" t="s">
        <v>6536</v>
      </c>
      <c r="C437" s="7">
        <v>82717</v>
      </c>
      <c r="D437" s="7">
        <v>82446</v>
      </c>
      <c r="E437" s="8">
        <v>3.3E-3</v>
      </c>
      <c r="F437" s="1" t="s">
        <v>5887</v>
      </c>
    </row>
    <row r="438" spans="1:6" ht="19">
      <c r="A438" s="6">
        <v>435</v>
      </c>
      <c r="B438" s="1" t="s">
        <v>6537</v>
      </c>
      <c r="C438" s="7">
        <v>81867</v>
      </c>
      <c r="D438" s="7">
        <v>81234</v>
      </c>
      <c r="E438" s="8">
        <v>7.7999999999999996E-3</v>
      </c>
      <c r="F438" s="1" t="s">
        <v>6301</v>
      </c>
    </row>
    <row r="439" spans="1:6" ht="19">
      <c r="A439" s="6">
        <v>436</v>
      </c>
      <c r="B439" s="1" t="s">
        <v>6538</v>
      </c>
      <c r="C439" s="7">
        <v>81723</v>
      </c>
      <c r="D439" s="7">
        <v>81327</v>
      </c>
      <c r="E439" s="8">
        <v>4.8999999999999998E-3</v>
      </c>
      <c r="F439" s="6"/>
    </row>
    <row r="440" spans="1:6" ht="19">
      <c r="A440" s="6">
        <v>437</v>
      </c>
      <c r="B440" s="1" t="s">
        <v>6539</v>
      </c>
      <c r="C440" s="7">
        <v>81654</v>
      </c>
      <c r="D440" s="7">
        <v>82128</v>
      </c>
      <c r="E440" s="9" t="s">
        <v>6420</v>
      </c>
      <c r="F440" s="6"/>
    </row>
    <row r="441" spans="1:6" ht="19">
      <c r="A441" s="6">
        <v>438</v>
      </c>
      <c r="B441" s="1" t="s">
        <v>6540</v>
      </c>
      <c r="C441" s="7">
        <v>81519</v>
      </c>
      <c r="D441" s="7">
        <v>77917</v>
      </c>
      <c r="E441" s="8">
        <v>4.6199999999999998E-2</v>
      </c>
      <c r="F441" s="1" t="s">
        <v>6125</v>
      </c>
    </row>
    <row r="442" spans="1:6" ht="19">
      <c r="A442" s="6">
        <v>439</v>
      </c>
      <c r="B442" s="1" t="s">
        <v>6541</v>
      </c>
      <c r="C442" s="7">
        <v>81184</v>
      </c>
      <c r="D442" s="7">
        <v>81642</v>
      </c>
      <c r="E442" s="9" t="s">
        <v>6542</v>
      </c>
      <c r="F442" s="1" t="s">
        <v>6292</v>
      </c>
    </row>
    <row r="443" spans="1:6" ht="19">
      <c r="A443" s="6">
        <v>440</v>
      </c>
      <c r="B443" s="1" t="s">
        <v>6543</v>
      </c>
      <c r="C443" s="7">
        <v>80727</v>
      </c>
      <c r="D443" s="7">
        <v>81625</v>
      </c>
      <c r="E443" s="9" t="s">
        <v>6544</v>
      </c>
      <c r="F443" s="6"/>
    </row>
    <row r="444" spans="1:6" ht="19">
      <c r="A444" s="6">
        <v>441</v>
      </c>
      <c r="B444" s="1" t="s">
        <v>6545</v>
      </c>
      <c r="C444" s="7">
        <v>80671</v>
      </c>
      <c r="D444" s="7">
        <v>81442</v>
      </c>
      <c r="E444" s="9" t="s">
        <v>6546</v>
      </c>
      <c r="F444" s="6"/>
    </row>
    <row r="445" spans="1:6" ht="19">
      <c r="A445" s="6">
        <v>442</v>
      </c>
      <c r="B445" s="1" t="s">
        <v>6547</v>
      </c>
      <c r="C445" s="7">
        <v>80440</v>
      </c>
      <c r="D445" s="7">
        <v>80406</v>
      </c>
      <c r="E445" s="8">
        <v>4.0000000000000002E-4</v>
      </c>
      <c r="F445" s="1" t="s">
        <v>5965</v>
      </c>
    </row>
    <row r="446" spans="1:6" ht="19">
      <c r="A446" s="6">
        <v>443</v>
      </c>
      <c r="B446" s="1" t="s">
        <v>6548</v>
      </c>
      <c r="C446" s="7">
        <v>79552</v>
      </c>
      <c r="D446" s="7">
        <v>80026</v>
      </c>
      <c r="E446" s="9" t="s">
        <v>6549</v>
      </c>
      <c r="F446" s="1" t="s">
        <v>6020</v>
      </c>
    </row>
    <row r="447" spans="1:6" ht="19">
      <c r="A447" s="6">
        <v>444</v>
      </c>
      <c r="B447" s="1" t="s">
        <v>6550</v>
      </c>
      <c r="C447" s="7">
        <v>79458</v>
      </c>
      <c r="D447" s="7">
        <v>80317</v>
      </c>
      <c r="E447" s="9" t="s">
        <v>6551</v>
      </c>
      <c r="F447" s="1" t="s">
        <v>6552</v>
      </c>
    </row>
    <row r="448" spans="1:6" ht="19">
      <c r="A448" s="6">
        <v>445</v>
      </c>
      <c r="B448" s="1" t="s">
        <v>6553</v>
      </c>
      <c r="C448" s="7">
        <v>79177</v>
      </c>
      <c r="D448" s="7">
        <v>78506</v>
      </c>
      <c r="E448" s="8">
        <v>8.5000000000000006E-3</v>
      </c>
      <c r="F448" s="1" t="s">
        <v>5906</v>
      </c>
    </row>
    <row r="449" spans="1:6" ht="19">
      <c r="A449" s="6">
        <v>446</v>
      </c>
      <c r="B449" s="1" t="s">
        <v>6554</v>
      </c>
      <c r="C449" s="7">
        <v>79129</v>
      </c>
      <c r="D449" s="7">
        <v>76794</v>
      </c>
      <c r="E449" s="8">
        <v>3.04E-2</v>
      </c>
      <c r="F449" s="1" t="s">
        <v>5939</v>
      </c>
    </row>
    <row r="450" spans="1:6" ht="19">
      <c r="A450" s="6">
        <v>447</v>
      </c>
      <c r="B450" s="1" t="s">
        <v>6555</v>
      </c>
      <c r="C450" s="7">
        <v>79094</v>
      </c>
      <c r="D450" s="7">
        <v>78532</v>
      </c>
      <c r="E450" s="8">
        <v>7.1999999999999998E-3</v>
      </c>
      <c r="F450" s="1" t="s">
        <v>5885</v>
      </c>
    </row>
    <row r="451" spans="1:6" ht="19">
      <c r="A451" s="6">
        <v>448</v>
      </c>
      <c r="B451" s="1" t="s">
        <v>6556</v>
      </c>
      <c r="C451" s="7">
        <v>78621</v>
      </c>
      <c r="D451" s="7">
        <v>75450</v>
      </c>
      <c r="E451" s="8">
        <v>4.2000000000000003E-2</v>
      </c>
      <c r="F451" s="6"/>
    </row>
    <row r="452" spans="1:6" ht="19">
      <c r="A452" s="6">
        <v>449</v>
      </c>
      <c r="B452" s="1" t="s">
        <v>6557</v>
      </c>
      <c r="C452" s="7">
        <v>78493</v>
      </c>
      <c r="D452" s="7">
        <v>77076</v>
      </c>
      <c r="E452" s="8">
        <v>1.84E-2</v>
      </c>
      <c r="F452" s="1" t="s">
        <v>6012</v>
      </c>
    </row>
    <row r="453" spans="1:6" ht="19">
      <c r="A453" s="6">
        <v>450</v>
      </c>
      <c r="B453" s="1" t="s">
        <v>6558</v>
      </c>
      <c r="C453" s="7">
        <v>78477</v>
      </c>
      <c r="D453" s="7">
        <v>79499</v>
      </c>
      <c r="E453" s="9" t="s">
        <v>6449</v>
      </c>
      <c r="F453" s="1" t="s">
        <v>6120</v>
      </c>
    </row>
    <row r="454" spans="1:6" ht="19">
      <c r="A454" s="6">
        <v>451</v>
      </c>
      <c r="B454" s="1" t="s">
        <v>6559</v>
      </c>
      <c r="C454" s="7">
        <v>78399</v>
      </c>
      <c r="D454" s="7">
        <v>77350</v>
      </c>
      <c r="E454" s="8">
        <v>1.3599999999999999E-2</v>
      </c>
      <c r="F454" s="6"/>
    </row>
    <row r="455" spans="1:6" ht="19">
      <c r="A455" s="6">
        <v>452</v>
      </c>
      <c r="B455" s="1" t="s">
        <v>6560</v>
      </c>
      <c r="C455" s="7">
        <v>77609</v>
      </c>
      <c r="D455" s="7">
        <v>77358</v>
      </c>
      <c r="E455" s="8">
        <v>3.2000000000000002E-3</v>
      </c>
      <c r="F455" s="6"/>
    </row>
    <row r="456" spans="1:6" ht="19">
      <c r="A456" s="6">
        <v>453</v>
      </c>
      <c r="B456" s="1" t="s">
        <v>6561</v>
      </c>
      <c r="C456" s="7">
        <v>77429</v>
      </c>
      <c r="D456" s="7">
        <v>78064</v>
      </c>
      <c r="E456" s="9" t="s">
        <v>6343</v>
      </c>
      <c r="F456" s="1" t="s">
        <v>5937</v>
      </c>
    </row>
    <row r="457" spans="1:6" ht="19">
      <c r="A457" s="6">
        <v>454</v>
      </c>
      <c r="B457" s="1" t="s">
        <v>6562</v>
      </c>
      <c r="C457" s="7">
        <v>77371</v>
      </c>
      <c r="D457" s="7">
        <v>77314</v>
      </c>
      <c r="E457" s="8">
        <v>6.9999999999999999E-4</v>
      </c>
      <c r="F457" s="1" t="s">
        <v>6563</v>
      </c>
    </row>
    <row r="458" spans="1:6" ht="19">
      <c r="A458" s="6">
        <v>455</v>
      </c>
      <c r="B458" s="1" t="s">
        <v>6564</v>
      </c>
      <c r="C458" s="7">
        <v>76957</v>
      </c>
      <c r="D458" s="7">
        <v>77742</v>
      </c>
      <c r="E458" s="9" t="s">
        <v>6358</v>
      </c>
      <c r="F458" s="1" t="s">
        <v>6334</v>
      </c>
    </row>
    <row r="459" spans="1:6" ht="19">
      <c r="A459" s="6">
        <v>456</v>
      </c>
      <c r="B459" s="1" t="s">
        <v>6565</v>
      </c>
      <c r="C459" s="7">
        <v>76851</v>
      </c>
      <c r="D459" s="7">
        <v>77117</v>
      </c>
      <c r="E459" s="9" t="s">
        <v>6566</v>
      </c>
      <c r="F459" s="6"/>
    </row>
    <row r="460" spans="1:6" ht="19">
      <c r="A460" s="6">
        <v>457</v>
      </c>
      <c r="B460" s="1" t="s">
        <v>6567</v>
      </c>
      <c r="C460" s="7">
        <v>76398</v>
      </c>
      <c r="D460" s="7">
        <v>77079</v>
      </c>
      <c r="E460" s="9" t="s">
        <v>6568</v>
      </c>
      <c r="F460" s="1" t="s">
        <v>5931</v>
      </c>
    </row>
    <row r="461" spans="1:6" ht="19">
      <c r="A461" s="6">
        <v>458</v>
      </c>
      <c r="B461" s="1" t="s">
        <v>6569</v>
      </c>
      <c r="C461" s="7">
        <v>76277</v>
      </c>
      <c r="D461" s="7">
        <v>74801</v>
      </c>
      <c r="E461" s="8">
        <v>1.9699999999999999E-2</v>
      </c>
      <c r="F461" s="6"/>
    </row>
    <row r="462" spans="1:6" ht="19">
      <c r="A462" s="6">
        <v>459</v>
      </c>
      <c r="B462" s="1" t="s">
        <v>6570</v>
      </c>
      <c r="C462" s="7">
        <v>75671</v>
      </c>
      <c r="D462" s="7">
        <v>74782</v>
      </c>
      <c r="E462" s="8">
        <v>1.1900000000000001E-2</v>
      </c>
      <c r="F462" s="1" t="s">
        <v>6571</v>
      </c>
    </row>
    <row r="463" spans="1:6" ht="19">
      <c r="A463" s="6">
        <v>460</v>
      </c>
      <c r="B463" s="1" t="s">
        <v>6572</v>
      </c>
      <c r="C463" s="7">
        <v>75621</v>
      </c>
      <c r="D463" s="7">
        <v>75455</v>
      </c>
      <c r="E463" s="8">
        <v>2.2000000000000001E-3</v>
      </c>
      <c r="F463" s="1" t="s">
        <v>5906</v>
      </c>
    </row>
    <row r="464" spans="1:6" ht="19">
      <c r="A464" s="6">
        <v>461</v>
      </c>
      <c r="B464" s="1" t="s">
        <v>6573</v>
      </c>
      <c r="C464" s="7">
        <v>75434</v>
      </c>
      <c r="D464" s="7">
        <v>76790</v>
      </c>
      <c r="E464" s="9" t="s">
        <v>6574</v>
      </c>
      <c r="F464" s="1" t="s">
        <v>6301</v>
      </c>
    </row>
    <row r="465" spans="1:6" ht="19">
      <c r="A465" s="6">
        <v>462</v>
      </c>
      <c r="B465" s="1" t="s">
        <v>6575</v>
      </c>
      <c r="C465" s="7">
        <v>74809</v>
      </c>
      <c r="D465" s="7">
        <v>73090</v>
      </c>
      <c r="E465" s="8">
        <v>2.35E-2</v>
      </c>
      <c r="F465" s="6"/>
    </row>
    <row r="466" spans="1:6" ht="19">
      <c r="A466" s="6">
        <v>463</v>
      </c>
      <c r="B466" s="1" t="s">
        <v>6576</v>
      </c>
      <c r="C466" s="7">
        <v>74627</v>
      </c>
      <c r="D466" s="7">
        <v>74273</v>
      </c>
      <c r="E466" s="8">
        <v>4.7999999999999996E-3</v>
      </c>
      <c r="F466" s="1" t="s">
        <v>5995</v>
      </c>
    </row>
    <row r="467" spans="1:6" ht="19">
      <c r="A467" s="6">
        <v>464</v>
      </c>
      <c r="B467" s="1" t="s">
        <v>6577</v>
      </c>
      <c r="C467" s="7">
        <v>74424</v>
      </c>
      <c r="D467" s="7">
        <v>74749</v>
      </c>
      <c r="E467" s="9" t="s">
        <v>6406</v>
      </c>
      <c r="F467" s="1" t="s">
        <v>6354</v>
      </c>
    </row>
    <row r="468" spans="1:6" ht="19">
      <c r="A468" s="6">
        <v>465</v>
      </c>
      <c r="B468" s="1" t="s">
        <v>6578</v>
      </c>
      <c r="C468" s="7">
        <v>74216</v>
      </c>
      <c r="D468" s="7">
        <v>73537</v>
      </c>
      <c r="E468" s="8">
        <v>9.1999999999999998E-3</v>
      </c>
      <c r="F468" s="1" t="s">
        <v>6579</v>
      </c>
    </row>
    <row r="469" spans="1:6" ht="19">
      <c r="A469" s="6">
        <v>466</v>
      </c>
      <c r="B469" s="1" t="s">
        <v>6580</v>
      </c>
      <c r="C469" s="7">
        <v>73561</v>
      </c>
      <c r="D469" s="7">
        <v>73673</v>
      </c>
      <c r="E469" s="9" t="s">
        <v>6486</v>
      </c>
      <c r="F469" s="1" t="s">
        <v>6008</v>
      </c>
    </row>
    <row r="470" spans="1:6" ht="19">
      <c r="A470" s="6">
        <v>467</v>
      </c>
      <c r="B470" s="1" t="s">
        <v>6581</v>
      </c>
      <c r="C470" s="7">
        <v>73263</v>
      </c>
      <c r="D470" s="7">
        <v>74364</v>
      </c>
      <c r="E470" s="9" t="s">
        <v>6582</v>
      </c>
      <c r="F470" s="1" t="s">
        <v>5950</v>
      </c>
    </row>
    <row r="471" spans="1:6" ht="19">
      <c r="A471" s="6">
        <v>468</v>
      </c>
      <c r="B471" s="1" t="s">
        <v>6583</v>
      </c>
      <c r="C471" s="7">
        <v>73146</v>
      </c>
      <c r="D471" s="7">
        <v>69540</v>
      </c>
      <c r="E471" s="8">
        <v>5.1900000000000002E-2</v>
      </c>
      <c r="F471" s="6"/>
    </row>
    <row r="472" spans="1:6" ht="19">
      <c r="A472" s="6">
        <v>469</v>
      </c>
      <c r="B472" s="1" t="s">
        <v>6584</v>
      </c>
      <c r="C472" s="7">
        <v>73016</v>
      </c>
      <c r="D472" s="7">
        <v>71492</v>
      </c>
      <c r="E472" s="8">
        <v>2.1299999999999999E-2</v>
      </c>
      <c r="F472" s="6"/>
    </row>
    <row r="473" spans="1:6" ht="19">
      <c r="A473" s="6">
        <v>470</v>
      </c>
      <c r="B473" s="1" t="s">
        <v>6585</v>
      </c>
      <c r="C473" s="7">
        <v>72694</v>
      </c>
      <c r="D473" s="7">
        <v>70217</v>
      </c>
      <c r="E473" s="8">
        <v>3.5299999999999998E-2</v>
      </c>
      <c r="F473" s="1" t="s">
        <v>6125</v>
      </c>
    </row>
    <row r="474" spans="1:6" ht="19">
      <c r="A474" s="6">
        <v>471</v>
      </c>
      <c r="B474" s="1" t="s">
        <v>6586</v>
      </c>
      <c r="C474" s="7">
        <v>71863</v>
      </c>
      <c r="D474" s="7">
        <v>71404</v>
      </c>
      <c r="E474" s="8">
        <v>6.4000000000000003E-3</v>
      </c>
      <c r="F474" s="6"/>
    </row>
    <row r="475" spans="1:6" ht="19">
      <c r="A475" s="6">
        <v>472</v>
      </c>
      <c r="B475" s="1" t="s">
        <v>6587</v>
      </c>
      <c r="C475" s="7">
        <v>71692</v>
      </c>
      <c r="D475" s="7">
        <v>72797</v>
      </c>
      <c r="E475" s="9" t="s">
        <v>6588</v>
      </c>
      <c r="F475" s="6"/>
    </row>
    <row r="476" spans="1:6" ht="19">
      <c r="A476" s="6">
        <v>473</v>
      </c>
      <c r="B476" s="1" t="s">
        <v>6589</v>
      </c>
      <c r="C476" s="7">
        <v>71540</v>
      </c>
      <c r="D476" s="7">
        <v>71372</v>
      </c>
      <c r="E476" s="8">
        <v>2.3999999999999998E-3</v>
      </c>
      <c r="F476" s="1" t="s">
        <v>6029</v>
      </c>
    </row>
    <row r="477" spans="1:6" ht="19">
      <c r="A477" s="6">
        <v>474</v>
      </c>
      <c r="B477" s="1" t="s">
        <v>6590</v>
      </c>
      <c r="C477" s="7">
        <v>71532</v>
      </c>
      <c r="D477" s="7">
        <v>70706</v>
      </c>
      <c r="E477" s="8">
        <v>1.17E-2</v>
      </c>
      <c r="F477" s="1" t="s">
        <v>6063</v>
      </c>
    </row>
    <row r="478" spans="1:6" ht="19">
      <c r="A478" s="6">
        <v>475</v>
      </c>
      <c r="B478" s="1" t="s">
        <v>6591</v>
      </c>
      <c r="C478" s="7">
        <v>70760</v>
      </c>
      <c r="D478" s="7">
        <v>69442</v>
      </c>
      <c r="E478" s="8">
        <v>1.9E-2</v>
      </c>
      <c r="F478" s="1" t="s">
        <v>5954</v>
      </c>
    </row>
    <row r="479" spans="1:6" ht="19">
      <c r="A479" s="6">
        <v>476</v>
      </c>
      <c r="B479" s="1" t="s">
        <v>6592</v>
      </c>
      <c r="C479" s="7">
        <v>70617</v>
      </c>
      <c r="D479" s="7">
        <v>70311</v>
      </c>
      <c r="E479" s="8">
        <v>4.4000000000000003E-3</v>
      </c>
      <c r="F479" s="1" t="s">
        <v>6593</v>
      </c>
    </row>
    <row r="480" spans="1:6" ht="19">
      <c r="A480" s="6">
        <v>477</v>
      </c>
      <c r="B480" s="1" t="s">
        <v>6594</v>
      </c>
      <c r="C480" s="7">
        <v>70596</v>
      </c>
      <c r="D480" s="7">
        <v>70990</v>
      </c>
      <c r="E480" s="9" t="s">
        <v>6542</v>
      </c>
      <c r="F480" s="1" t="s">
        <v>5979</v>
      </c>
    </row>
    <row r="481" spans="1:6" ht="19">
      <c r="A481" s="6">
        <v>478</v>
      </c>
      <c r="B481" s="1" t="s">
        <v>6595</v>
      </c>
      <c r="C481" s="7">
        <v>70433</v>
      </c>
      <c r="D481" s="7">
        <v>70019</v>
      </c>
      <c r="E481" s="8">
        <v>5.8999999999999999E-3</v>
      </c>
      <c r="F481" s="1" t="s">
        <v>6354</v>
      </c>
    </row>
    <row r="482" spans="1:6" ht="19">
      <c r="A482" s="6">
        <v>479</v>
      </c>
      <c r="B482" s="1" t="s">
        <v>6596</v>
      </c>
      <c r="C482" s="7">
        <v>69330</v>
      </c>
      <c r="D482" s="7">
        <v>70061</v>
      </c>
      <c r="E482" s="9" t="s">
        <v>6597</v>
      </c>
      <c r="F482" s="6"/>
    </row>
    <row r="483" spans="1:6" ht="19">
      <c r="A483" s="6">
        <v>480</v>
      </c>
      <c r="B483" s="1" t="s">
        <v>6598</v>
      </c>
      <c r="C483" s="7">
        <v>69306</v>
      </c>
      <c r="D483" s="7">
        <v>69340</v>
      </c>
      <c r="E483" s="9" t="s">
        <v>6599</v>
      </c>
      <c r="F483" s="6"/>
    </row>
    <row r="484" spans="1:6" ht="19">
      <c r="A484" s="6">
        <v>481</v>
      </c>
      <c r="B484" s="1" t="s">
        <v>6600</v>
      </c>
      <c r="C484" s="7">
        <v>69232</v>
      </c>
      <c r="D484" s="7">
        <v>70648</v>
      </c>
      <c r="E484" s="9" t="s">
        <v>6601</v>
      </c>
      <c r="F484" s="1" t="s">
        <v>6068</v>
      </c>
    </row>
    <row r="485" spans="1:6" ht="19">
      <c r="A485" s="6">
        <v>482</v>
      </c>
      <c r="B485" s="1" t="s">
        <v>6602</v>
      </c>
      <c r="C485" s="7">
        <v>68819</v>
      </c>
      <c r="D485" s="7">
        <v>68831</v>
      </c>
      <c r="E485" s="9" t="s">
        <v>6603</v>
      </c>
      <c r="F485" s="6"/>
    </row>
    <row r="486" spans="1:6" ht="19">
      <c r="A486" s="6">
        <v>483</v>
      </c>
      <c r="B486" s="1" t="s">
        <v>6604</v>
      </c>
      <c r="C486" s="7">
        <v>68468</v>
      </c>
      <c r="D486" s="7">
        <v>67044</v>
      </c>
      <c r="E486" s="8">
        <v>2.12E-2</v>
      </c>
      <c r="F486" s="1" t="s">
        <v>5895</v>
      </c>
    </row>
    <row r="487" spans="1:6" ht="19">
      <c r="A487" s="6">
        <v>484</v>
      </c>
      <c r="B487" s="1" t="s">
        <v>6605</v>
      </c>
      <c r="C487" s="7">
        <v>68434</v>
      </c>
      <c r="D487" s="7">
        <v>67091</v>
      </c>
      <c r="E487" s="8">
        <v>0.02</v>
      </c>
      <c r="F487" s="6"/>
    </row>
    <row r="488" spans="1:6" ht="19">
      <c r="A488" s="6">
        <v>485</v>
      </c>
      <c r="B488" s="1" t="s">
        <v>6606</v>
      </c>
      <c r="C488" s="7">
        <v>68346</v>
      </c>
      <c r="D488" s="7">
        <v>68917</v>
      </c>
      <c r="E488" s="9" t="s">
        <v>6319</v>
      </c>
      <c r="F488" s="1" t="s">
        <v>6607</v>
      </c>
    </row>
    <row r="489" spans="1:6" ht="19">
      <c r="A489" s="6">
        <v>486</v>
      </c>
      <c r="B489" s="1" t="s">
        <v>6608</v>
      </c>
      <c r="C489" s="7">
        <v>67966</v>
      </c>
      <c r="D489" s="7">
        <v>67531</v>
      </c>
      <c r="E489" s="8">
        <v>6.4000000000000003E-3</v>
      </c>
      <c r="F489" s="1" t="s">
        <v>6166</v>
      </c>
    </row>
    <row r="490" spans="1:6" ht="19">
      <c r="A490" s="6">
        <v>487</v>
      </c>
      <c r="B490" s="1" t="s">
        <v>6609</v>
      </c>
      <c r="C490" s="7">
        <v>67906</v>
      </c>
      <c r="D490" s="7">
        <v>67077</v>
      </c>
      <c r="E490" s="8">
        <v>1.24E-2</v>
      </c>
      <c r="F490" s="6"/>
    </row>
    <row r="491" spans="1:6" ht="19">
      <c r="A491" s="6">
        <v>488</v>
      </c>
      <c r="B491" s="1" t="s">
        <v>6610</v>
      </c>
      <c r="C491" s="7">
        <v>67632</v>
      </c>
      <c r="D491" s="7">
        <v>66469</v>
      </c>
      <c r="E491" s="8">
        <v>1.7500000000000002E-2</v>
      </c>
      <c r="F491" s="1" t="s">
        <v>6373</v>
      </c>
    </row>
    <row r="492" spans="1:6" ht="19">
      <c r="A492" s="6">
        <v>489</v>
      </c>
      <c r="B492" s="1" t="s">
        <v>6611</v>
      </c>
      <c r="C492" s="7">
        <v>67450</v>
      </c>
      <c r="D492" s="7">
        <v>65631</v>
      </c>
      <c r="E492" s="8">
        <v>2.7699999999999999E-2</v>
      </c>
      <c r="F492" s="1" t="s">
        <v>6200</v>
      </c>
    </row>
    <row r="493" spans="1:6" ht="19">
      <c r="A493" s="6">
        <v>490</v>
      </c>
      <c r="B493" s="1" t="s">
        <v>6612</v>
      </c>
      <c r="C493" s="7">
        <v>67323</v>
      </c>
      <c r="D493" s="7">
        <v>67810</v>
      </c>
      <c r="E493" s="9" t="s">
        <v>6613</v>
      </c>
      <c r="F493" s="6"/>
    </row>
    <row r="494" spans="1:6" ht="19">
      <c r="A494" s="6">
        <v>491</v>
      </c>
      <c r="B494" s="1" t="s">
        <v>6614</v>
      </c>
      <c r="C494" s="7">
        <v>66702</v>
      </c>
      <c r="D494" s="7">
        <v>67972</v>
      </c>
      <c r="E494" s="9" t="s">
        <v>6615</v>
      </c>
      <c r="F494" s="6"/>
    </row>
    <row r="495" spans="1:6" ht="19">
      <c r="A495" s="6">
        <v>492</v>
      </c>
      <c r="B495" s="1" t="s">
        <v>6616</v>
      </c>
      <c r="C495" s="7">
        <v>66338</v>
      </c>
      <c r="D495" s="7">
        <v>64727</v>
      </c>
      <c r="E495" s="8">
        <v>2.4899999999999999E-2</v>
      </c>
      <c r="F495" s="6"/>
    </row>
    <row r="496" spans="1:6" ht="19">
      <c r="A496" s="6">
        <v>493</v>
      </c>
      <c r="B496" s="1" t="s">
        <v>6617</v>
      </c>
      <c r="C496" s="7">
        <v>66238</v>
      </c>
      <c r="D496" s="7">
        <v>66501</v>
      </c>
      <c r="E496" s="9" t="s">
        <v>6447</v>
      </c>
      <c r="F496" s="1" t="s">
        <v>5937</v>
      </c>
    </row>
    <row r="497" spans="1:6" ht="19">
      <c r="A497" s="6">
        <v>494</v>
      </c>
      <c r="B497" s="1" t="s">
        <v>6618</v>
      </c>
      <c r="C497" s="7">
        <v>66041</v>
      </c>
      <c r="D497" s="7">
        <v>63797</v>
      </c>
      <c r="E497" s="8">
        <v>3.5200000000000002E-2</v>
      </c>
      <c r="F497" s="6"/>
    </row>
    <row r="498" spans="1:6" ht="19">
      <c r="A498" s="6">
        <v>495</v>
      </c>
      <c r="B498" s="1" t="s">
        <v>6619</v>
      </c>
      <c r="C498" s="7">
        <v>66034</v>
      </c>
      <c r="D498" s="7">
        <v>64524</v>
      </c>
      <c r="E498" s="8">
        <v>2.3400000000000001E-2</v>
      </c>
      <c r="F498" s="6"/>
    </row>
    <row r="499" spans="1:6" ht="19">
      <c r="A499" s="6">
        <v>496</v>
      </c>
      <c r="B499" s="1" t="s">
        <v>6620</v>
      </c>
      <c r="C499" s="7">
        <v>65917</v>
      </c>
      <c r="D499" s="7">
        <v>65359</v>
      </c>
      <c r="E499" s="8">
        <v>8.5000000000000006E-3</v>
      </c>
      <c r="F499" s="1" t="s">
        <v>5912</v>
      </c>
    </row>
    <row r="500" spans="1:6" ht="19">
      <c r="A500" s="6">
        <v>497</v>
      </c>
      <c r="B500" s="1" t="s">
        <v>6621</v>
      </c>
      <c r="C500" s="7">
        <v>65912</v>
      </c>
      <c r="D500" s="7">
        <v>66380</v>
      </c>
      <c r="E500" s="9" t="s">
        <v>6437</v>
      </c>
      <c r="F500" s="6"/>
    </row>
    <row r="501" spans="1:6" ht="19">
      <c r="A501" s="6">
        <v>498</v>
      </c>
      <c r="B501" s="1" t="s">
        <v>6622</v>
      </c>
      <c r="C501" s="7">
        <v>65784</v>
      </c>
      <c r="D501" s="7">
        <v>65645</v>
      </c>
      <c r="E501" s="8">
        <v>2.0999999999999999E-3</v>
      </c>
      <c r="F501" s="6"/>
    </row>
    <row r="502" spans="1:6" ht="19">
      <c r="A502" s="6">
        <v>499</v>
      </c>
      <c r="B502" s="1" t="s">
        <v>6623</v>
      </c>
      <c r="C502" s="7">
        <v>65378</v>
      </c>
      <c r="D502" s="7">
        <v>65778</v>
      </c>
      <c r="E502" s="9" t="s">
        <v>6263</v>
      </c>
      <c r="F502" s="6"/>
    </row>
    <row r="503" spans="1:6" ht="19">
      <c r="A503" s="6">
        <v>500</v>
      </c>
      <c r="B503" s="1" t="s">
        <v>6624</v>
      </c>
      <c r="C503" s="7">
        <v>64854</v>
      </c>
      <c r="D503" s="7">
        <v>64142</v>
      </c>
      <c r="E503" s="8">
        <v>1.11E-2</v>
      </c>
      <c r="F503" s="1" t="s">
        <v>5908</v>
      </c>
    </row>
    <row r="504" spans="1:6" ht="19">
      <c r="A504" s="6">
        <v>501</v>
      </c>
      <c r="B504" s="1" t="s">
        <v>6625</v>
      </c>
      <c r="C504" s="7">
        <v>64623</v>
      </c>
      <c r="D504" s="7">
        <v>64921</v>
      </c>
      <c r="E504" s="9" t="s">
        <v>6626</v>
      </c>
      <c r="F504" s="6"/>
    </row>
    <row r="505" spans="1:6" ht="19">
      <c r="A505" s="6">
        <v>502</v>
      </c>
      <c r="B505" s="1" t="s">
        <v>6627</v>
      </c>
      <c r="C505" s="7">
        <v>64438</v>
      </c>
      <c r="D505" s="7">
        <v>64511</v>
      </c>
      <c r="E505" s="9" t="s">
        <v>5967</v>
      </c>
      <c r="F505" s="6"/>
    </row>
    <row r="506" spans="1:6" ht="19">
      <c r="A506" s="6">
        <v>503</v>
      </c>
      <c r="B506" s="1" t="s">
        <v>6628</v>
      </c>
      <c r="C506" s="7">
        <v>64304</v>
      </c>
      <c r="D506" s="7">
        <v>64757</v>
      </c>
      <c r="E506" s="9" t="s">
        <v>6629</v>
      </c>
      <c r="F506" s="6"/>
    </row>
    <row r="507" spans="1:6" ht="19">
      <c r="A507" s="6">
        <v>504</v>
      </c>
      <c r="B507" s="1" t="s">
        <v>6630</v>
      </c>
      <c r="C507" s="7">
        <v>64244</v>
      </c>
      <c r="D507" s="7">
        <v>64094</v>
      </c>
      <c r="E507" s="8">
        <v>2.3E-3</v>
      </c>
      <c r="F507" s="1" t="s">
        <v>5945</v>
      </c>
    </row>
    <row r="508" spans="1:6" ht="19">
      <c r="A508" s="6">
        <v>505</v>
      </c>
      <c r="B508" s="1" t="s">
        <v>6631</v>
      </c>
      <c r="C508" s="7">
        <v>63983</v>
      </c>
      <c r="D508" s="7">
        <v>64665</v>
      </c>
      <c r="E508" s="9" t="s">
        <v>6632</v>
      </c>
      <c r="F508" s="6"/>
    </row>
    <row r="509" spans="1:6" ht="19">
      <c r="A509" s="6">
        <v>506</v>
      </c>
      <c r="B509" s="1" t="s">
        <v>6633</v>
      </c>
      <c r="C509" s="7">
        <v>63941</v>
      </c>
      <c r="D509" s="7">
        <v>63905</v>
      </c>
      <c r="E509" s="8">
        <v>5.9999999999999995E-4</v>
      </c>
      <c r="F509" s="1" t="s">
        <v>5974</v>
      </c>
    </row>
    <row r="510" spans="1:6" ht="19">
      <c r="A510" s="6">
        <v>507</v>
      </c>
      <c r="B510" s="1" t="s">
        <v>6634</v>
      </c>
      <c r="C510" s="7">
        <v>63593</v>
      </c>
      <c r="D510" s="7">
        <v>63063</v>
      </c>
      <c r="E510" s="8">
        <v>8.3999999999999995E-3</v>
      </c>
      <c r="F510" s="6"/>
    </row>
    <row r="511" spans="1:6" ht="19">
      <c r="A511" s="6">
        <v>508</v>
      </c>
      <c r="B511" s="1" t="s">
        <v>6635</v>
      </c>
      <c r="C511" s="7">
        <v>63406</v>
      </c>
      <c r="D511" s="7">
        <v>63463</v>
      </c>
      <c r="E511" s="9" t="s">
        <v>6424</v>
      </c>
      <c r="F511" s="1" t="s">
        <v>6248</v>
      </c>
    </row>
    <row r="512" spans="1:6" ht="19">
      <c r="A512" s="6">
        <v>509</v>
      </c>
      <c r="B512" s="1" t="s">
        <v>6636</v>
      </c>
      <c r="C512" s="7">
        <v>63399</v>
      </c>
      <c r="D512" s="7">
        <v>62859</v>
      </c>
      <c r="E512" s="8">
        <v>8.6E-3</v>
      </c>
      <c r="F512" s="6"/>
    </row>
    <row r="513" spans="1:6" ht="19">
      <c r="A513" s="6">
        <v>510</v>
      </c>
      <c r="B513" s="1" t="s">
        <v>6637</v>
      </c>
      <c r="C513" s="7">
        <v>62792</v>
      </c>
      <c r="D513" s="7">
        <v>62622</v>
      </c>
      <c r="E513" s="8">
        <v>2.7000000000000001E-3</v>
      </c>
      <c r="F513" s="6"/>
    </row>
    <row r="514" spans="1:6" ht="19">
      <c r="A514" s="6">
        <v>511</v>
      </c>
      <c r="B514" s="1" t="s">
        <v>6638</v>
      </c>
      <c r="C514" s="7">
        <v>62597</v>
      </c>
      <c r="D514" s="7">
        <v>61976</v>
      </c>
      <c r="E514" s="8">
        <v>0.01</v>
      </c>
      <c r="F514" s="1" t="s">
        <v>6031</v>
      </c>
    </row>
    <row r="515" spans="1:6" ht="19">
      <c r="A515" s="6">
        <v>512</v>
      </c>
      <c r="B515" s="1" t="s">
        <v>6639</v>
      </c>
      <c r="C515" s="7">
        <v>62534</v>
      </c>
      <c r="D515" s="7">
        <v>63043</v>
      </c>
      <c r="E515" s="9" t="s">
        <v>6343</v>
      </c>
      <c r="F515" s="6"/>
    </row>
    <row r="516" spans="1:6" ht="19">
      <c r="A516" s="6">
        <v>513</v>
      </c>
      <c r="B516" s="1" t="s">
        <v>6640</v>
      </c>
      <c r="C516" s="7">
        <v>62499</v>
      </c>
      <c r="D516" s="7">
        <v>63096</v>
      </c>
      <c r="E516" s="9" t="s">
        <v>6546</v>
      </c>
      <c r="F516" s="1" t="s">
        <v>5989</v>
      </c>
    </row>
    <row r="517" spans="1:6" ht="19">
      <c r="A517" s="6">
        <v>514</v>
      </c>
      <c r="B517" s="1" t="s">
        <v>6641</v>
      </c>
      <c r="C517" s="7">
        <v>62060</v>
      </c>
      <c r="D517" s="7">
        <v>61697</v>
      </c>
      <c r="E517" s="8">
        <v>5.8999999999999999E-3</v>
      </c>
      <c r="F517" s="6"/>
    </row>
    <row r="518" spans="1:6" ht="19">
      <c r="A518" s="6">
        <v>515</v>
      </c>
      <c r="B518" s="1" t="s">
        <v>6642</v>
      </c>
      <c r="C518" s="7">
        <v>61709</v>
      </c>
      <c r="D518" s="7">
        <v>62259</v>
      </c>
      <c r="E518" s="9" t="s">
        <v>6568</v>
      </c>
      <c r="F518" s="6"/>
    </row>
    <row r="519" spans="1:6" ht="19">
      <c r="A519" s="6">
        <v>516</v>
      </c>
      <c r="B519" s="1" t="s">
        <v>6643</v>
      </c>
      <c r="C519" s="7">
        <v>61615</v>
      </c>
      <c r="D519" s="7">
        <v>60968</v>
      </c>
      <c r="E519" s="8">
        <v>1.06E-2</v>
      </c>
      <c r="F519" s="1" t="s">
        <v>6002</v>
      </c>
    </row>
    <row r="520" spans="1:6" ht="19">
      <c r="A520" s="6">
        <v>517</v>
      </c>
      <c r="B520" s="1" t="s">
        <v>6644</v>
      </c>
      <c r="C520" s="7">
        <v>61477</v>
      </c>
      <c r="D520" s="7">
        <v>62105</v>
      </c>
      <c r="E520" s="9" t="s">
        <v>6358</v>
      </c>
      <c r="F520" s="6"/>
    </row>
    <row r="521" spans="1:6" ht="19">
      <c r="A521" s="6">
        <v>518</v>
      </c>
      <c r="B521" s="1" t="s">
        <v>6645</v>
      </c>
      <c r="C521" s="7">
        <v>61475</v>
      </c>
      <c r="D521" s="7">
        <v>61778</v>
      </c>
      <c r="E521" s="9" t="s">
        <v>6195</v>
      </c>
      <c r="F521" s="1" t="s">
        <v>6498</v>
      </c>
    </row>
    <row r="522" spans="1:6" ht="19">
      <c r="A522" s="6">
        <v>519</v>
      </c>
      <c r="B522" s="1" t="s">
        <v>6646</v>
      </c>
      <c r="C522" s="7">
        <v>61419</v>
      </c>
      <c r="D522" s="7">
        <v>60888</v>
      </c>
      <c r="E522" s="8">
        <v>8.6999999999999994E-3</v>
      </c>
      <c r="F522" s="6"/>
    </row>
    <row r="523" spans="1:6" ht="19">
      <c r="A523" s="6">
        <v>520</v>
      </c>
      <c r="B523" s="1" t="s">
        <v>6647</v>
      </c>
      <c r="C523" s="7">
        <v>61189</v>
      </c>
      <c r="D523" s="7">
        <v>60580</v>
      </c>
      <c r="E523" s="8">
        <v>1.01E-2</v>
      </c>
      <c r="F523" s="6"/>
    </row>
    <row r="524" spans="1:6" ht="19">
      <c r="A524" s="6">
        <v>521</v>
      </c>
      <c r="B524" s="1" t="s">
        <v>6648</v>
      </c>
      <c r="C524" s="7">
        <v>60869</v>
      </c>
      <c r="D524" s="7">
        <v>61642</v>
      </c>
      <c r="E524" s="9" t="s">
        <v>6649</v>
      </c>
      <c r="F524" s="6"/>
    </row>
    <row r="525" spans="1:6" ht="19">
      <c r="A525" s="6">
        <v>522</v>
      </c>
      <c r="B525" s="1" t="s">
        <v>6650</v>
      </c>
      <c r="C525" s="7">
        <v>60832</v>
      </c>
      <c r="D525" s="7">
        <v>60699</v>
      </c>
      <c r="E525" s="8">
        <v>2.2000000000000001E-3</v>
      </c>
      <c r="F525" s="1" t="s">
        <v>5906</v>
      </c>
    </row>
    <row r="526" spans="1:6" ht="19">
      <c r="A526" s="6">
        <v>523</v>
      </c>
      <c r="B526" s="1" t="s">
        <v>6651</v>
      </c>
      <c r="C526" s="7">
        <v>60796</v>
      </c>
      <c r="D526" s="7">
        <v>61295</v>
      </c>
      <c r="E526" s="9" t="s">
        <v>6343</v>
      </c>
      <c r="F526" s="1" t="s">
        <v>6134</v>
      </c>
    </row>
    <row r="527" spans="1:6" ht="19">
      <c r="A527" s="6">
        <v>524</v>
      </c>
      <c r="B527" s="1" t="s">
        <v>6652</v>
      </c>
      <c r="C527" s="7">
        <v>60705</v>
      </c>
      <c r="D527" s="7">
        <v>60921</v>
      </c>
      <c r="E527" s="9" t="s">
        <v>6368</v>
      </c>
      <c r="F527" s="1" t="s">
        <v>5937</v>
      </c>
    </row>
    <row r="528" spans="1:6" ht="19">
      <c r="A528" s="6">
        <v>525</v>
      </c>
      <c r="B528" s="1" t="s">
        <v>6653</v>
      </c>
      <c r="C528" s="7">
        <v>60676</v>
      </c>
      <c r="D528" s="7">
        <v>61313</v>
      </c>
      <c r="E528" s="9" t="s">
        <v>6597</v>
      </c>
      <c r="F528" s="6"/>
    </row>
    <row r="529" spans="1:6" ht="19">
      <c r="A529" s="6">
        <v>526</v>
      </c>
      <c r="B529" s="1" t="s">
        <v>6654</v>
      </c>
      <c r="C529" s="7">
        <v>60576</v>
      </c>
      <c r="D529" s="7">
        <v>60585</v>
      </c>
      <c r="E529" s="9" t="s">
        <v>6379</v>
      </c>
      <c r="F529" s="1" t="s">
        <v>5919</v>
      </c>
    </row>
    <row r="530" spans="1:6" ht="19">
      <c r="A530" s="6">
        <v>527</v>
      </c>
      <c r="B530" s="1" t="s">
        <v>6655</v>
      </c>
      <c r="C530" s="7">
        <v>60571</v>
      </c>
      <c r="D530" s="7">
        <v>60485</v>
      </c>
      <c r="E530" s="8">
        <v>1.4E-3</v>
      </c>
      <c r="F530" s="1" t="s">
        <v>5895</v>
      </c>
    </row>
    <row r="531" spans="1:6" ht="19">
      <c r="A531" s="6">
        <v>528</v>
      </c>
      <c r="B531" s="1" t="s">
        <v>6656</v>
      </c>
      <c r="C531" s="7">
        <v>60510</v>
      </c>
      <c r="D531" s="7">
        <v>60944</v>
      </c>
      <c r="E531" s="9" t="s">
        <v>6437</v>
      </c>
      <c r="F531" s="6"/>
    </row>
    <row r="532" spans="1:6" ht="19">
      <c r="A532" s="6">
        <v>529</v>
      </c>
      <c r="B532" s="1" t="s">
        <v>6657</v>
      </c>
      <c r="C532" s="7">
        <v>60436</v>
      </c>
      <c r="D532" s="7">
        <v>59916</v>
      </c>
      <c r="E532" s="8">
        <v>8.6999999999999994E-3</v>
      </c>
      <c r="F532" s="1" t="s">
        <v>5963</v>
      </c>
    </row>
    <row r="533" spans="1:6" ht="19">
      <c r="A533" s="6">
        <v>530</v>
      </c>
      <c r="B533" s="1" t="s">
        <v>6658</v>
      </c>
      <c r="C533" s="7">
        <v>60327</v>
      </c>
      <c r="D533" s="7">
        <v>60088</v>
      </c>
      <c r="E533" s="8">
        <v>4.0000000000000001E-3</v>
      </c>
      <c r="F533" s="1" t="s">
        <v>5897</v>
      </c>
    </row>
    <row r="534" spans="1:6" ht="19">
      <c r="A534" s="6">
        <v>531</v>
      </c>
      <c r="B534" s="1" t="s">
        <v>6659</v>
      </c>
      <c r="C534" s="7">
        <v>60189</v>
      </c>
      <c r="D534" s="7">
        <v>60158</v>
      </c>
      <c r="E534" s="8">
        <v>5.0000000000000001E-4</v>
      </c>
      <c r="F534" s="1" t="s">
        <v>6104</v>
      </c>
    </row>
    <row r="535" spans="1:6" ht="19">
      <c r="A535" s="6">
        <v>532</v>
      </c>
      <c r="B535" s="1" t="s">
        <v>6660</v>
      </c>
      <c r="C535" s="7">
        <v>59977</v>
      </c>
      <c r="D535" s="7">
        <v>60079</v>
      </c>
      <c r="E535" s="9" t="s">
        <v>6149</v>
      </c>
      <c r="F535" s="1" t="s">
        <v>5972</v>
      </c>
    </row>
    <row r="536" spans="1:6" ht="19">
      <c r="A536" s="6">
        <v>533</v>
      </c>
      <c r="B536" s="1" t="s">
        <v>6661</v>
      </c>
      <c r="C536" s="7">
        <v>59715</v>
      </c>
      <c r="D536" s="7">
        <v>57866</v>
      </c>
      <c r="E536" s="8">
        <v>3.2000000000000001E-2</v>
      </c>
      <c r="F536" s="1" t="s">
        <v>5963</v>
      </c>
    </row>
    <row r="537" spans="1:6" ht="19">
      <c r="A537" s="6">
        <v>534</v>
      </c>
      <c r="B537" s="1" t="s">
        <v>6662</v>
      </c>
      <c r="C537" s="7">
        <v>59670</v>
      </c>
      <c r="D537" s="7">
        <v>59779</v>
      </c>
      <c r="E537" s="9" t="s">
        <v>6663</v>
      </c>
      <c r="F537" s="6"/>
    </row>
    <row r="538" spans="1:6" ht="19">
      <c r="A538" s="6">
        <v>535</v>
      </c>
      <c r="B538" s="1" t="s">
        <v>6664</v>
      </c>
      <c r="C538" s="7">
        <v>59465</v>
      </c>
      <c r="D538" s="7">
        <v>59534</v>
      </c>
      <c r="E538" s="9" t="s">
        <v>6665</v>
      </c>
      <c r="F538" s="6"/>
    </row>
    <row r="539" spans="1:6" ht="19">
      <c r="A539" s="6">
        <v>536</v>
      </c>
      <c r="B539" s="1" t="s">
        <v>6666</v>
      </c>
      <c r="C539" s="7">
        <v>59280</v>
      </c>
      <c r="D539" s="7">
        <v>59626</v>
      </c>
      <c r="E539" s="9" t="s">
        <v>6420</v>
      </c>
      <c r="F539" s="1" t="s">
        <v>5931</v>
      </c>
    </row>
    <row r="540" spans="1:6" ht="19">
      <c r="A540" s="6">
        <v>537</v>
      </c>
      <c r="B540" s="1" t="s">
        <v>6667</v>
      </c>
      <c r="C540" s="7">
        <v>59227</v>
      </c>
      <c r="D540" s="7">
        <v>59495</v>
      </c>
      <c r="E540" s="9" t="s">
        <v>6153</v>
      </c>
      <c r="F540" s="6"/>
    </row>
    <row r="541" spans="1:6" ht="19">
      <c r="A541" s="6">
        <v>538</v>
      </c>
      <c r="B541" s="1" t="s">
        <v>6668</v>
      </c>
      <c r="C541" s="7">
        <v>58190</v>
      </c>
      <c r="D541" s="7">
        <v>58458</v>
      </c>
      <c r="E541" s="9" t="s">
        <v>6626</v>
      </c>
      <c r="F541" s="6"/>
    </row>
    <row r="542" spans="1:6" ht="19">
      <c r="A542" s="6">
        <v>539</v>
      </c>
      <c r="B542" s="1" t="s">
        <v>6669</v>
      </c>
      <c r="C542" s="7">
        <v>57938</v>
      </c>
      <c r="D542" s="7">
        <v>58414</v>
      </c>
      <c r="E542" s="9" t="s">
        <v>6343</v>
      </c>
      <c r="F542" s="6"/>
    </row>
    <row r="543" spans="1:6" ht="19">
      <c r="A543" s="6">
        <v>540</v>
      </c>
      <c r="B543" s="1" t="s">
        <v>6670</v>
      </c>
      <c r="C543" s="7">
        <v>57887</v>
      </c>
      <c r="D543" s="7">
        <v>58258</v>
      </c>
      <c r="E543" s="9" t="s">
        <v>6308</v>
      </c>
      <c r="F543" s="6"/>
    </row>
    <row r="544" spans="1:6" ht="19">
      <c r="A544" s="6">
        <v>541</v>
      </c>
      <c r="B544" s="1" t="s">
        <v>6671</v>
      </c>
      <c r="C544" s="7">
        <v>57846</v>
      </c>
      <c r="D544" s="7">
        <v>58498</v>
      </c>
      <c r="E544" s="9" t="s">
        <v>6298</v>
      </c>
      <c r="F544" s="1" t="s">
        <v>6672</v>
      </c>
    </row>
    <row r="545" spans="1:6" ht="19">
      <c r="A545" s="6">
        <v>542</v>
      </c>
      <c r="B545" s="1" t="s">
        <v>6673</v>
      </c>
      <c r="C545" s="7">
        <v>57433</v>
      </c>
      <c r="D545" s="7">
        <v>58377</v>
      </c>
      <c r="E545" s="9" t="s">
        <v>6674</v>
      </c>
      <c r="F545" s="1" t="s">
        <v>6041</v>
      </c>
    </row>
    <row r="546" spans="1:6" ht="19">
      <c r="A546" s="6">
        <v>543</v>
      </c>
      <c r="B546" s="1" t="s">
        <v>6675</v>
      </c>
      <c r="C546" s="7">
        <v>57288</v>
      </c>
      <c r="D546" s="7">
        <v>57303</v>
      </c>
      <c r="E546" s="9" t="s">
        <v>6676</v>
      </c>
      <c r="F546" s="6"/>
    </row>
    <row r="547" spans="1:6" ht="19">
      <c r="A547" s="6">
        <v>544</v>
      </c>
      <c r="B547" s="1" t="s">
        <v>6677</v>
      </c>
      <c r="C547" s="7">
        <v>57029</v>
      </c>
      <c r="D547" s="7">
        <v>56053</v>
      </c>
      <c r="E547" s="8">
        <v>1.7399999999999999E-2</v>
      </c>
      <c r="F547" s="6"/>
    </row>
    <row r="548" spans="1:6" ht="19">
      <c r="A548" s="6">
        <v>545</v>
      </c>
      <c r="B548" s="1" t="s">
        <v>6678</v>
      </c>
      <c r="C548" s="7">
        <v>56678</v>
      </c>
      <c r="D548" s="7">
        <v>56418</v>
      </c>
      <c r="E548" s="8">
        <v>4.5999999999999999E-3</v>
      </c>
      <c r="F548" s="1" t="s">
        <v>6356</v>
      </c>
    </row>
    <row r="549" spans="1:6" ht="19">
      <c r="A549" s="6">
        <v>546</v>
      </c>
      <c r="B549" s="1" t="s">
        <v>6679</v>
      </c>
      <c r="C549" s="7">
        <v>56018</v>
      </c>
      <c r="D549" s="7">
        <v>56745</v>
      </c>
      <c r="E549" s="9" t="s">
        <v>6680</v>
      </c>
      <c r="F549" s="1" t="s">
        <v>6571</v>
      </c>
    </row>
    <row r="550" spans="1:6" ht="19">
      <c r="A550" s="6">
        <v>547</v>
      </c>
      <c r="B550" s="1" t="s">
        <v>6681</v>
      </c>
      <c r="C550" s="7">
        <v>55766</v>
      </c>
      <c r="D550" s="7">
        <v>55186</v>
      </c>
      <c r="E550" s="8">
        <v>1.0500000000000001E-2</v>
      </c>
      <c r="F550" s="1" t="s">
        <v>5895</v>
      </c>
    </row>
    <row r="551" spans="1:6" ht="19">
      <c r="A551" s="6">
        <v>548</v>
      </c>
      <c r="B551" s="1" t="s">
        <v>6682</v>
      </c>
      <c r="C551" s="7">
        <v>55662</v>
      </c>
      <c r="D551" s="7">
        <v>55342</v>
      </c>
      <c r="E551" s="8">
        <v>5.7999999999999996E-3</v>
      </c>
      <c r="F551" s="1" t="s">
        <v>5995</v>
      </c>
    </row>
    <row r="552" spans="1:6" ht="19">
      <c r="A552" s="6">
        <v>549</v>
      </c>
      <c r="B552" s="1" t="s">
        <v>6683</v>
      </c>
      <c r="C552" s="7">
        <v>55365</v>
      </c>
      <c r="D552" s="7">
        <v>54258</v>
      </c>
      <c r="E552" s="8">
        <v>2.0400000000000001E-2</v>
      </c>
      <c r="F552" s="6"/>
    </row>
    <row r="553" spans="1:6" ht="19">
      <c r="A553" s="6">
        <v>550</v>
      </c>
      <c r="B553" s="1" t="s">
        <v>6684</v>
      </c>
      <c r="C553" s="7">
        <v>55363</v>
      </c>
      <c r="D553" s="7">
        <v>55149</v>
      </c>
      <c r="E553" s="8">
        <v>3.8999999999999998E-3</v>
      </c>
      <c r="F553" s="6"/>
    </row>
    <row r="554" spans="1:6" ht="19">
      <c r="A554" s="6">
        <v>551</v>
      </c>
      <c r="B554" s="1" t="s">
        <v>6685</v>
      </c>
      <c r="C554" s="7">
        <v>55295</v>
      </c>
      <c r="D554" s="7">
        <v>55834</v>
      </c>
      <c r="E554" s="9" t="s">
        <v>6686</v>
      </c>
      <c r="F554" s="1" t="s">
        <v>5959</v>
      </c>
    </row>
    <row r="555" spans="1:6" ht="19">
      <c r="A555" s="6">
        <v>552</v>
      </c>
      <c r="B555" s="1" t="s">
        <v>6687</v>
      </c>
      <c r="C555" s="7">
        <v>54925</v>
      </c>
      <c r="D555" s="7">
        <v>55531</v>
      </c>
      <c r="E555" s="9" t="s">
        <v>6456</v>
      </c>
      <c r="F555" s="1" t="s">
        <v>5989</v>
      </c>
    </row>
    <row r="556" spans="1:6" ht="19">
      <c r="A556" s="6">
        <v>553</v>
      </c>
      <c r="B556" s="1" t="s">
        <v>6688</v>
      </c>
      <c r="C556" s="7">
        <v>54838</v>
      </c>
      <c r="D556" s="7">
        <v>55274</v>
      </c>
      <c r="E556" s="9" t="s">
        <v>6689</v>
      </c>
      <c r="F556" s="1" t="s">
        <v>6079</v>
      </c>
    </row>
    <row r="557" spans="1:6" ht="19">
      <c r="A557" s="6">
        <v>554</v>
      </c>
      <c r="B557" s="1" t="s">
        <v>6690</v>
      </c>
      <c r="C557" s="7">
        <v>54837</v>
      </c>
      <c r="D557" s="7">
        <v>54734</v>
      </c>
      <c r="E557" s="8">
        <v>1.9E-3</v>
      </c>
      <c r="F557" s="6"/>
    </row>
    <row r="558" spans="1:6" ht="19">
      <c r="A558" s="6">
        <v>555</v>
      </c>
      <c r="B558" s="1" t="s">
        <v>6691</v>
      </c>
      <c r="C558" s="7">
        <v>54665</v>
      </c>
      <c r="D558" s="7">
        <v>55070</v>
      </c>
      <c r="E558" s="9" t="s">
        <v>6514</v>
      </c>
      <c r="F558" s="6"/>
    </row>
    <row r="559" spans="1:6" ht="19">
      <c r="A559" s="6">
        <v>556</v>
      </c>
      <c r="B559" s="1" t="s">
        <v>6692</v>
      </c>
      <c r="C559" s="7">
        <v>54419</v>
      </c>
      <c r="D559" s="7">
        <v>53829</v>
      </c>
      <c r="E559" s="8">
        <v>1.0999999999999999E-2</v>
      </c>
      <c r="F559" s="6"/>
    </row>
    <row r="560" spans="1:6" ht="19">
      <c r="A560" s="6">
        <v>557</v>
      </c>
      <c r="B560" s="1" t="s">
        <v>6693</v>
      </c>
      <c r="C560" s="7">
        <v>54397</v>
      </c>
      <c r="D560" s="7">
        <v>52595</v>
      </c>
      <c r="E560" s="8">
        <v>3.4299999999999997E-2</v>
      </c>
      <c r="F560" s="1" t="s">
        <v>5933</v>
      </c>
    </row>
    <row r="561" spans="1:6" ht="19">
      <c r="A561" s="6">
        <v>558</v>
      </c>
      <c r="B561" s="1" t="s">
        <v>6694</v>
      </c>
      <c r="C561" s="7">
        <v>54272</v>
      </c>
      <c r="D561" s="7">
        <v>54984</v>
      </c>
      <c r="E561" s="9" t="s">
        <v>6449</v>
      </c>
      <c r="F561" s="6"/>
    </row>
    <row r="562" spans="1:6" ht="19">
      <c r="A562" s="6">
        <v>559</v>
      </c>
      <c r="B562" s="1" t="s">
        <v>6695</v>
      </c>
      <c r="C562" s="7">
        <v>54008</v>
      </c>
      <c r="D562" s="7">
        <v>55365</v>
      </c>
      <c r="E562" s="9" t="s">
        <v>6696</v>
      </c>
      <c r="F562" s="6"/>
    </row>
    <row r="563" spans="1:6" ht="19">
      <c r="A563" s="6">
        <v>560</v>
      </c>
      <c r="B563" s="1" t="s">
        <v>6697</v>
      </c>
      <c r="C563" s="7">
        <v>53948</v>
      </c>
      <c r="D563" s="7">
        <v>52591</v>
      </c>
      <c r="E563" s="8">
        <v>2.58E-2</v>
      </c>
      <c r="F563" s="6"/>
    </row>
    <row r="564" spans="1:6" ht="19">
      <c r="A564" s="6">
        <v>561</v>
      </c>
      <c r="B564" s="1" t="s">
        <v>6698</v>
      </c>
      <c r="C564" s="7">
        <v>53869</v>
      </c>
      <c r="D564" s="7">
        <v>52334</v>
      </c>
      <c r="E564" s="8">
        <v>2.93E-2</v>
      </c>
      <c r="F564" s="1" t="s">
        <v>6699</v>
      </c>
    </row>
    <row r="565" spans="1:6" ht="19">
      <c r="A565" s="6">
        <v>562</v>
      </c>
      <c r="B565" s="1" t="s">
        <v>6700</v>
      </c>
      <c r="C565" s="7">
        <v>53697</v>
      </c>
      <c r="D565" s="7">
        <v>54650</v>
      </c>
      <c r="E565" s="9" t="s">
        <v>6701</v>
      </c>
      <c r="F565" s="1" t="s">
        <v>6066</v>
      </c>
    </row>
    <row r="566" spans="1:6" ht="19">
      <c r="A566" s="6">
        <v>563</v>
      </c>
      <c r="B566" s="1" t="s">
        <v>6702</v>
      </c>
      <c r="C566" s="7">
        <v>53269</v>
      </c>
      <c r="D566" s="7">
        <v>53936</v>
      </c>
      <c r="E566" s="9" t="s">
        <v>6435</v>
      </c>
      <c r="F566" s="1" t="s">
        <v>6025</v>
      </c>
    </row>
    <row r="567" spans="1:6" ht="19">
      <c r="A567" s="6">
        <v>564</v>
      </c>
      <c r="B567" s="1" t="s">
        <v>6703</v>
      </c>
      <c r="C567" s="7">
        <v>53259</v>
      </c>
      <c r="D567" s="7">
        <v>52274</v>
      </c>
      <c r="E567" s="8">
        <v>1.8800000000000001E-2</v>
      </c>
      <c r="F567" s="6"/>
    </row>
    <row r="568" spans="1:6" ht="19">
      <c r="A568" s="6">
        <v>565</v>
      </c>
      <c r="B568" s="1" t="s">
        <v>6704</v>
      </c>
      <c r="C568" s="7">
        <v>53217</v>
      </c>
      <c r="D568" s="7">
        <v>50805</v>
      </c>
      <c r="E568" s="8">
        <v>4.7500000000000001E-2</v>
      </c>
      <c r="F568" s="6"/>
    </row>
    <row r="569" spans="1:6" ht="19">
      <c r="A569" s="6">
        <v>566</v>
      </c>
      <c r="B569" s="1" t="s">
        <v>6705</v>
      </c>
      <c r="C569" s="7">
        <v>53144</v>
      </c>
      <c r="D569" s="7">
        <v>53597</v>
      </c>
      <c r="E569" s="9" t="s">
        <v>6706</v>
      </c>
      <c r="F569" s="6"/>
    </row>
    <row r="570" spans="1:6" ht="19">
      <c r="A570" s="6">
        <v>567</v>
      </c>
      <c r="B570" s="1" t="s">
        <v>6707</v>
      </c>
      <c r="C570" s="7">
        <v>53119</v>
      </c>
      <c r="D570" s="7">
        <v>53174</v>
      </c>
      <c r="E570" s="9" t="s">
        <v>5903</v>
      </c>
      <c r="F570" s="6"/>
    </row>
    <row r="571" spans="1:6" ht="19">
      <c r="A571" s="6">
        <v>568</v>
      </c>
      <c r="B571" s="1" t="s">
        <v>6708</v>
      </c>
      <c r="C571" s="7">
        <v>53057</v>
      </c>
      <c r="D571" s="7">
        <v>53535</v>
      </c>
      <c r="E571" s="9" t="s">
        <v>6709</v>
      </c>
      <c r="F571" s="6"/>
    </row>
    <row r="572" spans="1:6" ht="19">
      <c r="A572" s="6">
        <v>569</v>
      </c>
      <c r="B572" s="1" t="s">
        <v>6710</v>
      </c>
      <c r="C572" s="7">
        <v>53019</v>
      </c>
      <c r="D572" s="7">
        <v>53227</v>
      </c>
      <c r="E572" s="9" t="s">
        <v>6512</v>
      </c>
      <c r="F572" s="1" t="s">
        <v>6052</v>
      </c>
    </row>
    <row r="573" spans="1:6" ht="19">
      <c r="A573" s="6">
        <v>570</v>
      </c>
      <c r="B573" s="1" t="s">
        <v>6711</v>
      </c>
      <c r="C573" s="7">
        <v>52962</v>
      </c>
      <c r="D573" s="7">
        <v>53139</v>
      </c>
      <c r="E573" s="9" t="s">
        <v>6429</v>
      </c>
      <c r="F573" s="1" t="s">
        <v>6386</v>
      </c>
    </row>
    <row r="574" spans="1:6" ht="19">
      <c r="A574" s="6">
        <v>571</v>
      </c>
      <c r="B574" s="1" t="s">
        <v>6712</v>
      </c>
      <c r="C574" s="7">
        <v>52848</v>
      </c>
      <c r="D574" s="7">
        <v>53497</v>
      </c>
      <c r="E574" s="9" t="s">
        <v>6713</v>
      </c>
      <c r="F574" s="1" t="s">
        <v>6130</v>
      </c>
    </row>
    <row r="575" spans="1:6" ht="19">
      <c r="A575" s="6">
        <v>572</v>
      </c>
      <c r="B575" s="1" t="s">
        <v>6714</v>
      </c>
      <c r="C575" s="7">
        <v>52600</v>
      </c>
      <c r="D575" s="7">
        <v>52272</v>
      </c>
      <c r="E575" s="8">
        <v>6.3E-3</v>
      </c>
      <c r="F575" s="1" t="s">
        <v>6280</v>
      </c>
    </row>
    <row r="576" spans="1:6" ht="19">
      <c r="A576" s="6">
        <v>573</v>
      </c>
      <c r="B576" s="1" t="s">
        <v>6715</v>
      </c>
      <c r="C576" s="7">
        <v>52507</v>
      </c>
      <c r="D576" s="7">
        <v>52959</v>
      </c>
      <c r="E576" s="9" t="s">
        <v>6706</v>
      </c>
      <c r="F576" s="1" t="s">
        <v>6004</v>
      </c>
    </row>
    <row r="577" spans="1:6" ht="19">
      <c r="A577" s="6">
        <v>574</v>
      </c>
      <c r="B577" s="1" t="s">
        <v>6716</v>
      </c>
      <c r="C577" s="7">
        <v>52487</v>
      </c>
      <c r="D577" s="7">
        <v>53119</v>
      </c>
      <c r="E577" s="9" t="s">
        <v>6717</v>
      </c>
      <c r="F577" s="6"/>
    </row>
    <row r="578" spans="1:6" ht="19">
      <c r="A578" s="6">
        <v>575</v>
      </c>
      <c r="B578" s="1" t="s">
        <v>6718</v>
      </c>
      <c r="C578" s="7">
        <v>52416</v>
      </c>
      <c r="D578" s="7">
        <v>52266</v>
      </c>
      <c r="E578" s="8">
        <v>2.8999999999999998E-3</v>
      </c>
      <c r="F578" s="1" t="s">
        <v>6052</v>
      </c>
    </row>
    <row r="579" spans="1:6" ht="19">
      <c r="A579" s="6">
        <v>576</v>
      </c>
      <c r="B579" s="1" t="s">
        <v>6719</v>
      </c>
      <c r="C579" s="7">
        <v>52401</v>
      </c>
      <c r="D579" s="7">
        <v>51334</v>
      </c>
      <c r="E579" s="8">
        <v>2.0799999999999999E-2</v>
      </c>
      <c r="F579" s="6"/>
    </row>
    <row r="580" spans="1:6" ht="19">
      <c r="A580" s="6">
        <v>577</v>
      </c>
      <c r="B580" s="1" t="s">
        <v>6720</v>
      </c>
      <c r="C580" s="7">
        <v>52247</v>
      </c>
      <c r="D580" s="7">
        <v>52919</v>
      </c>
      <c r="E580" s="9" t="s">
        <v>6182</v>
      </c>
      <c r="F580" s="6"/>
    </row>
    <row r="581" spans="1:6" ht="19">
      <c r="A581" s="6">
        <v>578</v>
      </c>
      <c r="B581" s="1" t="s">
        <v>6721</v>
      </c>
      <c r="C581" s="7">
        <v>51874</v>
      </c>
      <c r="D581" s="7">
        <v>52197</v>
      </c>
      <c r="E581" s="9" t="s">
        <v>6474</v>
      </c>
      <c r="F581" s="1" t="s">
        <v>6579</v>
      </c>
    </row>
    <row r="582" spans="1:6" ht="19">
      <c r="A582" s="6">
        <v>579</v>
      </c>
      <c r="B582" s="1" t="s">
        <v>6722</v>
      </c>
      <c r="C582" s="7">
        <v>51871</v>
      </c>
      <c r="D582" s="7">
        <v>51079</v>
      </c>
      <c r="E582" s="8">
        <v>1.55E-2</v>
      </c>
      <c r="F582" s="6"/>
    </row>
    <row r="583" spans="1:6" ht="19">
      <c r="A583" s="6">
        <v>580</v>
      </c>
      <c r="B583" s="1" t="s">
        <v>6723</v>
      </c>
      <c r="C583" s="7">
        <v>51795</v>
      </c>
      <c r="D583" s="7">
        <v>51599</v>
      </c>
      <c r="E583" s="8">
        <v>3.8E-3</v>
      </c>
      <c r="F583" s="6"/>
    </row>
    <row r="584" spans="1:6" ht="19">
      <c r="A584" s="6">
        <v>581</v>
      </c>
      <c r="B584" s="1" t="s">
        <v>6724</v>
      </c>
      <c r="C584" s="7">
        <v>51633</v>
      </c>
      <c r="D584" s="7">
        <v>50976</v>
      </c>
      <c r="E584" s="8">
        <v>1.29E-2</v>
      </c>
      <c r="F584" s="1" t="s">
        <v>5979</v>
      </c>
    </row>
    <row r="585" spans="1:6" ht="19">
      <c r="A585" s="6">
        <v>582</v>
      </c>
      <c r="B585" s="1" t="s">
        <v>6725</v>
      </c>
      <c r="C585" s="7">
        <v>51629</v>
      </c>
      <c r="D585" s="7">
        <v>51461</v>
      </c>
      <c r="E585" s="8">
        <v>3.3E-3</v>
      </c>
      <c r="F585" s="6"/>
    </row>
    <row r="586" spans="1:6" ht="19">
      <c r="A586" s="6">
        <v>583</v>
      </c>
      <c r="B586" s="1" t="s">
        <v>6726</v>
      </c>
      <c r="C586" s="7">
        <v>51402</v>
      </c>
      <c r="D586" s="7">
        <v>50513</v>
      </c>
      <c r="E586" s="8">
        <v>1.7600000000000001E-2</v>
      </c>
      <c r="F586" s="1" t="s">
        <v>5950</v>
      </c>
    </row>
    <row r="587" spans="1:6" ht="19">
      <c r="A587" s="6">
        <v>584</v>
      </c>
      <c r="B587" s="1" t="s">
        <v>6727</v>
      </c>
      <c r="C587" s="7">
        <v>51327</v>
      </c>
      <c r="D587" s="7">
        <v>51980</v>
      </c>
      <c r="E587" s="9" t="s">
        <v>6240</v>
      </c>
      <c r="F587" s="1" t="s">
        <v>6079</v>
      </c>
    </row>
    <row r="588" spans="1:6" ht="19">
      <c r="A588" s="6">
        <v>585</v>
      </c>
      <c r="B588" s="1" t="s">
        <v>6728</v>
      </c>
      <c r="C588" s="7">
        <v>51307</v>
      </c>
      <c r="D588" s="7">
        <v>51749</v>
      </c>
      <c r="E588" s="9" t="s">
        <v>6706</v>
      </c>
      <c r="F588" s="6"/>
    </row>
    <row r="589" spans="1:6" ht="19">
      <c r="A589" s="6">
        <v>586</v>
      </c>
      <c r="B589" s="1" t="s">
        <v>6729</v>
      </c>
      <c r="C589" s="7">
        <v>51252</v>
      </c>
      <c r="D589" s="7">
        <v>49948</v>
      </c>
      <c r="E589" s="8">
        <v>2.6100000000000002E-2</v>
      </c>
      <c r="F589" s="1" t="s">
        <v>6316</v>
      </c>
    </row>
    <row r="590" spans="1:6" ht="19">
      <c r="A590" s="6">
        <v>587</v>
      </c>
      <c r="B590" s="1" t="s">
        <v>6730</v>
      </c>
      <c r="C590" s="7">
        <v>51206</v>
      </c>
      <c r="D590" s="7">
        <v>50845</v>
      </c>
      <c r="E590" s="8">
        <v>7.1000000000000004E-3</v>
      </c>
      <c r="F590" s="1" t="s">
        <v>6206</v>
      </c>
    </row>
    <row r="591" spans="1:6" ht="19">
      <c r="A591" s="6">
        <v>588</v>
      </c>
      <c r="B591" s="1" t="s">
        <v>6731</v>
      </c>
      <c r="C591" s="7">
        <v>51087</v>
      </c>
      <c r="D591" s="7">
        <v>51208</v>
      </c>
      <c r="E591" s="9" t="s">
        <v>6100</v>
      </c>
      <c r="F591" s="6"/>
    </row>
    <row r="592" spans="1:6" ht="19">
      <c r="A592" s="6">
        <v>589</v>
      </c>
      <c r="B592" s="1" t="s">
        <v>6732</v>
      </c>
      <c r="C592" s="7">
        <v>50444</v>
      </c>
      <c r="D592" s="7">
        <v>50251</v>
      </c>
      <c r="E592" s="8">
        <v>3.8E-3</v>
      </c>
      <c r="F592" s="1" t="s">
        <v>6316</v>
      </c>
    </row>
    <row r="593" spans="1:6" ht="19">
      <c r="A593" s="6">
        <v>590</v>
      </c>
      <c r="B593" s="1" t="s">
        <v>6733</v>
      </c>
      <c r="C593" s="7">
        <v>50413</v>
      </c>
      <c r="D593" s="7">
        <v>50778</v>
      </c>
      <c r="E593" s="9" t="s">
        <v>6613</v>
      </c>
      <c r="F593" s="1" t="s">
        <v>6345</v>
      </c>
    </row>
    <row r="594" spans="1:6" ht="19">
      <c r="A594" s="6">
        <v>591</v>
      </c>
      <c r="B594" s="1" t="s">
        <v>6734</v>
      </c>
      <c r="C594" s="7">
        <v>49941</v>
      </c>
      <c r="D594" s="7">
        <v>50219</v>
      </c>
      <c r="E594" s="9" t="s">
        <v>6735</v>
      </c>
      <c r="F594" s="1" t="s">
        <v>5989</v>
      </c>
    </row>
    <row r="595" spans="1:6" ht="19">
      <c r="A595" s="6">
        <v>592</v>
      </c>
      <c r="B595" s="1" t="s">
        <v>6736</v>
      </c>
      <c r="C595" s="7">
        <v>49938</v>
      </c>
      <c r="D595" s="7">
        <v>48376</v>
      </c>
      <c r="E595" s="8">
        <v>3.2300000000000002E-2</v>
      </c>
      <c r="F595" s="1" t="s">
        <v>6737</v>
      </c>
    </row>
    <row r="596" spans="1:6" ht="19">
      <c r="A596" s="6">
        <v>593</v>
      </c>
      <c r="B596" s="1" t="s">
        <v>6738</v>
      </c>
      <c r="C596" s="7">
        <v>49811</v>
      </c>
      <c r="D596" s="7">
        <v>49793</v>
      </c>
      <c r="E596" s="8">
        <v>4.0000000000000002E-4</v>
      </c>
      <c r="F596" s="6"/>
    </row>
    <row r="597" spans="1:6" ht="19">
      <c r="A597" s="6">
        <v>594</v>
      </c>
      <c r="B597" s="1" t="s">
        <v>6739</v>
      </c>
      <c r="C597" s="7">
        <v>49786</v>
      </c>
      <c r="D597" s="7">
        <v>49625</v>
      </c>
      <c r="E597" s="8">
        <v>3.2000000000000002E-3</v>
      </c>
      <c r="F597" s="6"/>
    </row>
    <row r="598" spans="1:6" ht="19">
      <c r="A598" s="6">
        <v>595</v>
      </c>
      <c r="B598" s="1" t="s">
        <v>6740</v>
      </c>
      <c r="C598" s="7">
        <v>49750</v>
      </c>
      <c r="D598" s="7">
        <v>51137</v>
      </c>
      <c r="E598" s="9" t="s">
        <v>6741</v>
      </c>
      <c r="F598" s="6"/>
    </row>
    <row r="599" spans="1:6" ht="19">
      <c r="A599" s="6">
        <v>596</v>
      </c>
      <c r="B599" s="1" t="s">
        <v>6742</v>
      </c>
      <c r="C599" s="7">
        <v>49495</v>
      </c>
      <c r="D599" s="7">
        <v>47351</v>
      </c>
      <c r="E599" s="8">
        <v>4.53E-2</v>
      </c>
      <c r="F599" s="6"/>
    </row>
    <row r="600" spans="1:6" ht="19">
      <c r="A600" s="6">
        <v>597</v>
      </c>
      <c r="B600" s="1" t="s">
        <v>6743</v>
      </c>
      <c r="C600" s="7">
        <v>49474</v>
      </c>
      <c r="D600" s="7">
        <v>49336</v>
      </c>
      <c r="E600" s="8">
        <v>2.8E-3</v>
      </c>
      <c r="F600" s="1" t="s">
        <v>6445</v>
      </c>
    </row>
    <row r="601" spans="1:6" ht="19">
      <c r="A601" s="6">
        <v>598</v>
      </c>
      <c r="B601" s="1" t="s">
        <v>6744</v>
      </c>
      <c r="C601" s="7">
        <v>49345</v>
      </c>
      <c r="D601" s="7">
        <v>49462</v>
      </c>
      <c r="E601" s="9" t="s">
        <v>6100</v>
      </c>
      <c r="F601" s="1" t="s">
        <v>5939</v>
      </c>
    </row>
    <row r="602" spans="1:6" ht="19">
      <c r="A602" s="6">
        <v>599</v>
      </c>
      <c r="B602" s="1" t="s">
        <v>6745</v>
      </c>
      <c r="C602" s="7">
        <v>49167</v>
      </c>
      <c r="D602" s="7">
        <v>49423</v>
      </c>
      <c r="E602" s="9" t="s">
        <v>6746</v>
      </c>
      <c r="F602" s="1" t="s">
        <v>6004</v>
      </c>
    </row>
    <row r="603" spans="1:6" ht="19">
      <c r="A603" s="6">
        <v>600</v>
      </c>
      <c r="B603" s="1" t="s">
        <v>6747</v>
      </c>
      <c r="C603" s="7">
        <v>48717</v>
      </c>
      <c r="D603" s="7">
        <v>49116</v>
      </c>
      <c r="E603" s="9" t="s">
        <v>6343</v>
      </c>
      <c r="F603" s="1" t="s">
        <v>6107</v>
      </c>
    </row>
    <row r="604" spans="1:6" ht="19">
      <c r="A604" s="6">
        <v>601</v>
      </c>
      <c r="B604" s="1" t="s">
        <v>6748</v>
      </c>
      <c r="C604" s="7">
        <v>48705</v>
      </c>
      <c r="D604" s="7">
        <v>48879</v>
      </c>
      <c r="E604" s="9" t="s">
        <v>6412</v>
      </c>
      <c r="F604" s="6"/>
    </row>
    <row r="605" spans="1:6" ht="19">
      <c r="A605" s="6">
        <v>602</v>
      </c>
      <c r="B605" s="1" t="s">
        <v>6749</v>
      </c>
      <c r="C605" s="7">
        <v>48286</v>
      </c>
      <c r="D605" s="7">
        <v>48271</v>
      </c>
      <c r="E605" s="8">
        <v>2.9999999999999997E-4</v>
      </c>
      <c r="F605" s="6"/>
    </row>
    <row r="606" spans="1:6" ht="19">
      <c r="A606" s="6">
        <v>603</v>
      </c>
      <c r="B606" s="1" t="s">
        <v>6750</v>
      </c>
      <c r="C606" s="7">
        <v>48192</v>
      </c>
      <c r="D606" s="7">
        <v>47671</v>
      </c>
      <c r="E606" s="8">
        <v>1.09E-2</v>
      </c>
      <c r="F606" s="6"/>
    </row>
    <row r="607" spans="1:6" ht="19">
      <c r="A607" s="6">
        <v>604</v>
      </c>
      <c r="B607" s="1" t="s">
        <v>6751</v>
      </c>
      <c r="C607" s="7">
        <v>48150</v>
      </c>
      <c r="D607" s="7">
        <v>46987</v>
      </c>
      <c r="E607" s="8">
        <v>2.4799999999999999E-2</v>
      </c>
      <c r="F607" s="1" t="s">
        <v>5979</v>
      </c>
    </row>
    <row r="608" spans="1:6" ht="19">
      <c r="A608" s="6">
        <v>605</v>
      </c>
      <c r="B608" s="1" t="s">
        <v>6752</v>
      </c>
      <c r="C608" s="7">
        <v>48085</v>
      </c>
      <c r="D608" s="7">
        <v>47557</v>
      </c>
      <c r="E608" s="8">
        <v>1.11E-2</v>
      </c>
      <c r="F608" s="6"/>
    </row>
    <row r="609" spans="1:6" ht="19">
      <c r="A609" s="6">
        <v>606</v>
      </c>
      <c r="B609" s="1" t="s">
        <v>6753</v>
      </c>
      <c r="C609" s="7">
        <v>47979</v>
      </c>
      <c r="D609" s="7">
        <v>47735</v>
      </c>
      <c r="E609" s="8">
        <v>5.1000000000000004E-3</v>
      </c>
      <c r="F609" s="1" t="s">
        <v>5885</v>
      </c>
    </row>
    <row r="610" spans="1:6" ht="19">
      <c r="A610" s="6">
        <v>607</v>
      </c>
      <c r="B610" s="1" t="s">
        <v>6754</v>
      </c>
      <c r="C610" s="7">
        <v>47874</v>
      </c>
      <c r="D610" s="7">
        <v>46133</v>
      </c>
      <c r="E610" s="8">
        <v>3.7699999999999997E-2</v>
      </c>
      <c r="F610" s="6"/>
    </row>
    <row r="611" spans="1:6" ht="19">
      <c r="A611" s="6">
        <v>608</v>
      </c>
      <c r="B611" s="1" t="s">
        <v>6755</v>
      </c>
      <c r="C611" s="7">
        <v>47639</v>
      </c>
      <c r="D611" s="7">
        <v>47584</v>
      </c>
      <c r="E611" s="8">
        <v>1.1999999999999999E-3</v>
      </c>
      <c r="F611" s="6"/>
    </row>
    <row r="612" spans="1:6" ht="19">
      <c r="A612" s="6">
        <v>609</v>
      </c>
      <c r="B612" s="1" t="s">
        <v>6756</v>
      </c>
      <c r="C612" s="7">
        <v>47582</v>
      </c>
      <c r="D612" s="7">
        <v>47536</v>
      </c>
      <c r="E612" s="8">
        <v>1E-3</v>
      </c>
      <c r="F612" s="1" t="s">
        <v>6088</v>
      </c>
    </row>
    <row r="613" spans="1:6" ht="19">
      <c r="A613" s="6">
        <v>610</v>
      </c>
      <c r="B613" s="1" t="s">
        <v>6757</v>
      </c>
      <c r="C613" s="7">
        <v>47507</v>
      </c>
      <c r="D613" s="7">
        <v>47759</v>
      </c>
      <c r="E613" s="9" t="s">
        <v>6758</v>
      </c>
      <c r="F613" s="1" t="s">
        <v>6256</v>
      </c>
    </row>
    <row r="614" spans="1:6" ht="19">
      <c r="A614" s="6">
        <v>611</v>
      </c>
      <c r="B614" s="1" t="s">
        <v>6759</v>
      </c>
      <c r="C614" s="7">
        <v>47383</v>
      </c>
      <c r="D614" s="7">
        <v>47656</v>
      </c>
      <c r="E614" s="9" t="s">
        <v>6760</v>
      </c>
      <c r="F614" s="6"/>
    </row>
    <row r="615" spans="1:6" ht="19">
      <c r="A615" s="6">
        <v>612</v>
      </c>
      <c r="B615" s="1" t="s">
        <v>6761</v>
      </c>
      <c r="C615" s="7">
        <v>47303</v>
      </c>
      <c r="D615" s="7">
        <v>47420</v>
      </c>
      <c r="E615" s="9" t="s">
        <v>6019</v>
      </c>
      <c r="F615" s="1" t="s">
        <v>5976</v>
      </c>
    </row>
    <row r="616" spans="1:6" ht="19">
      <c r="A616" s="6">
        <v>613</v>
      </c>
      <c r="B616" s="1" t="s">
        <v>6762</v>
      </c>
      <c r="C616" s="7">
        <v>47024</v>
      </c>
      <c r="D616" s="7">
        <v>47051</v>
      </c>
      <c r="E616" s="9" t="s">
        <v>6763</v>
      </c>
      <c r="F616" s="1" t="s">
        <v>6137</v>
      </c>
    </row>
    <row r="617" spans="1:6" ht="19">
      <c r="A617" s="6">
        <v>614</v>
      </c>
      <c r="B617" s="1" t="s">
        <v>6764</v>
      </c>
      <c r="C617" s="7">
        <v>46996</v>
      </c>
      <c r="D617" s="7">
        <v>46997</v>
      </c>
      <c r="E617" s="10">
        <v>0</v>
      </c>
      <c r="F617" s="1" t="s">
        <v>6079</v>
      </c>
    </row>
    <row r="618" spans="1:6" ht="19">
      <c r="A618" s="6">
        <v>615</v>
      </c>
      <c r="B618" s="1" t="s">
        <v>6765</v>
      </c>
      <c r="C618" s="7">
        <v>46959</v>
      </c>
      <c r="D618" s="7">
        <v>47711</v>
      </c>
      <c r="E618" s="9" t="s">
        <v>6766</v>
      </c>
      <c r="F618" s="1" t="s">
        <v>6130</v>
      </c>
    </row>
    <row r="619" spans="1:6" ht="19">
      <c r="A619" s="6">
        <v>616</v>
      </c>
      <c r="B619" s="1" t="s">
        <v>6767</v>
      </c>
      <c r="C619" s="7">
        <v>46953</v>
      </c>
      <c r="D619" s="7">
        <v>46735</v>
      </c>
      <c r="E619" s="8">
        <v>4.7000000000000002E-3</v>
      </c>
      <c r="F619" s="1" t="s">
        <v>6250</v>
      </c>
    </row>
    <row r="620" spans="1:6" ht="19">
      <c r="A620" s="6">
        <v>617</v>
      </c>
      <c r="B620" s="1" t="s">
        <v>6768</v>
      </c>
      <c r="C620" s="7">
        <v>46788</v>
      </c>
      <c r="D620" s="7">
        <v>46824</v>
      </c>
      <c r="E620" s="9" t="s">
        <v>6769</v>
      </c>
      <c r="F620" s="1" t="s">
        <v>6282</v>
      </c>
    </row>
    <row r="621" spans="1:6" ht="19">
      <c r="A621" s="6">
        <v>618</v>
      </c>
      <c r="B621" s="1" t="s">
        <v>6770</v>
      </c>
      <c r="C621" s="7">
        <v>46773</v>
      </c>
      <c r="D621" s="7">
        <v>46682</v>
      </c>
      <c r="E621" s="8">
        <v>1.9E-3</v>
      </c>
      <c r="F621" s="6"/>
    </row>
    <row r="622" spans="1:6" ht="19">
      <c r="A622" s="6">
        <v>619</v>
      </c>
      <c r="B622" s="1" t="s">
        <v>6771</v>
      </c>
      <c r="C622" s="7">
        <v>46750</v>
      </c>
      <c r="D622" s="7">
        <v>46163</v>
      </c>
      <c r="E622" s="8">
        <v>1.2699999999999999E-2</v>
      </c>
      <c r="F622" s="6"/>
    </row>
    <row r="623" spans="1:6" ht="19">
      <c r="A623" s="6">
        <v>620</v>
      </c>
      <c r="B623" s="1" t="s">
        <v>6772</v>
      </c>
      <c r="C623" s="7">
        <v>46718</v>
      </c>
      <c r="D623" s="7">
        <v>46920</v>
      </c>
      <c r="E623" s="9" t="s">
        <v>6406</v>
      </c>
      <c r="F623" s="6"/>
    </row>
    <row r="624" spans="1:6" ht="19">
      <c r="A624" s="6">
        <v>621</v>
      </c>
      <c r="B624" s="1" t="s">
        <v>6773</v>
      </c>
      <c r="C624" s="7">
        <v>46670</v>
      </c>
      <c r="D624" s="7">
        <v>47168</v>
      </c>
      <c r="E624" s="9" t="s">
        <v>6305</v>
      </c>
      <c r="F624" s="1" t="s">
        <v>5959</v>
      </c>
    </row>
    <row r="625" spans="1:6" ht="19">
      <c r="A625" s="6">
        <v>622</v>
      </c>
      <c r="B625" s="1" t="s">
        <v>6774</v>
      </c>
      <c r="C625" s="7">
        <v>46627</v>
      </c>
      <c r="D625" s="7">
        <v>46639</v>
      </c>
      <c r="E625" s="9" t="s">
        <v>6676</v>
      </c>
      <c r="F625" s="6"/>
    </row>
    <row r="626" spans="1:6" ht="19">
      <c r="A626" s="6">
        <v>623</v>
      </c>
      <c r="B626" s="1" t="s">
        <v>6775</v>
      </c>
      <c r="C626" s="7">
        <v>46606</v>
      </c>
      <c r="D626" s="7">
        <v>44776</v>
      </c>
      <c r="E626" s="8">
        <v>4.0899999999999999E-2</v>
      </c>
      <c r="F626" s="1" t="s">
        <v>6776</v>
      </c>
    </row>
    <row r="627" spans="1:6" ht="19">
      <c r="A627" s="6">
        <v>624</v>
      </c>
      <c r="B627" s="1" t="s">
        <v>6777</v>
      </c>
      <c r="C627" s="7">
        <v>46336</v>
      </c>
      <c r="D627" s="7">
        <v>46183</v>
      </c>
      <c r="E627" s="8">
        <v>3.3E-3</v>
      </c>
      <c r="F627" s="1" t="s">
        <v>5908</v>
      </c>
    </row>
    <row r="628" spans="1:6" ht="19">
      <c r="A628" s="6">
        <v>625</v>
      </c>
      <c r="B628" s="1" t="s">
        <v>6778</v>
      </c>
      <c r="C628" s="7">
        <v>46229</v>
      </c>
      <c r="D628" s="7">
        <v>46688</v>
      </c>
      <c r="E628" s="9" t="s">
        <v>6129</v>
      </c>
      <c r="F628" s="6"/>
    </row>
    <row r="629" spans="1:6" ht="19">
      <c r="A629" s="6">
        <v>626</v>
      </c>
      <c r="B629" s="1" t="s">
        <v>6779</v>
      </c>
      <c r="C629" s="7">
        <v>46151</v>
      </c>
      <c r="D629" s="7">
        <v>46034</v>
      </c>
      <c r="E629" s="8">
        <v>2.5000000000000001E-3</v>
      </c>
      <c r="F629" s="6"/>
    </row>
    <row r="630" spans="1:6" ht="19">
      <c r="A630" s="6">
        <v>627</v>
      </c>
      <c r="B630" s="1" t="s">
        <v>6780</v>
      </c>
      <c r="C630" s="7">
        <v>46137</v>
      </c>
      <c r="D630" s="7">
        <v>45498</v>
      </c>
      <c r="E630" s="8">
        <v>1.4E-2</v>
      </c>
      <c r="F630" s="6"/>
    </row>
    <row r="631" spans="1:6" ht="19">
      <c r="A631" s="6">
        <v>628</v>
      </c>
      <c r="B631" s="1" t="s">
        <v>6781</v>
      </c>
      <c r="C631" s="7">
        <v>46078</v>
      </c>
      <c r="D631" s="7">
        <v>46134</v>
      </c>
      <c r="E631" s="9" t="s">
        <v>6665</v>
      </c>
      <c r="F631" s="1" t="s">
        <v>6276</v>
      </c>
    </row>
    <row r="632" spans="1:6" ht="19">
      <c r="A632" s="6">
        <v>629</v>
      </c>
      <c r="B632" s="1" t="s">
        <v>6782</v>
      </c>
      <c r="C632" s="7">
        <v>45947</v>
      </c>
      <c r="D632" s="7">
        <v>46181</v>
      </c>
      <c r="E632" s="9" t="s">
        <v>6122</v>
      </c>
      <c r="F632" s="1" t="s">
        <v>6141</v>
      </c>
    </row>
    <row r="633" spans="1:6" ht="19">
      <c r="A633" s="6">
        <v>630</v>
      </c>
      <c r="B633" s="1" t="s">
        <v>6783</v>
      </c>
      <c r="C633" s="7">
        <v>45943</v>
      </c>
      <c r="D633" s="7">
        <v>45913</v>
      </c>
      <c r="E633" s="8">
        <v>6.9999999999999999E-4</v>
      </c>
      <c r="F633" s="6"/>
    </row>
    <row r="634" spans="1:6" ht="19">
      <c r="A634" s="6">
        <v>631</v>
      </c>
      <c r="B634" s="1" t="s">
        <v>6784</v>
      </c>
      <c r="C634" s="7">
        <v>45831</v>
      </c>
      <c r="D634" s="7">
        <v>46562</v>
      </c>
      <c r="E634" s="9" t="s">
        <v>6785</v>
      </c>
      <c r="F634" s="6"/>
    </row>
    <row r="635" spans="1:6" ht="19">
      <c r="A635" s="6">
        <v>631</v>
      </c>
      <c r="B635" s="1" t="s">
        <v>6786</v>
      </c>
      <c r="C635" s="7">
        <v>45831</v>
      </c>
      <c r="D635" s="7">
        <v>45949</v>
      </c>
      <c r="E635" s="9" t="s">
        <v>6399</v>
      </c>
      <c r="F635" s="1" t="s">
        <v>6440</v>
      </c>
    </row>
    <row r="636" spans="1:6" ht="19">
      <c r="A636" s="6">
        <v>633</v>
      </c>
      <c r="B636" s="1" t="s">
        <v>6787</v>
      </c>
      <c r="C636" s="7">
        <v>45573</v>
      </c>
      <c r="D636" s="7">
        <v>45058</v>
      </c>
      <c r="E636" s="8">
        <v>1.14E-2</v>
      </c>
      <c r="F636" s="1" t="s">
        <v>5943</v>
      </c>
    </row>
    <row r="637" spans="1:6" ht="19">
      <c r="A637" s="6">
        <v>634</v>
      </c>
      <c r="B637" s="1" t="s">
        <v>6788</v>
      </c>
      <c r="C637" s="7">
        <v>45562</v>
      </c>
      <c r="D637" s="7">
        <v>46480</v>
      </c>
      <c r="E637" s="9" t="s">
        <v>6789</v>
      </c>
      <c r="F637" s="6"/>
    </row>
    <row r="638" spans="1:6" ht="19">
      <c r="A638" s="6">
        <v>635</v>
      </c>
      <c r="B638" s="1" t="s">
        <v>6790</v>
      </c>
      <c r="C638" s="7">
        <v>45474</v>
      </c>
      <c r="D638" s="7">
        <v>45858</v>
      </c>
      <c r="E638" s="9" t="s">
        <v>6791</v>
      </c>
      <c r="F638" s="1" t="s">
        <v>5937</v>
      </c>
    </row>
    <row r="639" spans="1:6" ht="19">
      <c r="A639" s="6">
        <v>635</v>
      </c>
      <c r="B639" s="1" t="s">
        <v>6792</v>
      </c>
      <c r="C639" s="7">
        <v>45474</v>
      </c>
      <c r="D639" s="7">
        <v>45607</v>
      </c>
      <c r="E639" s="9" t="s">
        <v>6793</v>
      </c>
      <c r="F639" s="1" t="s">
        <v>6345</v>
      </c>
    </row>
    <row r="640" spans="1:6" ht="19">
      <c r="A640" s="6">
        <v>637</v>
      </c>
      <c r="B640" s="1" t="s">
        <v>6794</v>
      </c>
      <c r="C640" s="7">
        <v>45413</v>
      </c>
      <c r="D640" s="7">
        <v>45233</v>
      </c>
      <c r="E640" s="8">
        <v>4.0000000000000001E-3</v>
      </c>
      <c r="F640" s="6"/>
    </row>
    <row r="641" spans="1:6" ht="19">
      <c r="A641" s="6">
        <v>638</v>
      </c>
      <c r="B641" s="1" t="s">
        <v>6795</v>
      </c>
      <c r="C641" s="7">
        <v>45375</v>
      </c>
      <c r="D641" s="7">
        <v>44442</v>
      </c>
      <c r="E641" s="8">
        <v>2.1000000000000001E-2</v>
      </c>
      <c r="F641" s="6"/>
    </row>
    <row r="642" spans="1:6" ht="19">
      <c r="A642" s="6">
        <v>639</v>
      </c>
      <c r="B642" s="1" t="s">
        <v>6796</v>
      </c>
      <c r="C642" s="7">
        <v>45267</v>
      </c>
      <c r="D642" s="7">
        <v>43806</v>
      </c>
      <c r="E642" s="8">
        <v>3.3399999999999999E-2</v>
      </c>
      <c r="F642" s="6"/>
    </row>
    <row r="643" spans="1:6" ht="19">
      <c r="A643" s="6">
        <v>640</v>
      </c>
      <c r="B643" s="1" t="s">
        <v>6797</v>
      </c>
      <c r="C643" s="7">
        <v>45132</v>
      </c>
      <c r="D643" s="7">
        <v>45422</v>
      </c>
      <c r="E643" s="9" t="s">
        <v>6308</v>
      </c>
      <c r="F643" s="1" t="s">
        <v>5963</v>
      </c>
    </row>
    <row r="644" spans="1:6" ht="19">
      <c r="A644" s="6">
        <v>641</v>
      </c>
      <c r="B644" s="1" t="s">
        <v>6798</v>
      </c>
      <c r="C644" s="7">
        <v>45048</v>
      </c>
      <c r="D644" s="7">
        <v>45837</v>
      </c>
      <c r="E644" s="9" t="s">
        <v>6799</v>
      </c>
      <c r="F644" s="6"/>
    </row>
    <row r="645" spans="1:6" ht="19">
      <c r="A645" s="6">
        <v>642</v>
      </c>
      <c r="B645" s="1" t="s">
        <v>6800</v>
      </c>
      <c r="C645" s="7">
        <v>44998</v>
      </c>
      <c r="D645" s="7">
        <v>44996</v>
      </c>
      <c r="E645" s="10">
        <v>0</v>
      </c>
      <c r="F645" s="1" t="s">
        <v>6123</v>
      </c>
    </row>
    <row r="646" spans="1:6" ht="19">
      <c r="A646" s="6">
        <v>643</v>
      </c>
      <c r="B646" s="1" t="s">
        <v>6801</v>
      </c>
      <c r="C646" s="7">
        <v>44987</v>
      </c>
      <c r="D646" s="7">
        <v>45156</v>
      </c>
      <c r="E646" s="9" t="s">
        <v>6524</v>
      </c>
      <c r="F646" s="6"/>
    </row>
    <row r="647" spans="1:6" ht="19">
      <c r="A647" s="6">
        <v>644</v>
      </c>
      <c r="B647" s="1" t="s">
        <v>6802</v>
      </c>
      <c r="C647" s="7">
        <v>44952</v>
      </c>
      <c r="D647" s="7">
        <v>44947</v>
      </c>
      <c r="E647" s="8">
        <v>1E-4</v>
      </c>
      <c r="F647" s="1" t="s">
        <v>6493</v>
      </c>
    </row>
    <row r="648" spans="1:6" ht="19">
      <c r="A648" s="6">
        <v>645</v>
      </c>
      <c r="B648" s="1" t="s">
        <v>6803</v>
      </c>
      <c r="C648" s="7">
        <v>44924</v>
      </c>
      <c r="D648" s="7">
        <v>44396</v>
      </c>
      <c r="E648" s="8">
        <v>1.1900000000000001E-2</v>
      </c>
      <c r="F648" s="1" t="s">
        <v>6063</v>
      </c>
    </row>
    <row r="649" spans="1:6" ht="19">
      <c r="A649" s="6">
        <v>646</v>
      </c>
      <c r="B649" s="1" t="s">
        <v>6804</v>
      </c>
      <c r="C649" s="7">
        <v>44779</v>
      </c>
      <c r="D649" s="7">
        <v>45048</v>
      </c>
      <c r="E649" s="9" t="s">
        <v>6805</v>
      </c>
      <c r="F649" s="6"/>
    </row>
    <row r="650" spans="1:6" ht="19">
      <c r="A650" s="6">
        <v>647</v>
      </c>
      <c r="B650" s="1" t="s">
        <v>6806</v>
      </c>
      <c r="C650" s="7">
        <v>44724</v>
      </c>
      <c r="D650" s="7">
        <v>44720</v>
      </c>
      <c r="E650" s="8">
        <v>1E-4</v>
      </c>
      <c r="F650" s="6"/>
    </row>
    <row r="651" spans="1:6" ht="19">
      <c r="A651" s="6">
        <v>648</v>
      </c>
      <c r="B651" s="1" t="s">
        <v>6807</v>
      </c>
      <c r="C651" s="7">
        <v>44319</v>
      </c>
      <c r="D651" s="7">
        <v>43437</v>
      </c>
      <c r="E651" s="8">
        <v>2.0299999999999999E-2</v>
      </c>
      <c r="F651" s="1" t="s">
        <v>5956</v>
      </c>
    </row>
    <row r="652" spans="1:6" ht="19">
      <c r="A652" s="6">
        <v>649</v>
      </c>
      <c r="B652" s="1" t="s">
        <v>6808</v>
      </c>
      <c r="C652" s="7">
        <v>44072</v>
      </c>
      <c r="D652" s="7">
        <v>43857</v>
      </c>
      <c r="E652" s="8">
        <v>4.8999999999999998E-3</v>
      </c>
      <c r="F652" s="1" t="s">
        <v>6272</v>
      </c>
    </row>
    <row r="653" spans="1:6" ht="19">
      <c r="A653" s="6">
        <v>650</v>
      </c>
      <c r="B653" s="1" t="s">
        <v>6809</v>
      </c>
      <c r="C653" s="7">
        <v>44055</v>
      </c>
      <c r="D653" s="7">
        <v>44378</v>
      </c>
      <c r="E653" s="9" t="s">
        <v>6810</v>
      </c>
      <c r="F653" s="6"/>
    </row>
    <row r="654" spans="1:6" ht="19">
      <c r="A654" s="6">
        <v>651</v>
      </c>
      <c r="B654" s="1" t="s">
        <v>6811</v>
      </c>
      <c r="C654" s="7">
        <v>43868</v>
      </c>
      <c r="D654" s="7">
        <v>45248</v>
      </c>
      <c r="E654" s="9" t="s">
        <v>6812</v>
      </c>
      <c r="F654" s="6"/>
    </row>
    <row r="655" spans="1:6" ht="19">
      <c r="A655" s="6">
        <v>652</v>
      </c>
      <c r="B655" s="1" t="s">
        <v>6813</v>
      </c>
      <c r="C655" s="7">
        <v>43520</v>
      </c>
      <c r="D655" s="7">
        <v>43041</v>
      </c>
      <c r="E655" s="8">
        <v>1.11E-2</v>
      </c>
      <c r="F655" s="6"/>
    </row>
    <row r="656" spans="1:6" ht="19">
      <c r="A656" s="6">
        <v>653</v>
      </c>
      <c r="B656" s="1" t="s">
        <v>6814</v>
      </c>
      <c r="C656" s="7">
        <v>43399</v>
      </c>
      <c r="D656" s="7">
        <v>42416</v>
      </c>
      <c r="E656" s="8">
        <v>2.3199999999999998E-2</v>
      </c>
      <c r="F656" s="1" t="s">
        <v>5885</v>
      </c>
    </row>
    <row r="657" spans="1:6" ht="19">
      <c r="A657" s="6">
        <v>654</v>
      </c>
      <c r="B657" s="1" t="s">
        <v>6815</v>
      </c>
      <c r="C657" s="7">
        <v>43318</v>
      </c>
      <c r="D657" s="7">
        <v>42798</v>
      </c>
      <c r="E657" s="8">
        <v>1.2200000000000001E-2</v>
      </c>
      <c r="F657" s="1" t="s">
        <v>5974</v>
      </c>
    </row>
    <row r="658" spans="1:6" ht="19">
      <c r="A658" s="6">
        <v>655</v>
      </c>
      <c r="B658" s="1" t="s">
        <v>6816</v>
      </c>
      <c r="C658" s="7">
        <v>43286</v>
      </c>
      <c r="D658" s="7">
        <v>43021</v>
      </c>
      <c r="E658" s="8">
        <v>6.1999999999999998E-3</v>
      </c>
      <c r="F658" s="6"/>
    </row>
    <row r="659" spans="1:6" ht="19">
      <c r="A659" s="6">
        <v>656</v>
      </c>
      <c r="B659" s="1" t="s">
        <v>6817</v>
      </c>
      <c r="C659" s="7">
        <v>43170</v>
      </c>
      <c r="D659" s="7">
        <v>42356</v>
      </c>
      <c r="E659" s="8">
        <v>1.9199999999999998E-2</v>
      </c>
      <c r="F659" s="6"/>
    </row>
    <row r="660" spans="1:6" ht="19">
      <c r="A660" s="6">
        <v>657</v>
      </c>
      <c r="B660" s="1" t="s">
        <v>6818</v>
      </c>
      <c r="C660" s="7">
        <v>43163</v>
      </c>
      <c r="D660" s="7">
        <v>42090</v>
      </c>
      <c r="E660" s="8">
        <v>2.5499999999999998E-2</v>
      </c>
      <c r="F660" s="1" t="s">
        <v>6382</v>
      </c>
    </row>
    <row r="661" spans="1:6" ht="19">
      <c r="A661" s="6">
        <v>658</v>
      </c>
      <c r="B661" s="1" t="s">
        <v>6819</v>
      </c>
      <c r="C661" s="7">
        <v>43127</v>
      </c>
      <c r="D661" s="7">
        <v>43450</v>
      </c>
      <c r="E661" s="9" t="s">
        <v>6514</v>
      </c>
      <c r="F661" s="6"/>
    </row>
    <row r="662" spans="1:6" ht="19">
      <c r="A662" s="6">
        <v>659</v>
      </c>
      <c r="B662" s="1" t="s">
        <v>6820</v>
      </c>
      <c r="C662" s="7">
        <v>43083</v>
      </c>
      <c r="D662" s="7">
        <v>42376</v>
      </c>
      <c r="E662" s="8">
        <v>1.67E-2</v>
      </c>
      <c r="F662" s="1" t="s">
        <v>5939</v>
      </c>
    </row>
    <row r="663" spans="1:6" ht="19">
      <c r="A663" s="6">
        <v>660</v>
      </c>
      <c r="B663" s="1" t="s">
        <v>6821</v>
      </c>
      <c r="C663" s="7">
        <v>43053</v>
      </c>
      <c r="D663" s="7">
        <v>42794</v>
      </c>
      <c r="E663" s="8">
        <v>6.1000000000000004E-3</v>
      </c>
      <c r="F663" s="6"/>
    </row>
    <row r="664" spans="1:6" ht="19">
      <c r="A664" s="6">
        <v>661</v>
      </c>
      <c r="B664" s="1" t="s">
        <v>6822</v>
      </c>
      <c r="C664" s="7">
        <v>42963</v>
      </c>
      <c r="D664" s="7">
        <v>43946</v>
      </c>
      <c r="E664" s="9" t="s">
        <v>6823</v>
      </c>
      <c r="F664" s="1" t="s">
        <v>5935</v>
      </c>
    </row>
    <row r="665" spans="1:6" ht="19">
      <c r="A665" s="6">
        <v>662</v>
      </c>
      <c r="B665" s="1" t="s">
        <v>6824</v>
      </c>
      <c r="C665" s="7">
        <v>42879</v>
      </c>
      <c r="D665" s="7">
        <v>42745</v>
      </c>
      <c r="E665" s="8">
        <v>3.0999999999999999E-3</v>
      </c>
      <c r="F665" s="1" t="s">
        <v>6107</v>
      </c>
    </row>
    <row r="666" spans="1:6" ht="19">
      <c r="A666" s="6">
        <v>663</v>
      </c>
      <c r="B666" s="1" t="s">
        <v>6825</v>
      </c>
      <c r="C666" s="7">
        <v>42864</v>
      </c>
      <c r="D666" s="7">
        <v>43820</v>
      </c>
      <c r="E666" s="9" t="s">
        <v>6826</v>
      </c>
      <c r="F666" s="6"/>
    </row>
    <row r="667" spans="1:6" ht="19">
      <c r="A667" s="6">
        <v>664</v>
      </c>
      <c r="B667" s="1" t="s">
        <v>6827</v>
      </c>
      <c r="C667" s="7">
        <v>42849</v>
      </c>
      <c r="D667" s="7">
        <v>43784</v>
      </c>
      <c r="E667" s="9" t="s">
        <v>6828</v>
      </c>
      <c r="F667" s="1" t="s">
        <v>6386</v>
      </c>
    </row>
    <row r="668" spans="1:6" ht="19">
      <c r="A668" s="6">
        <v>665</v>
      </c>
      <c r="B668" s="1" t="s">
        <v>6829</v>
      </c>
      <c r="C668" s="7">
        <v>42379</v>
      </c>
      <c r="D668" s="7">
        <v>42239</v>
      </c>
      <c r="E668" s="8">
        <v>3.3E-3</v>
      </c>
      <c r="F668" s="6"/>
    </row>
    <row r="669" spans="1:6" ht="19">
      <c r="A669" s="6">
        <v>666</v>
      </c>
      <c r="B669" s="1" t="s">
        <v>6830</v>
      </c>
      <c r="C669" s="7">
        <v>42321</v>
      </c>
      <c r="D669" s="7">
        <v>42223</v>
      </c>
      <c r="E669" s="8">
        <v>2.3E-3</v>
      </c>
      <c r="F669" s="1" t="s">
        <v>6088</v>
      </c>
    </row>
    <row r="670" spans="1:6" ht="19">
      <c r="A670" s="6">
        <v>667</v>
      </c>
      <c r="B670" s="1" t="s">
        <v>6831</v>
      </c>
      <c r="C670" s="7">
        <v>42319</v>
      </c>
      <c r="D670" s="7">
        <v>42201</v>
      </c>
      <c r="E670" s="8">
        <v>2.8E-3</v>
      </c>
      <c r="F670" s="6"/>
    </row>
    <row r="671" spans="1:6" ht="19">
      <c r="A671" s="6">
        <v>668</v>
      </c>
      <c r="B671" s="1" t="s">
        <v>6832</v>
      </c>
      <c r="C671" s="7">
        <v>42086</v>
      </c>
      <c r="D671" s="7">
        <v>41869</v>
      </c>
      <c r="E671" s="8">
        <v>5.1999999999999998E-3</v>
      </c>
      <c r="F671" s="1" t="s">
        <v>5943</v>
      </c>
    </row>
    <row r="672" spans="1:6" ht="19">
      <c r="A672" s="6">
        <v>669</v>
      </c>
      <c r="B672" s="1" t="s">
        <v>6833</v>
      </c>
      <c r="C672" s="7">
        <v>42063</v>
      </c>
      <c r="D672" s="7">
        <v>42476</v>
      </c>
      <c r="E672" s="9" t="s">
        <v>6686</v>
      </c>
      <c r="F672" s="1" t="s">
        <v>6593</v>
      </c>
    </row>
    <row r="673" spans="1:6" ht="19">
      <c r="A673" s="6">
        <v>670</v>
      </c>
      <c r="B673" s="1" t="s">
        <v>6834</v>
      </c>
      <c r="C673" s="7">
        <v>41886</v>
      </c>
      <c r="D673" s="7">
        <v>42040</v>
      </c>
      <c r="E673" s="9" t="s">
        <v>6524</v>
      </c>
      <c r="F673" s="1" t="s">
        <v>5928</v>
      </c>
    </row>
    <row r="674" spans="1:6" ht="19">
      <c r="A674" s="6">
        <v>671</v>
      </c>
      <c r="B674" s="1" t="s">
        <v>6835</v>
      </c>
      <c r="C674" s="7">
        <v>41754</v>
      </c>
      <c r="D674" s="7">
        <v>40838</v>
      </c>
      <c r="E674" s="8">
        <v>2.24E-2</v>
      </c>
      <c r="F674" s="1" t="s">
        <v>6077</v>
      </c>
    </row>
    <row r="675" spans="1:6" ht="19">
      <c r="A675" s="6">
        <v>672</v>
      </c>
      <c r="B675" s="1" t="s">
        <v>6836</v>
      </c>
      <c r="C675" s="7">
        <v>41672</v>
      </c>
      <c r="D675" s="7">
        <v>40915</v>
      </c>
      <c r="E675" s="8">
        <v>1.8499999999999999E-2</v>
      </c>
      <c r="F675" s="6"/>
    </row>
    <row r="676" spans="1:6" ht="19">
      <c r="A676" s="6">
        <v>673</v>
      </c>
      <c r="B676" s="1" t="s">
        <v>6837</v>
      </c>
      <c r="C676" s="7">
        <v>41371</v>
      </c>
      <c r="D676" s="7">
        <v>42914</v>
      </c>
      <c r="E676" s="9" t="s">
        <v>6838</v>
      </c>
      <c r="F676" s="6"/>
    </row>
    <row r="677" spans="1:6" ht="19">
      <c r="A677" s="6">
        <v>674</v>
      </c>
      <c r="B677" s="1" t="s">
        <v>6839</v>
      </c>
      <c r="C677" s="7">
        <v>41357</v>
      </c>
      <c r="D677" s="7">
        <v>40602</v>
      </c>
      <c r="E677" s="8">
        <v>1.8599999999999998E-2</v>
      </c>
      <c r="F677" s="6"/>
    </row>
    <row r="678" spans="1:6" ht="19">
      <c r="A678" s="6">
        <v>675</v>
      </c>
      <c r="B678" s="1" t="s">
        <v>6840</v>
      </c>
      <c r="C678" s="7">
        <v>41339</v>
      </c>
      <c r="D678" s="7">
        <v>41428</v>
      </c>
      <c r="E678" s="9" t="s">
        <v>6035</v>
      </c>
      <c r="F678" s="1" t="s">
        <v>6036</v>
      </c>
    </row>
    <row r="679" spans="1:6" ht="19">
      <c r="A679" s="6">
        <v>676</v>
      </c>
      <c r="B679" s="1" t="s">
        <v>6841</v>
      </c>
      <c r="C679" s="7">
        <v>41285</v>
      </c>
      <c r="D679" s="7">
        <v>41280</v>
      </c>
      <c r="E679" s="8">
        <v>1E-4</v>
      </c>
      <c r="F679" s="1" t="s">
        <v>5887</v>
      </c>
    </row>
    <row r="680" spans="1:6" ht="19">
      <c r="A680" s="6">
        <v>677</v>
      </c>
      <c r="B680" s="1" t="s">
        <v>6842</v>
      </c>
      <c r="C680" s="7">
        <v>41188</v>
      </c>
      <c r="D680" s="7">
        <v>41475</v>
      </c>
      <c r="E680" s="9" t="s">
        <v>6843</v>
      </c>
      <c r="F680" s="1" t="s">
        <v>5895</v>
      </c>
    </row>
    <row r="681" spans="1:6" ht="19">
      <c r="A681" s="6">
        <v>678</v>
      </c>
      <c r="B681" s="1" t="s">
        <v>6844</v>
      </c>
      <c r="C681" s="7">
        <v>41168</v>
      </c>
      <c r="D681" s="7">
        <v>40753</v>
      </c>
      <c r="E681" s="8">
        <v>1.0200000000000001E-2</v>
      </c>
      <c r="F681" s="6"/>
    </row>
    <row r="682" spans="1:6" ht="19">
      <c r="A682" s="6">
        <v>679</v>
      </c>
      <c r="B682" s="1" t="s">
        <v>6845</v>
      </c>
      <c r="C682" s="7">
        <v>41146</v>
      </c>
      <c r="D682" s="7">
        <v>41815</v>
      </c>
      <c r="E682" s="9" t="s">
        <v>6846</v>
      </c>
      <c r="F682" s="6"/>
    </row>
    <row r="683" spans="1:6" ht="19">
      <c r="A683" s="6">
        <v>680</v>
      </c>
      <c r="B683" s="1" t="s">
        <v>6847</v>
      </c>
      <c r="C683" s="7">
        <v>41110</v>
      </c>
      <c r="D683" s="7">
        <v>40123</v>
      </c>
      <c r="E683" s="8">
        <v>2.46E-2</v>
      </c>
      <c r="F683" s="6"/>
    </row>
    <row r="684" spans="1:6" ht="19">
      <c r="A684" s="6">
        <v>681</v>
      </c>
      <c r="B684" s="1" t="s">
        <v>6848</v>
      </c>
      <c r="C684" s="7">
        <v>41064</v>
      </c>
      <c r="D684" s="7">
        <v>40118</v>
      </c>
      <c r="E684" s="8">
        <v>2.3599999999999999E-2</v>
      </c>
      <c r="F684" s="6"/>
    </row>
    <row r="685" spans="1:6" ht="19">
      <c r="A685" s="6">
        <v>682</v>
      </c>
      <c r="B685" s="1" t="s">
        <v>6849</v>
      </c>
      <c r="C685" s="7">
        <v>41048</v>
      </c>
      <c r="D685" s="7">
        <v>41513</v>
      </c>
      <c r="E685" s="9" t="s">
        <v>6439</v>
      </c>
      <c r="F685" s="6"/>
    </row>
    <row r="686" spans="1:6" ht="19">
      <c r="A686" s="6">
        <v>683</v>
      </c>
      <c r="B686" s="1" t="s">
        <v>6850</v>
      </c>
      <c r="C686" s="7">
        <v>40875</v>
      </c>
      <c r="D686" s="7">
        <v>40814</v>
      </c>
      <c r="E686" s="8">
        <v>1.5E-3</v>
      </c>
      <c r="F686" s="1" t="s">
        <v>6440</v>
      </c>
    </row>
    <row r="687" spans="1:6" ht="19">
      <c r="A687" s="6">
        <v>684</v>
      </c>
      <c r="B687" s="1" t="s">
        <v>6851</v>
      </c>
      <c r="C687" s="7">
        <v>40867</v>
      </c>
      <c r="D687" s="7">
        <v>41639</v>
      </c>
      <c r="E687" s="9" t="s">
        <v>6852</v>
      </c>
      <c r="F687" s="6"/>
    </row>
    <row r="688" spans="1:6" ht="19">
      <c r="A688" s="6">
        <v>685</v>
      </c>
      <c r="B688" s="1" t="s">
        <v>6853</v>
      </c>
      <c r="C688" s="7">
        <v>40857</v>
      </c>
      <c r="D688" s="7">
        <v>40648</v>
      </c>
      <c r="E688" s="8">
        <v>5.1000000000000004E-3</v>
      </c>
      <c r="F688" s="6"/>
    </row>
    <row r="689" spans="1:6" ht="19">
      <c r="A689" s="6">
        <v>686</v>
      </c>
      <c r="B689" s="1" t="s">
        <v>6854</v>
      </c>
      <c r="C689" s="7">
        <v>40725</v>
      </c>
      <c r="D689" s="7">
        <v>41276</v>
      </c>
      <c r="E689" s="9" t="s">
        <v>6337</v>
      </c>
      <c r="F689" s="6"/>
    </row>
    <row r="690" spans="1:6" ht="19">
      <c r="A690" s="6">
        <v>687</v>
      </c>
      <c r="B690" s="1" t="s">
        <v>6855</v>
      </c>
      <c r="C690" s="7">
        <v>40629</v>
      </c>
      <c r="D690" s="7">
        <v>40400</v>
      </c>
      <c r="E690" s="8">
        <v>5.7000000000000002E-3</v>
      </c>
      <c r="F690" s="6"/>
    </row>
    <row r="691" spans="1:6" ht="19">
      <c r="A691" s="6">
        <v>688</v>
      </c>
      <c r="B691" s="1" t="s">
        <v>6856</v>
      </c>
      <c r="C691" s="7">
        <v>40562</v>
      </c>
      <c r="D691" s="7">
        <v>40902</v>
      </c>
      <c r="E691" s="9" t="s">
        <v>6319</v>
      </c>
      <c r="F691" s="1" t="s">
        <v>6211</v>
      </c>
    </row>
    <row r="692" spans="1:6" ht="19">
      <c r="A692" s="6">
        <v>689</v>
      </c>
      <c r="B692" s="1" t="s">
        <v>6857</v>
      </c>
      <c r="C692" s="7">
        <v>40476</v>
      </c>
      <c r="D692" s="7">
        <v>40877</v>
      </c>
      <c r="E692" s="9" t="s">
        <v>6129</v>
      </c>
      <c r="F692" s="6"/>
    </row>
    <row r="693" spans="1:6" ht="19">
      <c r="A693" s="6">
        <v>690</v>
      </c>
      <c r="B693" s="1" t="s">
        <v>6858</v>
      </c>
      <c r="C693" s="7">
        <v>40448</v>
      </c>
      <c r="D693" s="7">
        <v>40271</v>
      </c>
      <c r="E693" s="8">
        <v>4.4000000000000003E-3</v>
      </c>
      <c r="F693" s="6"/>
    </row>
    <row r="694" spans="1:6" ht="19">
      <c r="A694" s="6">
        <v>691</v>
      </c>
      <c r="B694" s="1" t="s">
        <v>6859</v>
      </c>
      <c r="C694" s="7">
        <v>40318</v>
      </c>
      <c r="D694" s="7">
        <v>40246</v>
      </c>
      <c r="E694" s="8">
        <v>1.8E-3</v>
      </c>
      <c r="F694" s="1" t="s">
        <v>5985</v>
      </c>
    </row>
    <row r="695" spans="1:6" ht="19">
      <c r="A695" s="6">
        <v>692</v>
      </c>
      <c r="B695" s="1" t="s">
        <v>6860</v>
      </c>
      <c r="C695" s="7">
        <v>39839</v>
      </c>
      <c r="D695" s="7">
        <v>39839</v>
      </c>
      <c r="E695" s="10">
        <v>0</v>
      </c>
      <c r="F695" s="6"/>
    </row>
    <row r="696" spans="1:6" ht="19">
      <c r="A696" s="6">
        <v>693</v>
      </c>
      <c r="B696" s="1" t="s">
        <v>6861</v>
      </c>
      <c r="C696" s="7">
        <v>39817</v>
      </c>
      <c r="D696" s="7">
        <v>40087</v>
      </c>
      <c r="E696" s="9" t="s">
        <v>6468</v>
      </c>
      <c r="F696" s="1" t="s">
        <v>5937</v>
      </c>
    </row>
    <row r="697" spans="1:6" ht="19">
      <c r="A697" s="6">
        <v>694</v>
      </c>
      <c r="B697" s="1" t="s">
        <v>6862</v>
      </c>
      <c r="C697" s="7">
        <v>39672</v>
      </c>
      <c r="D697" s="7">
        <v>39702</v>
      </c>
      <c r="E697" s="9" t="s">
        <v>6769</v>
      </c>
      <c r="F697" s="1" t="s">
        <v>6493</v>
      </c>
    </row>
    <row r="698" spans="1:6" ht="19">
      <c r="A698" s="6">
        <v>695</v>
      </c>
      <c r="B698" s="1" t="s">
        <v>6863</v>
      </c>
      <c r="C698" s="7">
        <v>39565</v>
      </c>
      <c r="D698" s="7">
        <v>40097</v>
      </c>
      <c r="E698" s="9" t="s">
        <v>6337</v>
      </c>
      <c r="F698" s="1" t="s">
        <v>6004</v>
      </c>
    </row>
    <row r="699" spans="1:6" ht="19">
      <c r="A699" s="6">
        <v>696</v>
      </c>
      <c r="B699" s="1" t="s">
        <v>6864</v>
      </c>
      <c r="C699" s="7">
        <v>39517</v>
      </c>
      <c r="D699" s="7">
        <v>39238</v>
      </c>
      <c r="E699" s="8">
        <v>7.1000000000000004E-3</v>
      </c>
      <c r="F699" s="1" t="s">
        <v>6403</v>
      </c>
    </row>
    <row r="700" spans="1:6" ht="19">
      <c r="A700" s="6">
        <v>697</v>
      </c>
      <c r="B700" s="1" t="s">
        <v>6865</v>
      </c>
      <c r="C700" s="7">
        <v>39467</v>
      </c>
      <c r="D700" s="7">
        <v>39996</v>
      </c>
      <c r="E700" s="9" t="s">
        <v>6866</v>
      </c>
      <c r="F700" s="1" t="s">
        <v>5893</v>
      </c>
    </row>
    <row r="701" spans="1:6" ht="19">
      <c r="A701" s="6">
        <v>698</v>
      </c>
      <c r="B701" s="1" t="s">
        <v>6867</v>
      </c>
      <c r="C701" s="7">
        <v>39436</v>
      </c>
      <c r="D701" s="7">
        <v>39566</v>
      </c>
      <c r="E701" s="9" t="s">
        <v>6429</v>
      </c>
      <c r="F701" s="6"/>
    </row>
    <row r="702" spans="1:6" ht="19">
      <c r="A702" s="6">
        <v>699</v>
      </c>
      <c r="B702" s="1" t="s">
        <v>6868</v>
      </c>
      <c r="C702" s="7">
        <v>39372</v>
      </c>
      <c r="D702" s="7">
        <v>39163</v>
      </c>
      <c r="E702" s="8">
        <v>5.3E-3</v>
      </c>
      <c r="F702" s="1" t="s">
        <v>6213</v>
      </c>
    </row>
    <row r="703" spans="1:6" ht="19">
      <c r="A703" s="6">
        <v>700</v>
      </c>
      <c r="B703" s="1" t="s">
        <v>6869</v>
      </c>
      <c r="C703" s="7">
        <v>39361</v>
      </c>
      <c r="D703" s="7">
        <v>39134</v>
      </c>
      <c r="E703" s="8">
        <v>5.7999999999999996E-3</v>
      </c>
      <c r="F703" s="6"/>
    </row>
    <row r="704" spans="1:6" ht="19">
      <c r="A704" s="6">
        <v>701</v>
      </c>
      <c r="B704" s="1" t="s">
        <v>6870</v>
      </c>
      <c r="C704" s="7">
        <v>39321</v>
      </c>
      <c r="D704" s="7">
        <v>37890</v>
      </c>
      <c r="E704" s="8">
        <v>3.78E-2</v>
      </c>
      <c r="F704" s="6"/>
    </row>
    <row r="705" spans="1:6" ht="19">
      <c r="A705" s="6">
        <v>702</v>
      </c>
      <c r="B705" s="1" t="s">
        <v>6871</v>
      </c>
      <c r="C705" s="7">
        <v>39139</v>
      </c>
      <c r="D705" s="7">
        <v>39191</v>
      </c>
      <c r="E705" s="9" t="s">
        <v>6015</v>
      </c>
      <c r="F705" s="1" t="s">
        <v>6478</v>
      </c>
    </row>
    <row r="706" spans="1:6" ht="19">
      <c r="A706" s="6">
        <v>703</v>
      </c>
      <c r="B706" s="1" t="s">
        <v>6872</v>
      </c>
      <c r="C706" s="7">
        <v>39039</v>
      </c>
      <c r="D706" s="7">
        <v>38971</v>
      </c>
      <c r="E706" s="8">
        <v>1.6999999999999999E-3</v>
      </c>
      <c r="F706" s="6"/>
    </row>
    <row r="707" spans="1:6" ht="19">
      <c r="A707" s="6">
        <v>704</v>
      </c>
      <c r="B707" s="1" t="s">
        <v>6873</v>
      </c>
      <c r="C707" s="7">
        <v>39022</v>
      </c>
      <c r="D707" s="7">
        <v>38948</v>
      </c>
      <c r="E707" s="8">
        <v>1.9E-3</v>
      </c>
      <c r="F707" s="1" t="s">
        <v>6563</v>
      </c>
    </row>
    <row r="708" spans="1:6" ht="19">
      <c r="A708" s="6">
        <v>705</v>
      </c>
      <c r="B708" s="1" t="s">
        <v>6874</v>
      </c>
      <c r="C708" s="7">
        <v>38917</v>
      </c>
      <c r="D708" s="7">
        <v>38520</v>
      </c>
      <c r="E708" s="8">
        <v>1.03E-2</v>
      </c>
      <c r="F708" s="6"/>
    </row>
    <row r="709" spans="1:6" ht="19">
      <c r="A709" s="6">
        <v>706</v>
      </c>
      <c r="B709" s="1" t="s">
        <v>6875</v>
      </c>
      <c r="C709" s="7">
        <v>38911</v>
      </c>
      <c r="D709" s="7">
        <v>38327</v>
      </c>
      <c r="E709" s="8">
        <v>1.52E-2</v>
      </c>
      <c r="F709" s="1" t="s">
        <v>5945</v>
      </c>
    </row>
    <row r="710" spans="1:6" ht="19">
      <c r="A710" s="6">
        <v>707</v>
      </c>
      <c r="B710" s="1" t="s">
        <v>6876</v>
      </c>
      <c r="C710" s="7">
        <v>38894</v>
      </c>
      <c r="D710" s="7">
        <v>39437</v>
      </c>
      <c r="E710" s="9" t="s">
        <v>6877</v>
      </c>
      <c r="F710" s="1" t="s">
        <v>5912</v>
      </c>
    </row>
    <row r="711" spans="1:6" ht="19">
      <c r="A711" s="6">
        <v>708</v>
      </c>
      <c r="B711" s="1" t="s">
        <v>6878</v>
      </c>
      <c r="C711" s="7">
        <v>38735</v>
      </c>
      <c r="D711" s="7">
        <v>38784</v>
      </c>
      <c r="E711" s="9" t="s">
        <v>6015</v>
      </c>
      <c r="F711" s="6"/>
    </row>
    <row r="712" spans="1:6" ht="19">
      <c r="A712" s="6">
        <v>709</v>
      </c>
      <c r="B712" s="1" t="s">
        <v>6879</v>
      </c>
      <c r="C712" s="7">
        <v>38720</v>
      </c>
      <c r="D712" s="7">
        <v>38827</v>
      </c>
      <c r="E712" s="9" t="s">
        <v>6880</v>
      </c>
      <c r="F712" s="6"/>
    </row>
    <row r="713" spans="1:6" ht="19">
      <c r="A713" s="6">
        <v>710</v>
      </c>
      <c r="B713" s="1" t="s">
        <v>6881</v>
      </c>
      <c r="C713" s="7">
        <v>38688</v>
      </c>
      <c r="D713" s="7">
        <v>38437</v>
      </c>
      <c r="E713" s="8">
        <v>6.4999999999999997E-3</v>
      </c>
      <c r="F713" s="1" t="s">
        <v>5885</v>
      </c>
    </row>
    <row r="714" spans="1:6" ht="19">
      <c r="A714" s="6">
        <v>711</v>
      </c>
      <c r="B714" s="1" t="s">
        <v>6882</v>
      </c>
      <c r="C714" s="7">
        <v>38677</v>
      </c>
      <c r="D714" s="7">
        <v>39037</v>
      </c>
      <c r="E714" s="9" t="s">
        <v>6364</v>
      </c>
      <c r="F714" s="6"/>
    </row>
    <row r="715" spans="1:6" ht="19">
      <c r="A715" s="6">
        <v>712</v>
      </c>
      <c r="B715" s="1" t="s">
        <v>6883</v>
      </c>
      <c r="C715" s="7">
        <v>38647</v>
      </c>
      <c r="D715" s="7">
        <v>38950</v>
      </c>
      <c r="E715" s="9" t="s">
        <v>6431</v>
      </c>
      <c r="F715" s="1" t="s">
        <v>6237</v>
      </c>
    </row>
    <row r="716" spans="1:6" ht="19">
      <c r="A716" s="6">
        <v>713</v>
      </c>
      <c r="B716" s="1" t="s">
        <v>6884</v>
      </c>
      <c r="C716" s="7">
        <v>38581</v>
      </c>
      <c r="D716" s="7">
        <v>38966</v>
      </c>
      <c r="E716" s="9" t="s">
        <v>6484</v>
      </c>
      <c r="F716" s="6"/>
    </row>
    <row r="717" spans="1:6" ht="19">
      <c r="A717" s="6">
        <v>714</v>
      </c>
      <c r="B717" s="1" t="s">
        <v>6885</v>
      </c>
      <c r="C717" s="7">
        <v>38322</v>
      </c>
      <c r="D717" s="7">
        <v>39361</v>
      </c>
      <c r="E717" s="9" t="s">
        <v>6886</v>
      </c>
      <c r="F717" s="6"/>
    </row>
    <row r="718" spans="1:6" ht="19">
      <c r="A718" s="6">
        <v>715</v>
      </c>
      <c r="B718" s="1" t="s">
        <v>6887</v>
      </c>
      <c r="C718" s="7">
        <v>38255</v>
      </c>
      <c r="D718" s="7">
        <v>38335</v>
      </c>
      <c r="E718" s="9" t="s">
        <v>6035</v>
      </c>
      <c r="F718" s="6"/>
    </row>
    <row r="719" spans="1:6" ht="19">
      <c r="A719" s="6">
        <v>716</v>
      </c>
      <c r="B719" s="1" t="s">
        <v>6888</v>
      </c>
      <c r="C719" s="7">
        <v>38254</v>
      </c>
      <c r="D719" s="7">
        <v>38124</v>
      </c>
      <c r="E719" s="8">
        <v>3.3999999999999998E-3</v>
      </c>
      <c r="F719" s="1" t="s">
        <v>5939</v>
      </c>
    </row>
    <row r="720" spans="1:6" ht="19">
      <c r="A720" s="6">
        <v>717</v>
      </c>
      <c r="B720" s="1" t="s">
        <v>6889</v>
      </c>
      <c r="C720" s="7">
        <v>38184</v>
      </c>
      <c r="D720" s="7">
        <v>37244</v>
      </c>
      <c r="E720" s="8">
        <v>2.52E-2</v>
      </c>
      <c r="F720" s="1" t="s">
        <v>6776</v>
      </c>
    </row>
    <row r="721" spans="1:6" ht="19">
      <c r="A721" s="6">
        <v>718</v>
      </c>
      <c r="B721" s="1" t="s">
        <v>6890</v>
      </c>
      <c r="C721" s="7">
        <v>38122</v>
      </c>
      <c r="D721" s="7">
        <v>38440</v>
      </c>
      <c r="E721" s="9" t="s">
        <v>6319</v>
      </c>
      <c r="F721" s="6"/>
    </row>
    <row r="722" spans="1:6" ht="19">
      <c r="A722" s="6">
        <v>719</v>
      </c>
      <c r="B722" s="1" t="s">
        <v>6891</v>
      </c>
      <c r="C722" s="7">
        <v>38098</v>
      </c>
      <c r="D722" s="7">
        <v>37782</v>
      </c>
      <c r="E722" s="8">
        <v>8.3999999999999995E-3</v>
      </c>
      <c r="F722" s="1" t="s">
        <v>5891</v>
      </c>
    </row>
    <row r="723" spans="1:6" ht="19">
      <c r="A723" s="6">
        <v>720</v>
      </c>
      <c r="B723" s="1" t="s">
        <v>6892</v>
      </c>
      <c r="C723" s="7">
        <v>38013</v>
      </c>
      <c r="D723" s="7">
        <v>34362</v>
      </c>
      <c r="E723" s="8">
        <v>0.10630000000000001</v>
      </c>
      <c r="F723" s="1" t="s">
        <v>6472</v>
      </c>
    </row>
    <row r="724" spans="1:6" ht="19">
      <c r="A724" s="6">
        <v>721</v>
      </c>
      <c r="B724" s="1" t="s">
        <v>6893</v>
      </c>
      <c r="C724" s="7">
        <v>38003</v>
      </c>
      <c r="D724" s="7">
        <v>36324</v>
      </c>
      <c r="E724" s="8">
        <v>4.6199999999999998E-2</v>
      </c>
      <c r="F724" s="1" t="s">
        <v>5970</v>
      </c>
    </row>
    <row r="725" spans="1:6" ht="19">
      <c r="A725" s="6">
        <v>722</v>
      </c>
      <c r="B725" s="1" t="s">
        <v>6894</v>
      </c>
      <c r="C725" s="7">
        <v>37958</v>
      </c>
      <c r="D725" s="7">
        <v>37492</v>
      </c>
      <c r="E725" s="8">
        <v>1.24E-2</v>
      </c>
      <c r="F725" s="6"/>
    </row>
    <row r="726" spans="1:6" ht="19">
      <c r="A726" s="6">
        <v>723</v>
      </c>
      <c r="B726" s="1" t="s">
        <v>6895</v>
      </c>
      <c r="C726" s="7">
        <v>37865</v>
      </c>
      <c r="D726" s="7">
        <v>38620</v>
      </c>
      <c r="E726" s="9" t="s">
        <v>6896</v>
      </c>
      <c r="F726" s="1" t="s">
        <v>6897</v>
      </c>
    </row>
    <row r="727" spans="1:6" ht="19">
      <c r="A727" s="6">
        <v>724</v>
      </c>
      <c r="B727" s="1" t="s">
        <v>6898</v>
      </c>
      <c r="C727" s="7">
        <v>37825</v>
      </c>
      <c r="D727" s="7">
        <v>38106</v>
      </c>
      <c r="E727" s="9" t="s">
        <v>6514</v>
      </c>
      <c r="F727" s="6"/>
    </row>
    <row r="728" spans="1:6" ht="19">
      <c r="A728" s="6">
        <v>725</v>
      </c>
      <c r="B728" s="1" t="s">
        <v>6899</v>
      </c>
      <c r="C728" s="7">
        <v>37655</v>
      </c>
      <c r="D728" s="7">
        <v>37191</v>
      </c>
      <c r="E728" s="8">
        <v>1.2500000000000001E-2</v>
      </c>
      <c r="F728" s="6"/>
    </row>
    <row r="729" spans="1:6" ht="19">
      <c r="A729" s="6">
        <v>726</v>
      </c>
      <c r="B729" s="1" t="s">
        <v>6900</v>
      </c>
      <c r="C729" s="7">
        <v>37576</v>
      </c>
      <c r="D729" s="7">
        <v>37508</v>
      </c>
      <c r="E729" s="8">
        <v>1.8E-3</v>
      </c>
      <c r="F729" s="1" t="s">
        <v>6006</v>
      </c>
    </row>
    <row r="730" spans="1:6" ht="19">
      <c r="A730" s="6">
        <v>727</v>
      </c>
      <c r="B730" s="1" t="s">
        <v>6901</v>
      </c>
      <c r="C730" s="7">
        <v>37544</v>
      </c>
      <c r="D730" s="7">
        <v>37121</v>
      </c>
      <c r="E730" s="8">
        <v>1.14E-2</v>
      </c>
      <c r="F730" s="1" t="s">
        <v>6465</v>
      </c>
    </row>
    <row r="731" spans="1:6" ht="19">
      <c r="A731" s="6">
        <v>728</v>
      </c>
      <c r="B731" s="1" t="s">
        <v>6902</v>
      </c>
      <c r="C731" s="7">
        <v>37447</v>
      </c>
      <c r="D731" s="7">
        <v>39140</v>
      </c>
      <c r="E731" s="9" t="s">
        <v>6903</v>
      </c>
      <c r="F731" s="6"/>
    </row>
    <row r="732" spans="1:6" ht="19">
      <c r="A732" s="6">
        <v>729</v>
      </c>
      <c r="B732" s="1" t="s">
        <v>6904</v>
      </c>
      <c r="C732" s="7">
        <v>37416</v>
      </c>
      <c r="D732" s="7">
        <v>37220</v>
      </c>
      <c r="E732" s="8">
        <v>5.3E-3</v>
      </c>
      <c r="F732" s="6"/>
    </row>
    <row r="733" spans="1:6" ht="19">
      <c r="A733" s="6">
        <v>730</v>
      </c>
      <c r="B733" s="1" t="s">
        <v>6905</v>
      </c>
      <c r="C733" s="7">
        <v>37373</v>
      </c>
      <c r="D733" s="7">
        <v>37590</v>
      </c>
      <c r="E733" s="9" t="s">
        <v>6420</v>
      </c>
      <c r="F733" s="6"/>
    </row>
    <row r="734" spans="1:6" ht="19">
      <c r="A734" s="6">
        <v>731</v>
      </c>
      <c r="B734" s="1" t="s">
        <v>6906</v>
      </c>
      <c r="C734" s="7">
        <v>37301</v>
      </c>
      <c r="D734" s="7">
        <v>37039</v>
      </c>
      <c r="E734" s="8">
        <v>7.1000000000000004E-3</v>
      </c>
      <c r="F734" s="6"/>
    </row>
    <row r="735" spans="1:6" ht="19">
      <c r="A735" s="6">
        <v>732</v>
      </c>
      <c r="B735" s="1" t="s">
        <v>6907</v>
      </c>
      <c r="C735" s="7">
        <v>37276</v>
      </c>
      <c r="D735" s="7">
        <v>36299</v>
      </c>
      <c r="E735" s="8">
        <v>2.69E-2</v>
      </c>
      <c r="F735" s="6"/>
    </row>
    <row r="736" spans="1:6" ht="19">
      <c r="A736" s="6">
        <v>733</v>
      </c>
      <c r="B736" s="1" t="s">
        <v>6908</v>
      </c>
      <c r="C736" s="7">
        <v>37273</v>
      </c>
      <c r="D736" s="7">
        <v>38013</v>
      </c>
      <c r="E736" s="9" t="s">
        <v>6896</v>
      </c>
      <c r="F736" s="6"/>
    </row>
    <row r="737" spans="1:6" ht="19">
      <c r="A737" s="6">
        <v>734</v>
      </c>
      <c r="B737" s="1" t="s">
        <v>6909</v>
      </c>
      <c r="C737" s="7">
        <v>37164</v>
      </c>
      <c r="D737" s="7">
        <v>37057</v>
      </c>
      <c r="E737" s="8">
        <v>2.8999999999999998E-3</v>
      </c>
      <c r="F737" s="6"/>
    </row>
    <row r="738" spans="1:6" ht="19">
      <c r="A738" s="6">
        <v>735</v>
      </c>
      <c r="B738" s="1" t="s">
        <v>6910</v>
      </c>
      <c r="C738" s="7">
        <v>37025</v>
      </c>
      <c r="D738" s="7">
        <v>36647</v>
      </c>
      <c r="E738" s="8">
        <v>1.03E-2</v>
      </c>
      <c r="F738" s="6"/>
    </row>
    <row r="739" spans="1:6" ht="19">
      <c r="A739" s="6">
        <v>736</v>
      </c>
      <c r="B739" s="1" t="s">
        <v>6911</v>
      </c>
      <c r="C739" s="7">
        <v>36987</v>
      </c>
      <c r="D739" s="7">
        <v>37124</v>
      </c>
      <c r="E739" s="9" t="s">
        <v>6524</v>
      </c>
      <c r="F739" s="1" t="s">
        <v>6088</v>
      </c>
    </row>
    <row r="740" spans="1:6" ht="19">
      <c r="A740" s="6">
        <v>737</v>
      </c>
      <c r="B740" s="1" t="s">
        <v>6912</v>
      </c>
      <c r="C740" s="7">
        <v>36884</v>
      </c>
      <c r="D740" s="7">
        <v>37069</v>
      </c>
      <c r="E740" s="9" t="s">
        <v>6913</v>
      </c>
      <c r="F740" s="6"/>
    </row>
    <row r="741" spans="1:6" ht="19">
      <c r="A741" s="6">
        <v>738</v>
      </c>
      <c r="B741" s="1" t="s">
        <v>6914</v>
      </c>
      <c r="C741" s="7">
        <v>36779</v>
      </c>
      <c r="D741" s="7">
        <v>36901</v>
      </c>
      <c r="E741" s="9" t="s">
        <v>6429</v>
      </c>
      <c r="F741" s="6"/>
    </row>
    <row r="742" spans="1:6" ht="19">
      <c r="A742" s="6">
        <v>739</v>
      </c>
      <c r="B742" s="1" t="s">
        <v>6915</v>
      </c>
      <c r="C742" s="7">
        <v>36697</v>
      </c>
      <c r="D742" s="7">
        <v>37125</v>
      </c>
      <c r="E742" s="9" t="s">
        <v>6916</v>
      </c>
      <c r="F742" s="6"/>
    </row>
    <row r="743" spans="1:6" ht="19">
      <c r="A743" s="6">
        <v>740</v>
      </c>
      <c r="B743" s="1" t="s">
        <v>6917</v>
      </c>
      <c r="C743" s="7">
        <v>36667</v>
      </c>
      <c r="D743" s="7">
        <v>36238</v>
      </c>
      <c r="E743" s="8">
        <v>1.18E-2</v>
      </c>
      <c r="F743" s="6"/>
    </row>
    <row r="744" spans="1:6" ht="19">
      <c r="A744" s="6">
        <v>741</v>
      </c>
      <c r="B744" s="1" t="s">
        <v>6918</v>
      </c>
      <c r="C744" s="7">
        <v>36651</v>
      </c>
      <c r="D744" s="7">
        <v>37069</v>
      </c>
      <c r="E744" s="9" t="s">
        <v>6919</v>
      </c>
      <c r="F744" s="1" t="s">
        <v>6110</v>
      </c>
    </row>
    <row r="745" spans="1:6" ht="19">
      <c r="A745" s="6">
        <v>742</v>
      </c>
      <c r="B745" s="1" t="s">
        <v>6920</v>
      </c>
      <c r="C745" s="7">
        <v>36602</v>
      </c>
      <c r="D745" s="7">
        <v>36842</v>
      </c>
      <c r="E745" s="9" t="s">
        <v>6921</v>
      </c>
      <c r="F745" s="1" t="s">
        <v>6039</v>
      </c>
    </row>
    <row r="746" spans="1:6" ht="19">
      <c r="A746" s="6">
        <v>743</v>
      </c>
      <c r="B746" s="1" t="s">
        <v>6922</v>
      </c>
      <c r="C746" s="7">
        <v>36547</v>
      </c>
      <c r="D746" s="7">
        <v>36702</v>
      </c>
      <c r="E746" s="9" t="s">
        <v>6923</v>
      </c>
      <c r="F746" s="1" t="s">
        <v>5887</v>
      </c>
    </row>
    <row r="747" spans="1:6" ht="19">
      <c r="A747" s="6">
        <v>744</v>
      </c>
      <c r="B747" s="1" t="s">
        <v>6924</v>
      </c>
      <c r="C747" s="7">
        <v>36544</v>
      </c>
      <c r="D747" s="7">
        <v>37829</v>
      </c>
      <c r="E747" s="9" t="s">
        <v>6925</v>
      </c>
      <c r="F747" s="6"/>
    </row>
    <row r="748" spans="1:6" ht="19">
      <c r="A748" s="6">
        <v>745</v>
      </c>
      <c r="B748" s="1" t="s">
        <v>6926</v>
      </c>
      <c r="C748" s="7">
        <v>36486</v>
      </c>
      <c r="D748" s="7">
        <v>36903</v>
      </c>
      <c r="E748" s="9" t="s">
        <v>6919</v>
      </c>
      <c r="F748" s="1" t="s">
        <v>6535</v>
      </c>
    </row>
    <row r="749" spans="1:6" ht="19">
      <c r="A749" s="6">
        <v>746</v>
      </c>
      <c r="B749" s="1" t="s">
        <v>6927</v>
      </c>
      <c r="C749" s="7">
        <v>36427</v>
      </c>
      <c r="D749" s="7">
        <v>36691</v>
      </c>
      <c r="E749" s="9" t="s">
        <v>6613</v>
      </c>
      <c r="F749" s="1" t="s">
        <v>5987</v>
      </c>
    </row>
    <row r="750" spans="1:6" ht="19">
      <c r="A750" s="6">
        <v>747</v>
      </c>
      <c r="B750" s="1" t="s">
        <v>6928</v>
      </c>
      <c r="C750" s="7">
        <v>36415</v>
      </c>
      <c r="D750" s="7">
        <v>36009</v>
      </c>
      <c r="E750" s="8">
        <v>1.1299999999999999E-2</v>
      </c>
      <c r="F750" s="6"/>
    </row>
    <row r="751" spans="1:6" ht="19">
      <c r="A751" s="6">
        <v>748</v>
      </c>
      <c r="B751" s="1" t="s">
        <v>6929</v>
      </c>
      <c r="C751" s="7">
        <v>36385</v>
      </c>
      <c r="D751" s="7">
        <v>36273</v>
      </c>
      <c r="E751" s="8">
        <v>3.0999999999999999E-3</v>
      </c>
      <c r="F751" s="6"/>
    </row>
    <row r="752" spans="1:6" ht="19">
      <c r="A752" s="6">
        <v>749</v>
      </c>
      <c r="B752" s="1" t="s">
        <v>6930</v>
      </c>
      <c r="C752" s="7">
        <v>36322</v>
      </c>
      <c r="D752" s="7">
        <v>36576</v>
      </c>
      <c r="E752" s="9" t="s">
        <v>6843</v>
      </c>
      <c r="F752" s="6"/>
    </row>
    <row r="753" spans="1:6" ht="19">
      <c r="A753" s="6">
        <v>750</v>
      </c>
      <c r="B753" s="1" t="s">
        <v>6931</v>
      </c>
      <c r="C753" s="7">
        <v>36288</v>
      </c>
      <c r="D753" s="7">
        <v>36311</v>
      </c>
      <c r="E753" s="9" t="s">
        <v>6763</v>
      </c>
      <c r="F753" s="1" t="s">
        <v>6027</v>
      </c>
    </row>
    <row r="754" spans="1:6" ht="19">
      <c r="A754" s="6">
        <v>751</v>
      </c>
      <c r="B754" s="1" t="s">
        <v>6932</v>
      </c>
      <c r="C754" s="7">
        <v>36281</v>
      </c>
      <c r="D754" s="7">
        <v>35654</v>
      </c>
      <c r="E754" s="8">
        <v>1.7600000000000001E-2</v>
      </c>
      <c r="F754" s="1" t="s">
        <v>6699</v>
      </c>
    </row>
    <row r="755" spans="1:6" ht="19">
      <c r="A755" s="6">
        <v>752</v>
      </c>
      <c r="B755" s="1" t="s">
        <v>6933</v>
      </c>
      <c r="C755" s="7">
        <v>36228</v>
      </c>
      <c r="D755" s="7">
        <v>36346</v>
      </c>
      <c r="E755" s="9" t="s">
        <v>6310</v>
      </c>
      <c r="F755" s="6"/>
    </row>
    <row r="756" spans="1:6" ht="19">
      <c r="A756" s="6">
        <v>753</v>
      </c>
      <c r="B756" s="1" t="s">
        <v>6934</v>
      </c>
      <c r="C756" s="7">
        <v>36168</v>
      </c>
      <c r="D756" s="7">
        <v>36743</v>
      </c>
      <c r="E756" s="9" t="s">
        <v>6935</v>
      </c>
      <c r="F756" s="1" t="s">
        <v>6120</v>
      </c>
    </row>
    <row r="757" spans="1:6" ht="19">
      <c r="A757" s="6">
        <v>754</v>
      </c>
      <c r="B757" s="1" t="s">
        <v>6936</v>
      </c>
      <c r="C757" s="7">
        <v>36094</v>
      </c>
      <c r="D757" s="7">
        <v>36157</v>
      </c>
      <c r="E757" s="9" t="s">
        <v>6149</v>
      </c>
      <c r="F757" s="1" t="s">
        <v>6116</v>
      </c>
    </row>
    <row r="758" spans="1:6" ht="19">
      <c r="A758" s="6">
        <v>755</v>
      </c>
      <c r="B758" s="1" t="s">
        <v>6937</v>
      </c>
      <c r="C758" s="7">
        <v>36053</v>
      </c>
      <c r="D758" s="7">
        <v>36651</v>
      </c>
      <c r="E758" s="9" t="s">
        <v>6938</v>
      </c>
      <c r="F758" s="1" t="s">
        <v>5908</v>
      </c>
    </row>
    <row r="759" spans="1:6" ht="19">
      <c r="A759" s="6">
        <v>756</v>
      </c>
      <c r="B759" s="1" t="s">
        <v>6939</v>
      </c>
      <c r="C759" s="7">
        <v>35571</v>
      </c>
      <c r="D759" s="7">
        <v>35662</v>
      </c>
      <c r="E759" s="9" t="s">
        <v>6399</v>
      </c>
      <c r="F759" s="1" t="s">
        <v>5993</v>
      </c>
    </row>
    <row r="760" spans="1:6" ht="19">
      <c r="A760" s="6">
        <v>757</v>
      </c>
      <c r="B760" s="1" t="s">
        <v>6940</v>
      </c>
      <c r="C760" s="7">
        <v>35469</v>
      </c>
      <c r="D760" s="7">
        <v>35161</v>
      </c>
      <c r="E760" s="8">
        <v>8.8000000000000005E-3</v>
      </c>
      <c r="F760" s="1" t="s">
        <v>5885</v>
      </c>
    </row>
    <row r="761" spans="1:6" ht="19">
      <c r="A761" s="6">
        <v>758</v>
      </c>
      <c r="B761" s="1" t="s">
        <v>6941</v>
      </c>
      <c r="C761" s="7">
        <v>35417</v>
      </c>
      <c r="D761" s="7">
        <v>35571</v>
      </c>
      <c r="E761" s="9" t="s">
        <v>6406</v>
      </c>
      <c r="F761" s="6"/>
    </row>
    <row r="762" spans="1:6" ht="19">
      <c r="A762" s="6">
        <v>759</v>
      </c>
      <c r="B762" s="1" t="s">
        <v>6942</v>
      </c>
      <c r="C762" s="7">
        <v>35305</v>
      </c>
      <c r="D762" s="7">
        <v>35251</v>
      </c>
      <c r="E762" s="8">
        <v>1.5E-3</v>
      </c>
      <c r="F762" s="1" t="s">
        <v>5972</v>
      </c>
    </row>
    <row r="763" spans="1:6" ht="19">
      <c r="A763" s="6">
        <v>760</v>
      </c>
      <c r="B763" s="1" t="s">
        <v>6943</v>
      </c>
      <c r="C763" s="7">
        <v>35037</v>
      </c>
      <c r="D763" s="7">
        <v>36031</v>
      </c>
      <c r="E763" s="9" t="s">
        <v>6944</v>
      </c>
      <c r="F763" s="1" t="s">
        <v>6672</v>
      </c>
    </row>
    <row r="764" spans="1:6" ht="19">
      <c r="A764" s="6">
        <v>761</v>
      </c>
      <c r="B764" s="1" t="s">
        <v>6945</v>
      </c>
      <c r="C764" s="7">
        <v>34900</v>
      </c>
      <c r="D764" s="7">
        <v>34869</v>
      </c>
      <c r="E764" s="8">
        <v>8.9999999999999998E-4</v>
      </c>
      <c r="F764" s="1" t="s">
        <v>6041</v>
      </c>
    </row>
    <row r="765" spans="1:6" ht="19">
      <c r="A765" s="6">
        <v>762</v>
      </c>
      <c r="B765" s="1" t="s">
        <v>6946</v>
      </c>
      <c r="C765" s="7">
        <v>34793</v>
      </c>
      <c r="D765" s="7">
        <v>35021</v>
      </c>
      <c r="E765" s="9" t="s">
        <v>6921</v>
      </c>
      <c r="F765" s="1" t="s">
        <v>6897</v>
      </c>
    </row>
    <row r="766" spans="1:6" ht="19">
      <c r="A766" s="6">
        <v>763</v>
      </c>
      <c r="B766" s="1" t="s">
        <v>6947</v>
      </c>
      <c r="C766" s="7">
        <v>34752</v>
      </c>
      <c r="D766" s="7">
        <v>33848</v>
      </c>
      <c r="E766" s="8">
        <v>2.6700000000000002E-2</v>
      </c>
      <c r="F766" s="6"/>
    </row>
    <row r="767" spans="1:6" ht="19">
      <c r="A767" s="6">
        <v>764</v>
      </c>
      <c r="B767" s="1" t="s">
        <v>6948</v>
      </c>
      <c r="C767" s="7">
        <v>34712</v>
      </c>
      <c r="D767" s="7">
        <v>34862</v>
      </c>
      <c r="E767" s="9" t="s">
        <v>6406</v>
      </c>
      <c r="F767" s="1" t="s">
        <v>6010</v>
      </c>
    </row>
    <row r="768" spans="1:6" ht="19">
      <c r="A768" s="6">
        <v>765</v>
      </c>
      <c r="B768" s="1" t="s">
        <v>6949</v>
      </c>
      <c r="C768" s="7">
        <v>34638</v>
      </c>
      <c r="D768" s="7">
        <v>34800</v>
      </c>
      <c r="E768" s="9" t="s">
        <v>6426</v>
      </c>
      <c r="F768" s="1" t="s">
        <v>6211</v>
      </c>
    </row>
    <row r="769" spans="1:6" ht="19">
      <c r="A769" s="6">
        <v>766</v>
      </c>
      <c r="B769" s="1" t="s">
        <v>6950</v>
      </c>
      <c r="C769" s="7">
        <v>34524</v>
      </c>
      <c r="D769" s="7">
        <v>32588</v>
      </c>
      <c r="E769" s="8">
        <v>5.9400000000000001E-2</v>
      </c>
      <c r="F769" s="6"/>
    </row>
    <row r="770" spans="1:6" ht="19">
      <c r="A770" s="6">
        <v>767</v>
      </c>
      <c r="B770" s="1" t="s">
        <v>6951</v>
      </c>
      <c r="C770" s="7">
        <v>34459</v>
      </c>
      <c r="D770" s="7">
        <v>35471</v>
      </c>
      <c r="E770" s="9" t="s">
        <v>6952</v>
      </c>
      <c r="F770" s="6"/>
    </row>
    <row r="771" spans="1:6" ht="19">
      <c r="A771" s="6">
        <v>768</v>
      </c>
      <c r="B771" s="1" t="s">
        <v>6953</v>
      </c>
      <c r="C771" s="7">
        <v>34403</v>
      </c>
      <c r="D771" s="7">
        <v>34200</v>
      </c>
      <c r="E771" s="8">
        <v>5.8999999999999999E-3</v>
      </c>
      <c r="F771" s="6"/>
    </row>
    <row r="772" spans="1:6" ht="19">
      <c r="A772" s="6">
        <v>769</v>
      </c>
      <c r="B772" s="1" t="s">
        <v>6954</v>
      </c>
      <c r="C772" s="7">
        <v>34365</v>
      </c>
      <c r="D772" s="7">
        <v>34387</v>
      </c>
      <c r="E772" s="9" t="s">
        <v>6763</v>
      </c>
      <c r="F772" s="1" t="s">
        <v>6088</v>
      </c>
    </row>
    <row r="773" spans="1:6" ht="19">
      <c r="A773" s="6">
        <v>770</v>
      </c>
      <c r="B773" s="1" t="s">
        <v>6955</v>
      </c>
      <c r="C773" s="7">
        <v>34353</v>
      </c>
      <c r="D773" s="7">
        <v>34242</v>
      </c>
      <c r="E773" s="8">
        <v>3.2000000000000002E-3</v>
      </c>
      <c r="F773" s="6"/>
    </row>
    <row r="774" spans="1:6" ht="19">
      <c r="A774" s="6">
        <v>771</v>
      </c>
      <c r="B774" s="1" t="s">
        <v>6956</v>
      </c>
      <c r="C774" s="7">
        <v>34124</v>
      </c>
      <c r="D774" s="7">
        <v>34185</v>
      </c>
      <c r="E774" s="9" t="s">
        <v>6663</v>
      </c>
      <c r="F774" s="1" t="s">
        <v>6088</v>
      </c>
    </row>
    <row r="775" spans="1:6" ht="19">
      <c r="A775" s="6">
        <v>772</v>
      </c>
      <c r="B775" s="1" t="s">
        <v>6957</v>
      </c>
      <c r="C775" s="7">
        <v>34093</v>
      </c>
      <c r="D775" s="7">
        <v>33718</v>
      </c>
      <c r="E775" s="8">
        <v>1.11E-2</v>
      </c>
      <c r="F775" s="1" t="s">
        <v>5887</v>
      </c>
    </row>
    <row r="776" spans="1:6" ht="19">
      <c r="A776" s="6">
        <v>773</v>
      </c>
      <c r="B776" s="1" t="s">
        <v>6958</v>
      </c>
      <c r="C776" s="7">
        <v>34064</v>
      </c>
      <c r="D776" s="7">
        <v>34215</v>
      </c>
      <c r="E776" s="9" t="s">
        <v>6959</v>
      </c>
      <c r="F776" s="1" t="s">
        <v>6143</v>
      </c>
    </row>
    <row r="777" spans="1:6" ht="19">
      <c r="A777" s="6">
        <v>774</v>
      </c>
      <c r="B777" s="1" t="s">
        <v>6960</v>
      </c>
      <c r="C777" s="7">
        <v>33904</v>
      </c>
      <c r="D777" s="7">
        <v>34145</v>
      </c>
      <c r="E777" s="9" t="s">
        <v>6437</v>
      </c>
      <c r="F777" s="1" t="s">
        <v>6961</v>
      </c>
    </row>
    <row r="778" spans="1:6" ht="19">
      <c r="A778" s="6">
        <v>775</v>
      </c>
      <c r="B778" s="1" t="s">
        <v>6962</v>
      </c>
      <c r="C778" s="7">
        <v>33748</v>
      </c>
      <c r="D778" s="7">
        <v>33690</v>
      </c>
      <c r="E778" s="8">
        <v>1.6999999999999999E-3</v>
      </c>
      <c r="F778" s="6"/>
    </row>
    <row r="779" spans="1:6" ht="19">
      <c r="A779" s="6">
        <v>776</v>
      </c>
      <c r="B779" s="1" t="s">
        <v>6963</v>
      </c>
      <c r="C779" s="7">
        <v>33658</v>
      </c>
      <c r="D779" s="7">
        <v>34895</v>
      </c>
      <c r="E779" s="9" t="s">
        <v>6964</v>
      </c>
      <c r="F779" s="6"/>
    </row>
    <row r="780" spans="1:6" ht="19">
      <c r="A780" s="6">
        <v>777</v>
      </c>
      <c r="B780" s="1" t="s">
        <v>6965</v>
      </c>
      <c r="C780" s="7">
        <v>33394</v>
      </c>
      <c r="D780" s="7">
        <v>32923</v>
      </c>
      <c r="E780" s="8">
        <v>1.43E-2</v>
      </c>
      <c r="F780" s="1" t="s">
        <v>6480</v>
      </c>
    </row>
    <row r="781" spans="1:6" ht="19">
      <c r="A781" s="6">
        <v>778</v>
      </c>
      <c r="B781" s="1" t="s">
        <v>6966</v>
      </c>
      <c r="C781" s="7">
        <v>33182</v>
      </c>
      <c r="D781" s="7">
        <v>32899</v>
      </c>
      <c r="E781" s="8">
        <v>8.6E-3</v>
      </c>
      <c r="F781" s="6"/>
    </row>
    <row r="782" spans="1:6" ht="19">
      <c r="A782" s="6">
        <v>779</v>
      </c>
      <c r="B782" s="1" t="s">
        <v>6967</v>
      </c>
      <c r="C782" s="7">
        <v>33022</v>
      </c>
      <c r="D782" s="7">
        <v>33224</v>
      </c>
      <c r="E782" s="9" t="s">
        <v>6263</v>
      </c>
      <c r="F782" s="1" t="s">
        <v>6218</v>
      </c>
    </row>
    <row r="783" spans="1:6" ht="19">
      <c r="A783" s="6">
        <v>780</v>
      </c>
      <c r="B783" s="1" t="s">
        <v>6968</v>
      </c>
      <c r="C783" s="7">
        <v>32954</v>
      </c>
      <c r="D783" s="7">
        <v>33225</v>
      </c>
      <c r="E783" s="9" t="s">
        <v>6969</v>
      </c>
      <c r="F783" s="6"/>
    </row>
    <row r="784" spans="1:6" ht="19">
      <c r="A784" s="6">
        <v>781</v>
      </c>
      <c r="B784" s="1" t="s">
        <v>6970</v>
      </c>
      <c r="C784" s="7">
        <v>32849</v>
      </c>
      <c r="D784" s="7">
        <v>33090</v>
      </c>
      <c r="E784" s="9" t="s">
        <v>6810</v>
      </c>
      <c r="F784" s="1" t="s">
        <v>6082</v>
      </c>
    </row>
    <row r="785" spans="1:6" ht="19">
      <c r="A785" s="6">
        <v>782</v>
      </c>
      <c r="B785" s="1" t="s">
        <v>6971</v>
      </c>
      <c r="C785" s="7">
        <v>32779</v>
      </c>
      <c r="D785" s="7">
        <v>32937</v>
      </c>
      <c r="E785" s="9" t="s">
        <v>6290</v>
      </c>
      <c r="F785" s="6"/>
    </row>
    <row r="786" spans="1:6" ht="19">
      <c r="A786" s="6">
        <v>783</v>
      </c>
      <c r="B786" s="1" t="s">
        <v>6972</v>
      </c>
      <c r="C786" s="7">
        <v>32681</v>
      </c>
      <c r="D786" s="7">
        <v>32237</v>
      </c>
      <c r="E786" s="8">
        <v>1.38E-2</v>
      </c>
      <c r="F786" s="6"/>
    </row>
    <row r="787" spans="1:6" ht="19">
      <c r="A787" s="6">
        <v>784</v>
      </c>
      <c r="B787" s="1" t="s">
        <v>6973</v>
      </c>
      <c r="C787" s="7">
        <v>32663</v>
      </c>
      <c r="D787" s="7">
        <v>32334</v>
      </c>
      <c r="E787" s="8">
        <v>1.0200000000000001E-2</v>
      </c>
      <c r="F787" s="6"/>
    </row>
    <row r="788" spans="1:6" ht="19">
      <c r="A788" s="6">
        <v>785</v>
      </c>
      <c r="B788" s="1" t="s">
        <v>6974</v>
      </c>
      <c r="C788" s="7">
        <v>32629</v>
      </c>
      <c r="D788" s="7">
        <v>31965</v>
      </c>
      <c r="E788" s="8">
        <v>2.0799999999999999E-2</v>
      </c>
      <c r="F788" s="6"/>
    </row>
    <row r="789" spans="1:6" ht="19">
      <c r="A789" s="6">
        <v>786</v>
      </c>
      <c r="B789" s="1" t="s">
        <v>6975</v>
      </c>
      <c r="C789" s="7">
        <v>32556</v>
      </c>
      <c r="D789" s="7">
        <v>31275</v>
      </c>
      <c r="E789" s="8">
        <v>4.1000000000000002E-2</v>
      </c>
      <c r="F789" s="6"/>
    </row>
    <row r="790" spans="1:6" ht="19">
      <c r="A790" s="6">
        <v>787</v>
      </c>
      <c r="B790" s="1" t="s">
        <v>6976</v>
      </c>
      <c r="C790" s="7">
        <v>32554</v>
      </c>
      <c r="D790" s="7">
        <v>32428</v>
      </c>
      <c r="E790" s="8">
        <v>3.8999999999999998E-3</v>
      </c>
      <c r="F790" s="6"/>
    </row>
    <row r="791" spans="1:6" ht="19">
      <c r="A791" s="6">
        <v>788</v>
      </c>
      <c r="B791" s="1" t="s">
        <v>6977</v>
      </c>
      <c r="C791" s="7">
        <v>32551</v>
      </c>
      <c r="D791" s="7">
        <v>32618</v>
      </c>
      <c r="E791" s="9" t="s">
        <v>6035</v>
      </c>
      <c r="F791" s="1" t="s">
        <v>5891</v>
      </c>
    </row>
    <row r="792" spans="1:6" ht="19">
      <c r="A792" s="6">
        <v>789</v>
      </c>
      <c r="B792" s="1" t="s">
        <v>6978</v>
      </c>
      <c r="C792" s="7">
        <v>32537</v>
      </c>
      <c r="D792" s="7">
        <v>32612</v>
      </c>
      <c r="E792" s="9" t="s">
        <v>6464</v>
      </c>
      <c r="F792" s="6"/>
    </row>
    <row r="793" spans="1:6" ht="19">
      <c r="A793" s="6">
        <v>790</v>
      </c>
      <c r="B793" s="1" t="s">
        <v>6979</v>
      </c>
      <c r="C793" s="7">
        <v>32527</v>
      </c>
      <c r="D793" s="7">
        <v>31861</v>
      </c>
      <c r="E793" s="8">
        <v>2.0899999999999998E-2</v>
      </c>
      <c r="F793" s="6"/>
    </row>
    <row r="794" spans="1:6" ht="19">
      <c r="A794" s="6">
        <v>791</v>
      </c>
      <c r="B794" s="1" t="s">
        <v>6980</v>
      </c>
      <c r="C794" s="7">
        <v>32456</v>
      </c>
      <c r="D794" s="7">
        <v>32477</v>
      </c>
      <c r="E794" s="9" t="s">
        <v>6763</v>
      </c>
      <c r="F794" s="1" t="s">
        <v>6077</v>
      </c>
    </row>
    <row r="795" spans="1:6" ht="19">
      <c r="A795" s="6">
        <v>792</v>
      </c>
      <c r="B795" s="1" t="s">
        <v>6981</v>
      </c>
      <c r="C795" s="7">
        <v>32361</v>
      </c>
      <c r="D795" s="7">
        <v>32888</v>
      </c>
      <c r="E795" s="9" t="s">
        <v>6846</v>
      </c>
      <c r="F795" s="6"/>
    </row>
    <row r="796" spans="1:6" ht="19">
      <c r="A796" s="6">
        <v>793</v>
      </c>
      <c r="B796" s="1" t="s">
        <v>6982</v>
      </c>
      <c r="C796" s="7">
        <v>32341</v>
      </c>
      <c r="D796" s="7">
        <v>32330</v>
      </c>
      <c r="E796" s="8">
        <v>2.9999999999999997E-4</v>
      </c>
      <c r="F796" s="6"/>
    </row>
    <row r="797" spans="1:6" ht="19">
      <c r="A797" s="6">
        <v>794</v>
      </c>
      <c r="B797" s="1" t="s">
        <v>6983</v>
      </c>
      <c r="C797" s="7">
        <v>32247</v>
      </c>
      <c r="D797" s="7">
        <v>31809</v>
      </c>
      <c r="E797" s="8">
        <v>1.38E-2</v>
      </c>
      <c r="F797" s="1" t="s">
        <v>6052</v>
      </c>
    </row>
    <row r="798" spans="1:6" ht="19">
      <c r="A798" s="6">
        <v>795</v>
      </c>
      <c r="B798" s="1" t="s">
        <v>6984</v>
      </c>
      <c r="C798" s="7">
        <v>32236</v>
      </c>
      <c r="D798" s="7">
        <v>31848</v>
      </c>
      <c r="E798" s="8">
        <v>1.2200000000000001E-2</v>
      </c>
      <c r="F798" s="1" t="s">
        <v>6254</v>
      </c>
    </row>
    <row r="799" spans="1:6" ht="19">
      <c r="A799" s="6">
        <v>796</v>
      </c>
      <c r="B799" s="1" t="s">
        <v>6985</v>
      </c>
      <c r="C799" s="7">
        <v>32064</v>
      </c>
      <c r="D799" s="7">
        <v>31648</v>
      </c>
      <c r="E799" s="8">
        <v>1.3100000000000001E-2</v>
      </c>
      <c r="F799" s="6"/>
    </row>
    <row r="800" spans="1:6" ht="19">
      <c r="A800" s="6">
        <v>797</v>
      </c>
      <c r="B800" s="1" t="s">
        <v>6986</v>
      </c>
      <c r="C800" s="7">
        <v>31826</v>
      </c>
      <c r="D800" s="7">
        <v>31953</v>
      </c>
      <c r="E800" s="9" t="s">
        <v>6447</v>
      </c>
      <c r="F800" s="6"/>
    </row>
    <row r="801" spans="1:6" ht="19">
      <c r="A801" s="6">
        <v>798</v>
      </c>
      <c r="B801" s="1" t="s">
        <v>6987</v>
      </c>
      <c r="C801" s="7">
        <v>31727</v>
      </c>
      <c r="D801" s="7">
        <v>31464</v>
      </c>
      <c r="E801" s="8">
        <v>8.3999999999999995E-3</v>
      </c>
      <c r="F801" s="6"/>
    </row>
    <row r="802" spans="1:6" ht="19">
      <c r="A802" s="6">
        <v>799</v>
      </c>
      <c r="B802" s="1" t="s">
        <v>6988</v>
      </c>
      <c r="C802" s="7">
        <v>31459</v>
      </c>
      <c r="D802" s="7">
        <v>31364</v>
      </c>
      <c r="E802" s="8">
        <v>3.0000000000000001E-3</v>
      </c>
      <c r="F802" s="6"/>
    </row>
    <row r="803" spans="1:6" ht="19">
      <c r="A803" s="6">
        <v>800</v>
      </c>
      <c r="B803" s="1" t="s">
        <v>6989</v>
      </c>
      <c r="C803" s="7">
        <v>31054</v>
      </c>
      <c r="D803" s="7">
        <v>31255</v>
      </c>
      <c r="E803" s="9" t="s">
        <v>6308</v>
      </c>
      <c r="F803" s="6"/>
    </row>
    <row r="804" spans="1:6" ht="19">
      <c r="A804" s="6">
        <v>801</v>
      </c>
      <c r="B804" s="1" t="s">
        <v>6990</v>
      </c>
      <c r="C804" s="7">
        <v>30883</v>
      </c>
      <c r="D804" s="7">
        <v>30617</v>
      </c>
      <c r="E804" s="8">
        <v>8.6999999999999994E-3</v>
      </c>
      <c r="F804" s="1" t="s">
        <v>5943</v>
      </c>
    </row>
    <row r="805" spans="1:6" ht="19">
      <c r="A805" s="6">
        <v>802</v>
      </c>
      <c r="B805" s="1" t="s">
        <v>6991</v>
      </c>
      <c r="C805" s="7">
        <v>30703</v>
      </c>
      <c r="D805" s="7">
        <v>31488</v>
      </c>
      <c r="E805" s="9" t="s">
        <v>6992</v>
      </c>
      <c r="F805" s="6"/>
    </row>
    <row r="806" spans="1:6" ht="19">
      <c r="A806" s="6">
        <v>803</v>
      </c>
      <c r="B806" s="1" t="s">
        <v>6993</v>
      </c>
      <c r="C806" s="7">
        <v>30702</v>
      </c>
      <c r="D806" s="7">
        <v>30591</v>
      </c>
      <c r="E806" s="8">
        <v>3.5999999999999999E-3</v>
      </c>
      <c r="F806" s="6"/>
    </row>
    <row r="807" spans="1:6" ht="19">
      <c r="A807" s="6">
        <v>804</v>
      </c>
      <c r="B807" s="1" t="s">
        <v>6994</v>
      </c>
      <c r="C807" s="7">
        <v>30305</v>
      </c>
      <c r="D807" s="7">
        <v>30099</v>
      </c>
      <c r="E807" s="8">
        <v>6.7999999999999996E-3</v>
      </c>
      <c r="F807" s="6"/>
    </row>
    <row r="808" spans="1:6" ht="19">
      <c r="A808" s="6">
        <v>805</v>
      </c>
      <c r="B808" s="1" t="s">
        <v>6995</v>
      </c>
      <c r="C808" s="7">
        <v>30013</v>
      </c>
      <c r="D808" s="7">
        <v>30305</v>
      </c>
      <c r="E808" s="9" t="s">
        <v>6996</v>
      </c>
      <c r="F808" s="1" t="s">
        <v>6211</v>
      </c>
    </row>
    <row r="809" spans="1:6" ht="19">
      <c r="A809" s="6">
        <v>806</v>
      </c>
      <c r="B809" s="1" t="s">
        <v>6997</v>
      </c>
      <c r="C809" s="7">
        <v>29951</v>
      </c>
      <c r="D809" s="7">
        <v>30038</v>
      </c>
      <c r="E809" s="9" t="s">
        <v>6793</v>
      </c>
      <c r="F809" s="6"/>
    </row>
    <row r="810" spans="1:6" ht="19">
      <c r="A810" s="6">
        <v>807</v>
      </c>
      <c r="B810" s="1" t="s">
        <v>6998</v>
      </c>
      <c r="C810" s="7">
        <v>29596</v>
      </c>
      <c r="D810" s="7">
        <v>29116</v>
      </c>
      <c r="E810" s="8">
        <v>1.6500000000000001E-2</v>
      </c>
      <c r="F810" s="6"/>
    </row>
    <row r="811" spans="1:6" ht="19">
      <c r="A811" s="6">
        <v>808</v>
      </c>
      <c r="B811" s="1" t="s">
        <v>6999</v>
      </c>
      <c r="C811" s="7">
        <v>29388</v>
      </c>
      <c r="D811" s="7">
        <v>29514</v>
      </c>
      <c r="E811" s="9" t="s">
        <v>6406</v>
      </c>
      <c r="F811" s="6"/>
    </row>
    <row r="812" spans="1:6" ht="19">
      <c r="A812" s="6">
        <v>809</v>
      </c>
      <c r="B812" s="1" t="s">
        <v>7000</v>
      </c>
      <c r="C812" s="7">
        <v>29384</v>
      </c>
      <c r="D812" s="7">
        <v>29405</v>
      </c>
      <c r="E812" s="9" t="s">
        <v>6119</v>
      </c>
      <c r="F812" s="6"/>
    </row>
    <row r="813" spans="1:6" ht="19">
      <c r="A813" s="6">
        <v>810</v>
      </c>
      <c r="B813" s="1" t="s">
        <v>7001</v>
      </c>
      <c r="C813" s="7">
        <v>29356</v>
      </c>
      <c r="D813" s="7">
        <v>29180</v>
      </c>
      <c r="E813" s="8">
        <v>6.0000000000000001E-3</v>
      </c>
      <c r="F813" s="6"/>
    </row>
    <row r="814" spans="1:6" ht="19">
      <c r="A814" s="6">
        <v>811</v>
      </c>
      <c r="B814" s="1" t="s">
        <v>7002</v>
      </c>
      <c r="C814" s="7">
        <v>29234</v>
      </c>
      <c r="D814" s="7">
        <v>29598</v>
      </c>
      <c r="E814" s="9" t="s">
        <v>7003</v>
      </c>
      <c r="F814" s="6"/>
    </row>
    <row r="815" spans="1:6" ht="19">
      <c r="A815" s="6">
        <v>812</v>
      </c>
      <c r="B815" s="1" t="s">
        <v>7004</v>
      </c>
      <c r="C815" s="7">
        <v>29053</v>
      </c>
      <c r="D815" s="7">
        <v>28452</v>
      </c>
      <c r="E815" s="8">
        <v>2.1100000000000001E-2</v>
      </c>
      <c r="F815" s="6"/>
    </row>
    <row r="816" spans="1:6" ht="19">
      <c r="A816" s="6">
        <v>813</v>
      </c>
      <c r="B816" s="1" t="s">
        <v>7005</v>
      </c>
      <c r="C816" s="7">
        <v>28891</v>
      </c>
      <c r="D816" s="7">
        <v>29393</v>
      </c>
      <c r="E816" s="9" t="s">
        <v>7006</v>
      </c>
      <c r="F816" s="1" t="s">
        <v>5985</v>
      </c>
    </row>
    <row r="817" spans="1:6" ht="19">
      <c r="A817" s="6">
        <v>814</v>
      </c>
      <c r="B817" s="1" t="s">
        <v>7007</v>
      </c>
      <c r="C817" s="7">
        <v>28880</v>
      </c>
      <c r="D817" s="7">
        <v>29030</v>
      </c>
      <c r="E817" s="9" t="s">
        <v>6746</v>
      </c>
      <c r="F817" s="1" t="s">
        <v>5937</v>
      </c>
    </row>
    <row r="818" spans="1:6" ht="19">
      <c r="A818" s="6">
        <v>815</v>
      </c>
      <c r="B818" s="1" t="s">
        <v>7008</v>
      </c>
      <c r="C818" s="7">
        <v>28744</v>
      </c>
      <c r="D818" s="7">
        <v>28744</v>
      </c>
      <c r="E818" s="10">
        <v>0</v>
      </c>
      <c r="F818" s="1" t="s">
        <v>6440</v>
      </c>
    </row>
    <row r="819" spans="1:6" ht="19">
      <c r="A819" s="6">
        <v>816</v>
      </c>
      <c r="B819" s="1" t="s">
        <v>7009</v>
      </c>
      <c r="C819" s="7">
        <v>28680</v>
      </c>
      <c r="D819" s="7">
        <v>28705</v>
      </c>
      <c r="E819" s="9" t="s">
        <v>6424</v>
      </c>
      <c r="F819" s="6"/>
    </row>
    <row r="820" spans="1:6" ht="19">
      <c r="A820" s="6">
        <v>817</v>
      </c>
      <c r="B820" s="1" t="s">
        <v>7010</v>
      </c>
      <c r="C820" s="7">
        <v>28536</v>
      </c>
      <c r="D820" s="7">
        <v>27469</v>
      </c>
      <c r="E820" s="8">
        <v>3.8800000000000001E-2</v>
      </c>
      <c r="F820" s="6"/>
    </row>
    <row r="821" spans="1:6" ht="19">
      <c r="A821" s="6">
        <v>818</v>
      </c>
      <c r="B821" s="1" t="s">
        <v>7011</v>
      </c>
      <c r="C821" s="7">
        <v>28472</v>
      </c>
      <c r="D821" s="7">
        <v>28159</v>
      </c>
      <c r="E821" s="8">
        <v>1.11E-2</v>
      </c>
      <c r="F821" s="6"/>
    </row>
    <row r="822" spans="1:6" ht="19">
      <c r="A822" s="6">
        <v>819</v>
      </c>
      <c r="B822" s="1" t="s">
        <v>7012</v>
      </c>
      <c r="C822" s="7">
        <v>28431</v>
      </c>
      <c r="D822" s="7">
        <v>29450</v>
      </c>
      <c r="E822" s="9" t="s">
        <v>7013</v>
      </c>
      <c r="F822" s="1" t="s">
        <v>6961</v>
      </c>
    </row>
    <row r="823" spans="1:6" ht="19">
      <c r="A823" s="6">
        <v>820</v>
      </c>
      <c r="B823" s="1" t="s">
        <v>7014</v>
      </c>
      <c r="C823" s="7">
        <v>28392</v>
      </c>
      <c r="D823" s="7">
        <v>28743</v>
      </c>
      <c r="E823" s="9" t="s">
        <v>7015</v>
      </c>
      <c r="F823" s="1" t="s">
        <v>6354</v>
      </c>
    </row>
    <row r="824" spans="1:6" ht="19">
      <c r="A824" s="6">
        <v>821</v>
      </c>
      <c r="B824" s="1" t="s">
        <v>7016</v>
      </c>
      <c r="C824" s="7">
        <v>28290</v>
      </c>
      <c r="D824" s="7">
        <v>28610</v>
      </c>
      <c r="E824" s="9" t="s">
        <v>6439</v>
      </c>
      <c r="F824" s="6"/>
    </row>
    <row r="825" spans="1:6" ht="19">
      <c r="A825" s="6">
        <v>822</v>
      </c>
      <c r="B825" s="1" t="s">
        <v>7017</v>
      </c>
      <c r="C825" s="7">
        <v>28183</v>
      </c>
      <c r="D825" s="7">
        <v>28691</v>
      </c>
      <c r="E825" s="9" t="s">
        <v>6574</v>
      </c>
      <c r="F825" s="6"/>
    </row>
    <row r="826" spans="1:6" ht="19">
      <c r="A826" s="6">
        <v>823</v>
      </c>
      <c r="B826" s="1" t="s">
        <v>7018</v>
      </c>
      <c r="C826" s="7">
        <v>28161</v>
      </c>
      <c r="D826" s="7">
        <v>28525</v>
      </c>
      <c r="E826" s="9" t="s">
        <v>6680</v>
      </c>
      <c r="F826" s="1" t="s">
        <v>5939</v>
      </c>
    </row>
    <row r="827" spans="1:6" ht="19">
      <c r="A827" s="6">
        <v>824</v>
      </c>
      <c r="B827" s="1" t="s">
        <v>7019</v>
      </c>
      <c r="C827" s="7">
        <v>28145</v>
      </c>
      <c r="D827" s="7">
        <v>28933</v>
      </c>
      <c r="E827" s="9" t="s">
        <v>7020</v>
      </c>
      <c r="F827" s="6"/>
    </row>
    <row r="828" spans="1:6" ht="19">
      <c r="A828" s="6">
        <v>825</v>
      </c>
      <c r="B828" s="1" t="s">
        <v>7021</v>
      </c>
      <c r="C828" s="7">
        <v>28044</v>
      </c>
      <c r="D828" s="7">
        <v>27994</v>
      </c>
      <c r="E828" s="8">
        <v>1.8E-3</v>
      </c>
      <c r="F828" s="6"/>
    </row>
    <row r="829" spans="1:6" ht="19">
      <c r="A829" s="6">
        <v>826</v>
      </c>
      <c r="B829" s="1" t="s">
        <v>7022</v>
      </c>
      <c r="C829" s="7">
        <v>27858</v>
      </c>
      <c r="D829" s="7">
        <v>28258</v>
      </c>
      <c r="E829" s="9" t="s">
        <v>7023</v>
      </c>
      <c r="F829" s="1" t="s">
        <v>5952</v>
      </c>
    </row>
    <row r="830" spans="1:6" ht="19">
      <c r="A830" s="6">
        <v>827</v>
      </c>
      <c r="B830" s="1" t="s">
        <v>7024</v>
      </c>
      <c r="C830" s="7">
        <v>27856</v>
      </c>
      <c r="D830" s="7">
        <v>28111</v>
      </c>
      <c r="E830" s="9" t="s">
        <v>6227</v>
      </c>
      <c r="F830" s="1" t="s">
        <v>5885</v>
      </c>
    </row>
    <row r="831" spans="1:6" ht="19">
      <c r="A831" s="6">
        <v>828</v>
      </c>
      <c r="B831" s="1" t="s">
        <v>7025</v>
      </c>
      <c r="C831" s="7">
        <v>27606</v>
      </c>
      <c r="D831" s="7">
        <v>27227</v>
      </c>
      <c r="E831" s="8">
        <v>1.3899999999999999E-2</v>
      </c>
      <c r="F831" s="6"/>
    </row>
    <row r="832" spans="1:6" ht="19">
      <c r="A832" s="6">
        <v>829</v>
      </c>
      <c r="B832" s="1" t="s">
        <v>7026</v>
      </c>
      <c r="C832" s="7">
        <v>27559</v>
      </c>
      <c r="D832" s="7">
        <v>27979</v>
      </c>
      <c r="E832" s="9" t="s">
        <v>7027</v>
      </c>
      <c r="F832" s="1" t="s">
        <v>6250</v>
      </c>
    </row>
    <row r="833" spans="1:6" ht="19">
      <c r="A833" s="6">
        <v>830</v>
      </c>
      <c r="B833" s="1" t="s">
        <v>7028</v>
      </c>
      <c r="C833" s="7">
        <v>27557</v>
      </c>
      <c r="D833" s="7">
        <v>27674</v>
      </c>
      <c r="E833" s="9" t="s">
        <v>6923</v>
      </c>
      <c r="F833" s="6"/>
    </row>
    <row r="834" spans="1:6" ht="19">
      <c r="A834" s="6">
        <v>831</v>
      </c>
      <c r="B834" s="1" t="s">
        <v>7029</v>
      </c>
      <c r="C834" s="7">
        <v>27514</v>
      </c>
      <c r="D834" s="7">
        <v>27731</v>
      </c>
      <c r="E834" s="9" t="s">
        <v>6431</v>
      </c>
      <c r="F834" s="6"/>
    </row>
    <row r="835" spans="1:6" ht="19">
      <c r="A835" s="6">
        <v>832</v>
      </c>
      <c r="B835" s="1" t="s">
        <v>7030</v>
      </c>
      <c r="C835" s="7">
        <v>27509</v>
      </c>
      <c r="D835" s="7">
        <v>27842</v>
      </c>
      <c r="E835" s="9" t="s">
        <v>7031</v>
      </c>
      <c r="F835" s="1" t="s">
        <v>6114</v>
      </c>
    </row>
    <row r="836" spans="1:6" ht="19">
      <c r="A836" s="6">
        <v>833</v>
      </c>
      <c r="B836" s="1" t="s">
        <v>7032</v>
      </c>
      <c r="C836" s="7">
        <v>27500</v>
      </c>
      <c r="D836" s="7">
        <v>27701</v>
      </c>
      <c r="E836" s="9" t="s">
        <v>6810</v>
      </c>
      <c r="F836" s="6"/>
    </row>
    <row r="837" spans="1:6" ht="19">
      <c r="A837" s="6">
        <v>834</v>
      </c>
      <c r="B837" s="1" t="s">
        <v>7033</v>
      </c>
      <c r="C837" s="7">
        <v>27334</v>
      </c>
      <c r="D837" s="7">
        <v>27213</v>
      </c>
      <c r="E837" s="8">
        <v>4.4000000000000003E-3</v>
      </c>
      <c r="F837" s="1" t="s">
        <v>5985</v>
      </c>
    </row>
    <row r="838" spans="1:6" ht="19">
      <c r="A838" s="6">
        <v>835</v>
      </c>
      <c r="B838" s="1" t="s">
        <v>7034</v>
      </c>
      <c r="C838" s="7">
        <v>26771</v>
      </c>
      <c r="D838" s="7">
        <v>24199</v>
      </c>
      <c r="E838" s="8">
        <v>0.10630000000000001</v>
      </c>
      <c r="F838" s="6"/>
    </row>
    <row r="839" spans="1:6" ht="19">
      <c r="A839" s="6">
        <v>836</v>
      </c>
      <c r="B839" s="1" t="s">
        <v>7035</v>
      </c>
      <c r="C839" s="7">
        <v>26752</v>
      </c>
      <c r="D839" s="7">
        <v>26405</v>
      </c>
      <c r="E839" s="8">
        <v>1.3100000000000001E-2</v>
      </c>
      <c r="F839" s="6"/>
    </row>
    <row r="840" spans="1:6" ht="19">
      <c r="A840" s="6">
        <v>837</v>
      </c>
      <c r="B840" s="1" t="s">
        <v>7036</v>
      </c>
      <c r="C840" s="7">
        <v>26697</v>
      </c>
      <c r="D840" s="7">
        <v>22398</v>
      </c>
      <c r="E840" s="8">
        <v>0.19189999999999999</v>
      </c>
      <c r="F840" s="6"/>
    </row>
    <row r="841" spans="1:6" ht="19">
      <c r="A841" s="6">
        <v>838</v>
      </c>
      <c r="B841" s="1" t="s">
        <v>7037</v>
      </c>
      <c r="C841" s="7">
        <v>26630</v>
      </c>
      <c r="D841" s="7">
        <v>27153</v>
      </c>
      <c r="E841" s="9" t="s">
        <v>7038</v>
      </c>
      <c r="F841" s="1" t="s">
        <v>5895</v>
      </c>
    </row>
    <row r="842" spans="1:6" ht="19">
      <c r="A842" s="6">
        <v>839</v>
      </c>
      <c r="B842" s="1" t="s">
        <v>7039</v>
      </c>
      <c r="C842" s="7">
        <v>26249</v>
      </c>
      <c r="D842" s="7">
        <v>26370</v>
      </c>
      <c r="E842" s="9" t="s">
        <v>6626</v>
      </c>
      <c r="F842" s="6"/>
    </row>
    <row r="843" spans="1:6" ht="19">
      <c r="A843" s="6">
        <v>840</v>
      </c>
      <c r="B843" s="1" t="s">
        <v>7040</v>
      </c>
      <c r="C843" s="7">
        <v>26237</v>
      </c>
      <c r="D843" s="7">
        <v>26446</v>
      </c>
      <c r="E843" s="9" t="s">
        <v>6689</v>
      </c>
      <c r="F843" s="6"/>
    </row>
    <row r="844" spans="1:6" ht="19">
      <c r="A844" s="6">
        <v>841</v>
      </c>
      <c r="B844" s="1" t="s">
        <v>7041</v>
      </c>
      <c r="C844" s="7">
        <v>26223</v>
      </c>
      <c r="D844" s="7">
        <v>27038</v>
      </c>
      <c r="E844" s="9" t="s">
        <v>7042</v>
      </c>
      <c r="F844" s="1" t="s">
        <v>6025</v>
      </c>
    </row>
    <row r="845" spans="1:6" ht="19">
      <c r="A845" s="6">
        <v>842</v>
      </c>
      <c r="B845" s="1" t="s">
        <v>7043</v>
      </c>
      <c r="C845" s="7">
        <v>26195</v>
      </c>
      <c r="D845" s="7">
        <v>26306</v>
      </c>
      <c r="E845" s="9" t="s">
        <v>6923</v>
      </c>
      <c r="F845" s="1" t="s">
        <v>6039</v>
      </c>
    </row>
    <row r="846" spans="1:6" ht="19">
      <c r="A846" s="6">
        <v>843</v>
      </c>
      <c r="B846" s="1" t="s">
        <v>7044</v>
      </c>
      <c r="C846" s="7">
        <v>26042</v>
      </c>
      <c r="D846" s="7">
        <v>25740</v>
      </c>
      <c r="E846" s="8">
        <v>1.17E-2</v>
      </c>
      <c r="F846" s="1" t="s">
        <v>5939</v>
      </c>
    </row>
    <row r="847" spans="1:6" ht="19">
      <c r="A847" s="6">
        <v>844</v>
      </c>
      <c r="B847" s="1" t="s">
        <v>7045</v>
      </c>
      <c r="C847" s="7">
        <v>25906</v>
      </c>
      <c r="D847" s="7">
        <v>25992</v>
      </c>
      <c r="E847" s="9" t="s">
        <v>6429</v>
      </c>
      <c r="F847" s="1" t="s">
        <v>5933</v>
      </c>
    </row>
    <row r="848" spans="1:6" ht="19">
      <c r="A848" s="6">
        <v>845</v>
      </c>
      <c r="B848" s="1" t="s">
        <v>7046</v>
      </c>
      <c r="C848" s="7">
        <v>25891</v>
      </c>
      <c r="D848" s="7">
        <v>26175</v>
      </c>
      <c r="E848" s="9" t="s">
        <v>6456</v>
      </c>
      <c r="F848" s="6"/>
    </row>
    <row r="849" spans="1:6" ht="19">
      <c r="A849" s="6">
        <v>846</v>
      </c>
      <c r="B849" s="1" t="s">
        <v>7047</v>
      </c>
      <c r="C849" s="7">
        <v>25759</v>
      </c>
      <c r="D849" s="7">
        <v>25748</v>
      </c>
      <c r="E849" s="8">
        <v>4.0000000000000002E-4</v>
      </c>
      <c r="F849" s="6"/>
    </row>
    <row r="850" spans="1:6" ht="19">
      <c r="A850" s="6">
        <v>847</v>
      </c>
      <c r="B850" s="1" t="s">
        <v>7048</v>
      </c>
      <c r="C850" s="7">
        <v>25725</v>
      </c>
      <c r="D850" s="7">
        <v>26015</v>
      </c>
      <c r="E850" s="9" t="s">
        <v>6298</v>
      </c>
      <c r="F850" s="1" t="s">
        <v>6487</v>
      </c>
    </row>
    <row r="851" spans="1:6" ht="19">
      <c r="A851" s="6">
        <v>848</v>
      </c>
      <c r="B851" s="1" t="s">
        <v>7049</v>
      </c>
      <c r="C851" s="7">
        <v>25709</v>
      </c>
      <c r="D851" s="7">
        <v>26151</v>
      </c>
      <c r="E851" s="9" t="s">
        <v>7050</v>
      </c>
      <c r="F851" s="6"/>
    </row>
    <row r="852" spans="1:6" ht="19">
      <c r="A852" s="6">
        <v>849</v>
      </c>
      <c r="B852" s="1" t="s">
        <v>7051</v>
      </c>
      <c r="C852" s="7">
        <v>25621</v>
      </c>
      <c r="D852" s="7">
        <v>25529</v>
      </c>
      <c r="E852" s="8">
        <v>3.5999999999999999E-3</v>
      </c>
      <c r="F852" s="1" t="s">
        <v>6267</v>
      </c>
    </row>
    <row r="853" spans="1:6" ht="19">
      <c r="A853" s="6">
        <v>850</v>
      </c>
      <c r="B853" s="1" t="s">
        <v>7052</v>
      </c>
      <c r="C853" s="7">
        <v>25543</v>
      </c>
      <c r="D853" s="7">
        <v>25857</v>
      </c>
      <c r="E853" s="9" t="s">
        <v>6713</v>
      </c>
      <c r="F853" s="6"/>
    </row>
    <row r="854" spans="1:6" ht="19">
      <c r="A854" s="6">
        <v>851</v>
      </c>
      <c r="B854" s="1" t="s">
        <v>7053</v>
      </c>
      <c r="C854" s="7">
        <v>25487</v>
      </c>
      <c r="D854" s="7">
        <v>25213</v>
      </c>
      <c r="E854" s="8">
        <v>1.09E-2</v>
      </c>
      <c r="F854" s="6"/>
    </row>
    <row r="855" spans="1:6" ht="19">
      <c r="A855" s="6">
        <v>852</v>
      </c>
      <c r="B855" s="1" t="s">
        <v>7054</v>
      </c>
      <c r="C855" s="7">
        <v>25425</v>
      </c>
      <c r="D855" s="7">
        <v>25893</v>
      </c>
      <c r="E855" s="9" t="s">
        <v>7055</v>
      </c>
      <c r="F855" s="1" t="s">
        <v>6470</v>
      </c>
    </row>
    <row r="856" spans="1:6" ht="19">
      <c r="A856" s="6">
        <v>853</v>
      </c>
      <c r="B856" s="1" t="s">
        <v>7056</v>
      </c>
      <c r="C856" s="7">
        <v>25330</v>
      </c>
      <c r="D856" s="7">
        <v>25414</v>
      </c>
      <c r="E856" s="9" t="s">
        <v>6429</v>
      </c>
      <c r="F856" s="1" t="s">
        <v>6267</v>
      </c>
    </row>
    <row r="857" spans="1:6" ht="19">
      <c r="A857" s="6">
        <v>854</v>
      </c>
      <c r="B857" s="1" t="s">
        <v>7057</v>
      </c>
      <c r="C857" s="7">
        <v>25273</v>
      </c>
      <c r="D857" s="7">
        <v>23530</v>
      </c>
      <c r="E857" s="8">
        <v>7.4099999999999999E-2</v>
      </c>
      <c r="F857" s="1" t="s">
        <v>5970</v>
      </c>
    </row>
    <row r="858" spans="1:6" ht="19">
      <c r="A858" s="6">
        <v>855</v>
      </c>
      <c r="B858" s="1" t="s">
        <v>7058</v>
      </c>
      <c r="C858" s="7">
        <v>25153</v>
      </c>
      <c r="D858" s="7">
        <v>24837</v>
      </c>
      <c r="E858" s="8">
        <v>1.2699999999999999E-2</v>
      </c>
      <c r="F858" s="6"/>
    </row>
    <row r="859" spans="1:6" ht="19">
      <c r="A859" s="6">
        <v>856</v>
      </c>
      <c r="B859" s="1" t="s">
        <v>7059</v>
      </c>
      <c r="C859" s="7">
        <v>25041</v>
      </c>
      <c r="D859" s="7">
        <v>25095</v>
      </c>
      <c r="E859" s="9" t="s">
        <v>6204</v>
      </c>
      <c r="F859" s="6"/>
    </row>
    <row r="860" spans="1:6" ht="19">
      <c r="A860" s="6">
        <v>857</v>
      </c>
      <c r="B860" s="1" t="s">
        <v>7060</v>
      </c>
      <c r="C860" s="7">
        <v>24691</v>
      </c>
      <c r="D860" s="7">
        <v>24512</v>
      </c>
      <c r="E860" s="8">
        <v>7.3000000000000001E-3</v>
      </c>
      <c r="F860" s="6"/>
    </row>
    <row r="861" spans="1:6" ht="19">
      <c r="A861" s="6">
        <v>858</v>
      </c>
      <c r="B861" s="1" t="s">
        <v>7061</v>
      </c>
      <c r="C861" s="7">
        <v>24473</v>
      </c>
      <c r="D861" s="7">
        <v>24552</v>
      </c>
      <c r="E861" s="9" t="s">
        <v>6310</v>
      </c>
      <c r="F861" s="6"/>
    </row>
    <row r="862" spans="1:6" ht="19">
      <c r="A862" s="6">
        <v>859</v>
      </c>
      <c r="B862" s="1" t="s">
        <v>7062</v>
      </c>
      <c r="C862" s="7">
        <v>24397</v>
      </c>
      <c r="D862" s="7">
        <v>24097</v>
      </c>
      <c r="E862" s="8">
        <v>1.24E-2</v>
      </c>
      <c r="F862" s="1" t="s">
        <v>6341</v>
      </c>
    </row>
    <row r="863" spans="1:6" ht="19">
      <c r="A863" s="6">
        <v>860</v>
      </c>
      <c r="B863" s="1" t="s">
        <v>7063</v>
      </c>
      <c r="C863" s="7">
        <v>24375</v>
      </c>
      <c r="D863" s="7">
        <v>24877</v>
      </c>
      <c r="E863" s="9" t="s">
        <v>7064</v>
      </c>
      <c r="F863" s="6"/>
    </row>
    <row r="864" spans="1:6" ht="19">
      <c r="A864" s="6">
        <v>861</v>
      </c>
      <c r="B864" s="1" t="s">
        <v>7065</v>
      </c>
      <c r="C864" s="7">
        <v>24029</v>
      </c>
      <c r="D864" s="7">
        <v>24277</v>
      </c>
      <c r="E864" s="9" t="s">
        <v>7066</v>
      </c>
      <c r="F864" s="1" t="s">
        <v>6607</v>
      </c>
    </row>
    <row r="865" spans="1:6" ht="19">
      <c r="A865" s="6">
        <v>862</v>
      </c>
      <c r="B865" s="1" t="s">
        <v>7067</v>
      </c>
      <c r="C865" s="7">
        <v>23606</v>
      </c>
      <c r="D865" s="7">
        <v>23439</v>
      </c>
      <c r="E865" s="8">
        <v>7.1000000000000004E-3</v>
      </c>
      <c r="F865" s="6"/>
    </row>
    <row r="866" spans="1:6" ht="19">
      <c r="A866" s="6">
        <v>863</v>
      </c>
      <c r="B866" s="1" t="s">
        <v>7068</v>
      </c>
      <c r="C866" s="7">
        <v>23547</v>
      </c>
      <c r="D866" s="7">
        <v>22952</v>
      </c>
      <c r="E866" s="8">
        <v>2.5899999999999999E-2</v>
      </c>
      <c r="F866" s="6"/>
    </row>
    <row r="867" spans="1:6" ht="19">
      <c r="A867" s="6">
        <v>864</v>
      </c>
      <c r="B867" s="1" t="s">
        <v>7069</v>
      </c>
      <c r="C867" s="7">
        <v>23419</v>
      </c>
      <c r="D867" s="7">
        <v>23370</v>
      </c>
      <c r="E867" s="8">
        <v>2.0999999999999999E-3</v>
      </c>
      <c r="F867" s="6"/>
    </row>
    <row r="868" spans="1:6" ht="19">
      <c r="A868" s="6">
        <v>865</v>
      </c>
      <c r="B868" s="1" t="s">
        <v>7070</v>
      </c>
      <c r="C868" s="7">
        <v>23339</v>
      </c>
      <c r="D868" s="7">
        <v>23370</v>
      </c>
      <c r="E868" s="9" t="s">
        <v>6015</v>
      </c>
      <c r="F868" s="6"/>
    </row>
    <row r="869" spans="1:6" ht="19">
      <c r="A869" s="6">
        <v>866</v>
      </c>
      <c r="B869" s="1" t="s">
        <v>7071</v>
      </c>
      <c r="C869" s="7">
        <v>23334</v>
      </c>
      <c r="D869" s="7">
        <v>23509</v>
      </c>
      <c r="E869" s="9" t="s">
        <v>6514</v>
      </c>
      <c r="F869" s="1" t="s">
        <v>7072</v>
      </c>
    </row>
    <row r="870" spans="1:6" ht="19">
      <c r="A870" s="6">
        <v>867</v>
      </c>
      <c r="B870" s="1" t="s">
        <v>7073</v>
      </c>
      <c r="C870" s="7">
        <v>23146</v>
      </c>
      <c r="D870" s="7">
        <v>22835</v>
      </c>
      <c r="E870" s="8">
        <v>1.3599999999999999E-2</v>
      </c>
      <c r="F870" s="6"/>
    </row>
    <row r="871" spans="1:6" ht="19">
      <c r="A871" s="6">
        <v>868</v>
      </c>
      <c r="B871" s="1" t="s">
        <v>7074</v>
      </c>
      <c r="C871" s="7">
        <v>23081</v>
      </c>
      <c r="D871" s="7">
        <v>22119</v>
      </c>
      <c r="E871" s="8">
        <v>4.3499999999999997E-2</v>
      </c>
      <c r="F871" s="6"/>
    </row>
    <row r="872" spans="1:6" ht="19">
      <c r="A872" s="6">
        <v>869</v>
      </c>
      <c r="B872" s="1" t="s">
        <v>7075</v>
      </c>
      <c r="C872" s="7">
        <v>23072</v>
      </c>
      <c r="D872" s="7">
        <v>22935</v>
      </c>
      <c r="E872" s="8">
        <v>6.0000000000000001E-3</v>
      </c>
      <c r="F872" s="1" t="s">
        <v>6155</v>
      </c>
    </row>
    <row r="873" spans="1:6" ht="19">
      <c r="A873" s="6">
        <v>870</v>
      </c>
      <c r="B873" s="1" t="s">
        <v>7076</v>
      </c>
      <c r="C873" s="7">
        <v>22978</v>
      </c>
      <c r="D873" s="7">
        <v>22535</v>
      </c>
      <c r="E873" s="8">
        <v>1.9699999999999999E-2</v>
      </c>
      <c r="F873" s="6"/>
    </row>
    <row r="874" spans="1:6" ht="19">
      <c r="A874" s="6">
        <v>871</v>
      </c>
      <c r="B874" s="1" t="s">
        <v>7077</v>
      </c>
      <c r="C874" s="7">
        <v>22936</v>
      </c>
      <c r="D874" s="7">
        <v>22995</v>
      </c>
      <c r="E874" s="9" t="s">
        <v>6399</v>
      </c>
      <c r="F874" s="6"/>
    </row>
    <row r="875" spans="1:6" ht="19">
      <c r="A875" s="6">
        <v>872</v>
      </c>
      <c r="B875" s="1" t="s">
        <v>7078</v>
      </c>
      <c r="C875" s="7">
        <v>22802</v>
      </c>
      <c r="D875" s="7">
        <v>22897</v>
      </c>
      <c r="E875" s="9" t="s">
        <v>7079</v>
      </c>
      <c r="F875" s="1" t="s">
        <v>6202</v>
      </c>
    </row>
    <row r="876" spans="1:6" ht="19">
      <c r="A876" s="6">
        <v>873</v>
      </c>
      <c r="B876" s="1" t="s">
        <v>7080</v>
      </c>
      <c r="C876" s="7">
        <v>22631</v>
      </c>
      <c r="D876" s="7">
        <v>22709</v>
      </c>
      <c r="E876" s="9" t="s">
        <v>6566</v>
      </c>
      <c r="F876" s="6"/>
    </row>
    <row r="877" spans="1:6" ht="19">
      <c r="A877" s="6">
        <v>874</v>
      </c>
      <c r="B877" s="1" t="s">
        <v>7081</v>
      </c>
      <c r="C877" s="7">
        <v>22603</v>
      </c>
      <c r="D877" s="7">
        <v>22438</v>
      </c>
      <c r="E877" s="8">
        <v>7.4000000000000003E-3</v>
      </c>
      <c r="F877" s="6"/>
    </row>
    <row r="878" spans="1:6" ht="19">
      <c r="A878" s="6">
        <v>875</v>
      </c>
      <c r="B878" s="1" t="s">
        <v>7082</v>
      </c>
      <c r="C878" s="7">
        <v>22584</v>
      </c>
      <c r="D878" s="7">
        <v>22346</v>
      </c>
      <c r="E878" s="8">
        <v>1.0699999999999999E-2</v>
      </c>
      <c r="F878" s="6"/>
    </row>
    <row r="879" spans="1:6" ht="19">
      <c r="A879" s="6">
        <v>876</v>
      </c>
      <c r="B879" s="1" t="s">
        <v>7083</v>
      </c>
      <c r="C879" s="7">
        <v>22443</v>
      </c>
      <c r="D879" s="7">
        <v>22381</v>
      </c>
      <c r="E879" s="8">
        <v>2.8E-3</v>
      </c>
      <c r="F879" s="6"/>
    </row>
    <row r="880" spans="1:6" ht="19">
      <c r="A880" s="6">
        <v>877</v>
      </c>
      <c r="B880" s="1" t="s">
        <v>7084</v>
      </c>
      <c r="C880" s="7">
        <v>22313</v>
      </c>
      <c r="D880" s="7">
        <v>21904</v>
      </c>
      <c r="E880" s="8">
        <v>1.8700000000000001E-2</v>
      </c>
      <c r="F880" s="6"/>
    </row>
    <row r="881" spans="1:6" ht="19">
      <c r="A881" s="6">
        <v>878</v>
      </c>
      <c r="B881" s="1" t="s">
        <v>7085</v>
      </c>
      <c r="C881" s="7">
        <v>22248</v>
      </c>
      <c r="D881" s="7">
        <v>22364</v>
      </c>
      <c r="E881" s="9" t="s">
        <v>6746</v>
      </c>
      <c r="F881" s="6"/>
    </row>
    <row r="882" spans="1:6" ht="19">
      <c r="A882" s="6">
        <v>879</v>
      </c>
      <c r="B882" s="1" t="s">
        <v>7086</v>
      </c>
      <c r="C882" s="7">
        <v>22058</v>
      </c>
      <c r="D882" s="7">
        <v>22134</v>
      </c>
      <c r="E882" s="9" t="s">
        <v>6566</v>
      </c>
      <c r="F882" s="1" t="s">
        <v>6094</v>
      </c>
    </row>
    <row r="883" spans="1:6" ht="19">
      <c r="A883" s="6">
        <v>880</v>
      </c>
      <c r="B883" s="1" t="s">
        <v>7087</v>
      </c>
      <c r="C883" s="7">
        <v>21922</v>
      </c>
      <c r="D883" s="7">
        <v>22150</v>
      </c>
      <c r="E883" s="9" t="s">
        <v>6324</v>
      </c>
      <c r="F883" s="1" t="s">
        <v>6176</v>
      </c>
    </row>
    <row r="884" spans="1:6" ht="19">
      <c r="A884" s="6">
        <v>881</v>
      </c>
      <c r="B884" s="1" t="s">
        <v>7088</v>
      </c>
      <c r="C884" s="7">
        <v>21846</v>
      </c>
      <c r="D884" s="7">
        <v>21361</v>
      </c>
      <c r="E884" s="8">
        <v>2.2700000000000001E-2</v>
      </c>
      <c r="F884" s="6"/>
    </row>
    <row r="885" spans="1:6" ht="19">
      <c r="A885" s="6">
        <v>882</v>
      </c>
      <c r="B885" s="1" t="s">
        <v>7089</v>
      </c>
      <c r="C885" s="7">
        <v>21806</v>
      </c>
      <c r="D885" s="7">
        <v>22311</v>
      </c>
      <c r="E885" s="9" t="s">
        <v>7090</v>
      </c>
      <c r="F885" s="1" t="s">
        <v>6146</v>
      </c>
    </row>
    <row r="886" spans="1:6" ht="19">
      <c r="A886" s="6">
        <v>883</v>
      </c>
      <c r="B886" s="1" t="s">
        <v>7091</v>
      </c>
      <c r="C886" s="7">
        <v>21682</v>
      </c>
      <c r="D886" s="7">
        <v>21906</v>
      </c>
      <c r="E886" s="9" t="s">
        <v>7066</v>
      </c>
      <c r="F886" s="6"/>
    </row>
    <row r="887" spans="1:6" ht="19">
      <c r="A887" s="6">
        <v>884</v>
      </c>
      <c r="B887" s="1" t="s">
        <v>7092</v>
      </c>
      <c r="C887" s="7">
        <v>21609</v>
      </c>
      <c r="D887" s="7">
        <v>21381</v>
      </c>
      <c r="E887" s="8">
        <v>1.0699999999999999E-2</v>
      </c>
      <c r="F887" s="1" t="s">
        <v>6482</v>
      </c>
    </row>
    <row r="888" spans="1:6" ht="19">
      <c r="A888" s="6">
        <v>885</v>
      </c>
      <c r="B888" s="1" t="s">
        <v>7093</v>
      </c>
      <c r="C888" s="7">
        <v>21498</v>
      </c>
      <c r="D888" s="7">
        <v>20640</v>
      </c>
      <c r="E888" s="8">
        <v>4.1599999999999998E-2</v>
      </c>
      <c r="F888" s="6"/>
    </row>
    <row r="889" spans="1:6" ht="19">
      <c r="A889" s="6">
        <v>886</v>
      </c>
      <c r="B889" s="1" t="s">
        <v>7094</v>
      </c>
      <c r="C889" s="7">
        <v>21487</v>
      </c>
      <c r="D889" s="7">
        <v>21378</v>
      </c>
      <c r="E889" s="8">
        <v>5.1000000000000004E-3</v>
      </c>
      <c r="F889" s="6"/>
    </row>
    <row r="890" spans="1:6" ht="19">
      <c r="A890" s="6">
        <v>887</v>
      </c>
      <c r="B890" s="1" t="s">
        <v>7095</v>
      </c>
      <c r="C890" s="7">
        <v>21284</v>
      </c>
      <c r="D890" s="7">
        <v>21607</v>
      </c>
      <c r="E890" s="9" t="s">
        <v>7096</v>
      </c>
      <c r="F890" s="6"/>
    </row>
    <row r="891" spans="1:6" ht="19">
      <c r="A891" s="6">
        <v>888</v>
      </c>
      <c r="B891" s="1" t="s">
        <v>7097</v>
      </c>
      <c r="C891" s="7">
        <v>21246</v>
      </c>
      <c r="D891" s="7">
        <v>21403</v>
      </c>
      <c r="E891" s="9" t="s">
        <v>6810</v>
      </c>
      <c r="F891" s="6"/>
    </row>
    <row r="892" spans="1:6" ht="19">
      <c r="A892" s="6">
        <v>889</v>
      </c>
      <c r="B892" s="1" t="s">
        <v>7098</v>
      </c>
      <c r="C892" s="7">
        <v>21025</v>
      </c>
      <c r="D892" s="7">
        <v>21118</v>
      </c>
      <c r="E892" s="9" t="s">
        <v>6959</v>
      </c>
      <c r="F892" s="6"/>
    </row>
    <row r="893" spans="1:6" ht="19">
      <c r="A893" s="6">
        <v>890</v>
      </c>
      <c r="B893" s="1" t="s">
        <v>7099</v>
      </c>
      <c r="C893" s="7">
        <v>20934</v>
      </c>
      <c r="D893" s="7">
        <v>21100</v>
      </c>
      <c r="E893" s="9" t="s">
        <v>6689</v>
      </c>
      <c r="F893" s="6"/>
    </row>
    <row r="894" spans="1:6" ht="19">
      <c r="A894" s="6">
        <v>891</v>
      </c>
      <c r="B894" s="1" t="s">
        <v>7100</v>
      </c>
      <c r="C894" s="7">
        <v>20784</v>
      </c>
      <c r="D894" s="7">
        <v>21757</v>
      </c>
      <c r="E894" s="9" t="s">
        <v>7101</v>
      </c>
      <c r="F894" s="6"/>
    </row>
    <row r="895" spans="1:6" ht="19">
      <c r="A895" s="6">
        <v>892</v>
      </c>
      <c r="B895" s="1" t="s">
        <v>7102</v>
      </c>
      <c r="C895" s="7">
        <v>20729</v>
      </c>
      <c r="D895" s="7">
        <v>20978</v>
      </c>
      <c r="E895" s="9" t="s">
        <v>6717</v>
      </c>
      <c r="F895" s="1" t="s">
        <v>6278</v>
      </c>
    </row>
    <row r="896" spans="1:6" ht="19">
      <c r="A896" s="6">
        <v>893</v>
      </c>
      <c r="B896" s="1" t="s">
        <v>7103</v>
      </c>
      <c r="C896" s="7">
        <v>20592</v>
      </c>
      <c r="D896" s="7">
        <v>20260</v>
      </c>
      <c r="E896" s="8">
        <v>1.6400000000000001E-2</v>
      </c>
      <c r="F896" s="6"/>
    </row>
    <row r="897" spans="1:6" ht="19">
      <c r="A897" s="6">
        <v>894</v>
      </c>
      <c r="B897" s="1" t="s">
        <v>7104</v>
      </c>
      <c r="C897" s="7">
        <v>20548</v>
      </c>
      <c r="D897" s="7">
        <v>20081</v>
      </c>
      <c r="E897" s="8">
        <v>2.3300000000000001E-2</v>
      </c>
      <c r="F897" s="6"/>
    </row>
    <row r="898" spans="1:6" ht="19">
      <c r="A898" s="6">
        <v>895</v>
      </c>
      <c r="B898" s="1" t="s">
        <v>7105</v>
      </c>
      <c r="C898" s="7">
        <v>20419</v>
      </c>
      <c r="D898" s="7">
        <v>19846</v>
      </c>
      <c r="E898" s="8">
        <v>2.8899999999999999E-2</v>
      </c>
      <c r="F898" s="1" t="s">
        <v>6737</v>
      </c>
    </row>
    <row r="899" spans="1:6" ht="19">
      <c r="A899" s="6">
        <v>896</v>
      </c>
      <c r="B899" s="1" t="s">
        <v>7106</v>
      </c>
      <c r="C899" s="7">
        <v>19360</v>
      </c>
      <c r="D899" s="7">
        <v>19372</v>
      </c>
      <c r="E899" s="9" t="s">
        <v>6763</v>
      </c>
      <c r="F899" s="6"/>
    </row>
    <row r="900" spans="1:6" ht="19">
      <c r="A900" s="6">
        <v>897</v>
      </c>
      <c r="B900" s="1" t="s">
        <v>7107</v>
      </c>
      <c r="C900" s="7">
        <v>19005</v>
      </c>
      <c r="D900" s="7">
        <v>18728</v>
      </c>
      <c r="E900" s="8">
        <v>1.4800000000000001E-2</v>
      </c>
      <c r="F900" s="1" t="s">
        <v>6502</v>
      </c>
    </row>
    <row r="901" spans="1:6" ht="19">
      <c r="A901" s="6">
        <v>898</v>
      </c>
      <c r="B901" s="1" t="s">
        <v>7108</v>
      </c>
      <c r="C901" s="7">
        <v>18159</v>
      </c>
      <c r="D901" s="7">
        <v>17950</v>
      </c>
      <c r="E901" s="8">
        <v>1.1599999999999999E-2</v>
      </c>
      <c r="F901" s="1" t="s">
        <v>5985</v>
      </c>
    </row>
    <row r="902" spans="1:6" ht="19">
      <c r="A902" s="6">
        <v>899</v>
      </c>
      <c r="B902" s="1" t="s">
        <v>7109</v>
      </c>
      <c r="C902" s="7">
        <v>17753</v>
      </c>
      <c r="D902" s="7">
        <v>17398</v>
      </c>
      <c r="E902" s="8">
        <v>2.0400000000000001E-2</v>
      </c>
      <c r="F902" s="6"/>
    </row>
    <row r="903" spans="1:6" ht="19">
      <c r="A903" s="6">
        <v>900</v>
      </c>
      <c r="B903" s="1" t="s">
        <v>7110</v>
      </c>
      <c r="C903" s="7">
        <v>17538</v>
      </c>
      <c r="D903" s="7">
        <v>17634</v>
      </c>
      <c r="E903" s="9" t="s">
        <v>7111</v>
      </c>
      <c r="F903" s="6"/>
    </row>
    <row r="904" spans="1:6" ht="19">
      <c r="A904" s="6">
        <v>901</v>
      </c>
      <c r="B904" s="1" t="s">
        <v>7112</v>
      </c>
      <c r="C904" s="7">
        <v>17512</v>
      </c>
      <c r="D904" s="7">
        <v>17490</v>
      </c>
      <c r="E904" s="8">
        <v>1.2999999999999999E-3</v>
      </c>
      <c r="F904" s="1" t="s">
        <v>5928</v>
      </c>
    </row>
    <row r="905" spans="1:6" ht="19">
      <c r="A905" s="6">
        <v>902</v>
      </c>
      <c r="B905" s="1" t="s">
        <v>7113</v>
      </c>
      <c r="C905" s="7">
        <v>17126</v>
      </c>
      <c r="D905" s="7">
        <v>16921</v>
      </c>
      <c r="E905" s="8">
        <v>1.21E-2</v>
      </c>
      <c r="F905" s="6"/>
    </row>
    <row r="906" spans="1:6" ht="19">
      <c r="A906" s="6">
        <v>903</v>
      </c>
      <c r="B906" s="1" t="s">
        <v>7114</v>
      </c>
      <c r="C906" s="7">
        <v>17048</v>
      </c>
      <c r="D906" s="7">
        <v>16528</v>
      </c>
      <c r="E906" s="8">
        <v>3.15E-2</v>
      </c>
      <c r="F906" s="6"/>
    </row>
    <row r="907" spans="1:6" ht="19">
      <c r="A907" s="6">
        <v>904</v>
      </c>
      <c r="B907" s="1" t="s">
        <v>7115</v>
      </c>
      <c r="C907" s="7">
        <v>17041</v>
      </c>
      <c r="D907" s="7">
        <v>16535</v>
      </c>
      <c r="E907" s="8">
        <v>3.0599999999999999E-2</v>
      </c>
      <c r="F907" s="6"/>
    </row>
    <row r="908" spans="1:6" ht="19">
      <c r="A908" s="6">
        <v>905</v>
      </c>
      <c r="B908" s="1" t="s">
        <v>7116</v>
      </c>
      <c r="C908" s="7">
        <v>16972</v>
      </c>
      <c r="D908" s="7">
        <v>16667</v>
      </c>
      <c r="E908" s="8">
        <v>1.83E-2</v>
      </c>
      <c r="F908" s="6"/>
    </row>
    <row r="909" spans="1:6" ht="19">
      <c r="A909" s="6">
        <v>906</v>
      </c>
      <c r="B909" s="1" t="s">
        <v>7117</v>
      </c>
      <c r="C909" s="7">
        <v>16867</v>
      </c>
      <c r="D909" s="7">
        <v>16843</v>
      </c>
      <c r="E909" s="8">
        <v>1.4E-3</v>
      </c>
      <c r="F909" s="6"/>
    </row>
    <row r="910" spans="1:6" ht="19">
      <c r="A910" s="6">
        <v>907</v>
      </c>
      <c r="B910" s="1" t="s">
        <v>7118</v>
      </c>
      <c r="C910" s="7">
        <v>16813</v>
      </c>
      <c r="D910" s="7">
        <v>16924</v>
      </c>
      <c r="E910" s="9" t="s">
        <v>5930</v>
      </c>
      <c r="F910" s="1" t="s">
        <v>5933</v>
      </c>
    </row>
    <row r="911" spans="1:6" ht="19">
      <c r="A911" s="6">
        <v>908</v>
      </c>
      <c r="B911" s="1" t="s">
        <v>7119</v>
      </c>
      <c r="C911" s="7">
        <v>16599</v>
      </c>
      <c r="D911" s="7">
        <v>16667</v>
      </c>
      <c r="E911" s="9" t="s">
        <v>7079</v>
      </c>
      <c r="F911" s="6"/>
    </row>
    <row r="912" spans="1:6" ht="19">
      <c r="A912" s="6">
        <v>909</v>
      </c>
      <c r="B912" s="1" t="s">
        <v>7120</v>
      </c>
      <c r="C912" s="7">
        <v>16117</v>
      </c>
      <c r="D912" s="7">
        <v>14786</v>
      </c>
      <c r="E912" s="8">
        <v>0.09</v>
      </c>
      <c r="F912" s="6"/>
    </row>
    <row r="913" spans="1:6" ht="19">
      <c r="A913" s="6">
        <v>910</v>
      </c>
      <c r="B913" s="1" t="s">
        <v>7121</v>
      </c>
      <c r="C913" s="7">
        <v>14924</v>
      </c>
      <c r="D913" s="7">
        <v>15216</v>
      </c>
      <c r="E913" s="9" t="s">
        <v>7122</v>
      </c>
      <c r="F913" s="6"/>
    </row>
    <row r="914" spans="1:6" ht="19">
      <c r="A914" s="6">
        <v>911</v>
      </c>
      <c r="B914" s="1" t="s">
        <v>7123</v>
      </c>
      <c r="C914" s="7">
        <v>14290</v>
      </c>
      <c r="D914" s="7">
        <v>14018</v>
      </c>
      <c r="E914" s="8">
        <v>1.9400000000000001E-2</v>
      </c>
      <c r="F914" s="6"/>
    </row>
    <row r="915" spans="1:6" ht="19">
      <c r="A915" s="6">
        <v>912</v>
      </c>
      <c r="B915" s="1" t="s">
        <v>7124</v>
      </c>
      <c r="C915" s="7">
        <v>14131</v>
      </c>
      <c r="D915" s="7">
        <v>13864</v>
      </c>
      <c r="E915" s="8">
        <v>1.9300000000000001E-2</v>
      </c>
      <c r="F915" s="1" t="s">
        <v>6261</v>
      </c>
    </row>
    <row r="916" spans="1:6" ht="19">
      <c r="A916" s="6">
        <v>913</v>
      </c>
      <c r="B916" s="1" t="s">
        <v>7125</v>
      </c>
      <c r="C916" s="7">
        <v>13798</v>
      </c>
      <c r="D916" s="7">
        <v>13783</v>
      </c>
      <c r="E916" s="8">
        <v>1.1000000000000001E-3</v>
      </c>
      <c r="F916" s="6"/>
    </row>
    <row r="917" spans="1:6" ht="19">
      <c r="A917" s="6">
        <v>914</v>
      </c>
      <c r="B917" s="1" t="s">
        <v>7126</v>
      </c>
      <c r="C917" s="7">
        <v>13779</v>
      </c>
      <c r="D917" s="7">
        <v>13477</v>
      </c>
      <c r="E917" s="8">
        <v>2.24E-2</v>
      </c>
      <c r="F917" s="6"/>
    </row>
    <row r="918" spans="1:6" ht="19">
      <c r="A918" s="6">
        <v>915</v>
      </c>
      <c r="B918" s="1" t="s">
        <v>7127</v>
      </c>
      <c r="C918" s="7">
        <v>13640</v>
      </c>
      <c r="D918" s="7">
        <v>13833</v>
      </c>
      <c r="E918" s="9" t="s">
        <v>7128</v>
      </c>
      <c r="F918" s="6"/>
    </row>
    <row r="919" spans="1:6" ht="19">
      <c r="A919" s="6">
        <v>916</v>
      </c>
      <c r="B919" s="1" t="s">
        <v>7129</v>
      </c>
      <c r="C919" s="7">
        <v>13258</v>
      </c>
      <c r="D919" s="7">
        <v>13535</v>
      </c>
      <c r="E919" s="9" t="s">
        <v>7130</v>
      </c>
      <c r="F919" s="6"/>
    </row>
    <row r="920" spans="1:6" ht="19">
      <c r="A920" s="6">
        <v>917</v>
      </c>
      <c r="B920" s="1" t="s">
        <v>7131</v>
      </c>
      <c r="C920" s="7">
        <v>13200</v>
      </c>
      <c r="D920" s="7">
        <v>13795</v>
      </c>
      <c r="E920" s="9" t="s">
        <v>7132</v>
      </c>
      <c r="F920" s="1" t="s">
        <v>7072</v>
      </c>
    </row>
  </sheetData>
  <mergeCells count="2">
    <mergeCell ref="A1:F1"/>
    <mergeCell ref="A2:F2"/>
  </mergeCells>
  <hyperlinks>
    <hyperlink ref="B4" r:id="rId1" tooltip="New York-Newark-Jersey City, NY-NJ-PA Metropolitan Statistical Area" display="https://en.wikipedia.org/wiki/New_York-Newark-Jersey_City,_NY-NJ-PA_Metropolitan_Statistical_Area" xr:uid="{890E6913-FC04-FF43-AF13-7108A714B982}"/>
    <hyperlink ref="F4" r:id="rId2" tooltip="New York-Newark, NY-NJ-CT-PA Combined Statistical Area" display="https://en.wikipedia.org/wiki/New_York-Newark,_NY-NJ-CT-PA_Combined_Statistical_Area" xr:uid="{4E750D32-3AA2-DB44-8C96-5B3401658533}"/>
    <hyperlink ref="B5" r:id="rId3" tooltip="Los Angeles-Long Beach-Anaheim, CA Metropolitan Statistical Area" display="https://en.wikipedia.org/wiki/Los_Angeles-Long_Beach-Anaheim,_CA_Metropolitan_Statistical_Area" xr:uid="{B0DF15C4-1C76-7440-B42A-5B73D7737217}"/>
    <hyperlink ref="F5" r:id="rId4" tooltip="Los Angeles-Long Beach, CA Combined Statistical Area" display="https://en.wikipedia.org/wiki/Los_Angeles-Long_Beach,_CA_Combined_Statistical_Area" xr:uid="{5E3447A2-59A4-5044-A3C5-1C612D32FF59}"/>
    <hyperlink ref="B6" r:id="rId5" tooltip="Chicago-Naperville-Elgin, IL-IN-WI Metropolitan Statistical Area" display="https://en.wikipedia.org/wiki/Chicago-Naperville-Elgin,_IL-IN-WI_Metropolitan_Statistical_Area" xr:uid="{21D40B29-18C5-E743-B57D-A484DCC27D12}"/>
    <hyperlink ref="F6" r:id="rId6" tooltip="Chicago-Naperville, IL-IN-WI Combined Statistical Area" display="https://en.wikipedia.org/wiki/Chicago-Naperville,_IL-IN-WI_Combined_Statistical_Area" xr:uid="{378280C3-7762-6549-9E2A-1D23EB8ABE40}"/>
    <hyperlink ref="B7" r:id="rId7" tooltip="Dallas-Fort Worth-Arlington, TX Metropolitan Statistical Area" display="https://en.wikipedia.org/wiki/Dallas-Fort_Worth-Arlington,_TX_Metropolitan_Statistical_Area" xr:uid="{A5BD3090-C754-8C40-8BCB-1BC8947A400E}"/>
    <hyperlink ref="F7" r:id="rId8" tooltip="Dallas-Fort Worth, TX-OK Combined Statistical Area" display="https://en.wikipedia.org/wiki/Dallas-Fort_Worth,_TX-OK_Combined_Statistical_Area" xr:uid="{7196C633-0870-1747-A304-40E54847B842}"/>
    <hyperlink ref="F8" r:id="rId9" tooltip="Houston-The Woodlands, TX Combined Statistical Area" display="https://en.wikipedia.org/wiki/Houston-The_Woodlands,_TX_Combined_Statistical_Area" xr:uid="{77C062AB-08BD-6D4E-B4AB-2553A08656BD}"/>
    <hyperlink ref="B9" r:id="rId10" tooltip="Philadelphia-Camden-Wilmington, PA-NJ-DE-MD Metropolitan Statistical Area" display="https://en.wikipedia.org/wiki/Philadelphia-Camden-Wilmington,_PA-NJ-DE-MD_Metropolitan_Statistical_Area" xr:uid="{E6316D75-552A-2A4E-BF8E-93DA41131F27}"/>
    <hyperlink ref="F9" r:id="rId11" tooltip="Philadelphia-Reading-Camden, PA-NJ-DE-MD Combined Statistical Area" display="https://en.wikipedia.org/wiki/Philadelphia-Reading-Camden,_PA-NJ-DE-MD_Combined_Statistical_Area" xr:uid="{4A1C4EB1-3012-F744-A610-1EEE463E67B3}"/>
    <hyperlink ref="B10" r:id="rId12" tooltip="Washington-Arlington-Alexandria, DC-VA-MD-WV Metropolitan Statistical Area" display="https://en.wikipedia.org/wiki/Washington-Arlington-Alexandria,_DC-VA-MD-WV_Metropolitan_Statistical_Area" xr:uid="{843343D7-8DC3-AA43-A9A0-35BA577B0761}"/>
    <hyperlink ref="F10" r:id="rId13" tooltip="Washington-Baltimore-Arlington, DC-MD-VA-WV-PA Combined Statistical Area" display="https://en.wikipedia.org/wiki/Washington-Baltimore-Arlington,_DC-MD-VA-WV-PA_Combined_Statistical_Area" xr:uid="{14B812A8-1232-8F45-B142-78C08EDC536A}"/>
    <hyperlink ref="B11" r:id="rId14" tooltip="Miami-Fort Lauderdale-West Palm Beach, FL Metropolitan Statistical Area" display="https://en.wikipedia.org/wiki/Miami-Fort_Lauderdale-West_Palm_Beach,_FL_Metropolitan_Statistical_Area" xr:uid="{DB5DF5EC-2B14-DE45-8A76-D8DEE99BE409}"/>
    <hyperlink ref="F11" r:id="rId15" tooltip="Miami-Fort Lauderdale-Port St. Lucie, FL Combined Statistical Area" display="https://en.wikipedia.org/wiki/Miami-Fort_Lauderdale-Port_St._Lucie,_FL_Combined_Statistical_Area" xr:uid="{B500716A-2624-3549-9558-D3AD4048730E}"/>
    <hyperlink ref="B12" r:id="rId16" tooltip="Atlanta-Sandy Springs-Roswell, GA Metropolitan Statistical Area" display="https://en.wikipedia.org/wiki/Atlanta-Sandy_Springs-Roswell,_GA_Metropolitan_Statistical_Area" xr:uid="{1080AEFA-C82B-3D41-ACDF-DB0EAC589001}"/>
    <hyperlink ref="F12" r:id="rId17" tooltip="Atlanta–Athens-Clarke County–Sandy Springs, GA Combined Statistical Area" display="https://en.wikipedia.org/wiki/Atlanta%E2%80%93Athens-Clarke_County%E2%80%93Sandy_Springs,_GA_Combined_Statistical_Area" xr:uid="{61DAC7F0-9316-E747-B3A3-B3B38F928D40}"/>
    <hyperlink ref="B13" r:id="rId18" tooltip="Boston-Cambridge-Newton, MA-NH Metropolitan Statistical Area" display="https://en.wikipedia.org/wiki/Boston-Cambridge-Newton,_MA-NH_Metropolitan_Statistical_Area" xr:uid="{D7404758-04EB-964E-9ACB-5E51C19F1B6A}"/>
    <hyperlink ref="F13" r:id="rId19" tooltip="Boston-Worcester-Providence, MA-RI-NH-CT Combined Statistical Area" display="https://en.wikipedia.org/wiki/Boston-Worcester-Providence,_MA-RI-NH-CT_Combined_Statistical_Area" xr:uid="{28893610-0563-134F-A9F5-71F55645F3F5}"/>
    <hyperlink ref="B14" r:id="rId20" tooltip="San Francisco-Oakland-Hayward, CA Metropolitan Statistical Area" display="https://en.wikipedia.org/wiki/San_Francisco-Oakland-Hayward,_CA_Metropolitan_Statistical_Area" xr:uid="{B867E694-16A2-424E-8624-F638A8D97929}"/>
    <hyperlink ref="F14" r:id="rId21" tooltip="San Jose-San Francisco-Oakland, CA Combined Statistical Area" display="https://en.wikipedia.org/wiki/San_Jose-San_Francisco-Oakland,_CA_Combined_Statistical_Area" xr:uid="{005A36F7-B776-E047-8873-3CE415CC2BB7}"/>
    <hyperlink ref="B15" r:id="rId22" tooltip="Riverside-San Bernardino-Ontario, CA Metropolitan Statistical Area" display="https://en.wikipedia.org/wiki/Riverside-San_Bernardino-Ontario,_CA_Metropolitan_Statistical_Area" xr:uid="{FB3D932A-4B9F-C643-A6F2-CA33612CBC4F}"/>
    <hyperlink ref="F15" r:id="rId23" tooltip="Los Angeles-Long Beach, CA Combined Statistical Area" display="https://en.wikipedia.org/wiki/Los_Angeles-Long_Beach,_CA_Combined_Statistical_Area" xr:uid="{F73316AD-FDEE-4147-88FC-FF08CCC2AC16}"/>
    <hyperlink ref="B16" r:id="rId24" tooltip="Phoenix-Mesa-Scottsdale, AZ Metropolitan Statistical Area" display="https://en.wikipedia.org/wiki/Phoenix-Mesa-Scottsdale,_AZ_Metropolitan_Statistical_Area" xr:uid="{9974E76D-CB13-484A-BBBB-B6E5EE88F172}"/>
    <hyperlink ref="B17" r:id="rId25" tooltip="Detroit-Warren-Dearborn, MI Metropolitan Statistical Area" display="https://en.wikipedia.org/wiki/Detroit-Warren-Dearborn,_MI_Metropolitan_Statistical_Area" xr:uid="{0E04A5B6-80C1-134D-BD01-87AE6F1353F1}"/>
    <hyperlink ref="F17" r:id="rId26" tooltip="Detroit-Warren-Ann Arbor, MI Combined Statistical Area" display="https://en.wikipedia.org/wiki/Detroit-Warren-Ann_Arbor,_MI_Combined_Statistical_Area" xr:uid="{BFB8F082-A034-094F-A6D9-B9AF0C4EA013}"/>
    <hyperlink ref="B18" r:id="rId27" tooltip="Seattle-Tacoma-Bellevue, WA Metropolitan Statistical Area" display="https://en.wikipedia.org/wiki/Seattle-Tacoma-Bellevue,_WA_Metropolitan_Statistical_Area" xr:uid="{39E56809-9A9F-4A45-8B93-8692468571D9}"/>
    <hyperlink ref="F18" r:id="rId28" tooltip="Seattle-Tacoma, WA Combined Statistical Area" display="https://en.wikipedia.org/wiki/Seattle-Tacoma,_WA_Combined_Statistical_Area" xr:uid="{23EA1D52-1A27-674B-9270-B5C44B7F6E38}"/>
    <hyperlink ref="B19" r:id="rId29" tooltip="Minneapolis-St. Paul-Bloomington, MN-WI Metropolitan Statistical Area" display="https://en.wikipedia.org/wiki/Minneapolis-St._Paul-Bloomington,_MN-WI_Metropolitan_Statistical_Area" xr:uid="{53901F23-7FA2-E64D-8582-FE3EE7DC2BA3}"/>
    <hyperlink ref="F19" r:id="rId30" tooltip="Minneapolis-St. Paul, MN-WI Combined Statistical Area" display="https://en.wikipedia.org/wiki/Minneapolis-St._Paul,_MN-WI_Combined_Statistical_Area" xr:uid="{9DCCB9F5-D442-524F-8670-6BCA916BF81E}"/>
    <hyperlink ref="B20" r:id="rId31" tooltip="San Diego-Carlsbad, CA Metropolitan Statistical Area" display="https://en.wikipedia.org/wiki/San_Diego-Carlsbad,_CA_Metropolitan_Statistical_Area" xr:uid="{9A789F32-1DA7-E94A-B1A2-2FC1F6C8BB60}"/>
    <hyperlink ref="B21" r:id="rId32" tooltip="Tampa-St. Petersburg-Clearwater, FL Metropolitan Statistical Area" display="https://en.wikipedia.org/wiki/Tampa-St._Petersburg-Clearwater,_FL_Metropolitan_Statistical_Area" xr:uid="{1625CB9E-EBFE-DE4C-A865-62DB61527DFF}"/>
    <hyperlink ref="B22" r:id="rId33" tooltip="St. Louis, MO-IL Metropolitan Statistical Area" display="https://en.wikipedia.org/wiki/St._Louis,_MO-IL_Metropolitan_Statistical_Area" xr:uid="{EC4B38B2-5FE8-C14E-9E42-8200AC366EDE}"/>
    <hyperlink ref="F22" r:id="rId34" tooltip="St. Louis-St. Charles-Farmington, MO-IL Combined Statistical Area" display="https://en.wikipedia.org/wiki/St._Louis-St._Charles-Farmington,_MO-IL_Combined_Statistical_Area" xr:uid="{3797A940-2E27-4941-8435-2A962F3F9957}"/>
    <hyperlink ref="B23" r:id="rId35" tooltip="Baltimore-Columbia-Towson, MD Metropolitan Statistical Area" display="https://en.wikipedia.org/wiki/Baltimore-Columbia-Towson,_MD_Metropolitan_Statistical_Area" xr:uid="{0127EE26-F7CD-244F-B5A4-579ABADA6B4A}"/>
    <hyperlink ref="F23" r:id="rId36" tooltip="Washington-Baltimore-Arlington, DC-MD-VA-WV-PA Combined Statistical Area" display="https://en.wikipedia.org/wiki/Washington-Baltimore-Arlington,_DC-MD-VA-WV-PA_Combined_Statistical_Area" xr:uid="{9593A067-F5B1-434C-9B1F-46EF7FEEFB48}"/>
    <hyperlink ref="B24" r:id="rId37" tooltip="Denver-Aurora-Lakewood, CO Metropolitan Statistical Area" display="https://en.wikipedia.org/wiki/Denver-Aurora-Lakewood,_CO_Metropolitan_Statistical_Area" xr:uid="{0C953EE0-2043-DA43-9F4D-1634FA512F58}"/>
    <hyperlink ref="F24" r:id="rId38" tooltip="Denver-Aurora, CO Combined Statistical Area" display="https://en.wikipedia.org/wiki/Denver-Aurora,_CO_Combined_Statistical_Area" xr:uid="{747B10CE-9F72-BA49-9DF4-E89DDEBE7B3C}"/>
    <hyperlink ref="B25" r:id="rId39" tooltip="Pittsburgh, PA Metropolitan Statistical Area" display="https://en.wikipedia.org/wiki/Pittsburgh,_PA_Metropolitan_Statistical_Area" xr:uid="{F3FC2794-CD89-B748-90C6-EA7B286C5F59}"/>
    <hyperlink ref="F25" r:id="rId40" tooltip="Pittsburgh-New Castle-Weirton, PA-OH-WV Combined Statistical Area" display="https://en.wikipedia.org/wiki/Pittsburgh-New_Castle-Weirton,_PA-OH-WV_Combined_Statistical_Area" xr:uid="{18161D11-E587-6249-A8CE-C8D3395B558A}"/>
    <hyperlink ref="B26" r:id="rId41" tooltip="Charlotte-Concord-Gastonia, NC-SC Metropolitan Statistical Area" display="https://en.wikipedia.org/wiki/Charlotte-Concord-Gastonia,_NC-SC_Metropolitan_Statistical_Area" xr:uid="{491C14F4-28BD-F24A-BFBB-6982B1BDE9CC}"/>
    <hyperlink ref="F26" r:id="rId42" tooltip="Charlotte-Concord, NC-SC Combined Statistical Area" display="https://en.wikipedia.org/wiki/Charlotte-Concord,_NC-SC_Combined_Statistical_Area" xr:uid="{25D3BF96-9771-5847-8D6F-4340F0D17227}"/>
    <hyperlink ref="B27" r:id="rId43" tooltip="Portland-Vancouver-Hillsboro, OR-WA Metropolitan Statistical Area" display="https://en.wikipedia.org/wiki/Portland-Vancouver-Hillsboro,_OR-WA_Metropolitan_Statistical_Area" xr:uid="{46B25844-FB7C-4B41-8E27-A14045792528}"/>
    <hyperlink ref="F27" r:id="rId44" tooltip="Portland-Vancouver-Salem, OR-WA Combined Statistical Area" display="https://en.wikipedia.org/wiki/Portland-Vancouver-Salem,_OR-WA_Combined_Statistical_Area" xr:uid="{8364C996-C130-A74A-897B-5E27FA8FE90E}"/>
    <hyperlink ref="B28" r:id="rId45" tooltip="San Antonio-New Braunfels, TX Metropolitan Statistical Area" display="https://en.wikipedia.org/wiki/San_Antonio-New_Braunfels,_TX_Metropolitan_Statistical_Area" xr:uid="{ACEAAA7A-0EE9-F547-A048-C6D7ACA2F69C}"/>
    <hyperlink ref="B29" r:id="rId46" tooltip="Orlando-Kissimmee-Sanford, FL Metropolitan Statistical Area" display="https://en.wikipedia.org/wiki/Orlando-Kissimmee-Sanford,_FL_Metropolitan_Statistical_Area" xr:uid="{A5D958A1-B714-2E4F-921C-E194ECFCC652}"/>
    <hyperlink ref="F29" r:id="rId47" tooltip="Orlando-Deltona-Daytona Beach, FL Combined Statistical Area" display="https://en.wikipedia.org/wiki/Orlando-Deltona-Daytona_Beach,_FL_Combined_Statistical_Area" xr:uid="{1F55501E-3313-9C4F-B471-2E878F1407A5}"/>
    <hyperlink ref="B30" r:id="rId48" tooltip="Sacramento–Roseville–Arden-Arcade, CA Metropolitan Statistical Area" display="https://en.wikipedia.org/wiki/Sacramento%E2%80%93Roseville%E2%80%93Arden-Arcade,_CA_Metropolitan_Statistical_Area" xr:uid="{463F263D-DBFC-2B44-A186-C78677C8B6DF}"/>
    <hyperlink ref="F30" r:id="rId49" tooltip="Sacramento-Roseville, CA Combined Statistical Area" display="https://en.wikipedia.org/wiki/Sacramento-Roseville,_CA_Combined_Statistical_Area" xr:uid="{CAA612E5-4D08-0A46-B75B-F8BC1F032CFB}"/>
    <hyperlink ref="B31" r:id="rId50" tooltip="Cincinnati, OH-KY-IN Metropolitan Statistical Area" display="https://en.wikipedia.org/wiki/Cincinnati,_OH-KY-IN_Metropolitan_Statistical_Area" xr:uid="{D1A62ECF-BBD2-6442-B8ED-B204784A20AC}"/>
    <hyperlink ref="F31" r:id="rId51" tooltip="Cincinnati-Wilmington-Maysville, OH-KY-IN Combined Statistical Area" display="https://en.wikipedia.org/wiki/Cincinnati-Wilmington-Maysville,_OH-KY-IN_Combined_Statistical_Area" xr:uid="{34A40391-5DD4-7148-82D8-6D5818A85107}"/>
    <hyperlink ref="B32" r:id="rId52" tooltip="Cleveland-Elyria, OH Metropolitan Statistical Area" display="https://en.wikipedia.org/wiki/Cleveland-Elyria,_OH_Metropolitan_Statistical_Area" xr:uid="{3E153BC8-0E1D-0A4E-B94C-18E764A4002B}"/>
    <hyperlink ref="F32" r:id="rId53" tooltip="Cleveland-Akron-Canton, OH Combined Statistical Area" display="https://en.wikipedia.org/wiki/Cleveland-Akron-Canton,_OH_Combined_Statistical_Area" xr:uid="{90E9882B-907B-2247-AC92-90F0192030CF}"/>
    <hyperlink ref="B33" r:id="rId54" tooltip="Kansas City, MO-KS Metropolitan Statistical Area" display="https://en.wikipedia.org/wiki/Kansas_City,_MO-KS_Metropolitan_Statistical_Area" xr:uid="{63690B54-637E-C347-9BA1-983A7CB0B9AD}"/>
    <hyperlink ref="F33" r:id="rId55" tooltip="Kansas City-Overland Park-Kansas City, MO-KS Combined Statistical Area" display="https://en.wikipedia.org/wiki/Kansas_City-Overland_Park-Kansas_City,_MO-KS_Combined_Statistical_Area" xr:uid="{DDE8FEFF-ED5F-9446-AAD5-CEF1E39740A2}"/>
    <hyperlink ref="B34" r:id="rId56" tooltip="Las Vegas-Henderson-Paradise, NV Metropolitan Statistical Area" display="https://en.wikipedia.org/wiki/Las_Vegas-Henderson-Paradise,_NV_Metropolitan_Statistical_Area" xr:uid="{384CADB1-04EA-5D49-BF9F-782AE8ED6173}"/>
    <hyperlink ref="F34" r:id="rId57" tooltip="Las Vegas-Henderson, NV-AZ Combined Statistical Area" display="https://en.wikipedia.org/wiki/Las_Vegas-Henderson,_NV-AZ_Combined_Statistical_Area" xr:uid="{DD59335B-847C-274F-AE5E-006D76EA8E04}"/>
    <hyperlink ref="B35" r:id="rId58" tooltip="Columbus, OH Metropolitan Statistical Area" display="https://en.wikipedia.org/wiki/Columbus,_OH_Metropolitan_Statistical_Area" xr:uid="{2394B4EB-E8CB-CF44-B87D-7847D249CF0A}"/>
    <hyperlink ref="F35" r:id="rId59" tooltip="Columbus-Marion-Zanesville, OH Combined Statistical Area" display="https://en.wikipedia.org/wiki/Columbus-Marion-Zanesville,_OH_Combined_Statistical_Area" xr:uid="{CC550404-BD62-FC40-8B53-0B805A2D6C83}"/>
    <hyperlink ref="B36" r:id="rId60" tooltip="Indianapolis-Carmel-Anderson, IN Metropolitan Statistical Area" display="https://en.wikipedia.org/wiki/Indianapolis-Carmel-Anderson,_IN_Metropolitan_Statistical_Area" xr:uid="{ADB9E436-7747-5A47-A25D-E61A17774C93}"/>
    <hyperlink ref="F36" r:id="rId61" tooltip="Indianapolis-Carmel-Muncie, IN Combined Statistical Area" display="https://en.wikipedia.org/wiki/Indianapolis-Carmel-Muncie,_IN_Combined_Statistical_Area" xr:uid="{289C6D58-7811-944A-9AAA-E75C203B5CC7}"/>
    <hyperlink ref="B37" r:id="rId62" tooltip="San Jose-Sunnyvale-Santa Clara, CA Metropolitan Statistical Area" display="https://en.wikipedia.org/wiki/San_Jose-Sunnyvale-Santa_Clara,_CA_Metropolitan_Statistical_Area" xr:uid="{AB0C3AD4-9D81-E147-8E44-77CAA8E7C27E}"/>
    <hyperlink ref="F37" r:id="rId63" tooltip="San Jose-San Francisco-Oakland, CA Combined Statistical Area" display="https://en.wikipedia.org/wiki/San_Jose-San_Francisco-Oakland,_CA_Combined_Statistical_Area" xr:uid="{4DAE7792-7A58-1A45-8115-329F5BB15B3C}"/>
    <hyperlink ref="B38" r:id="rId64" tooltip="Austin-Round Rock, TX Metropolitan Statistical Area" display="https://en.wikipedia.org/wiki/Austin-Round_Rock,_TX_Metropolitan_Statistical_Area" xr:uid="{293D70A5-DF91-4C49-B93C-22CB6351044A}"/>
    <hyperlink ref="B39" r:id="rId65" tooltip="Nashville-Davidson–Murfreesboro–Franklin, TN Metropolitan Statistical Area" display="https://en.wikipedia.org/wiki/Nashville-Davidson%E2%80%93Murfreesboro%E2%80%93Franklin,_TN_Metropolitan_Statistical_Area" xr:uid="{B8D1564A-649A-AF49-AB43-B66B1FBEE594}"/>
    <hyperlink ref="F39" r:id="rId66" tooltip="Nashville-Davidson–Murfreesboro, TN Combined Statistical Area" display="https://en.wikipedia.org/wiki/Nashville-Davidson%E2%80%93Murfreesboro,_TN_Combined_Statistical_Area" xr:uid="{B1112ABB-131C-D847-9241-F5E6036B57DA}"/>
    <hyperlink ref="B40" r:id="rId67" tooltip="Virginia Beach-Norfolk-Newport News, VA-NC Metropolitan Statistical Area" display="https://en.wikipedia.org/wiki/Virginia_Beach-Norfolk-Newport_News,_VA-NC_Metropolitan_Statistical_Area" xr:uid="{FC0BDC04-8A95-9749-A5A2-F88CA6081DAC}"/>
    <hyperlink ref="F40" r:id="rId68" tooltip="Virginia Beach-Norfolk, VA-NC Combined Statistical Area" display="https://en.wikipedia.org/wiki/Virginia_Beach-Norfolk,_VA-NC_Combined_Statistical_Area" xr:uid="{813C81CF-2BA3-D942-AEAE-8FA49B17AEA8}"/>
    <hyperlink ref="B41" r:id="rId69" tooltip="Providence-Warwick, RI-MA Metropolitan Statistical Area" display="https://en.wikipedia.org/wiki/Providence-Warwick,_RI-MA_Metropolitan_Statistical_Area" xr:uid="{EBD752EF-2F23-8A4A-AAC7-F897A2C48189}"/>
    <hyperlink ref="F41" r:id="rId70" tooltip="Boston-Worcester-Providence, MA-RI-NH-CT Combined Statistical Area" display="https://en.wikipedia.org/wiki/Boston-Worcester-Providence,_MA-RI-NH-CT_Combined_Statistical_Area" xr:uid="{577B3584-CB29-3B4A-A40B-543D36CA191E}"/>
    <hyperlink ref="B42" r:id="rId71" tooltip="Milwaukee-Waukesha-West Allis, WI Metropolitan Statistical Area" display="https://en.wikipedia.org/wiki/Milwaukee-Waukesha-West_Allis,_WI_Metropolitan_Statistical_Area" xr:uid="{30D90B0C-8B37-5848-8BFF-C2E1BD2BF698}"/>
    <hyperlink ref="F42" r:id="rId72" tooltip="Milwaukee-Racine-Waukesha, WI Combined Statistical Area" display="https://en.wikipedia.org/wiki/Milwaukee-Racine-Waukesha,_WI_Combined_Statistical_Area" xr:uid="{3637DA46-E15A-8242-B38C-DEA141585BC5}"/>
    <hyperlink ref="B43" r:id="rId73" tooltip="Jacksonville, FL Metropolitan Statistical Area" display="https://en.wikipedia.org/wiki/Jacksonville,_FL_Metropolitan_Statistical_Area" xr:uid="{F5B38C75-9604-C84A-B1B9-18ED8BCAC251}"/>
    <hyperlink ref="F43" r:id="rId74" tooltip="Jacksonville-St. Marys-Palatka, FL-GA Combined Statistical Area" display="https://en.wikipedia.org/wiki/Jacksonville-St._Marys-Palatka,_FL-GA_Combined_Statistical_Area" xr:uid="{62524280-46F3-D849-9C0B-1FEC902EC7D9}"/>
    <hyperlink ref="B44" r:id="rId75" tooltip="Memphis, TN-MS-AR Metropolitan Statistical Area" display="https://en.wikipedia.org/wiki/Memphis,_TN-MS-AR_Metropolitan_Statistical_Area" xr:uid="{DF1B622D-EE03-9749-A1EE-14DDFE62C330}"/>
    <hyperlink ref="F44" r:id="rId76" tooltip="Memphis-Forrest City, TN-MS-AR Combined Statistical Area" display="https://en.wikipedia.org/wiki/Memphis-Forrest_City,_TN-MS-AR_Combined_Statistical_Area" xr:uid="{53C3ABAB-C7AF-704C-AC0F-2BA67EEE151E}"/>
    <hyperlink ref="B45" r:id="rId77" tooltip="Oklahoma City, OK Metropolitan Statistical Area" display="https://en.wikipedia.org/wiki/Oklahoma_City,_OK_Metropolitan_Statistical_Area" xr:uid="{357231E1-6DB9-A64E-95DA-E7D3AB1D93DF}"/>
    <hyperlink ref="F45" r:id="rId78" tooltip="Oklahoma City-Shawnee, OK Combined Statistical Area" display="https://en.wikipedia.org/wiki/Oklahoma_City-Shawnee,_OK_Combined_Statistical_Area" xr:uid="{EE914A6B-2E45-5F43-81CD-83AA6317564F}"/>
    <hyperlink ref="B46" r:id="rId79" tooltip="Louisville/Jefferson County, KY-IN Metropolitan Statistical Area" display="https://en.wikipedia.org/wiki/Louisville/Jefferson_County,_KY-IN_Metropolitan_Statistical_Area" xr:uid="{69A7BB30-9105-604A-8C3D-7D3DCE1674D9}"/>
    <hyperlink ref="F46" r:id="rId80" tooltip="Louisville/Jefferson County–Elizabethtown–Bardstown, KY-IN Combined Statistical Area" display="https://en.wikipedia.org/wiki/Louisville/Jefferson_County%E2%80%93Elizabethtown%E2%80%93Bardstown,_KY-IN_Combined_Statistical_Area" xr:uid="{7A397865-FAB6-8646-BB72-44FFA7428C25}"/>
    <hyperlink ref="B47" r:id="rId81" tooltip="Richmond, VA Metropolitan Statistical Area" display="https://en.wikipedia.org/wiki/Richmond,_VA_Metropolitan_Statistical_Area" xr:uid="{95EDEAD2-B10F-8948-9549-99AA95A1B758}"/>
    <hyperlink ref="B48" r:id="rId82" tooltip="New Orleans-Metairie, LA Metropolitan Statistical Area" display="https://en.wikipedia.org/wiki/New_Orleans-Metairie,_LA_Metropolitan_Statistical_Area" xr:uid="{7AB20191-0DC8-C842-A2A4-D4D0A5E0B128}"/>
    <hyperlink ref="F48" r:id="rId83" tooltip="New Orleans-Metairie-Hammond, LA-MS Combined Statistical Area" display="https://en.wikipedia.org/wiki/New_Orleans-Metairie-Hammond,_LA-MS_Combined_Statistical_Area" xr:uid="{F6FCB92C-470D-1140-AA7D-F634A6B89106}"/>
    <hyperlink ref="B49" r:id="rId84" tooltip="Hartford-East Hartford-Middletown, CT Metropolitan Statistical Area" display="https://en.wikipedia.org/wiki/Hartford-East_Hartford-Middletown,_CT_Metropolitan_Statistical_Area" xr:uid="{8865BD85-9E10-1C48-BE6A-8CC8943DBF5D}"/>
    <hyperlink ref="F49" r:id="rId85" tooltip="Hartford-East Hartford, CT Combined Statistical Area" display="https://en.wikipedia.org/wiki/Hartford-East_Hartford,_CT_Combined_Statistical_Area" xr:uid="{6DE43318-4A01-734D-A75E-0A2F529748CF}"/>
    <hyperlink ref="B50" r:id="rId86" tooltip="Raleigh, NC Metropolitan Statistical Area" display="https://en.wikipedia.org/wiki/Raleigh,_NC_Metropolitan_Statistical_Area" xr:uid="{516791D5-0D9F-5C4C-BEFD-A3D57C41A5DB}"/>
    <hyperlink ref="F50" r:id="rId87" tooltip="Raleigh-Durham-Chapel Hill, NC Combined Statistical Area" display="https://en.wikipedia.org/wiki/Raleigh-Durham-Chapel_Hill,_NC_Combined_Statistical_Area" xr:uid="{08170ED6-FEB8-1542-A7D9-E3699A9E2D32}"/>
    <hyperlink ref="B51" r:id="rId88" tooltip="Birmingham-Hoover, AL Metropolitan Statistical Area" display="https://en.wikipedia.org/wiki/Birmingham-Hoover,_AL_Metropolitan_Statistical_Area" xr:uid="{CBDD41EB-A9AB-314C-8E55-179BE684DBA6}"/>
    <hyperlink ref="F51" r:id="rId89" tooltip="Birmingham-Hoover-Talladega, AL Combined Statistical Area" display="https://en.wikipedia.org/wiki/Birmingham-Hoover-Talladega,_AL_Combined_Statistical_Area" xr:uid="{20FC733D-19BB-8C4A-B8F8-B1DA788BECB7}"/>
    <hyperlink ref="B52" r:id="rId90" tooltip="Buffalo-Cheektowaga-Niagara Falls, NY Metropolitan Statistical Area" display="https://en.wikipedia.org/wiki/Buffalo-Cheektowaga-Niagara_Falls,_NY_Metropolitan_Statistical_Area" xr:uid="{E3059F30-110B-B345-8741-AEEA39E43E97}"/>
    <hyperlink ref="F52" r:id="rId91" tooltip="Buffalo-Cheektowaga-Olean, NY Combined Statistical Area" display="https://en.wikipedia.org/wiki/Buffalo-Cheektowaga-Olean,_NY_Combined_Statistical_Area" xr:uid="{7720C8B5-3E3B-3D45-BE16-412E27CE5B58}"/>
    <hyperlink ref="B53" r:id="rId92" tooltip="Salt Lake City, UT Metropolitan Statistical Area" display="https://en.wikipedia.org/wiki/Salt_Lake_City,_UT_Metropolitan_Statistical_Area" xr:uid="{ECAF0CF2-2367-374C-A178-3AEDFB848D77}"/>
    <hyperlink ref="F53" r:id="rId93" tooltip="Salt Lake City-Provo-Orem, UT Combined Statistical Area" display="https://en.wikipedia.org/wiki/Salt_Lake_City-Provo-Orem,_UT_Combined_Statistical_Area" xr:uid="{3612BA63-33DF-8343-9BE0-B0A3481D95DB}"/>
    <hyperlink ref="B54" r:id="rId94" tooltip="Rochester, NY Metropolitan Statistical Area" display="https://en.wikipedia.org/wiki/Rochester,_NY_Metropolitan_Statistical_Area" xr:uid="{486FFFEC-B0F6-4E4E-9C7B-BB4647F81D6A}"/>
    <hyperlink ref="F54" r:id="rId95" tooltip="Rochester-Batavia-Seneca Falls, NY Combined Statistical Area" display="https://en.wikipedia.org/wiki/Rochester-Batavia-Seneca_Falls,_NY_Combined_Statistical_Area" xr:uid="{DC1B5F05-7CAD-814B-9D25-C54678C6B8B0}"/>
    <hyperlink ref="B55" r:id="rId96" tooltip="Grand Rapids-Wyoming, MI Metropolitan Statistical Area" display="https://en.wikipedia.org/wiki/Grand_Rapids-Wyoming,_MI_Metropolitan_Statistical_Area" xr:uid="{6176E51C-6ABA-F241-B7A9-6446346F951A}"/>
    <hyperlink ref="F55" r:id="rId97" tooltip="Grand Rapids-Wyoming-Muskegon, MI Combined Statistical Area" display="https://en.wikipedia.org/wiki/Grand_Rapids-Wyoming-Muskegon,_MI_Combined_Statistical_Area" xr:uid="{CF747D7C-F7D1-8C4A-8E56-8C93F5628412}"/>
    <hyperlink ref="B56" r:id="rId98" tooltip="Tucson, AZ Metropolitan Statistical Area" display="https://en.wikipedia.org/wiki/Tucson,_AZ_Metropolitan_Statistical_Area" xr:uid="{254D4DED-A0CD-084C-917E-966D34A678C2}"/>
    <hyperlink ref="F56" r:id="rId99" tooltip="Tucson-Nogales, AZ Combined Statistical Area" display="https://en.wikipedia.org/wiki/Tucson-Nogales,_AZ_Combined_Statistical_Area" xr:uid="{68DF65EA-6E9C-3043-B664-CBDFCB0A54CE}"/>
    <hyperlink ref="B57" r:id="rId100" tooltip="Urban Honolulu, HI Metropolitan Statistical Area" display="https://en.wikipedia.org/wiki/Urban_Honolulu,_HI_Metropolitan_Statistical_Area" xr:uid="{27D772A8-1316-5344-B114-BC998B7F24E2}"/>
    <hyperlink ref="B58" r:id="rId101" tooltip="Tulsa, OK Metropolitan Statistical Area" display="https://en.wikipedia.org/wiki/Tulsa,_OK_Metropolitan_Statistical_Area" xr:uid="{30341D7E-B949-7049-A91C-AEFB75227E6F}"/>
    <hyperlink ref="F58" r:id="rId102" tooltip="Tulsa-Muskogee-Bartlesville, OK Combined Statistical Area" display="https://en.wikipedia.org/wiki/Tulsa-Muskogee-Bartlesville,_OK_Combined_Statistical_Area" xr:uid="{6898EA0C-F1D4-F949-805A-83F35A84209A}"/>
    <hyperlink ref="B59" r:id="rId103" tooltip="Fresno, CA Metropolitan Statistical Area" display="https://en.wikipedia.org/wiki/Fresno,_CA_Metropolitan_Statistical_Area" xr:uid="{173F276E-9E7E-084F-8351-73CC0E355A4E}"/>
    <hyperlink ref="F59" r:id="rId104" tooltip="Fresno-Madera, CA Combined Statistical Area" display="https://en.wikipedia.org/wiki/Fresno-Madera,_CA_Combined_Statistical_Area" xr:uid="{52CB384F-D729-F84B-9F8C-809F9326FBFD}"/>
    <hyperlink ref="B60" r:id="rId105" tooltip="Bridgeport-Stamford-Norwalk, CT Metropolitan Statistical Area" display="https://en.wikipedia.org/wiki/Bridgeport-Stamford-Norwalk,_CT_Metropolitan_Statistical_Area" xr:uid="{BF488A36-458C-7744-8AE8-0CC21DD010DC}"/>
    <hyperlink ref="F60" r:id="rId106" tooltip="New York-Newark, NY-NJ-CT-PA Combined Statistical Area" display="https://en.wikipedia.org/wiki/New_York-Newark,_NY-NJ-CT-PA_Combined_Statistical_Area" xr:uid="{E462C0A4-A8E1-D349-94EB-05632C97D24A}"/>
    <hyperlink ref="B61" r:id="rId107" tooltip="Worcester, MA-CT Metropolitan Statistical Area" display="https://en.wikipedia.org/wiki/Worcester,_MA-CT_Metropolitan_Statistical_Area" xr:uid="{F5523185-2B2B-024D-8F4B-1C6E91DD3BFF}"/>
    <hyperlink ref="F61" r:id="rId108" tooltip="Boston-Worcester-Providence, MA-RI-NH-CT Combined Statistical Area" display="https://en.wikipedia.org/wiki/Boston-Worcester-Providence,_MA-RI-NH-CT_Combined_Statistical_Area" xr:uid="{0B8DE75D-A0E0-9644-8084-5CC040D8D39E}"/>
    <hyperlink ref="B62" r:id="rId109" tooltip="Albuquerque, NM Metropolitan Statistical Area" display="https://en.wikipedia.org/wiki/Albuquerque,_NM_Metropolitan_Statistical_Area" xr:uid="{D3E64DC3-D6B5-3A4C-AF30-CFE769ECC746}"/>
    <hyperlink ref="F62" r:id="rId110" tooltip="Albuquerque-Santa Fe-Las Vegas, NM Combined Statistical Area" display="https://en.wikipedia.org/wiki/Albuquerque-Santa_Fe-Las_Vegas,_NM_Combined_Statistical_Area" xr:uid="{C9479459-A975-AC49-A4C9-495AD2B56BDA}"/>
    <hyperlink ref="B63" r:id="rId111" tooltip="Omaha-Council Bluffs, NE-IA Metropolitan Statistical Area" display="https://en.wikipedia.org/wiki/Omaha-Council_Bluffs,_NE-IA_Metropolitan_Statistical_Area" xr:uid="{73CAB3D5-A9FC-AF40-83AC-94BCC6F3298D}"/>
    <hyperlink ref="F63" r:id="rId112" tooltip="Omaha-Council Bluffs-Fremont, NE-IA Combined Statistical Area" display="https://en.wikipedia.org/wiki/Omaha-Council_Bluffs-Fremont,_NE-IA_Combined_Statistical_Area" xr:uid="{58DEA3B8-A24C-0740-B6A7-5E23200AB63D}"/>
    <hyperlink ref="B64" r:id="rId113" tooltip="Albany-Schenectady-Troy, NY Metropolitan Statistical Area" display="https://en.wikipedia.org/wiki/Albany-Schenectady-Troy,_NY_Metropolitan_Statistical_Area" xr:uid="{E36B0D36-42E0-C04F-9D15-7DC62A421C08}"/>
    <hyperlink ref="F64" r:id="rId114" tooltip="Albany-Schenectady, NY Combined Statistical Area" display="https://en.wikipedia.org/wiki/Albany-Schenectady,_NY_Combined_Statistical_Area" xr:uid="{8C6A6DED-6D8D-4140-9C02-4DEFDD39DE97}"/>
    <hyperlink ref="B65" r:id="rId115" tooltip="New Haven-Milford, CT Metropolitan Statistical Area" display="https://en.wikipedia.org/wiki/New_Haven-Milford,_CT_Metropolitan_Statistical_Area" xr:uid="{664228F0-05DA-0F46-B03D-F29F9947042D}"/>
    <hyperlink ref="F65" r:id="rId116" tooltip="New York-Newark, NY-NJ-CT-PA Combined Statistical Area" display="https://en.wikipedia.org/wiki/New_York-Newark,_NY-NJ-CT-PA_Combined_Statistical_Area" xr:uid="{7606A2AE-222D-354F-8599-B54679DF9199}"/>
    <hyperlink ref="B66" r:id="rId117" tooltip="Bakersfield, CA Metropolitan Statistical Area" display="https://en.wikipedia.org/wiki/Bakersfield,_CA_Metropolitan_Statistical_Area" xr:uid="{45AFD2FA-9D34-3C42-B8EB-38C208C2F4D3}"/>
    <hyperlink ref="B67" r:id="rId118" tooltip="Knoxville, TN Metropolitan Statistical Area" display="https://en.wikipedia.org/wiki/Knoxville,_TN_Metropolitan_Statistical_Area" xr:uid="{235142A7-5FDA-4E4B-AE76-65087AE929E6}"/>
    <hyperlink ref="F67" r:id="rId119" tooltip="Knoxville-Morristown-Sevierville, TN Combined Statistical Area" display="https://en.wikipedia.org/wiki/Knoxville-Morristown-Sevierville,_TN_Combined_Statistical_Area" xr:uid="{DFB06451-0EE2-9245-8C8E-1998FD5CC09C}"/>
    <hyperlink ref="B68" r:id="rId120" tooltip="Greenville-Anderson-Mauldin, SC Metropolitan Statistical Area" display="https://en.wikipedia.org/wiki/Greenville-Anderson-Mauldin,_SC_Metropolitan_Statistical_Area" xr:uid="{631865EC-0F1E-E94C-8E7F-D55F0EE1B136}"/>
    <hyperlink ref="F68" r:id="rId121" tooltip="Greenville-Spartanburg-Anderson, SC Combined Statistical Area" display="https://en.wikipedia.org/wiki/Greenville-Spartanburg-Anderson,_SC_Combined_Statistical_Area" xr:uid="{1C87507D-DE8F-274F-90E0-828FB5A40C24}"/>
    <hyperlink ref="B69" r:id="rId122" tooltip="Oxnard-Thousand Oaks-Ventura, CA Metropolitan Statistical Area" display="https://en.wikipedia.org/wiki/Oxnard-Thousand_Oaks-Ventura,_CA_Metropolitan_Statistical_Area" xr:uid="{AF8E2969-8D0C-E544-8F11-3876F5C5DFD8}"/>
    <hyperlink ref="F69" r:id="rId123" tooltip="Los Angeles-Long Beach, CA Combined Statistical Area" display="https://en.wikipedia.org/wiki/Los_Angeles-Long_Beach,_CA_Combined_Statistical_Area" xr:uid="{673A9656-E8F1-704B-AEF8-56A8D0E90D80}"/>
    <hyperlink ref="B70" r:id="rId124" tooltip="El Paso, TX Metropolitan Statistical Area" display="https://en.wikipedia.org/wiki/El_Paso,_TX_Metropolitan_Statistical_Area" xr:uid="{8AB25805-626F-D645-AFA4-2B33C37F228D}"/>
    <hyperlink ref="F70" r:id="rId125" tooltip="El Paso-Las Cruces, TX-NM Combined Statistical Area" display="https://en.wikipedia.org/wiki/El_Paso-Las_Cruces,_TX-NM_Combined_Statistical_Area" xr:uid="{E7396E0D-90FE-BC4F-B3C0-B30A51384CF0}"/>
    <hyperlink ref="B71" r:id="rId126" tooltip="Allentown-Bethlehem-Easton, PA-NJ Metropolitan Statistical Area" display="https://en.wikipedia.org/wiki/Allentown-Bethlehem-Easton,_PA-NJ_Metropolitan_Statistical_Area" xr:uid="{50631DB7-5DC8-8B42-ABA8-6BA6033605DE}"/>
    <hyperlink ref="F71" r:id="rId127" tooltip="New York-Newark, NY-NJ-CT-PA Combined Statistical Area" display="https://en.wikipedia.org/wiki/New_York-Newark,_NY-NJ-CT-PA_Combined_Statistical_Area" xr:uid="{64E9C2E6-1B8C-FF4D-9FF1-1EF2761C095C}"/>
    <hyperlink ref="B72" r:id="rId128" tooltip="Baton Rouge, LA Metropolitan Statistical Area" display="https://en.wikipedia.org/wiki/Baton_Rouge,_LA_Metropolitan_Statistical_Area" xr:uid="{1150DD93-1E85-B34C-8D10-262896FA9A33}"/>
    <hyperlink ref="B73" r:id="rId129" tooltip="McAllen-Edinburg-Mission, TX Metropolitan Statistical Area" display="https://en.wikipedia.org/wiki/McAllen-Edinburg-Mission,_TX_Metropolitan_Statistical_Area" xr:uid="{F7227584-AA33-E04E-A318-ACBEBF4F2E4D}"/>
    <hyperlink ref="F73" r:id="rId130" tooltip="McAllen-Edinburg, TX Combined Statistical Area" display="https://en.wikipedia.org/wiki/McAllen-Edinburg,_TX_Combined_Statistical_Area" xr:uid="{899F5EE0-731D-7644-8A80-3A22E1479409}"/>
    <hyperlink ref="B74" r:id="rId131" tooltip="Dayton, OH Metropolitan Statistical Area" display="https://en.wikipedia.org/wiki/Dayton,_OH_Metropolitan_Statistical_Area" xr:uid="{54B3C85B-8DFC-6D4E-A066-84ED49C7FC30}"/>
    <hyperlink ref="F74" r:id="rId132" tooltip="Dayton-Springfield-Sidney, OH Combined Statistical Area" display="https://en.wikipedia.org/wiki/Dayton-Springfield-Sidney,_OH_Combined_Statistical_Area" xr:uid="{5B83646D-BBFD-FD46-A88D-FF11305BE357}"/>
    <hyperlink ref="B75" r:id="rId133" tooltip="Columbia, SC Metropolitan Statistical Area" display="https://en.wikipedia.org/wiki/Columbia,_SC_Metropolitan_Statistical_Area" xr:uid="{C90A8FA9-CB05-4B4C-B124-D91996B92780}"/>
    <hyperlink ref="F75" r:id="rId134" tooltip="Columbia-Orangeburg-Newberry, SC Combined Statistical Area" display="https://en.wikipedia.org/wiki/Columbia-Orangeburg-Newberry,_SC_Combined_Statistical_Area" xr:uid="{0097C3E0-12CA-7948-B9A2-221B60C7AF6A}"/>
    <hyperlink ref="B76" r:id="rId135" tooltip="Greensboro-High Point, NC Metropolitan Statistical Area" display="https://en.wikipedia.org/wiki/Greensboro-High_Point,_NC_Metropolitan_Statistical_Area" xr:uid="{8502EF6F-A1BD-BE44-B90C-A06DAA548923}"/>
    <hyperlink ref="F76" r:id="rId136" tooltip="Greensboro–Winston-Salem–High Point, NC Combined Statistical Area" display="https://en.wikipedia.org/wiki/Greensboro%E2%80%93Winston-Salem%E2%80%93High_Point,_NC_Combined_Statistical_Area" xr:uid="{2AFDBB33-23EE-7D41-B521-BC9A41179928}"/>
    <hyperlink ref="B77" r:id="rId137" tooltip="North Port-Sarasota-Bradenton, FL Metropolitan Statistical Area" display="https://en.wikipedia.org/wiki/North_Port-Sarasota-Bradenton,_FL_Metropolitan_Statistical_Area" xr:uid="{E90E33E5-B4DB-0F4A-B20A-9E3E3A27C7E5}"/>
    <hyperlink ref="F77" r:id="rId138" tooltip="North Port-Sarasota, FL Combined Statistical Area" display="https://en.wikipedia.org/wiki/North_Port-Sarasota,_FL_Combined_Statistical_Area" xr:uid="{A7028D56-07BD-444A-9DC9-AB5501130592}"/>
    <hyperlink ref="B78" r:id="rId139" tooltip="Little Rock-North Little Rock-Conway, AR Metropolitan Statistical Area" display="https://en.wikipedia.org/wiki/Little_Rock-North_Little_Rock-Conway,_AR_Metropolitan_Statistical_Area" xr:uid="{0E792AFB-CCC0-1341-815B-6B63BFAE5A8D}"/>
    <hyperlink ref="F78" r:id="rId140" tooltip="Little Rock-North Little Rock, AR Combined Statistical Area" display="https://en.wikipedia.org/wiki/Little_Rock-North_Little_Rock,_AR_Combined_Statistical_Area" xr:uid="{C3987760-1FE9-9F4A-83FD-472AB9BA3291}"/>
    <hyperlink ref="B79" r:id="rId141" tooltip="Stockton-Lodi, CA Metropolitan Statistical Area" display="https://en.wikipedia.org/wiki/Stockton-Lodi,_CA_Metropolitan_Statistical_Area" xr:uid="{E2E226DA-4E8A-344F-BF23-855B416F5273}"/>
    <hyperlink ref="F79" r:id="rId142" tooltip="San Jose-San Francisco-Oakland, CA Combined Statistical Area" display="https://en.wikipedia.org/wiki/San_Jose-San_Francisco-Oakland,_CA_Combined_Statistical_Area" xr:uid="{2D863DC7-D84F-2345-8410-1C22BA3277CC}"/>
    <hyperlink ref="B80" r:id="rId143" tooltip="Akron, OH Metropolitan Statistical Area" display="https://en.wikipedia.org/wiki/Akron,_OH_Metropolitan_Statistical_Area" xr:uid="{018CA05D-986B-1B4A-AE80-74E570DE985A}"/>
    <hyperlink ref="F80" r:id="rId144" tooltip="Cleveland-Akron-Canton, OH Combined Statistical Area" display="https://en.wikipedia.org/wiki/Cleveland-Akron-Canton,_OH_Combined_Statistical_Area" xr:uid="{FA204265-B90E-164F-9C7F-429FB64ECBB7}"/>
    <hyperlink ref="B81" r:id="rId145" tooltip="Charleston-North Charleston, SC Metropolitan Statistical Area" display="https://en.wikipedia.org/wiki/Charleston-North_Charleston,_SC_Metropolitan_Statistical_Area" xr:uid="{C0244D3D-4068-0D46-823B-0D4F5A647BF3}"/>
    <hyperlink ref="B82" r:id="rId146" tooltip="Colorado Springs, CO Metropolitan Statistical Area" display="https://en.wikipedia.org/wiki/Colorado_Springs,_CO_Metropolitan_Statistical_Area" xr:uid="{A2FC037A-BCD6-5642-8F46-F8B63CDFD291}"/>
    <hyperlink ref="B83" r:id="rId147" tooltip="Syracuse, NY Metropolitan Statistical Area" display="https://en.wikipedia.org/wiki/Syracuse,_NY_Metropolitan_Statistical_Area" xr:uid="{A39F7F75-1F13-384B-AFD4-52ABDD4C7F05}"/>
    <hyperlink ref="F83" r:id="rId148" tooltip="Syracuse-Auburn, NY Combined Statistical Area" display="https://en.wikipedia.org/wiki/Syracuse-Auburn,_NY_Combined_Statistical_Area" xr:uid="{39141301-482F-CD4C-8097-7F3AE8FA2B3B}"/>
    <hyperlink ref="B84" r:id="rId149" tooltip="Winston-Salem, NC Metropolitan Statistical Area" display="https://en.wikipedia.org/wiki/Winston-Salem,_NC_Metropolitan_Statistical_Area" xr:uid="{CE066957-7130-4A47-97DB-B1B17B3B7BE8}"/>
    <hyperlink ref="F84" r:id="rId150" tooltip="Greensboro–Winston-Salem–High Point, NC Combined Statistical Area" display="https://en.wikipedia.org/wiki/Greensboro%E2%80%93Winston-Salem%E2%80%93High_Point,_NC_Combined_Statistical_Area" xr:uid="{1A267E2A-C4D2-9C4E-8D8A-E50193994688}"/>
    <hyperlink ref="B85" r:id="rId151" tooltip="Cape Coral-Fort Myers, FL Metropolitan Statistical Area" display="https://en.wikipedia.org/wiki/Cape_Coral-Fort_Myers,_FL_Metropolitan_Statistical_Area" xr:uid="{C3C27F87-9298-5646-9C3A-D6CF7AA360D9}"/>
    <hyperlink ref="F85" r:id="rId152" tooltip="Cape Coral-Fort Myers-Naples, FL Combined Statistical Area" display="https://en.wikipedia.org/wiki/Cape_Coral-Fort_Myers-Naples,_FL_Combined_Statistical_Area" xr:uid="{1C2EED84-5F7E-D941-8BC5-FD996A1C3FF6}"/>
    <hyperlink ref="B86" r:id="rId153" tooltip="Boise City, ID Metropolitan Statistical Area" display="https://en.wikipedia.org/wiki/Boise_City,_ID_Metropolitan_Statistical_Area" xr:uid="{54DC1293-ADCA-BF47-8355-28D5D3D76745}"/>
    <hyperlink ref="F86" r:id="rId154" tooltip="Boise City-Mountain Home-Ontario, ID-OR Combined Statistical Area" display="https://en.wikipedia.org/wiki/Boise_City-Mountain_Home-Ontario,_ID-OR_Combined_Statistical_Area" xr:uid="{42AE6D1C-4DF4-5844-A31A-2353581832AE}"/>
    <hyperlink ref="B87" r:id="rId155" tooltip="Wichita, KS Metropolitan Statistical Area" display="https://en.wikipedia.org/wiki/Wichita,_KS_Metropolitan_Statistical_Area" xr:uid="{A34EDF3F-98ED-AD44-81AB-CFD44C62F042}"/>
    <hyperlink ref="F87" r:id="rId156" tooltip="Wichita-Arkansas City-Winfield, KS Combined Statistical Area" display="https://en.wikipedia.org/wiki/Wichita-Arkansas_City-Winfield,_KS_Combined_Statistical_Area" xr:uid="{6DB6598B-6001-1E40-8719-219296316D08}"/>
    <hyperlink ref="B88" r:id="rId157" tooltip="Springfield, MA Metropolitan Statistical Area" display="https://en.wikipedia.org/wiki/Springfield,_MA_Metropolitan_Statistical_Area" xr:uid="{BAF8D3EE-6459-B44E-A4FC-4B3299371E6C}"/>
    <hyperlink ref="F88" r:id="rId158" tooltip="Springfield-Greenfield Town, MA Combined Statistical Area" display="https://en.wikipedia.org/wiki/Springfield-Greenfield_Town,_MA_Combined_Statistical_Area" xr:uid="{76D51456-29A7-8F47-8918-4812E2A118BD}"/>
    <hyperlink ref="B89" r:id="rId159" tooltip="Madison, WI Metropolitan Statistical Area" display="https://en.wikipedia.org/wiki/Madison,_WI_Metropolitan_Statistical_Area" xr:uid="{010DE243-8ED3-EF46-A294-88D126A58912}"/>
    <hyperlink ref="F89" r:id="rId160" tooltip="Madison-Janesville-Beloit, WI Combined Statistical Area" display="https://en.wikipedia.org/wiki/Madison-Janesville-Beloit,_WI_Combined_Statistical_Area" xr:uid="{2BCF818A-7A2C-CB44-B57B-9F0DDDFD7AD2}"/>
    <hyperlink ref="B90" r:id="rId161" tooltip="Lakeland-Winter Haven, FL Metropolitan Statistical Area" display="https://en.wikipedia.org/wiki/Lakeland-Winter_Haven,_FL_Metropolitan_Statistical_Area" xr:uid="{2A203EA5-B9DF-1A41-A0D5-4DBA91B56429}"/>
    <hyperlink ref="B91" r:id="rId162" tooltip="Ogden-Clearfield, UT Metropolitan Statistical Area" display="https://en.wikipedia.org/wiki/Ogden-Clearfield,_UT_Metropolitan_Statistical_Area" xr:uid="{35677C45-D205-944E-96CF-CAC2C196A654}"/>
    <hyperlink ref="F91" r:id="rId163" tooltip="Salt Lake City-Provo-Orem, UT Combined Statistical Area" display="https://en.wikipedia.org/wiki/Salt_Lake_City-Provo-Orem,_UT_Combined_Statistical_Area" xr:uid="{432D7240-0F3A-A64E-8C70-17B3D570BF3D}"/>
    <hyperlink ref="B92" r:id="rId164" tooltip="Toledo, OH Metropolitan Statistical Area" display="https://en.wikipedia.org/wiki/Toledo,_OH_Metropolitan_Statistical_Area" xr:uid="{88E9A6E6-CF7E-124B-997E-F63D97904612}"/>
    <hyperlink ref="F92" r:id="rId165" tooltip="Toledo-Port Clinton, OH Combined Statistical Area" display="https://en.wikipedia.org/wiki/Toledo-Port_Clinton,_OH_Combined_Statistical_Area" xr:uid="{E51ECACE-7E66-984D-AC15-0F61EE5498D2}"/>
    <hyperlink ref="B93" r:id="rId166" tooltip="Deltona-Daytona Beach-Ormond Beach, FL Metropolitan Statistical Area" display="https://en.wikipedia.org/wiki/Deltona-Daytona_Beach-Ormond_Beach,_FL_Metropolitan_Statistical_Area" xr:uid="{7C52DD91-700C-3446-8E39-7FD1D71132FE}"/>
    <hyperlink ref="F93" r:id="rId167" tooltip="Orlando-Deltona-Daytona Beach, FL Combined Statistical Area" display="https://en.wikipedia.org/wiki/Orlando-Deltona-Daytona_Beach,_FL_Combined_Statistical_Area" xr:uid="{2A1F4BD9-E989-C64B-85AE-2A714164DE24}"/>
    <hyperlink ref="B94" r:id="rId168" tooltip="Des Moines-West Des Moines, IA Metropolitan Statistical Area" display="https://en.wikipedia.org/wiki/Des_Moines-West_Des_Moines,_IA_Metropolitan_Statistical_Area" xr:uid="{BD88C469-7E91-5A43-985B-7986E904ED4C}"/>
    <hyperlink ref="F94" r:id="rId169" tooltip="Des Moines-Ames-West Des Moines, IA Combined Statistical Area" display="https://en.wikipedia.org/wiki/Des_Moines-Ames-West_Des_Moines,_IA_Combined_Statistical_Area" xr:uid="{EDEB7E42-062B-624C-847F-ECF7C4DD2EED}"/>
    <hyperlink ref="B95" r:id="rId170" tooltip="Jackson, MS Metropolitan Statistical Area" display="https://en.wikipedia.org/wiki/Jackson,_MS_Metropolitan_Statistical_Area" xr:uid="{B670E691-B40C-B646-9308-664E775816C0}"/>
    <hyperlink ref="F95" r:id="rId171" tooltip="Jackson-Vicksburg-Brookhaven, MS Combined Statistical Area" display="https://en.wikipedia.org/wiki/Jackson-Vicksburg-Brookhaven,_MS_Combined_Statistical_Area" xr:uid="{A2DD6FDB-D96C-9246-B0AC-51151626F74E}"/>
    <hyperlink ref="B96" r:id="rId172" tooltip="Augusta-Richmond County, GA-SC Metropolitan Statistical Area" display="https://en.wikipedia.org/wiki/Augusta-Richmond_County,_GA-SC_Metropolitan_Statistical_Area" xr:uid="{3B392471-F7CD-344D-9F02-35A4429BD2E5}"/>
    <hyperlink ref="B97" r:id="rId173" tooltip="Scranton–Wilkes-Barre–Hazleton, PA Metropolitan Statistical Area" display="https://en.wikipedia.org/wiki/Scranton%E2%80%93Wilkes-Barre%E2%80%93Hazleton,_PA_Metropolitan_Statistical_Area" xr:uid="{E529E132-F2C6-0D44-9B62-F2029B341662}"/>
    <hyperlink ref="B98" r:id="rId174" tooltip="Youngstown-Warren-Boardman, OH-PA Metropolitan Statistical Area" display="https://en.wikipedia.org/wiki/Youngstown-Warren-Boardman,_OH-PA_Metropolitan_Statistical_Area" xr:uid="{5FDCEC15-B874-CF41-ACE1-F1B604F2BE26}"/>
    <hyperlink ref="F98" r:id="rId175" tooltip="Youngstown-Warren, OH-PA Combined Statistical Area" display="https://en.wikipedia.org/wiki/Youngstown-Warren,_OH-PA_Combined_Statistical_Area" xr:uid="{7D37CC82-C58A-9F4D-B4EA-AB13E6FF8CC7}"/>
    <hyperlink ref="B99" r:id="rId176" tooltip="Harrisburg-Carlisle, PA Metropolitan Statistical Area" display="https://en.wikipedia.org/wiki/Harrisburg-Carlisle,_PA_Metropolitan_Statistical_Area" xr:uid="{02A22CF6-96A4-A04E-A456-511A9818C810}"/>
    <hyperlink ref="F99" r:id="rId177" tooltip="Harrisburg-York-Lebanon, PA Combined Statistical Area" display="https://en.wikipedia.org/wiki/Harrisburg-York-Lebanon,_PA_Combined_Statistical_Area" xr:uid="{AE0CDE01-7B92-1D45-B46C-A3AB399BB7F1}"/>
    <hyperlink ref="B100" r:id="rId178" tooltip="Provo-Orem, UT Metropolitan Statistical Area" display="https://en.wikipedia.org/wiki/Provo-Orem,_UT_Metropolitan_Statistical_Area" xr:uid="{A86F5EB1-3492-964C-970F-89C547BD4190}"/>
    <hyperlink ref="F100" r:id="rId179" tooltip="Salt Lake City-Provo-Orem, UT Combined Statistical Area" display="https://en.wikipedia.org/wiki/Salt_Lake_City-Provo-Orem,_UT_Combined_Statistical_Area" xr:uid="{16376776-A92D-3044-9D34-5106F8CAB423}"/>
    <hyperlink ref="B101" r:id="rId180" tooltip="Palm Bay-Melbourne-Titusville, FL Metropolitan Statistical Area" display="https://en.wikipedia.org/wiki/Palm_Bay-Melbourne-Titusville,_FL_Metropolitan_Statistical_Area" xr:uid="{45A37E71-9F4A-034E-9386-9F3644A39F95}"/>
    <hyperlink ref="B102" r:id="rId181" tooltip="Chattanooga, TN-GA Metropolitan Statistical Area" display="https://en.wikipedia.org/wiki/Chattanooga,_TN-GA_Metropolitan_Statistical_Area" xr:uid="{2CCEC9B0-1B7B-0646-8D88-B7569A076AF2}"/>
    <hyperlink ref="F102" r:id="rId182" tooltip="Chattanooga-Cleveland-Dalton, TN-GA-AL Combined Statistical Area" display="https://en.wikipedia.org/wiki/Chattanooga-Cleveland-Dalton,_TN-GA-AL_Combined_Statistical_Area" xr:uid="{43C92D36-CC48-084E-BCCF-9221467028BC}"/>
    <hyperlink ref="B103" r:id="rId183" tooltip="Spokane-Spokane Valley, WA Metropolitan Statistical Area" display="https://en.wikipedia.org/wiki/Spokane-Spokane_Valley,_WA_Metropolitan_Statistical_Area" xr:uid="{AAAD639E-18C1-0841-BD2D-13E523AFFF95}"/>
    <hyperlink ref="F103" r:id="rId184" tooltip="Spokane-Spokane Valley-Coeur d'Alene, WA-ID Combined Statistical Area" display="https://en.wikipedia.org/wiki/Spokane-Spokane_Valley-Coeur_d%27Alene,_WA-ID_Combined_Statistical_Area" xr:uid="{F0AFAC61-EFD8-D847-B1DB-C92BD5DED260}"/>
    <hyperlink ref="B104" r:id="rId185" tooltip="Lancaster, PA Metropolitan Statistical Area" display="https://en.wikipedia.org/wiki/Lancaster,_PA_Metropolitan_Statistical_Area" xr:uid="{558675B6-2070-E541-91AA-FB4B669BEAB6}"/>
    <hyperlink ref="B105" r:id="rId186" tooltip="Durham-Chapel Hill, NC Metropolitan Statistical Area" display="https://en.wikipedia.org/wiki/Durham-Chapel_Hill,_NC_Metropolitan_Statistical_Area" xr:uid="{06312B71-7C73-3648-A629-B59FA69BB0ED}"/>
    <hyperlink ref="F105" r:id="rId187" tooltip="Raleigh-Durham-Chapel Hill, NC Combined Statistical Area" display="https://en.wikipedia.org/wiki/Raleigh-Durham-Chapel_Hill,_NC_Combined_Statistical_Area" xr:uid="{F84F861A-1AB0-2441-A6F5-78AA6165A9DF}"/>
    <hyperlink ref="B106" r:id="rId188" tooltip="Modesto, CA Metropolitan Statistical Area" display="https://en.wikipedia.org/wiki/Modesto,_CA_Metropolitan_Statistical_Area" xr:uid="{892A8009-8150-0F48-B863-C8FEC5A70CEB}"/>
    <hyperlink ref="F106" r:id="rId189" tooltip="Modesto-Merced, CA Combined Statistical Area" display="https://en.wikipedia.org/wiki/Modesto-Merced,_CA_Combined_Statistical_Area" xr:uid="{81534761-84D0-6449-BEFC-AACE31F3CBC2}"/>
    <hyperlink ref="B107" r:id="rId190" tooltip="Portland-South Portland, ME Metropolitan Statistical Area" display="https://en.wikipedia.org/wiki/Portland-South_Portland,_ME_Metropolitan_Statistical_Area" xr:uid="{D9CE3AF0-E661-2540-9AAC-BFC31E73EB30}"/>
    <hyperlink ref="F107" r:id="rId191" tooltip="Portland-Lewiston-South Portland, ME Combined Statistical Area" display="https://en.wikipedia.org/wiki/Portland-Lewiston-South_Portland,_ME_Combined_Statistical_Area" xr:uid="{7236A353-3ABC-5D4B-BCD9-9F6D9E3749B7}"/>
    <hyperlink ref="B108" r:id="rId192" tooltip="Santa Rosa, CA Metropolitan Statistical Area" display="https://en.wikipedia.org/wiki/Santa_Rosa,_CA_Metropolitan_Statistical_Area" xr:uid="{31F18995-D51E-FF42-9F07-D561F996D718}"/>
    <hyperlink ref="F108" r:id="rId193" tooltip="San Jose-San Francisco-Oakland, CA Combined Statistical Area" display="https://en.wikipedia.org/wiki/San_Jose-San_Francisco-Oakland,_CA_Combined_Statistical_Area" xr:uid="{43D59574-A31F-4C46-95A0-8D02DB0DC238}"/>
    <hyperlink ref="B109" r:id="rId194" tooltip="Lexington-Fayette, KY Metropolitan Statistical Area" display="https://en.wikipedia.org/wiki/Lexington-Fayette,_KY_Metropolitan_Statistical_Area" xr:uid="{23CE869B-7A26-AA4C-A430-930E96842A0D}"/>
    <hyperlink ref="F109" r:id="rId195" tooltip="Lexington-Fayette–Richmond–Frankfort, KY Combined Statistical Area" display="https://en.wikipedia.org/wiki/Lexington-Fayette%E2%80%93Richmond%E2%80%93Frankfort,_KY_Combined_Statistical_Area" xr:uid="{2111CB8C-5D0D-1446-8C44-EB18302C8BE8}"/>
    <hyperlink ref="B110" r:id="rId196" tooltip="Fayetteville-Springdale-Rogers, AR-MO Metropolitan Statistical Area" display="https://en.wikipedia.org/wiki/Fayetteville-Springdale-Rogers,_AR-MO_Metropolitan_Statistical_Area" xr:uid="{47E8929D-FB58-4748-9362-C743E50BE59C}"/>
    <hyperlink ref="B111" r:id="rId197" tooltip="Lafayette, LA Metropolitan Statistical Area" display="https://en.wikipedia.org/wiki/Lafayette,_LA_Metropolitan_Statistical_Area" xr:uid="{B09C1C07-A2EF-814A-B524-D5D9F6A896B2}"/>
    <hyperlink ref="F111" r:id="rId198" tooltip="Lafayette-Opelousas-Morgan City, LA Combined Statistical Area" display="https://en.wikipedia.org/wiki/Lafayette-Opelousas-Morgan_City,_LA_Combined_Statistical_Area" xr:uid="{D9808729-F259-3441-A194-2B34E93AECAF}"/>
    <hyperlink ref="B112" r:id="rId199" tooltip="Lansing-East Lansing, MI Metropolitan Statistical Area" display="https://en.wikipedia.org/wiki/Lansing-East_Lansing,_MI_Metropolitan_Statistical_Area" xr:uid="{CBB49528-5F46-4147-8D05-A08507D5A2AA}"/>
    <hyperlink ref="F112" r:id="rId200" tooltip="Lansing-East Lansing-Owosso, MI Combined Statistical Area" display="https://en.wikipedia.org/wiki/Lansing-East_Lansing-Owosso,_MI_Combined_Statistical_Area" xr:uid="{695375B5-476C-9246-B85C-C5659E1E4DEC}"/>
    <hyperlink ref="B113" r:id="rId201" tooltip="Pensacola-Ferry Pass-Brent, FL Metropolitan Statistical Area" display="https://en.wikipedia.org/wiki/Pensacola-Ferry_Pass-Brent,_FL_Metropolitan_Statistical_Area" xr:uid="{079DDAD5-4ACC-3242-A198-04F3C416CAEE}"/>
    <hyperlink ref="B114" r:id="rId202" tooltip="Visalia-Porterville, CA Metropolitan Statistical Area" display="https://en.wikipedia.org/wiki/Visalia-Porterville,_CA_Metropolitan_Statistical_Area" xr:uid="{6456C457-1546-0F46-A81F-B5C2A06E6DCC}"/>
    <hyperlink ref="F114" r:id="rId203" tooltip="Visalia-Porterville-Hanford, CA Combined Statistical Area" display="https://en.wikipedia.org/wiki/Visalia-Porterville-Hanford,_CA_Combined_Statistical_Area" xr:uid="{DA0C9FEE-CB12-0741-A42D-2870687CF351}"/>
    <hyperlink ref="B115" r:id="rId204" tooltip="Shreveport-Bossier City, LA Metropolitan Statistical Area" display="https://en.wikipedia.org/wiki/Shreveport-Bossier_City,_LA_Metropolitan_Statistical_Area" xr:uid="{6578E532-4957-2548-A3FD-7C871FD758E1}"/>
    <hyperlink ref="B116" r:id="rId205" tooltip="Springfield, MO Metropolitan Statistical Area" display="https://en.wikipedia.org/wiki/Springfield,_MO_Metropolitan_Statistical_Area" xr:uid="{D86DD1CD-79F5-0444-9C53-A911F530C96E}"/>
    <hyperlink ref="F116" r:id="rId206" tooltip="Springfield-Branson, MO Combined Statistical Area" display="https://en.wikipedia.org/wiki/Springfield-Branson,_MO_Combined_Statistical_Area" xr:uid="{7171DA13-38BB-BD46-9EB3-04B7A74F31DE}"/>
    <hyperlink ref="B117" r:id="rId207" tooltip="York-Hanover, PA Metropolitan Statistical Area" display="https://en.wikipedia.org/wiki/York-Hanover,_PA_Metropolitan_Statistical_Area" xr:uid="{9C78F82C-A0E3-BE44-84AD-3018DBE49052}"/>
    <hyperlink ref="F117" r:id="rId208" tooltip="Harrisburg-York-Lebanon, PA Combined Statistical Area" display="https://en.wikipedia.org/wiki/Harrisburg-York-Lebanon,_PA_Combined_Statistical_Area" xr:uid="{9872F354-EBCA-B949-9251-F2363FD24782}"/>
    <hyperlink ref="B118" r:id="rId209" tooltip="Corpus Christi, TX Metropolitan Statistical Area" display="https://en.wikipedia.org/wiki/Corpus_Christi,_TX_Metropolitan_Statistical_Area" xr:uid="{1078F30D-C3DF-CD46-B1E4-6F707E4114CD}"/>
    <hyperlink ref="F118" r:id="rId210" tooltip="Corpus Christi-Kingsville-Alice, TX Combined Statistical Area" display="https://en.wikipedia.org/wiki/Corpus_Christi-Kingsville-Alice,_TX_Combined_Statistical_Area" xr:uid="{5F78C070-DE2A-0C4C-841C-E3FCD3D66489}"/>
    <hyperlink ref="B119" r:id="rId211" tooltip="Reno, NV Metropolitan Statistical Area" display="https://en.wikipedia.org/wiki/Reno,_NV_Metropolitan_Statistical_Area" xr:uid="{8CFE0282-6629-6046-B3B4-5BA88A5BA152}"/>
    <hyperlink ref="F119" r:id="rId212" tooltip="Reno-Carson City-Fernley, NV Combined Statistical Area" display="https://en.wikipedia.org/wiki/Reno-Carson_City-Fernley,_NV_Combined_Statistical_Area" xr:uid="{B4CCC38B-2C07-FB41-A080-072992BD25E3}"/>
    <hyperlink ref="B120" r:id="rId213" tooltip="Port St. Lucie, FL Metropolitan Statistical Area" display="https://en.wikipedia.org/wiki/Port_St._Lucie,_FL_Metropolitan_Statistical_Area" xr:uid="{40AC6633-A75E-FF4A-A581-E19D4AEEA2AD}"/>
    <hyperlink ref="F120" r:id="rId214" tooltip="Miami-Fort Lauderdale-Port St. Lucie, FL Combined Statistical Area" display="https://en.wikipedia.org/wiki/Miami-Fort_Lauderdale-Port_St._Lucie,_FL_Combined_Statistical_Area" xr:uid="{BFF9324B-6E0C-B143-8376-8085229B9AEA}"/>
    <hyperlink ref="B121" r:id="rId215" tooltip="Asheville, NC Metropolitan Statistical Area" display="https://en.wikipedia.org/wiki/Asheville,_NC_Metropolitan_Statistical_Area" xr:uid="{10E0F058-4B42-D045-A3F2-C3BEEA1ED86D}"/>
    <hyperlink ref="F121" r:id="rId216" tooltip="Asheville-Brevard, NC Combined Statistical Area" display="https://en.wikipedia.org/wiki/Asheville-Brevard,_NC_Combined_Statistical_Area" xr:uid="{CF094FE7-26C5-9D42-93DC-F7724CB335DC}"/>
    <hyperlink ref="B122" r:id="rId217" tooltip="Santa Maria-Santa Barbara, CA Metropolitan Statistical Area" display="https://en.wikipedia.org/wiki/Santa_Maria-Santa_Barbara,_CA_Metropolitan_Statistical_Area" xr:uid="{861E5802-44EF-B844-A16C-40043A87A83F}"/>
    <hyperlink ref="B123" r:id="rId218" tooltip="Huntsville, AL Metropolitan Statistical Area" display="https://en.wikipedia.org/wiki/Huntsville,_AL_Metropolitan_Statistical_Area" xr:uid="{75042F15-1C9A-0745-8A48-A4057A46366C}"/>
    <hyperlink ref="F123" r:id="rId219" tooltip="Huntsville-Decatur-Albertville, AL Combined Statistical Area" display="https://en.wikipedia.org/wiki/Huntsville-Decatur-Albertville,_AL_Combined_Statistical_Area" xr:uid="{D8EAC824-0784-7444-B199-BE190B4177FC}"/>
    <hyperlink ref="B124" r:id="rId220" tooltip="Salinas, CA Metropolitan Statistical Area" display="https://en.wikipedia.org/wiki/Salinas,_CA_Metropolitan_Statistical_Area" xr:uid="{7D624A45-05A6-9740-AF73-B9A28BB2286A}"/>
    <hyperlink ref="B125" r:id="rId221" tooltip="Fort Wayne, IN Metropolitan Statistical Area" display="https://en.wikipedia.org/wiki/Fort_Wayne,_IN_Metropolitan_Statistical_Area" xr:uid="{B436AEA6-797A-904F-9130-D07E9A00D349}"/>
    <hyperlink ref="F125" r:id="rId222" tooltip="Fort Wayne-Huntington-Auburn, IN Combined Statistical Area" display="https://en.wikipedia.org/wiki/Fort_Wayne-Huntington-Auburn,_IN_Combined_Statistical_Area" xr:uid="{B9BB3623-EB58-F14D-821B-2C9815C85655}"/>
    <hyperlink ref="B126" r:id="rId223" tooltip="Vallejo-Fairfield, CA Metropolitan Statistical Area" display="https://en.wikipedia.org/wiki/Vallejo-Fairfield,_CA_Metropolitan_Statistical_Area" xr:uid="{23510D8A-9489-B049-9B3F-08740B5E3226}"/>
    <hyperlink ref="F126" r:id="rId224" tooltip="San Jose-San Francisco-Oakland, CA Combined Statistical Area" display="https://en.wikipedia.org/wiki/San_Jose-San_Francisco-Oakland,_CA_Combined_Statistical_Area" xr:uid="{04502706-A600-A34A-9B1D-9809136CC5D3}"/>
    <hyperlink ref="B127" r:id="rId225" tooltip="Killeen-Temple, TX Metropolitan Statistical Area" display="https://en.wikipedia.org/wiki/Killeen-Temple,_TX_Metropolitan_Statistical_Area" xr:uid="{FF9265E3-E37B-4546-AFE0-3CE48336C649}"/>
    <hyperlink ref="B128" r:id="rId226" tooltip="Flint, MI Metropolitan Statistical Area" display="https://en.wikipedia.org/wiki/Flint,_MI_Metropolitan_Statistical_Area" xr:uid="{8EDBB092-4124-2E48-BFEC-861578ACFB65}"/>
    <hyperlink ref="F128" r:id="rId227" tooltip="Detroit-Warren-Ann Arbor, MI Combined Statistical Area" display="https://en.wikipedia.org/wiki/Detroit-Warren-Ann_Arbor,_MI_Combined_Statistical_Area" xr:uid="{D3A0EB80-538A-B24D-9ECA-FD1DC1321B32}"/>
    <hyperlink ref="B129" r:id="rId228" tooltip="Brownsville-Harlingen, TX Metropolitan Statistical Area" display="https://en.wikipedia.org/wiki/Brownsville-Harlingen,_TX_Metropolitan_Statistical_Area" xr:uid="{3843D010-20F7-3B48-AA81-1065D9ABAE6D}"/>
    <hyperlink ref="F129" r:id="rId229" tooltip="Brownsville-Harlingen-Raymondville, TX Combined Statistical Area" display="https://en.wikipedia.org/wiki/Brownsville-Harlingen-Raymondville,_TX_Combined_Statistical_Area" xr:uid="{8F67E283-4B00-B947-9720-2A5815BDE18A}"/>
    <hyperlink ref="B130" r:id="rId230" tooltip="Mobile, AL Metropolitan Statistical Area" display="https://en.wikipedia.org/wiki/Mobile,_AL_Metropolitan_Statistical_Area" xr:uid="{52839B84-041C-8E44-95E9-0241E88F86B8}"/>
    <hyperlink ref="F130" r:id="rId231" tooltip="Mobile-Daphne-Fairhope, AL Combined Statistical Area" display="https://en.wikipedia.org/wiki/Mobile-Daphne-Fairhope,_AL_Combined_Statistical_Area" xr:uid="{85344335-F43A-7443-8FA2-FBB3B1CAB4EF}"/>
    <hyperlink ref="B131" r:id="rId232" tooltip="Reading, PA Metropolitan Statistical Area" display="https://en.wikipedia.org/wiki/Reading,_PA_Metropolitan_Statistical_Area" xr:uid="{7C181AD9-BEE6-9943-931F-BF00FDB7828E}"/>
    <hyperlink ref="F131" r:id="rId233" tooltip="Philadelphia-Reading-Camden, PA-NJ-DE-MD Combined Statistical Area" display="https://en.wikipedia.org/wiki/Philadelphia-Reading-Camden,_PA-NJ-DE-MD_Combined_Statistical_Area" xr:uid="{FE5B89E3-63D3-AF4E-AB6E-5E86A07FA574}"/>
    <hyperlink ref="B132" r:id="rId234" tooltip="Beaumont-Port Arthur, TX Metropolitan Statistical Area" display="https://en.wikipedia.org/wiki/Beaumont-Port_Arthur,_TX_Metropolitan_Statistical_Area" xr:uid="{5E9F5369-8C27-5A48-941D-4A4F85DE09A3}"/>
    <hyperlink ref="B133" r:id="rId235" tooltip="Canton-Massillon, OH Metropolitan Statistical Area" display="https://en.wikipedia.org/wiki/Canton-Massillon,_OH_Metropolitan_Statistical_Area" xr:uid="{5013A572-D37E-874C-A294-A230214485BD}"/>
    <hyperlink ref="F133" r:id="rId236" tooltip="Cleveland-Akron-Canton, OH Combined Statistical Area" display="https://en.wikipedia.org/wiki/Cleveland-Akron-Canton,_OH_Combined_Statistical_Area" xr:uid="{1A108483-E09E-854A-AB8D-C934D96E1BA2}"/>
    <hyperlink ref="B134" r:id="rId237" tooltip="Manchester-Nashua, NH Metropolitan Statistical Area" display="https://en.wikipedia.org/wiki/Manchester-Nashua,_NH_Metropolitan_Statistical_Area" xr:uid="{9A05A5C7-2F12-3348-B14A-BBC71E0E693A}"/>
    <hyperlink ref="F134" r:id="rId238" tooltip="Boston-Worcester-Providence, MA-RI-NH-CT Combined Statistical Area" display="https://en.wikipedia.org/wiki/Boston-Worcester-Providence,_MA-RI-NH-CT_Combined_Statistical_Area" xr:uid="{8B2864E4-8C80-EC4D-8818-71942F6EDA96}"/>
    <hyperlink ref="B135" r:id="rId239" tooltip="Salem, OR Metropolitan Statistical Area" display="https://en.wikipedia.org/wiki/Salem,_OR_Metropolitan_Statistical_Area" xr:uid="{7802E335-9066-5145-9600-6E620B8C6282}"/>
    <hyperlink ref="F135" r:id="rId240" tooltip="Portland-Vancouver-Salem, OR-WA Combined Statistical Area" display="https://en.wikipedia.org/wiki/Portland-Vancouver-Salem,_OR-WA_Combined_Statistical_Area" xr:uid="{7E628774-DDE5-C54D-9393-B8B88EE1998F}"/>
    <hyperlink ref="B136" r:id="rId241" tooltip="Myrtle Beach-Conway-North Myrtle Beach, SC-NC Metropolitan Statistical Area" display="https://en.wikipedia.org/wiki/Myrtle_Beach-Conway-North_Myrtle_Beach,_SC-NC_Metropolitan_Statistical_Area" xr:uid="{89ABA424-D1EE-D545-AA92-6A5094BE1DCC}"/>
    <hyperlink ref="F136" r:id="rId242" tooltip="Myrtle Beach-Conway, SC-NC Combined Statistical Area" display="https://en.wikipedia.org/wiki/Myrtle_Beach-Conway,_SC-NC_Combined_Statistical_Area" xr:uid="{5195F8DC-A862-6846-BA11-6E029089EB16}"/>
    <hyperlink ref="B137" r:id="rId243" tooltip="Anchorage, AK Metropolitan Statistical Area" display="https://en.wikipedia.org/wiki/Anchorage,_AK_Metropolitan_Statistical_Area" xr:uid="{2726C79F-CC57-8B45-968D-FA7570EFD3B5}"/>
    <hyperlink ref="B138" r:id="rId244" tooltip="Davenport-Moline-Rock Island, IA-IL Metropolitan Statistical Area" display="https://en.wikipedia.org/wiki/Davenport-Moline-Rock_Island,_IA-IL_Metropolitan_Statistical_Area" xr:uid="{A9DEAB12-E8A4-6040-A506-15359EE002A7}"/>
    <hyperlink ref="F138" r:id="rId245" tooltip="Davenport-Moline, IA-IL Combined Statistical Area" display="https://en.wikipedia.org/wiki/Davenport-Moline,_IA-IL_Combined_Statistical_Area" xr:uid="{002F1EC3-1D72-D146-8FC6-D9B074295CD4}"/>
    <hyperlink ref="B139" r:id="rId246" tooltip="Salisbury, MD-DE Metropolitan Statistical Area" display="https://en.wikipedia.org/wiki/Salisbury,_MD-DE_Metropolitan_Statistical_Area" xr:uid="{C4043BA4-6920-BE42-978B-98BDF9EA3D3C}"/>
    <hyperlink ref="B140" r:id="rId247" tooltip="Peoria, IL Metropolitan Statistical Area" display="https://en.wikipedia.org/wiki/Peoria,_IL_Metropolitan_Statistical_Area" xr:uid="{C67B6267-8070-4A48-925B-221971AA4E14}"/>
    <hyperlink ref="F140" r:id="rId248" tooltip="Peoria-Canton, IL Combined Statistical Area" display="https://en.wikipedia.org/wiki/Peoria-Canton,_IL_Combined_Statistical_Area" xr:uid="{19699E8D-0C61-D144-8F4A-8D25E87A9F35}"/>
    <hyperlink ref="B141" r:id="rId249" tooltip="Gulfport-Biloxi-Pascagoula, MS Metropolitan Statistical Area" display="https://en.wikipedia.org/wiki/Gulfport-Biloxi-Pascagoula,_MS_Metropolitan_Statistical_Area" xr:uid="{8BA37616-FC64-D544-BBAF-77DECE15B301}"/>
    <hyperlink ref="B142" r:id="rId250" tooltip="Montgomery, AL Metropolitan Statistical Area" display="https://en.wikipedia.org/wiki/Montgomery,_AL_Metropolitan_Statistical_Area" xr:uid="{C6681A26-49EF-7A45-A060-6D2B937C7A3A}"/>
    <hyperlink ref="B143" r:id="rId251" tooltip="Tallahassee, FL Metropolitan Statistical Area" display="https://en.wikipedia.org/wiki/Tallahassee,_FL_Metropolitan_Statistical_Area" xr:uid="{97E7BF18-371C-D843-AE6A-847D01596BBF}"/>
    <hyperlink ref="F143" r:id="rId252" tooltip="Tallahassee-Bainbridge, FL-GA Combined Statistical Area" display="https://en.wikipedia.org/wiki/Tallahassee-Bainbridge,_FL-GA_Combined_Statistical_Area" xr:uid="{B3A47565-8D95-6643-B857-3BB363E76223}"/>
    <hyperlink ref="B144" r:id="rId253" tooltip="Fayetteville, NC Metropolitan Statistical Area" display="https://en.wikipedia.org/wiki/Fayetteville,_NC_Metropolitan_Statistical_Area" xr:uid="{52523ECE-7D4C-D54D-AF90-DC1DFCA47BDF}"/>
    <hyperlink ref="F144" r:id="rId254" tooltip="Fayetteville-Lumberton-Laurinburg, NC Combined Statistical Area" display="https://en.wikipedia.org/wiki/Fayetteville-Lumberton-Laurinburg,_NC_Combined_Statistical_Area" xr:uid="{49E800EB-DB23-5E43-B22A-B0E4DCFEAC5C}"/>
    <hyperlink ref="B145" r:id="rId255" tooltip="Trenton-Princeton, NJ Metropolitan Statistical Area" display="https://en.wikipedia.org/wiki/Trenton-Princeton,_NJ_Metropolitan_Statistical_Area" xr:uid="{FFC4E098-ECC6-A943-AC28-2377D42CD88A}"/>
    <hyperlink ref="F145" r:id="rId256" tooltip="New York-Newark, NY-NJ-CT-PA Combined Statistical Area" display="https://en.wikipedia.org/wiki/New_York-Newark,_NY-NJ-CT-PA_Combined_Statistical_Area" xr:uid="{4B360499-0AE5-7E4A-9D9E-E5C49A21E9E6}"/>
    <hyperlink ref="B146" r:id="rId257" tooltip="Huntington-Ashland, WV-KY-OH Metropolitan Statistical Area" display="https://en.wikipedia.org/wiki/Huntington-Ashland,_WV-KY-OH_Metropolitan_Statistical_Area" xr:uid="{88946296-6E42-F743-A319-57ABF5C4B0C6}"/>
    <hyperlink ref="F146" r:id="rId258" tooltip="Charleston-Huntington-Ashland, WV-OH-KY Combined Statistical Area" display="https://en.wikipedia.org/wiki/Charleston-Huntington-Ashland,_WV-OH-KY_Combined_Statistical_Area" xr:uid="{21F9926C-C92A-5E47-9701-1F8768F592BA}"/>
    <hyperlink ref="B147" r:id="rId259" tooltip="Hickory-Lenoir-Morganton, NC Metropolitan Statistical Area" display="https://en.wikipedia.org/wiki/Hickory-Lenoir-Morganton,_NC_Metropolitan_Statistical_Area" xr:uid="{60AC85CA-F294-9645-94C5-E3D49FAB9E2E}"/>
    <hyperlink ref="F147" r:id="rId260" tooltip="Hickory-Lenoir, NC Combined Statistical Area" display="https://en.wikipedia.org/wiki/Hickory-Lenoir,_NC_Combined_Statistical_Area" xr:uid="{A0B1094B-0DAF-4143-877B-B05BB6F6D740}"/>
    <hyperlink ref="B148" r:id="rId261" tooltip="Savannah, GA Metropolitan Statistical Area" display="https://en.wikipedia.org/wiki/Savannah,_GA_Metropolitan_Statistical_Area" xr:uid="{0AC221EC-9300-8447-9236-EF940CB18212}"/>
    <hyperlink ref="F148" r:id="rId262" tooltip="Savannah-Hinesville-Statesboro, GA Combined Statistical Area" display="https://en.wikipedia.org/wiki/Savannah-Hinesville-Statesboro,_GA_Combined_Statistical_Area" xr:uid="{20262AFB-4F6F-3544-9EA6-C7FE902E574C}"/>
    <hyperlink ref="B149" r:id="rId263" tooltip="Eugene, OR Metropolitan Statistical Area" display="https://en.wikipedia.org/wiki/Eugene,_OR_Metropolitan_Statistical_Area" xr:uid="{42137DCB-CC67-8044-96B2-63A403B7DE0A}"/>
    <hyperlink ref="B150" r:id="rId264" tooltip="Ann Arbor, MI Metropolitan Statistical Area" display="https://en.wikipedia.org/wiki/Ann_Arbor,_MI_Metropolitan_Statistical_Area" xr:uid="{0AE779F1-4005-6D46-8FDC-AA2D5111B229}"/>
    <hyperlink ref="F150" r:id="rId265" tooltip="Detroit-Warren-Ann Arbor, MI Combined Statistical Area" display="https://en.wikipedia.org/wiki/Detroit-Warren-Ann_Arbor,_MI_Combined_Statistical_Area" xr:uid="{ECE24E13-4F1E-604F-A889-E332403AFEE5}"/>
    <hyperlink ref="B151" r:id="rId266" tooltip="Rockford, IL Metropolitan Statistical Area" display="https://en.wikipedia.org/wiki/Rockford,_IL_Metropolitan_Statistical_Area" xr:uid="{EC4F1596-7DB7-694A-950F-621347AD932F}"/>
    <hyperlink ref="F151" r:id="rId267" tooltip="Rockford-Freeport-Rochelle, IL Combined Statistical Area" display="https://en.wikipedia.org/wiki/Rockford-Freeport-Rochelle,_IL_Combined_Statistical_Area" xr:uid="{EA15C58B-1F48-7F4F-AEE5-178F4DEA1E6E}"/>
    <hyperlink ref="B152" r:id="rId268" tooltip="Ocala, FL Metropolitan Statistical Area" display="https://en.wikipedia.org/wiki/Ocala,_FL_Metropolitan_Statistical_Area" xr:uid="{123310D0-9C74-AA47-8B69-3A768D4599D8}"/>
    <hyperlink ref="B153" r:id="rId269" tooltip="Naples-Immokalee-Marco Island, FL Metropolitan Statistical Area" display="https://en.wikipedia.org/wiki/Naples-Immokalee-Marco_Island,_FL_Metropolitan_Statistical_Area" xr:uid="{D4874522-F668-224C-89F9-F47AA4B1A88C}"/>
    <hyperlink ref="F153" r:id="rId270" tooltip="Cape Coral-Fort Myers-Naples, FL Combined Statistical Area" display="https://en.wikipedia.org/wiki/Cape_Coral-Fort_Myers-Naples,_FL_Combined_Statistical_Area" xr:uid="{0A2200D6-78F0-5E4B-B3C1-C347D19F987C}"/>
    <hyperlink ref="B154" r:id="rId271" tooltip="Kalamazoo-Portage, MI Metropolitan Statistical Area" display="https://en.wikipedia.org/wiki/Kalamazoo-Portage,_MI_Metropolitan_Statistical_Area" xr:uid="{A4295C75-DABC-1449-8A2B-C611C5F1756A}"/>
    <hyperlink ref="F154" r:id="rId272" tooltip="Kalamazoo-Battle Creek-Portage, MI Combined Statistical Area" display="https://en.wikipedia.org/wiki/Kalamazoo-Battle_Creek-Portage,_MI_Combined_Statistical_Area" xr:uid="{E949C035-6649-B848-9F8C-609036222CBC}"/>
    <hyperlink ref="B155" r:id="rId273" tooltip="South Bend-Mishawaka, IN-MI Metropolitan Statistical Area" display="https://en.wikipedia.org/wiki/South_Bend-Mishawaka,_IN-MI_Metropolitan_Statistical_Area" xr:uid="{81DEE64C-009F-1848-9724-98E9B5FFE27D}"/>
    <hyperlink ref="F155" r:id="rId274" tooltip="South Bend-Elkhart-Mishawaka, IN-MI Combined Statistical Area" display="https://en.wikipedia.org/wiki/South_Bend-Elkhart-Mishawaka,_IN-MI_Combined_Statistical_Area" xr:uid="{3F6E20DA-36C3-7F4A-AE15-034B77A4C11E}"/>
    <hyperlink ref="B156" r:id="rId275" tooltip="Spartanburg, SC Metropolitan Statistical Area" display="https://en.wikipedia.org/wiki/Spartanburg,_SC_Metropolitan_Statistical_Area" xr:uid="{8717E213-444E-A347-92C7-9EBB1379F660}"/>
    <hyperlink ref="F156" r:id="rId276" tooltip="Greenville-Spartanburg-Anderson, SC Combined Statistical Area" display="https://en.wikipedia.org/wiki/Greenville-Spartanburg-Anderson,_SC_Combined_Statistical_Area" xr:uid="{C5F43EE2-0EE6-9342-A798-93CC1B3E85DC}"/>
    <hyperlink ref="B157" r:id="rId277" tooltip="Evansville, IN-KY Metropolitan Statistical Area" display="https://en.wikipedia.org/wiki/Evansville,_IN-KY_Metropolitan_Statistical_Area" xr:uid="{973B9BA6-0CFA-7B4F-AD68-FFB69BA925C2}"/>
    <hyperlink ref="B158" r:id="rId278" tooltip="Green Bay, WI Metropolitan Statistical Area" display="https://en.wikipedia.org/wiki/Green_Bay,_WI_Metropolitan_Statistical_Area" xr:uid="{624661FC-7A98-A644-AD83-A8E1785BACD7}"/>
    <hyperlink ref="F158" r:id="rId279" tooltip="Green Bay-Shawano, WI Combined Statistical Area" display="https://en.wikipedia.org/wiki/Green_Bay-Shawano,_WI_Combined_Statistical_Area" xr:uid="{CABB0552-D908-3E40-88B7-6EC000E0D579}"/>
    <hyperlink ref="B159" r:id="rId280" tooltip="Columbus, GA-AL Metropolitan Statistical Area" display="https://en.wikipedia.org/wiki/Columbus,_GA-AL_Metropolitan_Statistical_Area" xr:uid="{B8B88201-E74B-C744-9900-E00C7D887004}"/>
    <hyperlink ref="F159" r:id="rId281" tooltip="Columbus-Auburn-Opelika, GA-AL Combined Statistical Area" display="https://en.wikipedia.org/wiki/Columbus-Auburn-Opelika,_GA-AL_Combined_Statistical_Area" xr:uid="{76CECAC0-EC2C-C848-A963-9C7A08335280}"/>
    <hyperlink ref="B160" r:id="rId282" tooltip="Fort Collins, CO Metropolitan Statistical Area" display="https://en.wikipedia.org/wiki/Fort_Collins,_CO_Metropolitan_Statistical_Area" xr:uid="{4C76EEB9-F247-4F43-B70F-7E672D329626}"/>
    <hyperlink ref="B161" r:id="rId283" tooltip="Lincoln, Nebraska metropolitan area" display="https://en.wikipedia.org/wiki/Lincoln,_Nebraska_metropolitan_area" xr:uid="{A65F8463-C895-AB4D-AF25-467EE1D5018A}"/>
    <hyperlink ref="F161" r:id="rId284" tooltip="Lincoln, Nebraska metropolitan area" display="https://en.wikipedia.org/wiki/Lincoln,_Nebraska_metropolitan_area" xr:uid="{4ADC52CB-49C0-8241-B17D-9941682B1951}"/>
    <hyperlink ref="B162" r:id="rId285" tooltip="Roanoke, VA Metropolitan Statistical Area" display="https://en.wikipedia.org/wiki/Roanoke,_VA_Metropolitan_Statistical_Area" xr:uid="{E63529E6-8827-2241-8C47-D4FAFD24079C}"/>
    <hyperlink ref="B163" r:id="rId286" tooltip="Kingsport-Bristol-Bristol, TN-VA Metropolitan Statistical Area" display="https://en.wikipedia.org/wiki/Kingsport-Bristol-Bristol,_TN-VA_Metropolitan_Statistical_Area" xr:uid="{3DFFED81-EF26-CF4E-BB37-1538B7AB16AD}"/>
    <hyperlink ref="F163" r:id="rId287" tooltip="Johnson City-Kingsport-Bristol, TN-VA Combined Statistical Area" display="https://en.wikipedia.org/wiki/Johnson_City-Kingsport-Bristol,_TN-VA_Combined_Statistical_Area" xr:uid="{8B08CBA1-DAE7-254A-82C0-2DC7D9C63507}"/>
    <hyperlink ref="B164" r:id="rId288" tooltip="Boulder, CO Metropolitan Statistical Area" display="https://en.wikipedia.org/wiki/Boulder,_CO_Metropolitan_Statistical_Area" xr:uid="{4F78401C-F216-9D4A-B187-569F651EF811}"/>
    <hyperlink ref="F164" r:id="rId289" tooltip="Denver-Aurora, CO Combined Statistical Area" display="https://en.wikipedia.org/wiki/Denver-Aurora,_CO_Combined_Statistical_Area" xr:uid="{B484C4C2-F429-8842-88B8-CECA23605B19}"/>
    <hyperlink ref="B165" r:id="rId290" tooltip="Utica-Rome, NY Metropolitan Statistical Area" display="https://en.wikipedia.org/wiki/Utica-Rome,_NY_Metropolitan_Statistical_Area" xr:uid="{7E56980E-9022-8E48-987A-D28474ECC912}"/>
    <hyperlink ref="B166" r:id="rId291" tooltip="Lubbock, TX Metropolitan Statistical Area" display="https://en.wikipedia.org/wiki/Lubbock,_TX_Metropolitan_Statistical_Area" xr:uid="{44540C06-7456-2C4E-AFBC-D1E4CFA68220}"/>
    <hyperlink ref="F166" r:id="rId292" tooltip="Lubbock-Levelland, TX Combined Statistical Area" display="https://en.wikipedia.org/wiki/Lubbock-Levelland,_TX_Combined_Statistical_Area" xr:uid="{2CD811D9-022E-8E43-AB5E-100218D668AC}"/>
    <hyperlink ref="B167" r:id="rId293" tooltip="Erie, PA Metropolitan Statistical Area" display="https://en.wikipedia.org/wiki/Erie,_PA_Metropolitan_Statistical_Area" xr:uid="{85EC8234-BAB1-FF4B-8505-D51E3DAF4042}"/>
    <hyperlink ref="F167" r:id="rId294" tooltip="Erie-Meadville, PA Combined Statistical Area" display="https://en.wikipedia.org/wiki/Erie-Meadville,_PA_Combined_Statistical_Area" xr:uid="{787B7F11-2AD1-FF43-A9E5-54FF3FDA0AB6}"/>
    <hyperlink ref="B168" r:id="rId295" tooltip="Fort Smith, AR-OK Metropolitan Statistical Area" display="https://en.wikipedia.org/wiki/Fort_Smith,_AR-OK_Metropolitan_Statistical_Area" xr:uid="{29596DCB-0D7A-4140-B483-1CFD6BC35B5F}"/>
    <hyperlink ref="B169" r:id="rId296" tooltip="Duluth, MN-WI Metropolitan Statistical Area" display="https://en.wikipedia.org/wiki/Duluth,_MN-WI_Metropolitan_Statistical_Area" xr:uid="{305E5837-AA70-B440-B239-F62A087BF088}"/>
    <hyperlink ref="B170" r:id="rId297" tooltip="Atlantic City-Hammonton, NJ Metropolitan Statistical Area" display="https://en.wikipedia.org/wiki/Atlantic_City-Hammonton,_NJ_Metropolitan_Statistical_Area" xr:uid="{0C2906E5-27F2-044A-9DF9-227955870F25}"/>
    <hyperlink ref="F170" r:id="rId298" tooltip="Philadelphia-Reading-Camden, PA-NJ-DE-MD Combined Statistical Area" display="https://en.wikipedia.org/wiki/Philadelphia-Reading-Camden,_PA-NJ-DE-MD_Combined_Statistical_Area" xr:uid="{E7314E2D-614A-DF4E-9225-19A09F53FBC4}"/>
    <hyperlink ref="B171" r:id="rId299" tooltip="San Luis Obispo-Paso Robles-Arroyo Grande, CA Metropolitan Statistical Area" display="https://en.wikipedia.org/wiki/San_Luis_Obispo-Paso_Robles-Arroyo_Grande,_CA_Metropolitan_Statistical_Area" xr:uid="{BBD23E7D-6430-9541-B33D-398F849EFB36}"/>
    <hyperlink ref="B172" r:id="rId300" tooltip="Clarksville, TN-KY Metropolitan Statistical Area" display="https://en.wikipedia.org/wiki/Clarksville,_TN-KY_Metropolitan_Statistical_Area" xr:uid="{13F3BA09-B8E4-0D41-85E4-B5B1E89CF61A}"/>
    <hyperlink ref="B173" r:id="rId301" tooltip="Norwich-New London, CT Metropolitan Statistical Area" display="https://en.wikipedia.org/wiki/Norwich-New_London,_CT_Metropolitan_Statistical_Area" xr:uid="{873D8F18-B1B4-DF4C-A6F2-05F5F9AC5461}"/>
    <hyperlink ref="F173" r:id="rId302" tooltip="Hartford-East Hartford, CT Combined Statistical Area" display="https://en.wikipedia.org/wiki/Hartford-East_Hartford,_CT_Combined_Statistical_Area" xr:uid="{219A4CB9-EA7E-EF47-BF2E-F886D2138F7E}"/>
    <hyperlink ref="B174" r:id="rId303" tooltip="Kennewick-Richland, WA Metropolitan Statistical Area" display="https://en.wikipedia.org/wiki/Kennewick-Richland,_WA_Metropolitan_Statistical_Area" xr:uid="{315F1AAF-C18F-7248-9B32-0E66CE307C3F}"/>
    <hyperlink ref="B175" r:id="rId304" tooltip="Gainesville, FL Metropolitan Statistical Area" display="https://en.wikipedia.org/wiki/Gainesville,_FL_Metropolitan_Statistical_Area" xr:uid="{66CF40D8-9579-A94E-9039-4C4FDD316A96}"/>
    <hyperlink ref="F175" r:id="rId305" tooltip="Gainesville-Lake City, FL Combined Statistical Area" display="https://en.wikipedia.org/wiki/Gainesville-Lake_City,_FL_Combined_Statistical_Area" xr:uid="{3CDA4CD1-9164-8B49-91B3-F6C99C9CA938}"/>
    <hyperlink ref="B176" r:id="rId306" tooltip="Santa Cruz-Watsonville, CA Metropolitan Statistical Area" display="https://en.wikipedia.org/wiki/Santa_Cruz-Watsonville,_CA_Metropolitan_Statistical_Area" xr:uid="{C305FD6B-2D4C-DA48-A040-EAFF2A46204B}"/>
    <hyperlink ref="F176" r:id="rId307" tooltip="San Jose-San Francisco-Oakland, CA Combined Statistical Area" display="https://en.wikipedia.org/wiki/San_Jose-San_Francisco-Oakland,_CA_Combined_Statistical_Area" xr:uid="{EE6D3F4B-1B0F-0C46-9B0E-8FB3EF52E6F1}"/>
    <hyperlink ref="B177" r:id="rId308" tooltip="Greeley, CO Metropolitan Statistical Area" display="https://en.wikipedia.org/wiki/Greeley,_CO_Metropolitan_Statistical_Area" xr:uid="{87F0B294-E2A0-BF43-A109-7E3DEA21414E}"/>
    <hyperlink ref="F177" r:id="rId309" tooltip="Denver-Aurora, CO Combined Statistical Area" display="https://en.wikipedia.org/wiki/Denver-Aurora,_CO_Combined_Statistical_Area" xr:uid="{0D1B17F8-4DFC-6247-A5FA-1CD81FC1FDDE}"/>
    <hyperlink ref="B178" r:id="rId310" tooltip="Wilmington, NC Metropolitan Statistical Area" display="https://en.wikipedia.org/wiki/Wilmington,_NC_Metropolitan_Statistical_Area" xr:uid="{60B31977-84DD-5D42-8EE2-CB3C5AC170E0}"/>
    <hyperlink ref="B179" r:id="rId311" tooltip="Merced, CA Metropolitan Statistical Area" display="https://en.wikipedia.org/wiki/Merced,_CA_Metropolitan_Statistical_Area" xr:uid="{F3A6CE0D-6027-0D45-9308-B2D74AF0A7AC}"/>
    <hyperlink ref="F179" r:id="rId312" tooltip="Modesto-Merced, CA Combined Statistical Area" display="https://en.wikipedia.org/wiki/Modesto-Merced,_CA_Combined_Statistical_Area" xr:uid="{EF6CC082-D9D8-5F44-BE59-EEC934FA5C0F}"/>
    <hyperlink ref="B180" r:id="rId313" tooltip="Cedar Rapids, IA Metropolitan Statistical Area" display="https://en.wikipedia.org/wiki/Cedar_Rapids,_IA_Metropolitan_Statistical_Area" xr:uid="{80108F3A-AD84-B043-8660-0050C992F86B}"/>
    <hyperlink ref="F180" r:id="rId314" tooltip="Cedar Rapids-Iowa City, IA Combined Statistical Area" display="https://en.wikipedia.org/wiki/Cedar_Rapids-Iowa_City,_IA_Combined_Statistical_Area" xr:uid="{31902F2A-F22D-2E4B-A399-5353B79BBF04}"/>
    <hyperlink ref="B181" r:id="rId315" tooltip="Laredo, TX Metropolitan Statistical Area" display="https://en.wikipedia.org/wiki/Laredo,_TX_Metropolitan_Statistical_Area" xr:uid="{3C0262AA-5F42-2C48-8573-5760143C6BD9}"/>
    <hyperlink ref="B182" r:id="rId316" tooltip="Olympia-Tumwater, WA Metropolitan Statistical Area" display="https://en.wikipedia.org/wiki/Olympia-Tumwater,_WA_Metropolitan_Statistical_Area" xr:uid="{D5FD882C-FC41-F743-8B9E-F3345836CFA2}"/>
    <hyperlink ref="F182" r:id="rId317" tooltip="Seattle-Tacoma, WA Combined Statistical Area" display="https://en.wikipedia.org/wiki/Seattle-Tacoma,_WA_Combined_Statistical_Area" xr:uid="{30659092-1893-DD4B-90A4-BD0B5E29C37B}"/>
    <hyperlink ref="B183" r:id="rId318" tooltip="Amarillo, TX Metropolitan Statistical Area" display="https://en.wikipedia.org/wiki/Amarillo,_TX_Metropolitan_Statistical_Area" xr:uid="{632D329F-0BD4-EA46-85C9-2001B962142D}"/>
    <hyperlink ref="F183" r:id="rId319" tooltip="Amarillo-Borger, TX Combined Statistical Area" display="https://en.wikipedia.org/wiki/Amarillo-Borger,_TX_Combined_Statistical_Area" xr:uid="{B0FC6647-E4BF-B543-855B-C4FB5578F271}"/>
    <hyperlink ref="B184" r:id="rId320" tooltip="Waco, TX Metropolitan Statistical Area" display="https://en.wikipedia.org/wiki/Waco,_TX_Metropolitan_Statistical_Area" xr:uid="{B57C18FB-F2F5-AE49-8045-0D3464125617}"/>
    <hyperlink ref="B185" r:id="rId321" tooltip="Hagerstown-Martinsburg, MD-WV Metropolitan Statistical Area" display="https://en.wikipedia.org/wiki/Hagerstown-Martinsburg,_MD-WV_Metropolitan_Statistical_Area" xr:uid="{549CBDDA-2E4A-C949-95B1-F51A0FB7A6FA}"/>
    <hyperlink ref="F185" r:id="rId322" tooltip="Washington-Baltimore-Arlington, DC-MD-VA-WV-PA Combined Statistical Area" display="https://en.wikipedia.org/wiki/Washington-Baltimore-Arlington,_DC-MD-VA-WV-PA_Combined_Statistical_Area" xr:uid="{C995C908-0E3F-F04B-8A61-0C022C250A9F}"/>
    <hyperlink ref="B186" r:id="rId323" tooltip="Lynchburg, VA Metropolitan Statistical Area" display="https://en.wikipedia.org/wiki/Lynchburg,_VA_Metropolitan_Statistical_Area" xr:uid="{BAB75721-6105-7C49-BCF8-3C332CF48F39}"/>
    <hyperlink ref="B187" r:id="rId324" tooltip="Bremerton-Silverdale, WA Metropolitan Statistical Area" display="https://en.wikipedia.org/wiki/Bremerton-Silverdale,_WA_Metropolitan_Statistical_Area" xr:uid="{7A60C203-8268-684D-A254-F8A45172B02E}"/>
    <hyperlink ref="F187" r:id="rId325" tooltip="Seattle-Tacoma, WA Combined Statistical Area" display="https://en.wikipedia.org/wiki/Seattle-Tacoma,_WA_Combined_Statistical_Area" xr:uid="{2DE41AC1-C648-AF4C-846D-0D464D5322C5}"/>
    <hyperlink ref="B188" r:id="rId326" tooltip="Binghamton, NY Metropolitan Statistical Area" display="https://en.wikipedia.org/wiki/Binghamton,_NY_Metropolitan_Statistical_Area" xr:uid="{E172F86A-BC2D-8E43-971D-E89C9DE2FFBA}"/>
    <hyperlink ref="B189" r:id="rId327" tooltip="Crestview-Fort Walton Beach-Destin, FL Metropolitan Statistical Area" display="https://en.wikipedia.org/wiki/Crestview-Fort_Walton_Beach-Destin,_FL_Metropolitan_Statistical_Area" xr:uid="{437AD0CD-C79A-D842-BDA3-31A79F52B8A2}"/>
    <hyperlink ref="B190" r:id="rId328" tooltip="Yakima, WA Metropolitan Statistical Area" display="https://en.wikipedia.org/wiki/Yakima,_WA_Metropolitan_Statistical_Area" xr:uid="{35720F18-3EBA-F642-8692-7F30FEED5F04}"/>
    <hyperlink ref="B191" r:id="rId329" tooltip="Sioux Falls, SD Metropolitan Statistical Area" display="https://en.wikipedia.org/wiki/Sioux_Falls,_SD_Metropolitan_Statistical_Area" xr:uid="{C0950E41-9272-2349-A67A-B8B09F59A102}"/>
    <hyperlink ref="B192" r:id="rId330" tooltip="Topeka, KS Metropolitan Statistical Area" display="https://en.wikipedia.org/wiki/Topeka,_KS_Metropolitan_Statistical_Area" xr:uid="{F32A90BC-2048-7F4B-ABD8-C172D4CF87A7}"/>
    <hyperlink ref="B193" r:id="rId331" tooltip="College Station-Bryan, TX Metropolitan Statistical Area" display="https://en.wikipedia.org/wiki/College_Station-Bryan,_TX_Metropolitan_Statistical_Area" xr:uid="{51C6B2B7-134F-BD4B-8E76-2E8945525657}"/>
    <hyperlink ref="B194" r:id="rId332" tooltip="Champaign-Urbana, IL Metropolitan Statistical Area" display="https://en.wikipedia.org/wiki/Champaign-Urbana,_IL_Metropolitan_Statistical_Area" xr:uid="{EA928354-83F9-7548-90FB-220BE09299A5}"/>
    <hyperlink ref="B195" r:id="rId333" tooltip="Tuscaloosa, AL Metropolitan Statistical Area" display="https://en.wikipedia.org/wiki/Tuscaloosa,_AL_Metropolitan_Statistical_Area" xr:uid="{DF02F9EB-5A72-3C4D-ABA3-9EAAEEC810AF}"/>
    <hyperlink ref="B196" r:id="rId334" tooltip="Macon, GA Metropolitan Statistical Area" display="https://en.wikipedia.org/wiki/Macon,_GA_Metropolitan_Statistical_Area" xr:uid="{4CA109E8-3D0E-634B-9ED9-4193BFF32085}"/>
    <hyperlink ref="F196" r:id="rId335" tooltip="Macon-Warner Robins, GA Combined Statistical Area" display="https://en.wikipedia.org/wiki/Macon-Warner_Robins,_GA_Combined_Statistical_Area" xr:uid="{318994D0-8BCC-A141-A708-156F9690880F}"/>
    <hyperlink ref="B197" r:id="rId336" tooltip="Appleton, WI Metropolitan Statistical Area" display="https://en.wikipedia.org/wiki/Appleton,_WI_Metropolitan_Statistical_Area" xr:uid="{26C3B3A8-378B-EC44-ABCE-276CACF3AD07}"/>
    <hyperlink ref="F197" r:id="rId337" tooltip="Appleton-Oshkosh-Neenah, WI Combined Statistical Area" display="https://en.wikipedia.org/wiki/Appleton-Oshkosh-Neenah,_WI_Combined_Statistical_Area" xr:uid="{73E8BDB4-5DCB-1748-91B8-A9CE8B97192E}"/>
    <hyperlink ref="B198" r:id="rId338" tooltip="Charleston, WV Metropolitan Statistical Area" display="https://en.wikipedia.org/wiki/Charleston,_WV_Metropolitan_Statistical_Area" xr:uid="{9267236A-4A70-9645-B8A5-D72BB0365332}"/>
    <hyperlink ref="F198" r:id="rId339" tooltip="Charleston-Huntington-Ashland, WV-OH-KY Combined Statistical Area" display="https://en.wikipedia.org/wiki/Charleston-Huntington-Ashland,_WV-OH-KY_Combined_Statistical_Area" xr:uid="{3EEEBEFC-F53D-CF4A-9166-8181DA15D2E6}"/>
    <hyperlink ref="B199" r:id="rId340" tooltip="Charlottesville, VA Metropolitan Statistical Area" display="https://en.wikipedia.org/wiki/Charlottesville,_VA_Metropolitan_Statistical_Area" xr:uid="{E8A1E373-6004-0540-9D8F-3B7D0426CF37}"/>
    <hyperlink ref="B200" r:id="rId341" tooltip="Chico, CA Metropolitan Statistical Area" display="https://en.wikipedia.org/wiki/Chico,_CA_Metropolitan_Statistical_Area" xr:uid="{37FC2364-97A3-5847-A952-E548C9EE76E4}"/>
    <hyperlink ref="B201" r:id="rId342" tooltip="Claremont-Lebanon, NH-VT Micropolitan Statistical Area" display="https://en.wikipedia.org/wiki/Claremont-Lebanon,_NH-VT_Micropolitan_Statistical_Area" xr:uid="{C2F47BD2-A910-274E-8918-F94EE1B5F208}"/>
    <hyperlink ref="B202" r:id="rId343" tooltip="Longview, TX Metropolitan Statistical Area" display="https://en.wikipedia.org/wiki/Longview,_TX_Metropolitan_Statistical_Area" xr:uid="{8AC2D7B8-9307-FB4E-A6CF-72A18CAC6AC1}"/>
    <hyperlink ref="F202" r:id="rId344" tooltip="Longview-Marshall, TX Combined Statistical Area" display="https://en.wikipedia.org/wiki/Longview-Marshall,_TX_Combined_Statistical_Area" xr:uid="{2A1B15FA-8393-684B-8A9C-EFCB70472F80}"/>
    <hyperlink ref="B203" r:id="rId345" tooltip="Fargo, ND-MN Metropolitan Statistical Area" display="https://en.wikipedia.org/wiki/Fargo,_ND-MN_Metropolitan_Statistical_Area" xr:uid="{C644ED83-E74B-2C48-B735-131933788708}"/>
    <hyperlink ref="F203" r:id="rId346" tooltip="Fargo-Wahpeton, ND-MN Combined Statistical Area" display="https://en.wikipedia.org/wiki/Fargo-Wahpeton,_ND-MN_Combined_Statistical_Area" xr:uid="{E634A045-97F6-4F42-AFD5-A82EAEF923CA}"/>
    <hyperlink ref="B204" r:id="rId347" tooltip="Barnstable Town, MA Metropolitan Statistical Area" display="https://en.wikipedia.org/wiki/Barnstable_Town,_MA_Metropolitan_Statistical_Area" xr:uid="{B3E5E1BD-CF54-C842-8CE0-770D4CB863E1}"/>
    <hyperlink ref="F204" r:id="rId348" tooltip="Boston-Worcester-Providence, MA-RI-NH-CT Combined Statistical Area" display="https://en.wikipedia.org/wiki/Boston-Worcester-Providence,_MA-RI-NH-CT_Combined_Statistical_Area" xr:uid="{0F8B16A0-E908-B243-916A-2CAD9937EAB8}"/>
    <hyperlink ref="B205" r:id="rId349" tooltip="Tyler, TX Metropolitan Statistical Area" display="https://en.wikipedia.org/wiki/Tyler,_TX_Metropolitan_Statistical_Area" xr:uid="{17045FF1-8E19-8142-9C4D-1F9353297AF8}"/>
    <hyperlink ref="F205" r:id="rId350" tooltip="Tyler-Jacksonville, TX Combined Statistical Area" display="https://en.wikipedia.org/wiki/Tyler-Jacksonville,_TX_Combined_Statistical_Area" xr:uid="{2AABFDC7-92B4-4E47-B16B-7EA10941D982}"/>
    <hyperlink ref="B206" r:id="rId351" tooltip="Las Cruces, NM Metropolitan Statistical Area" display="https://en.wikipedia.org/wiki/Las_Cruces,_NM_Metropolitan_Statistical_Area" xr:uid="{01D6E4A7-F014-1446-BAA4-ABAB43215C05}"/>
    <hyperlink ref="F206" r:id="rId352" tooltip="El Paso-Las Cruces, TX-NM Combined Statistical Area" display="https://en.wikipedia.org/wiki/El_Paso-Las_Cruces,_TX-NM_Combined_Statistical_Area" xr:uid="{4BB756BB-5328-854B-BABF-7F1C93D83600}"/>
    <hyperlink ref="B207" r:id="rId353" tooltip="Burlington-South Burlington, VT Metropolitan Statistical Area" display="https://en.wikipedia.org/wiki/Burlington-South_Burlington,_VT_Metropolitan_Statistical_Area" xr:uid="{B0A65F98-876C-5B43-87E6-F888621DA3E4}"/>
    <hyperlink ref="B208" r:id="rId354" tooltip="Prescott, AZ Metropolitan Statistical Area" display="https://en.wikipedia.org/wiki/Prescott,_AZ_Metropolitan_Statistical_Area" xr:uid="{18822457-F24B-1F49-84C3-C71B6C0E6887}"/>
    <hyperlink ref="B209" r:id="rId355" tooltip="Springfield, IL Metropolitan Statistical Area" display="https://en.wikipedia.org/wiki/Springfield,_IL_Metropolitan_Statistical_Area" xr:uid="{51B3F302-53A1-FE44-9AAC-79E733A46448}"/>
    <hyperlink ref="F209" r:id="rId356" tooltip="Springfield-Jacksonville-Lincoln, IL Combined Statistical Area" display="https://en.wikipedia.org/wiki/Springfield-Jacksonville-Lincoln,_IL_Combined_Statistical_Area" xr:uid="{9A6089AB-AEC8-C948-9993-654B116070A8}"/>
    <hyperlink ref="B210" r:id="rId357" tooltip="Rochester, MN Metropolitan Statistical Area" display="https://en.wikipedia.org/wiki/Rochester,_MN_Metropolitan_Statistical_Area" xr:uid="{EE1E6971-6572-D846-B849-016980E084FF}"/>
    <hyperlink ref="F210" r:id="rId358" tooltip="Rochester-Austin, MN Combined Statistical Area" display="https://en.wikipedia.org/wiki/Rochester-Austin,_MN_Combined_Statistical_Area" xr:uid="{84D0555B-AE9A-3745-9AC1-06CECB2DFD43}"/>
    <hyperlink ref="B211" r:id="rId359" tooltip="Houma-Thibodaux, LA Metropolitan Statistical Area" display="https://en.wikipedia.org/wiki/Houma-Thibodaux,_LA_Metropolitan_Statistical_Area" xr:uid="{5F654957-5D5B-E146-9BFC-64F9E9D6DB6B}"/>
    <hyperlink ref="B212" r:id="rId360" tooltip="Medford, OR Metropolitan Statistical Area" display="https://en.wikipedia.org/wiki/Medford,_OR_Metropolitan_Statistical_Area" xr:uid="{A1AA3D8D-28C3-E448-8261-10235E0010D0}"/>
    <hyperlink ref="F212" r:id="rId361" tooltip="Medford-Grants Pass, OR Combined Statistical Area" display="https://en.wikipedia.org/wiki/Medford-Grants_Pass,_OR_Combined_Statistical_Area" xr:uid="{16CBA20B-907B-2648-B643-2808124AB145}"/>
    <hyperlink ref="B213" r:id="rId362" tooltip="Lafayette-West Lafayette, IN Metropolitan Statistical Area" display="https://en.wikipedia.org/wiki/Lafayette-West_Lafayette,_IN_Metropolitan_Statistical_Area" xr:uid="{904704BF-B03D-D746-9401-201A41F22778}"/>
    <hyperlink ref="F213" r:id="rId363" tooltip="Lafayette-West Lafayette-Frankfort, IN Combined Statistical Area" display="https://en.wikipedia.org/wiki/Lafayette-West_Lafayette-Frankfort,_IN_Combined_Statistical_Area" xr:uid="{C21ABF52-3630-1946-ACBE-A7141CD7AF77}"/>
    <hyperlink ref="B214" r:id="rId364" tooltip="Florence, SC Metropolitan Statistical Area" display="https://en.wikipedia.org/wiki/Florence,_SC_Metropolitan_Statistical_Area" xr:uid="{60D8F75B-3CC0-614B-8C90-50F25C84ADFD}"/>
    <hyperlink ref="B215" r:id="rId365" tooltip="Bellingham, WA Metropolitan Statistical Area" display="https://en.wikipedia.org/wiki/Bellingham,_WA_Metropolitan_Statistical_Area" xr:uid="{07AE972B-731B-1E42-B48D-34C7AE0933BF}"/>
    <hyperlink ref="B216" r:id="rId366" tooltip="Lake Havasu City-Kingman, AZ Metropolitan Statistical Area" display="https://en.wikipedia.org/wiki/Lake_Havasu_City-Kingman,_AZ_Metropolitan_Statistical_Area" xr:uid="{08F39781-3FB6-DF4A-A6FE-4AE2ABAA9F8C}"/>
    <hyperlink ref="F216" r:id="rId367" tooltip="Las Vegas-Henderson, NV-AZ Combined Statistical Area" display="https://en.wikipedia.org/wiki/Las_Vegas-Henderson,_NV-AZ_Combined_Statistical_Area" xr:uid="{845C7315-34B6-3B44-80E0-14F29476E6A5}"/>
    <hyperlink ref="B217" r:id="rId368" tooltip="Lake Charles, LA Metropolitan Statistical Area" display="https://en.wikipedia.org/wiki/Lake_Charles,_LA_Metropolitan_Statistical_Area" xr:uid="{25514157-9EEE-8149-9EC8-A86A4F24895A}"/>
    <hyperlink ref="B218" r:id="rId369" tooltip="Johnson City, TN Metropolitan Statistical Area" display="https://en.wikipedia.org/wiki/Johnson_City,_TN_Metropolitan_Statistical_Area" xr:uid="{A8E019CB-517A-DB4E-9B35-A747F3B8902B}"/>
    <hyperlink ref="F218" r:id="rId370" tooltip="Johnson City-Kingsport-Bristol, TN-VA Combined Statistical Area" display="https://en.wikipedia.org/wiki/Johnson_City-Kingsport-Bristol,_TN-VA_Combined_Statistical_Area" xr:uid="{EB9AC46F-5165-1F40-BCC7-3338D3664B66}"/>
    <hyperlink ref="B219" r:id="rId371" tooltip="Yuma, AZ Metropolitan Statistical Area" display="https://en.wikipedia.org/wiki/Yuma,_AZ_Metropolitan_Statistical_Area" xr:uid="{52A0287B-8CA3-CE48-87AC-31A6FE219170}"/>
    <hyperlink ref="B220" r:id="rId372" tooltip="Elkhart-Goshen, IN Metropolitan Statistical Area" display="https://en.wikipedia.org/wiki/Elkhart-Goshen,_IN_Metropolitan_Statistical_Area" xr:uid="{4828641C-D996-DB42-B110-A18470E1DB5B}"/>
    <hyperlink ref="F220" r:id="rId373" tooltip="South Bend-Elkhart-Mishawaka, IN-MI Combined Statistical Area" display="https://en.wikipedia.org/wiki/South_Bend-Elkhart-Mishawaka,_IN-MI_Combined_Statistical_Area" xr:uid="{095A058C-D330-434F-B7B3-5817BEBACCA6}"/>
    <hyperlink ref="B221" r:id="rId374" tooltip="Saginaw, MI Metropolitan Statistical Area" display="https://en.wikipedia.org/wiki/Saginaw,_MI_Metropolitan_Statistical_Area" xr:uid="{D9AD9D67-71B8-E346-AE41-BF6D4FE92CE4}"/>
    <hyperlink ref="F221" r:id="rId375" tooltip="Saginaw-Midland-Bay City, MI Combined Statistical Area" display="https://en.wikipedia.org/wiki/Saginaw-Midland-Bay_City,_MI_Combined_Statistical_Area" xr:uid="{ED306847-B3DB-0F44-B88E-1FC564798DE0}"/>
    <hyperlink ref="B222" r:id="rId376" tooltip="Athens-Clarke County, GA Metropolitan Statistical Area" display="https://en.wikipedia.org/wiki/Athens-Clarke_County,_GA_Metropolitan_Statistical_Area" xr:uid="{38BC0E9A-F6C1-9945-99BA-57D4CDB3AD0A}"/>
    <hyperlink ref="F222" r:id="rId377" tooltip="Atlanta–Athens-Clarke County–Sandy Springs, GA Combined Statistical Area" display="https://en.wikipedia.org/wiki/Atlanta%E2%80%93Athens-Clarke_County%E2%80%93Sandy_Springs,_GA_Combined_Statistical_Area" xr:uid="{E6AF017A-9922-C84F-A982-D6D4248D4E2D}"/>
    <hyperlink ref="B223" r:id="rId378" tooltip="Racine, WI Metropolitan Statistical Area" display="https://en.wikipedia.org/wiki/Racine,_WI_Metropolitan_Statistical_Area" xr:uid="{D260C24B-4C04-4445-87FF-F0FF18512E7F}"/>
    <hyperlink ref="F223" r:id="rId379" tooltip="Milwaukee-Racine-Waukesha, WI Combined Statistical Area" display="https://en.wikipedia.org/wiki/Milwaukee-Racine-Waukesha,_WI_Combined_Statistical_Area" xr:uid="{14CC12DA-94DD-E445-905D-E8B1D7AD81A4}"/>
    <hyperlink ref="B224" r:id="rId380" tooltip="Hilton Head Island-Bluffton-Beaufort, SC Metropolitan Statistical Area" display="https://en.wikipedia.org/wiki/Hilton_Head_Island-Bluffton-Beaufort,_SC_Metropolitan_Statistical_Area" xr:uid="{AE21BE88-FF11-694C-8FEE-50837948D3B3}"/>
    <hyperlink ref="B225" r:id="rId381" tooltip="Daphne-Fairhope-Foley, AL Metropolitan Statistical Area" display="https://en.wikipedia.org/wiki/Daphne-Fairhope-Foley,_AL_Metropolitan_Statistical_Area" xr:uid="{347EEBAC-F449-B344-AF9B-692AF3999072}"/>
    <hyperlink ref="F225" r:id="rId382" tooltip="Mobile-Daphne-Fairhope, AL Combined Statistical Area" display="https://en.wikipedia.org/wiki/Mobile-Daphne-Fairhope,_AL_Combined_Statistical_Area" xr:uid="{14FC3F2C-8AC4-5143-9473-C2C7E80D2F5F}"/>
    <hyperlink ref="B226" r:id="rId383" tooltip="St. Cloud, MN Metropolitan Statistical Area" display="https://en.wikipedia.org/wiki/St._Cloud,_MN_Metropolitan_Statistical_Area" xr:uid="{11E957AE-E9EE-D548-8FF7-8103AFECA79F}"/>
    <hyperlink ref="F226" r:id="rId384" tooltip="Minneapolis-St. Paul, MN-WI Combined Statistical Area" display="https://en.wikipedia.org/wiki/Minneapolis-St._Paul,_MN-WI_Combined_Statistical_Area" xr:uid="{36D532ED-8EFE-C94C-AEA9-7D1D082A03AC}"/>
    <hyperlink ref="B227" r:id="rId385" tooltip="Hilo, HI Micropolitan Statistical Area" display="https://en.wikipedia.org/wiki/Hilo,_HI_Micropolitan_Statistical_Area" xr:uid="{6A5B1713-4227-1B40-B109-694BD6C15B22}"/>
    <hyperlink ref="B228" r:id="rId386" tooltip="Bloomington, IL Metropolitan Statistical Area" display="https://en.wikipedia.org/wiki/Bloomington,_IL_Metropolitan_Statistical_Area" xr:uid="{92739343-BB2D-C346-864A-FBA13E63B4E0}"/>
    <hyperlink ref="F228" r:id="rId387" tooltip="Bloomington-Pontiac, IL Combined Statistical Area" display="https://en.wikipedia.org/wiki/Bloomington-Pontiac,_IL_Combined_Statistical_Area" xr:uid="{F4B2D3C7-2335-EA45-811E-36EF94243F9F}"/>
    <hyperlink ref="B229" r:id="rId388" tooltip="Panama City, FL Metropolitan Statistical Area" display="https://en.wikipedia.org/wiki/Panama_City,_FL_Metropolitan_Statistical_Area" xr:uid="{53BAB580-5F6B-F748-89FE-40AC0DF56853}"/>
    <hyperlink ref="B230" r:id="rId389" tooltip="Torrington, CT Micropolitan Statistical Area" display="https://en.wikipedia.org/wiki/Torrington,_CT_Micropolitan_Statistical_Area" xr:uid="{409E68EA-EF8F-7548-8AC8-8FA43E3679D9}"/>
    <hyperlink ref="F230" r:id="rId390" tooltip="New York-Newark, NY-NJ-CT-PA Combined Statistical Area" display="https://en.wikipedia.org/wiki/New_York-Newark,_NY-NJ-CT-PA_Combined_Statistical_Area" xr:uid="{924988D4-0887-7A46-8307-EACB53000237}"/>
    <hyperlink ref="B231" r:id="rId391" tooltip="Warner Robins, GA Metropolitan Statistical Area" display="https://en.wikipedia.org/wiki/Warner_Robins,_GA_Metropolitan_Statistical_Area" xr:uid="{5249BB2F-9F26-7149-BFCA-6CB49DAD6DEA}"/>
    <hyperlink ref="F231" r:id="rId392" tooltip="Macon-Warner Robins, GA Combined Statistical Area" display="https://en.wikipedia.org/wiki/Macon-Warner_Robins,_GA_Combined_Statistical_Area" xr:uid="{46FACB0A-3B9A-0B4A-A42E-B0359D52BADF}"/>
    <hyperlink ref="B232" r:id="rId393" tooltip="Gainesville, GA Metropolitan Statistical Area" display="https://en.wikipedia.org/wiki/Gainesville,_GA_Metropolitan_Statistical_Area" xr:uid="{DA2C9E7B-8E1A-E845-9940-53C663B24C93}"/>
    <hyperlink ref="F232" r:id="rId394" tooltip="Atlanta–Athens-Clarke County–Sandy Springs, GA Combined Statistical Area" display="https://en.wikipedia.org/wiki/Atlanta%E2%80%93Athens-Clarke_County%E2%80%93Sandy_Springs,_GA_Combined_Statistical_Area" xr:uid="{65E0AA16-B28E-B440-BF09-9D44E5533B3C}"/>
    <hyperlink ref="B233" r:id="rId395" tooltip="Jacksonville, NC Metropolitan Statistical Area" display="https://en.wikipedia.org/wiki/Jacksonville,_NC_Metropolitan_Statistical_Area" xr:uid="{8D7404CA-4DB0-D94C-9E27-44A4871126CC}"/>
    <hyperlink ref="B234" r:id="rId396" tooltip="Kingston, NY Metropolitan Statistical Area" display="https://en.wikipedia.org/wiki/Kingston,_NY_Metropolitan_Statistical_Area" xr:uid="{357C56F3-8E9C-DF4F-92E2-813D6DEA36AB}"/>
    <hyperlink ref="F234" r:id="rId397" tooltip="New York-Newark, NY-NJ-CT-PA Combined Statistical Area" display="https://en.wikipedia.org/wiki/New_York-Newark,_NY-NJ-CT-PA_Combined_Statistical_Area" xr:uid="{4214A338-F360-4B41-A474-F23868A597E3}"/>
    <hyperlink ref="B235" r:id="rId398" tooltip="Blacksburg-Christiansburg, VA Metropolitan Statistical Area" display="https://en.wikipedia.org/wiki/Blacksburg-Christiansburg,_VA_Metropolitan_Statistical_Area" xr:uid="{997B867A-070C-0349-8D76-1AFAE0DC0A23}"/>
    <hyperlink ref="B236" r:id="rId399" tooltip="Redding, CA Metropolitan Statistical Area" display="https://en.wikipedia.org/wiki/Redding,_CA_Metropolitan_Statistical_Area" xr:uid="{AAE8047E-65E6-5E44-9FEA-256399D8E647}"/>
    <hyperlink ref="F236" r:id="rId400" tooltip="Redding-Red Bluff, CA Combined Statistical Area" display="https://en.wikipedia.org/wiki/Redding-Red_Bluff,_CA_Combined_Statistical_Area" xr:uid="{702D9CB6-E6B0-EC41-92A3-3B6EEB7383F3}"/>
    <hyperlink ref="B237" r:id="rId401" tooltip="Monroe, LA Metropolitan Statistical Area" display="https://en.wikipedia.org/wiki/Monroe,_LA_Metropolitan_Statistical_Area" xr:uid="{9571172D-8759-8A42-A189-B507CFE90FD3}"/>
    <hyperlink ref="F237" r:id="rId402" tooltip="Monroe-Ruston-Bastrop, LA Combined Statistical Area" display="https://en.wikipedia.org/wiki/Monroe-Ruston-Bastrop,_LA_Combined_Statistical_Area" xr:uid="{69164959-605A-3B41-B036-505991667CD6}"/>
    <hyperlink ref="B238" r:id="rId403" tooltip="El Centro, CA Metropolitan Statistical Area" display="https://en.wikipedia.org/wiki/El_Centro,_CA_Metropolitan_Statistical_Area" xr:uid="{1403BB43-5074-144F-8AFD-338051F00A24}"/>
    <hyperlink ref="B239" r:id="rId404" tooltip="Joplin, MO Metropolitan Statistical Area" display="https://en.wikipedia.org/wiki/Joplin,_MO_Metropolitan_Statistical_Area" xr:uid="{FA5021B2-426E-C149-8BDD-B291DFDFB960}"/>
    <hyperlink ref="F239" r:id="rId405" tooltip="Joplin-Miami, MO-OK Combined Statistical Area" display="https://en.wikipedia.org/wiki/Joplin-Miami,_MO-OK_Combined_Statistical_Area" xr:uid="{AC332C16-4FBA-4D4E-9180-A73ACEA79FB1}"/>
    <hyperlink ref="B240" r:id="rId406" tooltip="Greenville, NC Metropolitan Statistical Area" display="https://en.wikipedia.org/wiki/Greenville,_NC_Metropolitan_Statistical_Area" xr:uid="{0CCF3CE6-C7A8-8744-908B-8232B26D2F2B}"/>
    <hyperlink ref="F240" r:id="rId407" tooltip="Greenville-Washington, NC Combined Statistical Area" display="https://en.wikipedia.org/wiki/Greenville-Washington,_NC_Combined_Statistical_Area" xr:uid="{A4A7FF8F-5E54-8541-A837-84DF51B57407}"/>
    <hyperlink ref="B241" r:id="rId408" tooltip="Terre Haute, IN Metropolitan Statistical Area" display="https://en.wikipedia.org/wiki/Terre_Haute,_IN_Metropolitan_Statistical_Area" xr:uid="{66CFCB6B-169A-7940-B888-D0EA1C0E9C79}"/>
    <hyperlink ref="B242" r:id="rId409" tooltip="Muskegon, MI Metropolitan Statistical Area" display="https://en.wikipedia.org/wiki/Muskegon,_MI_Metropolitan_Statistical_Area" xr:uid="{268D471A-EFB7-AE4C-BD94-28C344301CE0}"/>
    <hyperlink ref="F242" r:id="rId410" tooltip="Grand Rapids-Wyoming-Muskegon, MI Combined Statistical Area" display="https://en.wikipedia.org/wiki/Grand_Rapids-Wyoming-Muskegon,_MI_Combined_Statistical_Area" xr:uid="{EB48181F-EAEC-3644-92E8-A934BF4C2A12}"/>
    <hyperlink ref="B243" r:id="rId411" tooltip="Sioux City, IA-NE-SD Metropolitan Statistical Area" display="https://en.wikipedia.org/wiki/Sioux_City,_IA-NE-SD_Metropolitan_Statistical_Area" xr:uid="{2DE0404A-3AD6-E449-A03D-E8A574258998}"/>
    <hyperlink ref="F243" r:id="rId412" tooltip="Sioux City-Vermillion, IA-SD-NE Combined Statistical Area" display="https://en.wikipedia.org/wiki/Sioux_City-Vermillion,_IA-SD-NE_Combined_Statistical_Area" xr:uid="{C9D4E786-1D3B-584E-A87F-3632991768D9}"/>
    <hyperlink ref="B244" r:id="rId413" tooltip="East Stroudsburg, PA Metropolitan Statistical Area" display="https://en.wikipedia.org/wiki/East_Stroudsburg,_PA_Metropolitan_Statistical_Area" xr:uid="{C7538A0E-59FB-7344-9590-ACE3112320E1}"/>
    <hyperlink ref="F244" r:id="rId414" tooltip="New York-Newark, NY-NJ-CT-PA Combined Statistical Area" display="https://en.wikipedia.org/wiki/New_York-Newark,_NY-NJ-CT-PA_Combined_Statistical_Area" xr:uid="{2481EDD3-7DF6-7C42-BE11-1C421BC8A183}"/>
    <hyperlink ref="B245" r:id="rId415" tooltip="Oshkosh-Neenah, WI Metropolitan Statistical Area" display="https://en.wikipedia.org/wiki/Oshkosh-Neenah,_WI_Metropolitan_Statistical_Area" xr:uid="{0DE9B78C-0FC8-A041-8CCC-F9E0863BFE66}"/>
    <hyperlink ref="F245" r:id="rId416" tooltip="Appleton-Oshkosh-Neenah, WI Combined Statistical Area" display="https://en.wikipedia.org/wiki/Appleton-Oshkosh-Neenah,_WI_Combined_Statistical_Area" xr:uid="{558891F2-2156-9446-A52C-A4B867FBC146}"/>
    <hyperlink ref="B246" r:id="rId417" tooltip="Waterloo-Cedar Falls, IA Metropolitan Statistical Area" display="https://en.wikipedia.org/wiki/Waterloo-Cedar_Falls,_IA_Metropolitan_Statistical_Area" xr:uid="{9BB43ED2-380F-4F45-A30A-CEC22259DF79}"/>
    <hyperlink ref="B247" r:id="rId418" tooltip="Columbia, MO Metropolitan Statistical Area" display="https://en.wikipedia.org/wiki/Columbia,_MO_Metropolitan_Statistical_Area" xr:uid="{15FDB274-886D-854D-9826-27B2C84DFACC}"/>
    <hyperlink ref="F247" r:id="rId419" tooltip="Columbia-Moberly-Mexico, MO Combined Statistical Area" display="https://en.wikipedia.org/wiki/Columbia-Moberly-Mexico,_MO_Combined_Statistical_Area" xr:uid="{50FAB7D7-985C-FC4D-A334-D026D50B6498}"/>
    <hyperlink ref="B248" r:id="rId420" tooltip="Yuba City, CA Metropolitan Statistical Area" display="https://en.wikipedia.org/wiki/Yuba_City,_CA_Metropolitan_Statistical_Area" xr:uid="{3FA0D3F2-613F-144B-A07E-24BC160C7F56}"/>
    <hyperlink ref="F248" r:id="rId421" tooltip="Sacramento-Roseville, CA Combined Statistical Area" display="https://en.wikipedia.org/wiki/Sacramento-Roseville,_CA_Combined_Statistical_Area" xr:uid="{8FA286FC-5065-F241-9905-9DF27EC88EB6}"/>
    <hyperlink ref="B249" r:id="rId422" tooltip="Dover, DE Metropolitan Statistical Area" display="https://en.wikipedia.org/wiki/Dover,_DE_Metropolitan_Statistical_Area" xr:uid="{2C8E6C3C-72D5-6B4C-88F3-87D9513A3715}"/>
    <hyperlink ref="F249" r:id="rId423" tooltip="Philadelphia-Reading-Camden, PA-NJ-DE-MD Combined Statistical Area" display="https://en.wikipedia.org/wiki/Philadelphia-Reading-Camden,_PA-NJ-DE-MD_Combined_Statistical_Area" xr:uid="{C73E3307-A28E-B748-8F95-4486C37AC21A}"/>
    <hyperlink ref="B250" r:id="rId424" tooltip="Abilene, TX Metropolitan Statistical Area" display="https://en.wikipedia.org/wiki/Abilene,_TX_Metropolitan_Statistical_Area" xr:uid="{1BA5A452-8B55-214A-8969-A0865DE95952}"/>
    <hyperlink ref="B251" r:id="rId425" tooltip="Eau Claire, WI Metropolitan Statistical Area" display="https://en.wikipedia.org/wiki/Eau_Claire,_WI_Metropolitan_Statistical_Area" xr:uid="{0944F2B1-1DDF-8A40-8F1D-DED5A789D7C8}"/>
    <hyperlink ref="F251" r:id="rId426" tooltip="Eau Claire-Menomonie, WI Combined Statistical Area" display="https://en.wikipedia.org/wiki/Eau_Claire-Menomonie,_WI_Combined_Statistical_Area" xr:uid="{AE6A918F-6D18-A441-BD94-DDA2EDAE5EF7}"/>
    <hyperlink ref="B252" r:id="rId427" tooltip="Billings, MT Metropolitan Statistical Area" display="https://en.wikipedia.org/wiki/Billings,_MT_Metropolitan_Statistical_Area" xr:uid="{0330A15E-BB08-E74B-8A11-71DD50A7ECC0}"/>
    <hyperlink ref="B253" r:id="rId428" tooltip="Punta Gorda, FL Metropolitan Statistical Area" display="https://en.wikipedia.org/wiki/Punta_Gorda,_FL_Metropolitan_Statistical_Area" xr:uid="{5CB8960B-706B-AD4E-BF0D-05351B1EE844}"/>
    <hyperlink ref="F253" r:id="rId429" tooltip="North Port-Sarasota, FL Combined Statistical Area" display="https://en.wikipedia.org/wiki/North_Port-Sarasota,_FL_Combined_Statistical_Area" xr:uid="{94541C16-123C-0D47-802B-21194E942A1C}"/>
    <hyperlink ref="B254" r:id="rId430" tooltip="Bloomington, IN Metropolitan Statistical Area" display="https://en.wikipedia.org/wiki/Bloomington,_IN_Metropolitan_Statistical_Area" xr:uid="{A887504A-6856-DF40-81B5-C2305D2F88D0}"/>
    <hyperlink ref="F254" r:id="rId431" tooltip="Bloomington-Bedford, IN Combined Statistical Area" display="https://en.wikipedia.org/wiki/Bloomington-Bedford,_IN_Combined_Statistical_Area" xr:uid="{E7A865A2-2D8D-1C4E-9C55-F387573C0FE4}"/>
    <hyperlink ref="B255" r:id="rId432" tooltip="Bend, OR Metropolitan Statistical Area" display="https://en.wikipedia.org/wiki/Bend,_OR_Metropolitan_Statistical_Area" xr:uid="{C62CC54E-6D0B-CA43-990D-B6CE9E533675}"/>
    <hyperlink ref="F255" r:id="rId433" tooltip="Bend-Prineville, OR Combined Statistical Area" display="https://en.wikipedia.org/wiki/Bend-Prineville,_OR_Combined_Statistical_Area" xr:uid="{2CBFA7F7-7216-B642-B218-A13D6197087C}"/>
    <hyperlink ref="B256" r:id="rId434" tooltip="Bowling Green, KY Metropolitan Statistical Area" display="https://en.wikipedia.org/wiki/Bowling_Green,_KY_Metropolitan_Statistical_Area" xr:uid="{04E3B5B2-246E-9D47-90E6-962E4DAE589A}"/>
    <hyperlink ref="F256" r:id="rId435" tooltip="Bowling Green-Glasgow, KY Combined Statistical Area" display="https://en.wikipedia.org/wiki/Bowling_Green-Glasgow,_KY_Combined_Statistical_Area" xr:uid="{92C1B9F6-1DD9-0B40-8F6C-B498718A917B}"/>
    <hyperlink ref="B257" r:id="rId436" tooltip="Pueblo, CO Metropolitan Statistical Area" display="https://en.wikipedia.org/wiki/Pueblo,_CO_Metropolitan_Statistical_Area" xr:uid="{F1202B25-2DD8-F646-B4BC-160195473B46}"/>
    <hyperlink ref="F257" r:id="rId437" tooltip="Pueblo-Cañon City, CO Combined Statistical Area" display="https://en.wikipedia.org/wiki/Pueblo-Ca%C3%B1on_City,_CO_Combined_Statistical_Area" xr:uid="{514549FF-B2FE-3640-ACC9-7FA605A022DB}"/>
    <hyperlink ref="B258" r:id="rId438" tooltip="Janesville-Beloit, WI Metropolitan Statistical Area" display="https://en.wikipedia.org/wiki/Janesville-Beloit,_WI_Metropolitan_Statistical_Area" xr:uid="{04A19F53-57DB-5A47-9243-F6AF50B0E60C}"/>
    <hyperlink ref="F258" r:id="rId439" tooltip="Madison-Janesville-Beloit, WI Combined Statistical Area" display="https://en.wikipedia.org/wiki/Madison-Janesville-Beloit,_WI_Combined_Statistical_Area" xr:uid="{E2A863AF-E297-9641-AAFE-36414F66F706}"/>
    <hyperlink ref="B259" r:id="rId440" tooltip="Jackson, MI Metropolitan Statistical Area" display="https://en.wikipedia.org/wiki/Jackson,_MI_Metropolitan_Statistical_Area" xr:uid="{C7EA327D-8A33-FB4E-B721-F5874013249C}"/>
    <hyperlink ref="B260" r:id="rId441" tooltip="Kahului-Wailuku-Lahaina, HI Metropolitan Statistical Area" display="https://en.wikipedia.org/wiki/Kahului-Wailuku-Lahaina,_HI_Metropolitan_Statistical_Area" xr:uid="{45C5B6B4-5CD2-694D-926D-7CF6F0B01667}"/>
    <hyperlink ref="B261" r:id="rId442" tooltip="Iowa City, IA Metropolitan Statistical Area" display="https://en.wikipedia.org/wiki/Iowa_City,_IA_Metropolitan_Statistical_Area" xr:uid="{08B88302-4F70-D445-A751-07AB93C12F29}"/>
    <hyperlink ref="F261" r:id="rId443" tooltip="Cedar Rapids-Iowa City, IA Combined Statistical Area" display="https://en.wikipedia.org/wiki/Cedar_Rapids-Iowa_City,_IA_Combined_Statistical_Area" xr:uid="{BDBCA1BF-A64C-5E41-91BF-897C572F5545}"/>
    <hyperlink ref="B262" r:id="rId444" tooltip="Vineland-Bridgeton, NJ Metropolitan Statistical Area" display="https://en.wikipedia.org/wiki/Vineland-Bridgeton,_NJ_Metropolitan_Statistical_Area" xr:uid="{428144AD-4D6D-8F47-BE79-3236B121B813}"/>
    <hyperlink ref="F262" r:id="rId445" tooltip="Philadelphia-Reading-Camden, PA-NJ-DE-MD Combined Statistical Area" display="https://en.wikipedia.org/wiki/Philadelphia-Reading-Camden,_PA-NJ-DE-MD_Combined_Statistical_Area" xr:uid="{5EA05C3A-5CD9-244A-A082-43BFD66DC36F}"/>
    <hyperlink ref="B263" r:id="rId446" tooltip="Albany, GA Metropolitan Statistical Area" display="https://en.wikipedia.org/wiki/Albany,_GA_Metropolitan_Statistical_Area" xr:uid="{E1305895-1154-484B-8CC2-9D0D859F6C7D}"/>
    <hyperlink ref="B264" r:id="rId447" tooltip="Niles-Benton Harbor, MI Metropolitan Statistical Area" display="https://en.wikipedia.org/wiki/Niles-Benton_Harbor,_MI_Metropolitan_Statistical_Area" xr:uid="{F99FDF72-3277-4A41-84CB-950D6A031950}"/>
    <hyperlink ref="F264" r:id="rId448" tooltip="South Bend-Elkhart-Mishawaka, IN-MI Combined Statistical Area" display="https://en.wikipedia.org/wiki/South_Bend-Elkhart-Mishawaka,_IN-MI_Combined_Statistical_Area" xr:uid="{6446C71D-1B21-054D-9597-7497D63BB485}"/>
    <hyperlink ref="B265" r:id="rId449" tooltip="State College, PA Metropolitan Statistical Area" display="https://en.wikipedia.org/wiki/State_College,_PA_Metropolitan_Statistical_Area" xr:uid="{68E9180E-2756-D542-98E2-3D6EEF2E4948}"/>
    <hyperlink ref="F265" r:id="rId450" tooltip="State College-DuBois, PA Combined Statistical Area" display="https://en.wikipedia.org/wiki/State_College-DuBois,_PA_Combined_Statistical_Area" xr:uid="{1785B28E-8641-4949-BA66-556EFBAE0829}"/>
    <hyperlink ref="B266" r:id="rId451" tooltip="Alexandria, LA Metropolitan Statistical Area" display="https://en.wikipedia.org/wiki/Alexandria,_LA_Metropolitan_Statistical_Area" xr:uid="{2C64B48B-9FAA-AC4E-9D6B-17C52C43538F}"/>
    <hyperlink ref="B267" r:id="rId452" tooltip="Decatur, AL Metropolitan Statistical Area" display="https://en.wikipedia.org/wiki/Decatur,_AL_Metropolitan_Statistical_Area" xr:uid="{F0DB2DFB-C87C-624A-AC62-426DF9CDDECA}"/>
    <hyperlink ref="F267" r:id="rId453" tooltip="Huntsville-Decatur-Albertville, AL Combined Statistical Area" display="https://en.wikipedia.org/wiki/Huntsville-Decatur-Albertville,_AL_Combined_Statistical_Area" xr:uid="{D235F7DF-E4FC-F744-9CF7-2E77A12C2621}"/>
    <hyperlink ref="B268" r:id="rId454" tooltip="Burlington, NC Metropolitan Statistical Area" display="https://en.wikipedia.org/wiki/Burlington,_NC_Metropolitan_Statistical_Area" xr:uid="{E0C3AEC1-73D0-B54C-846A-70DB84738B7C}"/>
    <hyperlink ref="F268" r:id="rId455" tooltip="Greensboro–Winston-Salem–High Point, NC Combined Statistical Area" display="https://en.wikipedia.org/wiki/Greensboro%E2%80%93Winston-Salem%E2%80%93High_Point,_NC_Combined_Statistical_Area" xr:uid="{4B34EBFB-C65F-6541-8B5A-CD47962353E6}"/>
    <hyperlink ref="B269" r:id="rId456" tooltip="Bangor, ME Metropolitan Statistical Area" display="https://en.wikipedia.org/wiki/Bangor,_ME_Metropolitan_Statistical_Area" xr:uid="{4FB9200D-D8F8-874D-B0D6-E170CA02534D}"/>
    <hyperlink ref="B270" r:id="rId457" tooltip="Ottawa, IL Micropolitan Statistical Area" display="https://en.wikipedia.org/wiki/Ottawa,_IL_Micropolitan_Statistical_Area" xr:uid="{F8EDA6CB-5E97-E048-A0A3-6DB02CEE9B70}"/>
    <hyperlink ref="F270" r:id="rId458" tooltip="Chicago-Naperville, IL-IN-WI Combined Statistical Area" display="https://en.wikipedia.org/wiki/Chicago-Naperville,_IL-IN-WI_Combined_Statistical_Area" xr:uid="{52AC8917-A948-5F45-8586-5432AA57F6C0}"/>
    <hyperlink ref="B271" r:id="rId459" tooltip="Madera, CA Metropolitan Statistical Area" display="https://en.wikipedia.org/wiki/Madera,_CA_Metropolitan_Statistical_Area" xr:uid="{0B1A14F0-2351-CC4C-BE84-DF8E5E85C43F}"/>
    <hyperlink ref="F271" r:id="rId460" tooltip="Fresno-Madera, CA Combined Statistical Area" display="https://en.wikipedia.org/wiki/Fresno-Madera,_CA_Combined_Statistical_Area" xr:uid="{2EB9D770-6AC2-9546-BDC2-38803626A363}"/>
    <hyperlink ref="B272" r:id="rId461" tooltip="Rocky Mount, NC Metropolitan Statistical Area" display="https://en.wikipedia.org/wiki/Rocky_Mount,_NC_Metropolitan_Statistical_Area" xr:uid="{4AE5793D-790E-074B-BCBB-693DD87D0E94}"/>
    <hyperlink ref="F272" r:id="rId462" tooltip="Rocky Mount-Wilson-Roanoke Rapids, NC Combined Statistical Area" display="https://en.wikipedia.org/wiki/Rocky_Mount-Wilson-Roanoke_Rapids,_NC_Combined_Statistical_Area" xr:uid="{E1DD91AB-CB3B-4241-A292-9FFF52CC9173}"/>
    <hyperlink ref="B273" r:id="rId463" tooltip="Midland, Texas metropolitan area" display="https://en.wikipedia.org/wiki/Midland,_Texas_metropolitan_area" xr:uid="{F412D999-9189-714E-B6D2-B0ED1D466D40}"/>
    <hyperlink ref="F273" r:id="rId464" tooltip="Midland, Texas metropolitan area" display="https://en.wikipedia.org/wiki/Midland,_Texas_metropolitan_area" xr:uid="{6AE99DF3-BCB3-5940-8BD9-54B352D50F8F}"/>
    <hyperlink ref="B274" r:id="rId465" tooltip="Hanford-Corcoran, CA Metropolitan Statistical Area" display="https://en.wikipedia.org/wiki/Hanford-Corcoran,_CA_Metropolitan_Statistical_Area" xr:uid="{C5A41952-F858-DC4E-BE37-361A6D08FB37}"/>
    <hyperlink ref="F274" r:id="rId466" tooltip="Visalia-Porterville-Hanford, CA Combined Statistical Area" display="https://en.wikipedia.org/wiki/Visalia-Porterville-Hanford,_CA_Combined_Statistical_Area" xr:uid="{B0DDD17B-346E-EA4A-BD30-507D0DFBC5AF}"/>
    <hyperlink ref="B275" r:id="rId467" tooltip="Chambersburg-Waynesboro, PA Metropolitan Statistical Area" display="https://en.wikipedia.org/wiki/Chambersburg-Waynesboro,_PA_Metropolitan_Statistical_Area" xr:uid="{2A0154BC-43DE-0D4F-83D6-4E203634DE76}"/>
    <hyperlink ref="F275" r:id="rId468" tooltip="Washington-Baltimore-Arlington, DC-MD-VA-WV-PA Combined Statistical Area" display="https://en.wikipedia.org/wiki/Washington-Baltimore-Arlington,_DC-MD-VA-WV-PA_Combined_Statistical_Area" xr:uid="{D20CE534-25B5-4445-B036-F272094DAB4B}"/>
    <hyperlink ref="B276" r:id="rId469" tooltip="Monroe, MI Metropolitan Statistical Area" display="https://en.wikipedia.org/wiki/Monroe,_MI_Metropolitan_Statistical_Area" xr:uid="{97F373AA-E226-7B4D-A13A-D3222EAEE755}"/>
    <hyperlink ref="F276" r:id="rId470" tooltip="Detroit-Warren-Ann Arbor, MI Combined Statistical Area" display="https://en.wikipedia.org/wiki/Detroit-Warren-Ann_Arbor,_MI_Combined_Statistical_Area" xr:uid="{65E93C34-6D20-A34E-86E0-1B17E41620C7}"/>
    <hyperlink ref="B277" r:id="rId471" tooltip="Wichita Falls, TX Metropolitan Statistical Area" display="https://en.wikipedia.org/wiki/Wichita_Falls,_TX_Metropolitan_Statistical_Area" xr:uid="{1A74D648-A600-E047-9CF7-A068D99A695C}"/>
    <hyperlink ref="B278" r:id="rId472" tooltip="Elizabethtown-Fort Knox, KY Metropolitan Statistical Area" display="https://en.wikipedia.org/wiki/Elizabethtown-Fort_Knox,_KY_Metropolitan_Statistical_Area" xr:uid="{EE3ECF81-4375-214B-863F-8244DB9B34ED}"/>
    <hyperlink ref="F278" r:id="rId473" tooltip="Louisville/Jefferson County–Elizabethtown–Bardstown, KY-IN Combined Statistical Area" display="https://en.wikipedia.org/wiki/Louisville/Jefferson_County%E2%80%93Elizabethtown%E2%80%93Bardstown,_KY-IN_Combined_Statistical_Area" xr:uid="{CE4D5D0E-0F14-A046-B9D9-2327B93BDA85}"/>
    <hyperlink ref="B279" r:id="rId474" tooltip="Jefferson City, MO Metropolitan Statistical Area" display="https://en.wikipedia.org/wiki/Jefferson_City,_MO_Metropolitan_Statistical_Area" xr:uid="{44E30AD8-9FB1-EB46-AB04-D194B72B9317}"/>
    <hyperlink ref="B280" r:id="rId475" tooltip="Texarkana, TX-AR Metropolitan Statistical Area" display="https://en.wikipedia.org/wiki/Texarkana,_TX-AR_Metropolitan_Statistical_Area" xr:uid="{AB184BBA-13F3-C64B-9E3F-4840513C1C4F}"/>
    <hyperlink ref="B281" r:id="rId476" tooltip="Grand Junction, CO Metropolitan Statistical Area" display="https://en.wikipedia.org/wiki/Grand_Junction,_CO_Metropolitan_Statistical_Area" xr:uid="{6044D517-120F-254A-AEAB-F65249E10BA7}"/>
    <hyperlink ref="B282" r:id="rId477" tooltip="Dothan, AL Metropolitan Statistical Area" display="https://en.wikipedia.org/wiki/Dothan,_AL_Metropolitan_Statistical_Area" xr:uid="{21AC35EC-4535-AE41-899F-04C5DE57C67B}"/>
    <hyperlink ref="F282" r:id="rId478" tooltip="Dothan-Enterprise-Ozark, AL Combined Statistical Area" display="https://en.wikipedia.org/wiki/Dothan-Enterprise-Ozark,_AL_Combined_Statistical_Area" xr:uid="{F47D5921-133F-6B48-88A6-150EC0001AE7}"/>
    <hyperlink ref="B283" r:id="rId479" tooltip="Auburn-Opelika, AL Metropolitan Statistical Area" display="https://en.wikipedia.org/wiki/Auburn-Opelika,_AL_Metropolitan_Statistical_Area" xr:uid="{33C14382-2A32-3A4E-948F-E33D7005236A}"/>
    <hyperlink ref="F283" r:id="rId480" tooltip="Columbus-Auburn-Opelika, GA-AL Combined Statistical Area" display="https://en.wikipedia.org/wiki/Columbus-Auburn-Opelika,_GA-AL_Combined_Statistical_Area" xr:uid="{96222CEA-CAEF-2447-AA0A-674C15F8D498}"/>
    <hyperlink ref="B284" r:id="rId481" tooltip="Pottsville, PA Micropolitan Statistical Area" display="https://en.wikipedia.org/wiki/Pottsville,_PA_Micropolitan_Statistical_Area" xr:uid="{B113BBD8-D9CB-BC41-B55D-DC07B190F729}"/>
    <hyperlink ref="B285" r:id="rId482" tooltip="Florence-Muscle Shoals, AL Metropolitan Statistical Area" display="https://en.wikipedia.org/wiki/Florence-Muscle_Shoals,_AL_Metropolitan_Statistical_Area" xr:uid="{69223F15-E66F-1644-989B-8F66850870CD}"/>
    <hyperlink ref="B286" r:id="rId483" tooltip="Hattiesburg, MS Metropolitan Statistical Area" display="https://en.wikipedia.org/wiki/Hattiesburg,_MS_Metropolitan_Statistical_Area" xr:uid="{491F6537-6E75-8542-B64D-AC4C580B9845}"/>
    <hyperlink ref="B287" r:id="rId484" tooltip="Concord, NH Micropolitan Statistical Area" display="https://en.wikipedia.org/wiki/Concord,_NH_Micropolitan_Statistical_Area" xr:uid="{FABBA620-B2B1-EC49-93F0-3F75AA0FB8F3}"/>
    <hyperlink ref="F287" r:id="rId485" tooltip="Boston-Worcester-Providence, MA-RI-NH-CT Combined Statistical Area" display="https://en.wikipedia.org/wiki/Boston-Worcester-Providence,_MA-RI-NH-CT_Combined_Statistical_Area" xr:uid="{28F3AA79-08F1-D14E-AB3B-FC76EA9B1962}"/>
    <hyperlink ref="B288" r:id="rId486" tooltip="Wheeling, WV-OH Metropolitan Statistical Area" display="https://en.wikipedia.org/wiki/Wheeling,_WV-OH_Metropolitan_Statistical_Area" xr:uid="{AB1BB336-45EB-AA4D-83C8-FEC03CDF8DA1}"/>
    <hyperlink ref="B289" r:id="rId487" tooltip="Santa Fe, NM Metropolitan Statistical Area" display="https://en.wikipedia.org/wiki/Santa_Fe,_NM_Metropolitan_Statistical_Area" xr:uid="{0909FDC6-868B-A443-AF6E-3DD97A0A2EF0}"/>
    <hyperlink ref="F289" r:id="rId488" tooltip="Albuquerque-Santa Fe-Las Vegas, NM Combined Statistical Area" display="https://en.wikipedia.org/wiki/Albuquerque-Santa_Fe-Las_Vegas,_NM_Combined_Statistical_Area" xr:uid="{FA830B8D-1429-414E-B95A-BE1293D14D42}"/>
    <hyperlink ref="B290" r:id="rId489" tooltip="Traverse City, MI Micropolitan Statistical Area" display="https://en.wikipedia.org/wiki/Traverse_City,_MI_Micropolitan_Statistical_Area" xr:uid="{9D2E72BA-018B-FD45-887C-5037D8AB87B5}"/>
    <hyperlink ref="B291" r:id="rId490" tooltip="St. George, UT Metropolitan Statistical Area" display="https://en.wikipedia.org/wiki/St._George,_UT_Metropolitan_Statistical_Area" xr:uid="{5BFF8BBE-1427-DF47-9488-28EB9939FA7A}"/>
    <hyperlink ref="B292" r:id="rId491" tooltip="Valdosta, GA Metropolitan Statistical Area" display="https://en.wikipedia.org/wiki/Valdosta,_GA_Metropolitan_Statistical_Area" xr:uid="{85F17F24-3119-864C-BD8B-E8A4177A5888}"/>
    <hyperlink ref="B293" r:id="rId492" tooltip="Odessa, TX Metropolitan Statistical Area" display="https://en.wikipedia.org/wiki/Odessa,_TX_Metropolitan_Statistical_Area" xr:uid="{40AD6386-3842-6142-B905-DD42639829DE}"/>
    <hyperlink ref="F293" r:id="rId493" tooltip="Midland, Texas metropolitan area" display="https://en.wikipedia.org/wiki/Midland,_Texas_metropolitan_area" xr:uid="{A163EF97-12CC-AD41-9C60-D1760E09CCCA}"/>
    <hyperlink ref="B294" r:id="rId494" tooltip="Dalton, GA Metropolitan Statistical Area" display="https://en.wikipedia.org/wiki/Dalton,_GA_Metropolitan_Statistical_Area" xr:uid="{F46ACC9C-0967-EA4A-AD2A-00714420517B}"/>
    <hyperlink ref="F294" r:id="rId495" tooltip="Chattanooga-Cleveland-Dalton, TN-GA-AL Combined Statistical Area" display="https://en.wikipedia.org/wiki/Chattanooga-Cleveland-Dalton,_TN-GA-AL_Combined_Statistical_Area" xr:uid="{868CFC40-4AE9-7841-81A0-05B777FEC32E}"/>
    <hyperlink ref="B295" r:id="rId496" tooltip="Coeur d'Alene, ID Metropolitan Statistical Area" display="https://en.wikipedia.org/wiki/Coeur_d%27Alene,_ID_Metropolitan_Statistical_Area" xr:uid="{092E3166-D1AF-FC40-9E74-2FDC02E560C9}"/>
    <hyperlink ref="F295" r:id="rId497" tooltip="Spokane-Spokane Valley-Coeur d'Alene, WA-ID Combined Statistical Area" display="https://en.wikipedia.org/wiki/Spokane-Spokane_Valley-Coeur_d%27Alene,_WA-ID_Combined_Statistical_Area" xr:uid="{F1A1ABF0-B8C8-1347-9A7B-71C2EBAA033F}"/>
    <hyperlink ref="B296" r:id="rId498" tooltip="Johnstown, PA Metropolitan Statistical Area" display="https://en.wikipedia.org/wiki/Johnstown,_PA_Metropolitan_Statistical_Area" xr:uid="{3354CBD0-8460-9C44-8EF9-2831FA91ADA0}"/>
    <hyperlink ref="F296" r:id="rId499" tooltip="Johnstown-Somerset, PA Combined Statistical Area" display="https://en.wikipedia.org/wiki/Johnstown-Somerset,_PA_Combined_Statistical_Area" xr:uid="{EB3C18BF-70DF-B647-9FD4-28B1395C3468}"/>
    <hyperlink ref="B297" r:id="rId500" tooltip="Sebastian-Vero Beach, FL Metropolitan Statistical Area" display="https://en.wikipedia.org/wiki/Sebastian-Vero_Beach,_FL_Metropolitan_Statistical_Area" xr:uid="{802023F4-83B2-8A46-991F-D92F0BD03C35}"/>
    <hyperlink ref="F297" r:id="rId501" tooltip="Miami-Fort Lauderdale-Port St. Lucie, FL Combined Statistical Area" display="https://en.wikipedia.org/wiki/Miami-Fort_Lauderdale-Port_St._Lucie,_FL_Combined_Statistical_Area" xr:uid="{EABD4691-8A54-DF48-AC81-8DC4C30145D7}"/>
    <hyperlink ref="B298" r:id="rId502" tooltip="Homosassa Springs, FL Metropolitan Statistical Area" display="https://en.wikipedia.org/wiki/Homosassa_Springs,_FL_Metropolitan_Statistical_Area" xr:uid="{2C0F5B91-98E4-BC4F-9783-EDE207AE78CC}"/>
    <hyperlink ref="B299" r:id="rId503" tooltip="Napa, CA Metropolitan Statistical Area" display="https://en.wikipedia.org/wiki/Napa,_CA_Metropolitan_Statistical_Area" xr:uid="{739B66EB-3B29-474A-8BA4-7337113DA6BD}"/>
    <hyperlink ref="F299" r:id="rId504" tooltip="San Jose-San Francisco-Oakland, CA Combined Statistical Area" display="https://en.wikipedia.org/wiki/San_Jose-San_Francisco-Oakland,_CA_Combined_Statistical_Area" xr:uid="{46057429-2485-9F40-A5C4-DA702B3FCB2E}"/>
    <hyperlink ref="B300" r:id="rId505" tooltip="Tupelo, MS Micropolitan Statistical Area" display="https://en.wikipedia.org/wiki/Tupelo,_MS_Micropolitan_Statistical_Area" xr:uid="{8D5ECE01-0A28-7E42-9BA3-3E0B8DA10437}"/>
    <hyperlink ref="B301" r:id="rId506" tooltip="Rapid City, SD Metropolitan Statistical Area" display="https://en.wikipedia.org/wiki/Rapid_City,_SD_Metropolitan_Statistical_Area" xr:uid="{E7A7668F-8567-C84D-A005-9C535F36ED2C}"/>
    <hyperlink ref="F301" r:id="rId507" tooltip="Rapid City-Spearfish, SD Combined Statistical Area" display="https://en.wikipedia.org/wiki/Rapid_City-Spearfish,_SD_Combined_Statistical_Area" xr:uid="{BC67E7E1-957D-654C-AFE3-45EE090510B9}"/>
    <hyperlink ref="B302" r:id="rId508" tooltip="Springfield, OH Metropolitan Statistical Area" display="https://en.wikipedia.org/wiki/Springfield,_OH_Metropolitan_Statistical_Area" xr:uid="{C273C9F8-9ED9-054C-B9BA-DCA68F035A1D}"/>
    <hyperlink ref="F302" r:id="rId509" tooltip="Dayton-Springfield-Sidney, OH Combined Statistical Area" display="https://en.wikipedia.org/wiki/Dayton-Springfield-Sidney,_OH_Combined_Statistical_Area" xr:uid="{E7A7BA89-73CD-7943-BF27-9CCD9846265F}"/>
    <hyperlink ref="B303" r:id="rId510" tooltip="Idaho Falls, ID Metropolitan Statistical Area" display="https://en.wikipedia.org/wiki/Idaho_Falls,_ID_Metropolitan_Statistical_Area" xr:uid="{391E3EE8-427A-474A-9B1B-D10AAF6AC34E}"/>
    <hyperlink ref="F303" r:id="rId511" tooltip="Idaho Falls-Rexburg-Blackfoot, ID Combined Statistical Area" display="https://en.wikipedia.org/wiki/Idaho_Falls-Rexburg-Blackfoot,_ID_Combined_Statistical_Area" xr:uid="{32839F6C-8CAC-D94B-9224-F17C4CE3C3FB}"/>
    <hyperlink ref="B304" r:id="rId512" tooltip="Flagstaff, AZ Metropolitan Statistical Area" display="https://en.wikipedia.org/wiki/Flagstaff,_AZ_Metropolitan_Statistical_Area" xr:uid="{64E46758-5152-8049-9B70-812BF37ED32F}"/>
    <hyperlink ref="B305" r:id="rId513" tooltip="Lumberton, NC Micropolitan Statistical Area" display="https://en.wikipedia.org/wiki/Lumberton,_NC_Micropolitan_Statistical_Area" xr:uid="{9B463997-3952-3743-9271-701FD61A0BDD}"/>
    <hyperlink ref="F305" r:id="rId514" tooltip="Fayetteville-Lumberton-Laurinburg, NC Combined Statistical Area" display="https://en.wikipedia.org/wiki/Fayetteville-Lumberton-Laurinburg,_NC_Combined_Statistical_Area" xr:uid="{CF42162F-4F42-D74D-B219-1CCD0DB267A2}"/>
    <hyperlink ref="B306" r:id="rId515" tooltip="La Crosse-Onalaska, WI-MN Metropolitan Statistical Area" display="https://en.wikipedia.org/wiki/La_Crosse-Onalaska,_WI-MN_Metropolitan_Statistical_Area" xr:uid="{A9C81C94-7D6B-FE4C-9F83-BE2C15926191}"/>
    <hyperlink ref="B307" r:id="rId516" tooltip="Lebanon, PA Metropolitan Statistical Area" display="https://en.wikipedia.org/wiki/Lebanon,_PA_Metropolitan_Statistical_Area" xr:uid="{161B2CEA-C0DF-F24E-8C3D-9D9269584A40}"/>
    <hyperlink ref="F307" r:id="rId517" tooltip="Harrisburg-York-Lebanon, PA Combined Statistical Area" display="https://en.wikipedia.org/wiki/Harrisburg-York-Lebanon,_PA_Combined_Statistical_Area" xr:uid="{79540DE3-FA0B-1040-979D-6D7FFDDE6722}"/>
    <hyperlink ref="B308" r:id="rId518" tooltip="Battle Creek, MI Metropolitan Statistical Area" display="https://en.wikipedia.org/wiki/Battle_Creek,_MI_Metropolitan_Statistical_Area" xr:uid="{043444B4-25C0-6047-AB47-3E8DC0675312}"/>
    <hyperlink ref="F308" r:id="rId519" tooltip="Kalamazoo-Battle Creek-Portage, MI Combined Statistical Area" display="https://en.wikipedia.org/wiki/Kalamazoo-Battle_Creek-Portage,_MI_Combined_Statistical_Area" xr:uid="{25BA378C-FD81-5241-81E9-A6A50F780E6C}"/>
    <hyperlink ref="B309" r:id="rId520" tooltip="Eureka-Arcata-Fortuna, CA Micropolitan Statistical Area" display="https://en.wikipedia.org/wiki/Eureka-Arcata-Fortuna,_CA_Micropolitan_Statistical_Area" xr:uid="{3DD42655-B72E-9142-8904-D3E9B842AFBB}"/>
    <hyperlink ref="B310" r:id="rId521" tooltip="Wausau, WI Metropolitan Statistical Area" display="https://en.wikipedia.org/wiki/Wausau,_WI_Metropolitan_Statistical_Area" xr:uid="{4D0DBA00-4E66-E849-B0B2-EA8FFBBC3E87}"/>
    <hyperlink ref="F310" r:id="rId522" tooltip="Wausau-Stevens Point-Wisconsin Rapids, WI Combined Statistical Area" display="https://en.wikipedia.org/wiki/Wausau-Stevens_Point-Wisconsin_Rapids,_WI_Combined_Statistical_Area" xr:uid="{93EA6F3E-9BB5-914B-AE92-E73A67D28311}"/>
    <hyperlink ref="B311" r:id="rId523" tooltip="Morgantown, WV Metropolitan Statistical Area" display="https://en.wikipedia.org/wiki/Morgantown,_WV_Metropolitan_Statistical_Area" xr:uid="{CFFFC762-7EA9-734F-A3D4-890F1D20DC72}"/>
    <hyperlink ref="F311" r:id="rId524" tooltip="Morgantown-Fairmont, WV Combined Statistical Area" display="https://en.wikipedia.org/wiki/Morgantown-Fairmont,_WV_Combined_Statistical_Area" xr:uid="{8893BC01-ABB0-6E46-9918-FACCD45A1A69}"/>
    <hyperlink ref="B312" r:id="rId525" tooltip="Jamestown-Dunkirk-Fredonia, NY Micropolitan Statistical Area" display="https://en.wikipedia.org/wiki/Jamestown-Dunkirk-Fredonia,_NY_Micropolitan_Statistical_Area" xr:uid="{B3D7453A-9E90-974D-8BB8-F2D9D37ED374}"/>
    <hyperlink ref="B313" r:id="rId526" tooltip="Lawton, OK Metropolitan Statistical Area" display="https://en.wikipedia.org/wiki/Lawton,_OK_Metropolitan_Statistical_Area" xr:uid="{47592B5C-8416-0443-B80B-B7D4600C9B8C}"/>
    <hyperlink ref="B314" r:id="rId527" tooltip="Sierra Vista-Douglas, AZ Metropolitan Statistical Area" display="https://en.wikipedia.org/wiki/Sierra_Vista-Douglas,_AZ_Metropolitan_Statistical_Area" xr:uid="{806C2F02-0481-024F-9FFB-BE45D0C74A88}"/>
    <hyperlink ref="B315" r:id="rId528" tooltip="Winchester, VA-WV Metropolitan Statistical Area" display="https://en.wikipedia.org/wiki/Winchester,_VA-WV_Metropolitan_Statistical_Area" xr:uid="{89E0EC7B-F1DC-7F4D-B368-0AFF38BEAC5A}"/>
    <hyperlink ref="F315" r:id="rId529" tooltip="Washington-Baltimore-Arlington, DC-MD-VA-WV-PA Combined Statistical Area" display="https://en.wikipedia.org/wiki/Washington-Baltimore-Arlington,_DC-MD-VA-WV-PA_Combined_Statistical_Area" xr:uid="{BC2728D3-5D5D-9D41-8BA8-69F650C11C24}"/>
    <hyperlink ref="B316" r:id="rId530" tooltip="Jackson, TN Metropolitan Statistical Area" display="https://en.wikipedia.org/wiki/Jackson,_TN_Metropolitan_Statistical_Area" xr:uid="{39588384-9AB9-1644-B00D-55F36912679B}"/>
    <hyperlink ref="B317" r:id="rId531" tooltip="Pittsfield, MA Metropolitan Statistical Area" display="https://en.wikipedia.org/wiki/Pittsfield,_MA_Metropolitan_Statistical_Area" xr:uid="{3387B344-5443-9549-8C6E-A6F82551AE20}"/>
    <hyperlink ref="B318" r:id="rId532" tooltip="Farmington, NM Metropolitan Statistical Area" display="https://en.wikipedia.org/wiki/Farmington,_NM_Metropolitan_Statistical_Area" xr:uid="{1C991F99-3A0E-604D-A762-5D269FB98737}"/>
    <hyperlink ref="B319" r:id="rId533" tooltip="Glens Falls, NY Metropolitan Statistical Area" display="https://en.wikipedia.org/wiki/Glens_Falls,_NY_Metropolitan_Statistical_Area" xr:uid="{991112C3-1B08-3C4C-824C-6AA0DC5737EA}"/>
    <hyperlink ref="F319" r:id="rId534" tooltip="Albany-Schenectady, NY Combined Statistical Area" display="https://en.wikipedia.org/wiki/Albany-Schenectady,_NY_Combined_Statistical_Area" xr:uid="{F7AA66CC-959E-474C-88B5-A5D30B4DC599}"/>
    <hyperlink ref="B320" r:id="rId535" tooltip="Harrisonburg, VA Metropolitan Statistical Area" display="https://en.wikipedia.org/wiki/Harrisonburg,_VA_Metropolitan_Statistical_Area" xr:uid="{2B50BE7E-8975-094D-A407-850204590353}"/>
    <hyperlink ref="F320" r:id="rId536" tooltip="Harrisonburg-Staunton-Waynesboro, VA Combined Statistical Area" display="https://en.wikipedia.org/wiki/Harrisonburg-Staunton-Waynesboro,_VA_Combined_Statistical_Area" xr:uid="{CE2E760E-90CE-764F-86FB-BDC34A4705DC}"/>
    <hyperlink ref="B321" r:id="rId537" tooltip="Logan, UT-ID Metropolitan Statistical Area" display="https://en.wikipedia.org/wiki/Logan,_UT-ID_Metropolitan_Statistical_Area" xr:uid="{B473C796-5679-E045-AB66-2CF9906A5D5C}"/>
    <hyperlink ref="B322" r:id="rId538" tooltip="New Bern, NC Metropolitan Statistical Area" display="https://en.wikipedia.org/wiki/New_Bern,_NC_Metropolitan_Statistical_Area" xr:uid="{7A3CF6FC-4294-D146-8BF3-6B979F6D0658}"/>
    <hyperlink ref="F322" r:id="rId539" tooltip="New Bern-Morehead City, NC Combined Statistical Area" display="https://en.wikipedia.org/wiki/New_Bern-Morehead_City,_NC_Combined_Statistical_Area" xr:uid="{D9D26145-AA68-FE44-B7D7-98CC8E7CA304}"/>
    <hyperlink ref="B323" r:id="rId540" tooltip="St. Joseph, MO-KS Metropolitan Statistical Area" display="https://en.wikipedia.org/wiki/St._Joseph,_MO-KS_Metropolitan_Statistical_Area" xr:uid="{0C6920D1-33D8-4C42-A9B0-9B55328A13DD}"/>
    <hyperlink ref="F323" r:id="rId541" tooltip="Kansas City-Overland Park-Kansas City, MO-KS Combined Statistical Area" display="https://en.wikipedia.org/wiki/Kansas_City-Overland_Park-Kansas_City,_MO-KS_Combined_Statistical_Area" xr:uid="{9B829F74-C40D-674A-B41B-7E8FDD206828}"/>
    <hyperlink ref="B324" r:id="rId542" tooltip="Altoona, PA Metropolitan Statistical Area" display="https://en.wikipedia.org/wiki/Altoona,_PA_Metropolitan_Statistical_Area" xr:uid="{3DF7F222-AB2C-B44E-9FB2-A9906095411C}"/>
    <hyperlink ref="B325" r:id="rId543" tooltip="Carbondale-Marion, IL Metropolitan Statistical Area" display="https://en.wikipedia.org/wiki/Carbondale-Marion,_IL_Metropolitan_Statistical_Area" xr:uid="{257FC9DC-D53C-0548-BA50-CD8C8E2DFB0E}"/>
    <hyperlink ref="B326" r:id="rId544" tooltip="London, KY Micropolitan Statistical Area" display="https://en.wikipedia.org/wiki/London,_KY_Micropolitan_Statistical_Area" xr:uid="{EF07461C-D92E-3843-B0A8-AA28ADFE3D3F}"/>
    <hyperlink ref="B327" r:id="rId545" tooltip="Beckley, WV Metropolitan Statistical Area" display="https://en.wikipedia.org/wiki/Beckley,_WV_Metropolitan_Statistical_Area" xr:uid="{D9495197-0EB1-7A4C-BE06-58623252D08E}"/>
    <hyperlink ref="B328" r:id="rId546" tooltip="Goldsboro, NC Metropolitan Statistical Area" display="https://en.wikipedia.org/wiki/Goldsboro,_NC_Metropolitan_Statistical_Area" xr:uid="{81CD6A32-8B0A-4A48-A69E-68B297119999}"/>
    <hyperlink ref="B329" r:id="rId547" tooltip="Jonesboro, AR Metropolitan Statistical Area" display="https://en.wikipedia.org/wiki/Jonesboro,_AR_Metropolitan_Statistical_Area" xr:uid="{5751AEF3-B1BD-1D4B-82B7-0FECA1A408D0}"/>
    <hyperlink ref="F329" r:id="rId548" tooltip="Jonesboro-Paragould, AR Combined Statistical Area" display="https://en.wikipedia.org/wiki/Jonesboro-Paragould,_AR_Combined_Statistical_Area" xr:uid="{30DE15CC-3BA3-CA45-9DE5-071818D233EA}"/>
    <hyperlink ref="B330" r:id="rId549" tooltip="Hammond, LA Metropolitan Statistical Area" display="https://en.wikipedia.org/wiki/Hammond,_LA_Metropolitan_Statistical_Area" xr:uid="{0E9BBE15-3ACF-424E-BBD4-8AC02D7CFFED}"/>
    <hyperlink ref="F330" r:id="rId550" tooltip="New Orleans-Metairie-Hammond, LA-MS Combined Statistical Area" display="https://en.wikipedia.org/wiki/New_Orleans-Metairie-Hammond,_LA-MS_Combined_Statistical_Area" xr:uid="{B1160BA5-6E2A-C948-9985-40CC42EBA9A5}"/>
    <hyperlink ref="B331" r:id="rId551" tooltip="Mansfield, OH Metropolitan Statistical Area" display="https://en.wikipedia.org/wiki/Mansfield,_OH_Metropolitan_Statistical_Area" xr:uid="{2D946155-86C6-CA4B-878C-FC58BDB1B843}"/>
    <hyperlink ref="F331" r:id="rId552" tooltip="Mansfield-Ashland-Bucyrus, OH Combined Statistical Area" display="https://en.wikipedia.org/wiki/Mansfield-Ashland-Bucyrus,_OH_Combined_Statistical_Area" xr:uid="{D0594E03-0087-0D4F-9895-9DBC5D4A3797}"/>
    <hyperlink ref="B332" r:id="rId553" tooltip="Weirton-Steubenville, WV-OH Metropolitan Statistical Area" display="https://en.wikipedia.org/wiki/Weirton-Steubenville,_WV-OH_Metropolitan_Statistical_Area" xr:uid="{73FD832A-7F22-234E-BFD7-72EE677E9798}"/>
    <hyperlink ref="F332" r:id="rId554" tooltip="Pittsburgh-New Castle-Weirton, PA-OH-WV Combined Statistical Area" display="https://en.wikipedia.org/wiki/Pittsburgh-New_Castle-Weirton,_PA-OH-WV_Combined_Statistical_Area" xr:uid="{B8511850-E546-E14C-AA6C-73D4A141EE08}"/>
    <hyperlink ref="B333" r:id="rId555" tooltip="Dunn, NC Micropolitan Statistical Area" display="https://en.wikipedia.org/wiki/Dunn,_NC_Micropolitan_Statistical_Area" xr:uid="{80AC9032-AB8E-BE44-920D-B72816FDCE51}"/>
    <hyperlink ref="F333" r:id="rId556" tooltip="Raleigh-Durham-Chapel Hill, NC Combined Statistical Area" display="https://en.wikipedia.org/wiki/Raleigh-Durham-Chapel_Hill,_NC_Combined_Statistical_Area" xr:uid="{EC3C25A3-C4A9-AB42-8BAA-EFA0963FF90D}"/>
    <hyperlink ref="B334" r:id="rId557" tooltip="Sherman-Denison, TX Metropolitan Statistical Area" display="https://en.wikipedia.org/wiki/Sherman-Denison,_TX_Metropolitan_Statistical_Area" xr:uid="{1BDFC935-BD8A-AF47-A7CF-91392ED48A99}"/>
    <hyperlink ref="F334" r:id="rId558" tooltip="Dallas-Fort Worth, TX-OK Combined Statistical Area" display="https://en.wikipedia.org/wiki/Dallas-Fort_Worth,_TX-OK_Combined_Statistical_Area" xr:uid="{7F876ABF-74CD-AB43-ADE0-BB59AEA827E7}"/>
    <hyperlink ref="B335" r:id="rId559" tooltip="Augusta-Waterville, ME Micropolitan Statistical Area" display="https://en.wikipedia.org/wiki/Augusta-Waterville,_ME_Micropolitan_Statistical_Area" xr:uid="{D7844411-2543-F441-8BEF-71C3E7EF9976}"/>
    <hyperlink ref="B336" r:id="rId560" tooltip="Watertown-Fort Drum, NY Metropolitan Statistical Area" display="https://en.wikipedia.org/wiki/Watertown-Fort_Drum,_NY_Metropolitan_Statistical_Area" xr:uid="{E5F136AC-F6D5-6E41-BDDE-3024AADC7160}"/>
    <hyperlink ref="B337" r:id="rId561" tooltip="Bismarck, ND Metropolitan Statistical Area" display="https://en.wikipedia.org/wiki/Bismarck,_ND_Metropolitan_Statistical_Area" xr:uid="{6919FCBF-F49B-A647-8127-022E871D86C6}"/>
    <hyperlink ref="B338" r:id="rId562" tooltip="Staunton-Waynesboro, VA Metropolitan Statistical Area" display="https://en.wikipedia.org/wiki/Staunton-Waynesboro,_VA_Metropolitan_Statistical_Area" xr:uid="{81B04F1E-1D00-D840-ACF6-2C317A3DC7AD}"/>
    <hyperlink ref="F338" r:id="rId563" tooltip="Harrisonburg-Staunton-Waynesboro, VA Combined Statistical Area" display="https://en.wikipedia.org/wiki/Harrisonburg-Staunton-Waynesboro,_VA_Combined_Statistical_Area" xr:uid="{DBC2695D-3B50-314A-9C07-CE88494450B2}"/>
    <hyperlink ref="B339" r:id="rId564" tooltip="Albany, OR Metropolitan Statistical Area" display="https://en.wikipedia.org/wiki/Albany,_OR_Metropolitan_Statistical_Area" xr:uid="{5817DCFF-9800-4B41-A13F-113B103C7BCC}"/>
    <hyperlink ref="F339" r:id="rId565" tooltip="Portland-Vancouver-Salem, OR-WA Combined Statistical Area" display="https://en.wikipedia.org/wiki/Portland-Vancouver-Salem,_OR-WA_Combined_Statistical_Area" xr:uid="{142635BC-DA03-5B4B-9DFE-7A2BFA54698E}"/>
    <hyperlink ref="B340" r:id="rId566" tooltip="Mount Vernon-Anacortes, WA Metropolitan Statistical Area" display="https://en.wikipedia.org/wiki/Mount_Vernon-Anacortes,_WA_Metropolitan_Statistical_Area" xr:uid="{70643F4F-EBDB-B641-8F28-5AA17AF4A104}"/>
    <hyperlink ref="F340" r:id="rId567" tooltip="Seattle-Tacoma, WA Combined Statistical Area" display="https://en.wikipedia.org/wiki/Seattle-Tacoma,_WA_Combined_Statistical_Area" xr:uid="{5AACCB6C-50E3-244D-8FAD-EF1A47660603}"/>
    <hyperlink ref="B341" r:id="rId568" tooltip="Cleveland, TN Metropolitan Statistical Area" display="https://en.wikipedia.org/wiki/Cleveland,_TN_Metropolitan_Statistical_Area" xr:uid="{7DDE4192-F7E4-9D40-B1D0-96892D9EE779}"/>
    <hyperlink ref="F341" r:id="rId569" tooltip="Chattanooga-Cleveland-Dalton, TN-GA-AL Combined Statistical Area" display="https://en.wikipedia.org/wiki/Chattanooga-Cleveland-Dalton,_TN-GA-AL_Combined_Statistical_Area" xr:uid="{7843943E-88DE-724D-9FC4-2383BC89659A}"/>
    <hyperlink ref="B342" r:id="rId570" tooltip="Muncie, IN Metropolitan Statistical Area" display="https://en.wikipedia.org/wiki/Muncie,_IN_Metropolitan_Statistical_Area" xr:uid="{1F32D8C9-A915-A348-AA08-B4E06A850E19}"/>
    <hyperlink ref="F342" r:id="rId571" tooltip="Indianapolis-Carmel-Muncie, IN Combined Statistical Area" display="https://en.wikipedia.org/wiki/Indianapolis-Carmel-Muncie,_IN_Combined_Statistical_Area" xr:uid="{243465F2-F646-EF4D-9C0B-3DB4327E168A}"/>
    <hyperlink ref="B343" r:id="rId572" tooltip="Anniston-Oxford-Jacksonville, AL Metropolitan Statistical Area" display="https://en.wikipedia.org/wiki/Anniston-Oxford-Jacksonville,_AL_Metropolitan_Statistical_Area" xr:uid="{ED82C47C-1BA6-FB4B-ACE9-6F6A9EC93BD2}"/>
    <hyperlink ref="B344" r:id="rId573" tooltip="Williamsport, PA Metropolitan Statistical Area" display="https://en.wikipedia.org/wiki/Williamsport,_PA_Metropolitan_Statistical_Area" xr:uid="{E83EC3BD-EB3C-944D-9AF5-59A0203EF4A6}"/>
    <hyperlink ref="F344" r:id="rId574" tooltip="Williamsport-Lock Haven, PA Combined Statistical Area" display="https://en.wikipedia.org/wiki/Williamsport-Lock_Haven,_PA_Combined_Statistical_Area" xr:uid="{9071BD2A-93D4-0342-9465-E84E3BE4E33D}"/>
    <hyperlink ref="B345" r:id="rId575" tooltip="Owensboro, KY Metropolitan Statistical Area" display="https://en.wikipedia.org/wiki/Owensboro,_KY_Metropolitan_Statistical_Area" xr:uid="{4F70FEE4-E4D7-3641-B951-AD85B7EE6C95}"/>
    <hyperlink ref="B346" r:id="rId576" tooltip="Sheboygan, WI Metropolitan Statistical Area" display="https://en.wikipedia.org/wiki/Sheboygan,_WI_Metropolitan_Statistical_Area" xr:uid="{267CFDF8-AD69-3040-9DD1-ACC1B550B01E}"/>
    <hyperlink ref="B347" r:id="rId577" tooltip="Morristown, TN Metropolitan Statistical Area" display="https://en.wikipedia.org/wiki/Morristown,_TN_Metropolitan_Statistical_Area" xr:uid="{3F2E9C3D-07DD-7948-AE49-5B6AC73845B6}"/>
    <hyperlink ref="F347" r:id="rId578" tooltip="Knoxville-Morristown-Sevierville, TN Combined Statistical Area" display="https://en.wikipedia.org/wiki/Knoxville-Morristown-Sevierville,_TN_Combined_Statistical_Area" xr:uid="{E61D4E2D-E098-E84A-A3B9-6B299A90B59A}"/>
    <hyperlink ref="B348" r:id="rId579" tooltip="San Angelo, TX Metropolitan Statistical Area" display="https://en.wikipedia.org/wiki/San_Angelo,_TX_Metropolitan_Statistical_Area" xr:uid="{0B7CB6DB-77B8-4E42-91FC-07BAB49A6694}"/>
    <hyperlink ref="B349" r:id="rId580" tooltip="Wooster, OH Micropolitan Statistical Area" display="https://en.wikipedia.org/wiki/Wooster,_OH_Micropolitan_Statistical_Area" xr:uid="{F93660BF-648E-FE45-8E1C-9E0131D2D99C}"/>
    <hyperlink ref="B350" r:id="rId581" tooltip="Brunswick, GA Metropolitan Statistical Area" display="https://en.wikipedia.org/wiki/Brunswick,_GA_Metropolitan_Statistical_Area" xr:uid="{1DC4A5E5-1176-BE42-A1B1-950231A67A51}"/>
    <hyperlink ref="B351" r:id="rId582" tooltip="Kankakee, IL Metropolitan Statistical Area" display="https://en.wikipedia.org/wiki/Kankakee,_IL_Metropolitan_Statistical_Area" xr:uid="{4A0A1E4A-7931-A44E-AD4D-4FB9C71D977F}"/>
    <hyperlink ref="F351" r:id="rId583" tooltip="Chicago-Naperville, IL-IN-WI Combined Statistical Area" display="https://en.wikipedia.org/wiki/Chicago-Naperville,_IL-IN-WI_Combined_Statistical_Area" xr:uid="{C691671A-23A6-614F-96C7-EF81C968A2CC}"/>
    <hyperlink ref="B352" r:id="rId584" tooltip="Wenatchee, WA Metropolitan Statistical Area" display="https://en.wikipedia.org/wiki/Wenatchee,_WA_Metropolitan_Statistical_Area" xr:uid="{40192232-CD67-0546-990C-0E6518D7F6D9}"/>
    <hyperlink ref="B353" r:id="rId585" tooltip="Lawrence, KS Metropolitan Statistical Area" display="https://en.wikipedia.org/wiki/Lawrence,_KS_Metropolitan_Statistical_Area" xr:uid="{28CA5509-B2C6-0D44-9D24-20D922668EA5}"/>
    <hyperlink ref="F353" r:id="rId586" tooltip="Kansas City-Overland Park-Kansas City, MO-KS Combined Statistical Area" display="https://en.wikipedia.org/wiki/Kansas_City-Overland_Park-Kansas_City,_MO-KS_Combined_Statistical_Area" xr:uid="{7D09AFAD-B326-294B-B898-06BC59C702DA}"/>
    <hyperlink ref="B354" r:id="rId587" tooltip="Ogdensburg-Massena, NY Micropolitan Statistical Area" display="https://en.wikipedia.org/wiki/Ogdensburg-Massena,_NY_Micropolitan_Statistical_Area" xr:uid="{544AC110-EFD0-5E44-B4C0-8D135BF24AC5}"/>
    <hyperlink ref="B355" r:id="rId588" tooltip="Holland, MI Micropolitan Statistical Area" display="https://en.wikipedia.org/wiki/Holland,_MI_Micropolitan_Statistical_Area" xr:uid="{6FBA31C8-F748-6D41-92A6-B1B2493FCFF6}"/>
    <hyperlink ref="F355" r:id="rId589" tooltip="Grand Rapids-Wyoming-Muskegon, MI Combined Statistical Area" display="https://en.wikipedia.org/wiki/Grand_Rapids-Wyoming-Muskegon,_MI_Combined_Statistical_Area" xr:uid="{7576AC8E-3A70-7246-AE53-0A5E77051E0F}"/>
    <hyperlink ref="B356" r:id="rId590" tooltip="Michigan City-La Porte, IN Metropolitan Statistical Area" display="https://en.wikipedia.org/wiki/Michigan_City-La_Porte,_IN_Metropolitan_Statistical_Area" xr:uid="{5FD38C0F-F676-344E-902B-AC985EC4A806}"/>
    <hyperlink ref="F356" r:id="rId591" tooltip="Chicago-Naperville, IL-IN-WI Combined Statistical Area" display="https://en.wikipedia.org/wiki/Chicago-Naperville,_IL-IN-WI_Combined_Statistical_Area" xr:uid="{97E0F17B-2E63-7044-9897-43011F0A61D6}"/>
    <hyperlink ref="B357" r:id="rId592" tooltip="Missoula, MT Metropolitan Statistical Area" display="https://en.wikipedia.org/wiki/Missoula,_MT_Metropolitan_Statistical_Area" xr:uid="{71308FA8-5393-EE45-8D67-76005C005FE6}"/>
    <hyperlink ref="B358" r:id="rId593" tooltip="Decatur, IL Metropolitan Statistical Area" display="https://en.wikipedia.org/wiki/Decatur,_IL_Metropolitan_Statistical_Area" xr:uid="{3350CCBE-DB27-4F42-B992-A0139251EA94}"/>
    <hyperlink ref="B359" r:id="rId594" tooltip="California-Lexington Park, MD Metropolitan Statistical Area" display="https://en.wikipedia.org/wiki/California-Lexington_Park,_MD_Metropolitan_Statistical_Area" xr:uid="{24A4B0BD-3B84-4F46-AF9A-EFDAE96F902A}"/>
    <hyperlink ref="F359" r:id="rId595" tooltip="Washington-Baltimore-Arlington, DC-MD-VA-WV-PA Combined Statistical Area" display="https://en.wikipedia.org/wiki/Washington-Baltimore-Arlington,_DC-MD-VA-WV-PA_Combined_Statistical_Area" xr:uid="{73E6D988-6BFB-5B4F-AA61-D15CB8AB13C3}"/>
    <hyperlink ref="B360" r:id="rId596" tooltip="Sumter, SC Metropolitan Statistical Area" display="https://en.wikipedia.org/wiki/Sumter,_SC_Metropolitan_Statistical_Area" xr:uid="{CA246592-0DCA-1E47-A299-8B70BB3E6B94}"/>
    <hyperlink ref="B361" r:id="rId597" tooltip="Lewiston-Auburn, ME Metropolitan Statistical Area" display="https://en.wikipedia.org/wiki/Lewiston-Auburn,_ME_Metropolitan_Statistical_Area" xr:uid="{FE29A846-490E-464D-8124-28C6C3B8DCF2}"/>
    <hyperlink ref="F361" r:id="rId598" tooltip="Portland-Lewiston-South Portland, ME Combined Statistical Area" display="https://en.wikipedia.org/wiki/Portland-Lewiston-South_Portland,_ME_Combined_Statistical_Area" xr:uid="{1033E202-630B-E447-B6D9-1567CD33C184}"/>
    <hyperlink ref="B362" r:id="rId599" tooltip="Roseburg, OR Micropolitan Statistical Area" display="https://en.wikipedia.org/wiki/Roseburg,_OR_Micropolitan_Statistical_Area" xr:uid="{DB65D3C1-3EB1-E946-A7B5-0E36B74FB9E4}"/>
    <hyperlink ref="B363" r:id="rId600" tooltip="Meridian, MS Micropolitan Statistical Area" display="https://en.wikipedia.org/wiki/Meridian,_MS_Micropolitan_Statistical_Area" xr:uid="{5260497F-FEBA-DC45-9ADF-3F1A91736891}"/>
    <hyperlink ref="B364" r:id="rId601" tooltip="Show Low, AZ Micropolitan Statistical Area" display="https://en.wikipedia.org/wiki/Show_Low,_AZ_Micropolitan_Statistical_Area" xr:uid="{B018C640-C79F-A84C-9374-0EA418DADC6A}"/>
    <hyperlink ref="B365" r:id="rId602" tooltip="Bay City, MI Metropolitan Statistical Area" display="https://en.wikipedia.org/wiki/Bay_City,_MI_Metropolitan_Statistical_Area" xr:uid="{E6CC3F36-BC89-824F-A60D-C3E2554B9DD9}"/>
    <hyperlink ref="F365" r:id="rId603" tooltip="Saginaw-Midland-Bay City, MI Combined Statistical Area" display="https://en.wikipedia.org/wiki/Saginaw-Midland-Bay_City,_MI_Combined_Statistical_Area" xr:uid="{CBD49BB2-2DC3-DA48-948A-CB02935B71FD}"/>
    <hyperlink ref="B366" r:id="rId604" tooltip="Cookeville, TN Micropolitan Statistical Area" display="https://en.wikipedia.org/wiki/Cookeville,_TN_Micropolitan_Statistical_Area" xr:uid="{12306795-DD8F-2549-A521-F9D5FEBE2C2C}"/>
    <hyperlink ref="B367" r:id="rId605" tooltip="Bluefield, WV-VA Micropolitan Statistical Area" display="https://en.wikipedia.org/wiki/Bluefield,_WV-VA_Micropolitan_Statistical_Area" xr:uid="{E3B151E3-9038-1540-A05B-9883D9DAE8EC}"/>
    <hyperlink ref="B368" r:id="rId606" tooltip="Salem, OH Micropolitan Statistical Area" display="https://en.wikipedia.org/wiki/Salem,_OH_Micropolitan_Statistical_Area" xr:uid="{E0089730-BDF4-1046-A978-B2A1BCF139DD}"/>
    <hyperlink ref="F368" r:id="rId607" tooltip="Youngstown-Warren, OH-PA Combined Statistical Area" display="https://en.wikipedia.org/wiki/Youngstown-Warren,_OH-PA_Combined_Statistical_Area" xr:uid="{9F4E8A08-42AB-C941-96A6-1F41DF3C0454}"/>
    <hyperlink ref="B369" r:id="rId608" tooltip="Danville, VA Micropolitan Statistical Area" display="https://en.wikipedia.org/wiki/Danville,_VA_Micropolitan_Statistical_Area" xr:uid="{1FA5F5CA-3670-AF47-A455-6CEEA3F87236}"/>
    <hyperlink ref="B370" r:id="rId609" tooltip="Lima, OH Metropolitan Statistical Area" display="https://en.wikipedia.org/wiki/Lima,_OH_Metropolitan_Statistical_Area" xr:uid="{89D32D38-72AD-1741-9EF0-BDBE0C57B942}"/>
    <hyperlink ref="F370" r:id="rId610" tooltip="Lima-Van Wert-Celina, OH Combined Statistical Area" display="https://en.wikipedia.org/wiki/Lima-Van_Wert-Celina,_OH_Combined_Statistical_Area" xr:uid="{87DD00FA-4F46-CB4C-BB7F-175E9D505DCB}"/>
    <hyperlink ref="B371" r:id="rId611" tooltip="Gadsden, AL Metropolitan Statistical Area" display="https://en.wikipedia.org/wiki/Gadsden,_AL_Metropolitan_Statistical_Area" xr:uid="{5F258682-B5CA-7048-85EC-52F9933F3EFC}"/>
    <hyperlink ref="B372" r:id="rId612" tooltip="Whitewater-Elkhorn, WI Micropolitan Statistical Area" display="https://en.wikipedia.org/wiki/Whitewater-Elkhorn,_WI_Micropolitan_Statistical_Area" xr:uid="{D67521FC-4FA0-B741-8FF8-1B9E94DC9863}"/>
    <hyperlink ref="F372" r:id="rId613" tooltip="Milwaukee-Racine-Waukesha, WI Combined Statistical Area" display="https://en.wikipedia.org/wiki/Milwaukee-Racine-Waukesha,_WI_Combined_Statistical_Area" xr:uid="{D75CA1DE-7123-F345-8C88-FFB28197B190}"/>
    <hyperlink ref="B373" r:id="rId614" tooltip="Ithaca, NY Metropolitan Statistical Area" display="https://en.wikipedia.org/wiki/Ithaca,_NY_Metropolitan_Statistical_Area" xr:uid="{7C9B194B-4347-BE48-860B-EE7450F8ECC5}"/>
    <hyperlink ref="F373" r:id="rId615" tooltip="Ithaca-Cortland, NY Combined Statistical Area" display="https://en.wikipedia.org/wiki/Ithaca-Cortland,_NY_Combined_Statistical_Area" xr:uid="{BB451A3A-AC09-FD4E-89F9-66C8FCEAFEF7}"/>
    <hyperlink ref="B374" r:id="rId616" tooltip="Longview, WA Metropolitan Statistical Area" display="https://en.wikipedia.org/wiki/Longview,_WA_Metropolitan_Statistical_Area" xr:uid="{3FFD536B-E30F-A744-BFD9-29DF6D2CABA0}"/>
    <hyperlink ref="F374" r:id="rId617" tooltip="Portland-Vancouver-Salem, OR-WA Combined Statistical Area" display="https://en.wikipedia.org/wiki/Portland-Vancouver-Salem,_OR-WA_Combined_Statistical_Area" xr:uid="{BEA91450-08F7-5F41-A34F-233C0720293E}"/>
    <hyperlink ref="B375" r:id="rId618" tooltip="Cumberland, MD-WV Metropolitan Statistical Area" display="https://en.wikipedia.org/wiki/Cumberland,_MD-WV_Metropolitan_Statistical_Area" xr:uid="{219630B4-30FC-624E-8B32-AAEF1879888E}"/>
    <hyperlink ref="B376" r:id="rId619" tooltip="Fond du Lac, WI Metropolitan Statistical Area" display="https://en.wikipedia.org/wiki/Fond_du_Lac,_WI_Metropolitan_Statistical_Area" xr:uid="{972FF1CF-1BB7-144B-ABEB-250C32FEB499}"/>
    <hyperlink ref="B377" r:id="rId620" tooltip="Richmond-Berea, KY Micropolitan Statistical Area" display="https://en.wikipedia.org/wiki/Richmond-Berea,_KY_Micropolitan_Statistical_Area" xr:uid="{5377EC9D-FC75-414A-8C3D-5B32CEB800AF}"/>
    <hyperlink ref="F377" r:id="rId621" tooltip="Lexington-Fayette–Richmond–Frankfort, KY Combined Statistical Area" display="https://en.wikipedia.org/wiki/Lexington-Fayette%E2%80%93Richmond%E2%80%93Frankfort,_KY_Combined_Statistical_Area" xr:uid="{91FFF683-614B-5346-9C7B-9602DF7F969A}"/>
    <hyperlink ref="B378" r:id="rId622" tooltip="The Villages, FL Metropolitan Statistical Area" display="https://en.wikipedia.org/wiki/The_Villages,_FL_Metropolitan_Statistical_Area" xr:uid="{3DB013AB-0D3B-6442-B2CA-BE1EF4FDE7E5}"/>
    <hyperlink ref="F378" r:id="rId623" tooltip="Orlando-Deltona-Daytona Beach, FL Combined Statistical Area" display="https://en.wikipedia.org/wiki/Orlando-Deltona-Daytona_Beach,_FL_Combined_Statistical_Area" xr:uid="{5945DF63-E2D3-D344-9E8C-2FED5F31BCF2}"/>
    <hyperlink ref="B379" r:id="rId624" tooltip="Gettysburg, PA Metropolitan Statistical Area" display="https://en.wikipedia.org/wiki/Gettysburg,_PA_Metropolitan_Statistical_Area" xr:uid="{3127D30F-A6D1-0944-BA5F-FD07CEF34014}"/>
    <hyperlink ref="F379" r:id="rId625" tooltip="Harrisburg-York-Lebanon, PA Combined Statistical Area" display="https://en.wikipedia.org/wiki/Harrisburg-York-Lebanon,_PA_Combined_Statistical_Area" xr:uid="{F3EE6CC6-8FBD-EF44-A824-E8E93FBC362B}"/>
    <hyperlink ref="B380" r:id="rId626" tooltip="Twin Falls, ID Micropolitan Statistical Area" display="https://en.wikipedia.org/wiki/Twin_Falls,_ID_Micropolitan_Statistical_Area" xr:uid="{2C35A712-AA7F-1D49-899D-FE43B9AAAD28}"/>
    <hyperlink ref="B381" r:id="rId627" tooltip="Ashtabula, OH Micropolitan Statistical Area" display="https://en.wikipedia.org/wiki/Ashtabula,_OH_Micropolitan_Statistical_Area" xr:uid="{EA092137-74F9-E245-BC73-20E61513CB86}"/>
    <hyperlink ref="F381" r:id="rId628" tooltip="Cleveland-Akron-Canton, OH Combined Statistical Area" display="https://en.wikipedia.org/wiki/Cleveland-Akron-Canton,_OH_Combined_Statistical_Area" xr:uid="{F3D9578C-5470-8F4E-9379-4C16A431268D}"/>
    <hyperlink ref="B382" r:id="rId629" tooltip="Tullahoma-Manchester, TN Micropolitan Statistical Area" display="https://en.wikipedia.org/wiki/Tullahoma-Manchester,_TN_Micropolitan_Statistical_Area" xr:uid="{79D78873-AD7A-6140-8D22-F62D6732C54F}"/>
    <hyperlink ref="B383" r:id="rId630" tooltip="Fairbanks, AK Metropolitan Statistical Area" display="https://en.wikipedia.org/wiki/Fairbanks,_AK_Metropolitan_Statistical_Area" xr:uid="{ECA0EB79-89B0-3B48-8E56-8399910C5DF1}"/>
    <hyperlink ref="B384" r:id="rId631" tooltip="Corning, NY Micropolitan Statistical Area" display="https://en.wikipedia.org/wiki/Corning,_NY_Micropolitan_Statistical_Area" xr:uid="{B084388E-E265-E143-8E45-9CDA459E2701}"/>
    <hyperlink ref="F384" r:id="rId632" tooltip="Elmira-Corning, NY Combined Statistical Area (page does not exist)" display="https://en.wikipedia.org/w/index.php?title=Elmira-Corning,_NY_Combined_Statistical_Area&amp;action=edit&amp;redlink=1" xr:uid="{51037EE7-0F05-2948-9252-AEC3E77F1A72}"/>
    <hyperlink ref="B385" r:id="rId633" tooltip="Adrian, MI Micropolitan Statistical Area" display="https://en.wikipedia.org/wiki/Adrian,_MI_Micropolitan_Statistical_Area" xr:uid="{5EDE2443-15EB-9240-822A-71B2DCFA785C}"/>
    <hyperlink ref="F385" r:id="rId634" tooltip="Detroit-Warren-Ann Arbor, MI Combined Statistical Area" display="https://en.wikipedia.org/wiki/Detroit-Warren-Ann_Arbor,_MI_Combined_Statistical_Area" xr:uid="{9B8FB4EE-474A-4149-B237-CB9D89FD895C}"/>
    <hyperlink ref="B386" r:id="rId635" tooltip="Grand Forks, ND-MN Metropolitan Statistical Area" display="https://en.wikipedia.org/wiki/Grand_Forks,_ND-MN_Metropolitan_Statistical_Area" xr:uid="{80FB2FE7-1C44-D443-9385-647A6BD095D1}"/>
    <hyperlink ref="B387" r:id="rId636" tooltip="Paducah, KY-IL Micropolitan Statistical Area" display="https://en.wikipedia.org/wiki/Paducah,_KY-IL_Micropolitan_Statistical_Area" xr:uid="{E6100640-9768-5C40-AF6E-DC5F939F6056}"/>
    <hyperlink ref="F387" r:id="rId637" tooltip="Paducah-Mayfield, KY-IL Combined Statistical Area" display="https://en.wikipedia.org/wiki/Paducah-Mayfield,_KY-IL_Combined_Statistical_Area" xr:uid="{FD8E99FC-205E-F745-9C93-6B16ED88ADA9}"/>
    <hyperlink ref="B388" r:id="rId638" tooltip="Truckee-Grass Valley, CA Micropolitan Statistical Area" display="https://en.wikipedia.org/wiki/Truckee-Grass_Valley,_CA_Micropolitan_Statistical_Area" xr:uid="{20A7C95E-58C1-4741-964A-4D5C1CBAFD0B}"/>
    <hyperlink ref="F388" r:id="rId639" tooltip="Sacramento-Roseville, CA Combined Statistical Area" display="https://en.wikipedia.org/wiki/Sacramento-Roseville,_CA_Combined_Statistical_Area" xr:uid="{1012E31E-5FA2-DF4F-9437-880D3DDF61A6}"/>
    <hyperlink ref="B389" r:id="rId640" tooltip="Sebring, FL Metropolitan Statistical Area" display="https://en.wikipedia.org/wiki/Sebring,_FL_Metropolitan_Statistical_Area" xr:uid="{CFA6E9A6-CC88-964E-98F0-6FF943EAB9D1}"/>
    <hyperlink ref="B390" r:id="rId641" tooltip="Mankato-North Mankato, MN Metropolitan Statistical Area" display="https://en.wikipedia.org/wiki/Mankato-North_Mankato,_MN_Metropolitan_Statistical_Area" xr:uid="{5FF46C4E-FB90-584D-B926-D7E85C62F91E}"/>
    <hyperlink ref="F390" r:id="rId642" tooltip="Mankato-New Ulm-North Mankato, MN Combined Statistical Area" display="https://en.wikipedia.org/wiki/Mankato-New_Ulm-North_Mankato,_MN_Combined_Statistical_Area" xr:uid="{FD4480E2-BD54-E348-9F35-5AD25D526446}"/>
    <hyperlink ref="B391" r:id="rId643" tooltip="Manhattan, KS Metropolitan Statistical Area" display="https://en.wikipedia.org/wiki/Manhattan,_KS_Metropolitan_Statistical_Area" xr:uid="{F3255314-82FA-2646-B981-460B02FBBE5B}"/>
    <hyperlink ref="F391" r:id="rId644" tooltip="Manhattan-Junction City, KS Combined Statistical Area" display="https://en.wikipedia.org/wiki/Manhattan-Junction_City,_KS_Combined_Statistical_Area" xr:uid="{D1A51B1C-C583-4449-8AA8-03460F07B5C7}"/>
    <hyperlink ref="B392" r:id="rId645" tooltip="Shelby, NC Micropolitan Statistical Area" display="https://en.wikipedia.org/wiki/Shelby,_NC_Micropolitan_Statistical_Area" xr:uid="{10DFFFD2-0319-B749-A719-B1D0E6987668}"/>
    <hyperlink ref="F392" r:id="rId646" tooltip="Charlotte-Concord, NC-SC Combined Statistical Area" display="https://en.wikipedia.org/wiki/Charlotte-Concord,_NC-SC_Combined_Statistical_Area" xr:uid="{08241CE9-520E-1A4B-B924-3AD93705F391}"/>
    <hyperlink ref="B393" r:id="rId647" tooltip="Pine Bluff, AR Metropolitan Statistical Area" display="https://en.wikipedia.org/wiki/Pine_Bluff,_AR_Metropolitan_Statistical_Area" xr:uid="{37481ED2-70BC-BB44-84B3-51334FA3D5D6}"/>
    <hyperlink ref="F393" r:id="rId648" tooltip="Little Rock-North Little Rock, AR Combined Statistical Area" display="https://en.wikipedia.org/wiki/Little_Rock-North_Little_Rock,_AR_Combined_Statistical_Area" xr:uid="{D6EC1B8D-1835-294F-A4FE-68E915DC92C2}"/>
    <hyperlink ref="B394" r:id="rId649" tooltip="Cape Girardeau, MO-IL Metropolitan Statistical Area" display="https://en.wikipedia.org/wiki/Cape_Girardeau,_MO-IL_Metropolitan_Statistical_Area" xr:uid="{DED33184-22FC-A74E-9613-CE372758A6CE}"/>
    <hyperlink ref="F394" r:id="rId650" tooltip="Cape Girardeau-Sikeston, MO-IL Combined Statistical Area" display="https://en.wikipedia.org/wiki/Cape_Girardeau-Sikeston,_MO-IL_Combined_Statistical_Area" xr:uid="{37FDA7F6-C855-084E-BC6E-0A5F44AF6F2F}"/>
    <hyperlink ref="B395" r:id="rId651" tooltip="Hot Springs, AR Metropolitan Statistical Area" display="https://en.wikipedia.org/wiki/Hot_Springs,_AR_Metropolitan_Statistical_Area" xr:uid="{DDF9908A-87DA-5441-AA81-8CC03E109514}"/>
    <hyperlink ref="F395" r:id="rId652" tooltip="Hot Springs-Malvern, AR Combined Statistical Area" display="https://en.wikipedia.org/wiki/Hot_Springs-Malvern,_AR_Combined_Statistical_Area" xr:uid="{0277CBD3-B43C-4041-A660-307B0563AA62}"/>
    <hyperlink ref="B396" r:id="rId653" tooltip="Victoria, TX Metropolitan Statistical Area" display="https://en.wikipedia.org/wiki/Victoria,_TX_Metropolitan_Statistical_Area" xr:uid="{989CA654-61C1-9A40-9B28-393C870A6778}"/>
    <hyperlink ref="F396" r:id="rId654" tooltip="Victoria-Port Lavaca, TX Combined Statistical Area" display="https://en.wikipedia.org/wiki/Victoria-Port_Lavaca,_TX_Combined_Statistical_Area" xr:uid="{4F2D6397-32E5-EA42-9C6D-C66ADCC7C172}"/>
    <hyperlink ref="B397" r:id="rId655" tooltip="Ocean City, NJ Metropolitan Statistical Area" display="https://en.wikipedia.org/wiki/Ocean_City,_NJ_Metropolitan_Statistical_Area" xr:uid="{FF813BB6-01D2-B842-8B82-1E64D4CB7B77}"/>
    <hyperlink ref="F397" r:id="rId656" tooltip="Philadelphia-Reading-Camden, PA-NJ-DE-MD Combined Statistical Area" display="https://en.wikipedia.org/wiki/Philadelphia-Reading-Camden,_PA-NJ-DE-MD_Combined_Statistical_Area" xr:uid="{C60362A8-8CCE-0145-B489-BDE60B170D16}"/>
    <hyperlink ref="B398" r:id="rId657" tooltip="Rome, GA Metropolitan Statistical Area" display="https://en.wikipedia.org/wiki/Rome,_GA_Metropolitan_Statistical_Area" xr:uid="{0894CEFE-27E3-574C-9AC7-DD4882C1A6F2}"/>
    <hyperlink ref="F398" r:id="rId658" tooltip="Rome-Summerville, GA Combined Statistical Area" display="https://en.wikipedia.org/wiki/Rome-Summerville,_GA_Combined_Statistical_Area" xr:uid="{78932DD4-6904-5343-ABE6-C36705571EBF}"/>
    <hyperlink ref="B399" r:id="rId659" tooltip="Dubuque, IA Metropolitan Statistical Area" display="https://en.wikipedia.org/wiki/Dubuque,_IA_Metropolitan_Statistical_Area" xr:uid="{8CE6864F-53AB-CE41-B5F0-05D6F30F9786}"/>
    <hyperlink ref="B400" r:id="rId660" tooltip="Greenwood, SC Micropolitan Statistical Area" display="https://en.wikipedia.org/wiki/Greenwood,_SC_Micropolitan_Statistical_Area" xr:uid="{B6C40542-B23F-C342-8E2C-2BE66A2EBD46}"/>
    <hyperlink ref="F400" r:id="rId661" tooltip="Greenville-Spartanburg-Anderson, SC Combined Statistical Area" display="https://en.wikipedia.org/wiki/Greenville-Spartanburg-Anderson,_SC_Combined_Statistical_Area" xr:uid="{FC5B4570-65B2-984E-A287-3B9A96010853}"/>
    <hyperlink ref="B401" r:id="rId662" tooltip="Albertville, AL Micropolitan Statistical Area" display="https://en.wikipedia.org/wiki/Albertville,_AL_Micropolitan_Statistical_Area" xr:uid="{7E7B1BA4-9BB7-CE44-A2FF-D3DB03B3F4B8}"/>
    <hyperlink ref="F401" r:id="rId663" tooltip="Huntsville-Decatur-Albertville, AL Combined Statistical Area" display="https://en.wikipedia.org/wiki/Huntsville-Decatur-Albertville,_AL_Combined_Statistical_Area" xr:uid="{FD0A6642-2449-EC49-9EBC-1F9D4EFB90A1}"/>
    <hyperlink ref="B402" r:id="rId664" tooltip="Cheyenne, WY Metropolitan Statistical Area" display="https://en.wikipedia.org/wiki/Cheyenne,_WY_Metropolitan_Statistical_Area" xr:uid="{784DB750-82BE-2E45-840F-E3D71471113D}"/>
    <hyperlink ref="B403" r:id="rId665" tooltip="Sunbury, PA Micropolitan Statistical Area" display="https://en.wikipedia.org/wiki/Sunbury,_PA_Micropolitan_Statistical_Area" xr:uid="{9088F204-C7EB-6E4B-AE4F-9705A2B95EB7}"/>
    <hyperlink ref="F403" r:id="rId666" tooltip="Bloomsburg-Berwick-Sunbury, PA Combined Statistical Area" display="https://en.wikipedia.org/wiki/Bloomsburg-Berwick-Sunbury,_PA_Combined_Statistical_Area" xr:uid="{BCF3EAFB-1BA6-5A44-A5A5-472AB23A315E}"/>
    <hyperlink ref="B404" r:id="rId667" tooltip="Clarksburg, WV Micropolitan Statistical Area" display="https://en.wikipedia.org/wiki/Clarksburg,_WV_Micropolitan_Statistical_Area" xr:uid="{129DCE56-BC7D-074B-AD8D-8CCD97172C28}"/>
    <hyperlink ref="B405" r:id="rId668" tooltip="Talladega-Sylacauga, AL Micropolitan Statistical Area" display="https://en.wikipedia.org/wiki/Talladega-Sylacauga,_AL_Micropolitan_Statistical_Area" xr:uid="{EFF5D928-EFEE-FB47-B58E-BB66BAE85582}"/>
    <hyperlink ref="F405" r:id="rId669" tooltip="Birmingham-Hoover-Talladega, AL Combined Statistical Area" display="https://en.wikipedia.org/wiki/Birmingham-Hoover-Talladega,_AL_Combined_Statistical_Area" xr:uid="{C57BD4FE-7D7F-7647-9FE0-BE892AB6EA3C}"/>
    <hyperlink ref="B406" r:id="rId670" tooltip="Bozeman, MT Micropolitan Statistical Area" display="https://en.wikipedia.org/wiki/Bozeman,_MT_Micropolitan_Statistical_Area" xr:uid="{58D8DE28-222A-8947-BF7D-24D702029E8E}"/>
    <hyperlink ref="B407" r:id="rId671" tooltip="Parkersburg-Vienna, WV Metropolitan Statistical Area" display="https://en.wikipedia.org/wiki/Parkersburg-Vienna,_WV_Metropolitan_Statistical_Area" xr:uid="{FB229DB6-BEB4-B747-9078-B9829DB919B9}"/>
    <hyperlink ref="F407" r:id="rId672" tooltip="Parkersburg-Marietta-Vienna, WV-OH Combined Statistical Area" display="https://en.wikipedia.org/wiki/Parkersburg-Marietta-Vienna,_WV-OH_Combined_Statistical_Area" xr:uid="{AA18E7CE-B550-6644-B596-774EEFA1105D}"/>
    <hyperlink ref="B408" r:id="rId673" tooltip="Sevierville, TN Micropolitan Statistical Area" display="https://en.wikipedia.org/wiki/Sevierville,_TN_Micropolitan_Statistical_Area" xr:uid="{7E79B0A6-0C31-374C-8780-4974139DC980}"/>
    <hyperlink ref="F408" r:id="rId674" tooltip="Knoxville-Morristown-Sevierville, TN Combined Statistical Area" display="https://en.wikipedia.org/wiki/Knoxville-Morristown-Sevierville,_TN_Combined_Statistical_Area" xr:uid="{1DF96B45-9F20-9749-B551-AF99065FE93C}"/>
    <hyperlink ref="B409" r:id="rId675" tooltip="New Philadelphia-Dover, OH Micropolitan Statistical Area" display="https://en.wikipedia.org/wiki/New_Philadelphia-Dover,_OH_Micropolitan_Statistical_Area" xr:uid="{F5DF0C95-9709-1545-A9A6-256C47B57919}"/>
    <hyperlink ref="F409" r:id="rId676" tooltip="Cleveland-Akron-Canton, OH Combined Statistical Area" display="https://en.wikipedia.org/wiki/Cleveland-Akron-Canton,_OH_Combined_Statistical_Area" xr:uid="{B12256AB-7383-4240-8EAD-AA15607152CE}"/>
    <hyperlink ref="B410" r:id="rId677" tooltip="Moses Lake, WA Micropolitan Statistical Area" display="https://en.wikipedia.org/wiki/Moses_Lake,_WA_Micropolitan_Statistical_Area" xr:uid="{C593591E-BC54-A644-9217-DB7879CC00EA}"/>
    <hyperlink ref="F410" r:id="rId678" tooltip="Moses Lake-Othello, WA Combined Statistical Area" display="https://en.wikipedia.org/wiki/Moses_Lake-Othello,_WA_Combined_Statistical_Area" xr:uid="{FDFD570E-7F86-5C41-9852-CAD56C0C9F04}"/>
    <hyperlink ref="B411" r:id="rId679" tooltip="Kalispell, MT Micropolitan Statistical Area" display="https://en.wikipedia.org/wiki/Kalispell,_MT_Micropolitan_Statistical_Area" xr:uid="{6C6D53C6-A91C-8A47-883E-842C5095FC00}"/>
    <hyperlink ref="B412" r:id="rId680" tooltip="Orangeburg, SC Micropolitan Statistical Area" display="https://en.wikipedia.org/wiki/Orangeburg,_SC_Micropolitan_Statistical_Area" xr:uid="{01C41F58-5D14-014C-9B71-B86E031C423F}"/>
    <hyperlink ref="F412" r:id="rId681" tooltip="Columbia-Orangeburg-Newberry, SC Combined Statistical Area" display="https://en.wikipedia.org/wiki/Columbia-Orangeburg-Newberry,_SC_Combined_Statistical_Area" xr:uid="{7EB2B56C-F7DE-B84D-A601-0B3A56786AA2}"/>
    <hyperlink ref="B413" r:id="rId682" tooltip="Brainerd, MN Micropolitan Statistical Area" display="https://en.wikipedia.org/wiki/Brainerd,_MN_Micropolitan_Statistical_Area" xr:uid="{3976B958-7554-FA4B-BB7C-86751F3ADE47}"/>
    <hyperlink ref="B414" r:id="rId683" tooltip="Ames, IA Metropolitan Statistical Area" display="https://en.wikipedia.org/wiki/Ames,_IA_Metropolitan_Statistical_Area" xr:uid="{9B52FDA6-C102-7A4B-A34F-48C486EC18F5}"/>
    <hyperlink ref="F414" r:id="rId684" tooltip="Des Moines-Ames-West Des Moines, IA Combined Statistical Area" display="https://en.wikipedia.org/wiki/Des_Moines-Ames-West_Des_Moines,_IA_Combined_Statistical_Area" xr:uid="{0286B990-761F-BF42-9246-05028DC2077B}"/>
    <hyperlink ref="B415" r:id="rId685" tooltip="Pinehurst-Southern Pines, NC Micropolitan Statistical Area" display="https://en.wikipedia.org/wiki/Pinehurst-Southern_Pines,_NC_Micropolitan_Statistical_Area" xr:uid="{FE4B1384-D995-CF40-912C-34CEF97D86B5}"/>
    <hyperlink ref="B416" r:id="rId686" tooltip="New Castle, PA Micropolitan Statistical Area" display="https://en.wikipedia.org/wiki/New_Castle,_PA_Micropolitan_Statistical_Area" xr:uid="{194160E7-1D3E-F048-8714-6F2F48D88A90}"/>
    <hyperlink ref="F416" r:id="rId687" tooltip="Pittsburgh-New Castle-Weirton, PA-OH-WV Combined Statistical Area" display="https://en.wikipedia.org/wiki/Pittsburgh-New_Castle-Weirton,_PA-OH-WV_Combined_Statistical_Area" xr:uid="{BB454F6A-3E8B-4C4B-A544-1821A9B6A65E}"/>
    <hyperlink ref="B417" r:id="rId688" tooltip="Elmira, NY Metropolitan Statistical Area" display="https://en.wikipedia.org/wiki/Elmira,_NY_Metropolitan_Statistical_Area" xr:uid="{C48E4C02-254C-7945-B830-9D21B69219A9}"/>
    <hyperlink ref="F417" r:id="rId689" tooltip="Elmira-Corning, NY Combined Statistical Area (page does not exist)" display="https://en.wikipedia.org/w/index.php?title=Elmira-Corning,_NY_Combined_Statistical_Area&amp;action=edit&amp;redlink=1" xr:uid="{4BCC7A8C-43C5-854A-B7E7-355FDEA27F58}"/>
    <hyperlink ref="B418" r:id="rId690" tooltip="Beaver Dam, WI Micropolitan Statistical Area" display="https://en.wikipedia.org/wiki/Beaver_Dam,_WI_Micropolitan_Statistical_Area" xr:uid="{DD69A6D2-5ADB-E842-B1DE-0DE577CA12EF}"/>
    <hyperlink ref="F418" r:id="rId691" tooltip="Milwaukee-Racine-Waukesha, WI Combined Statistical Area" display="https://en.wikipedia.org/wiki/Milwaukee-Racine-Waukesha,_WI_Combined_Statistical_Area" xr:uid="{BA115B4B-2C2E-CD4F-8974-EB6ADE8FDFFC}"/>
    <hyperlink ref="B419" r:id="rId692" tooltip="Indiana, PA Micropolitan Statistical Area" display="https://en.wikipedia.org/wiki/Indiana,_PA_Micropolitan_Statistical_Area" xr:uid="{1C03DA81-98F4-854A-8B93-78698C7437F5}"/>
    <hyperlink ref="F419" r:id="rId693" tooltip="Pittsburgh-New Castle-Weirton, PA-OH-WV Combined Statistical Area" display="https://en.wikipedia.org/wiki/Pittsburgh-New_Castle-Weirton,_PA-OH-WV_Combined_Statistical_Area" xr:uid="{A5601B58-DCDA-DA4C-B301-86928BAFAB7D}"/>
    <hyperlink ref="B420" r:id="rId694" tooltip="Hermiston-Pendleton, OR Micropolitan Statistical Area" display="https://en.wikipedia.org/wiki/Hermiston-Pendleton,_OR_Micropolitan_Statistical_Area" xr:uid="{A36BC4DC-FD5B-AA47-BD17-194D34B28444}"/>
    <hyperlink ref="B421" r:id="rId695" tooltip="Meadville, PA Micropolitan Statistical Area" display="https://en.wikipedia.org/wiki/Meadville,_PA_Micropolitan_Statistical_Area" xr:uid="{54F121EA-D5B5-FF49-9F46-7270E33F77BC}"/>
    <hyperlink ref="F421" r:id="rId696" tooltip="Erie-Meadville, PA Combined Statistical Area" display="https://en.wikipedia.org/wiki/Erie-Meadville,_PA_Combined_Statistical_Area" xr:uid="{0C362295-6C5B-2E46-A0B3-D35659826634}"/>
    <hyperlink ref="B422" r:id="rId697" tooltip="Lufkin, TX Micropolitan Statistical Area" display="https://en.wikipedia.org/wiki/Lufkin,_TX_Micropolitan_Statistical_Area" xr:uid="{89FD0DBF-7ADA-214A-AF91-A8244901DCCF}"/>
    <hyperlink ref="B423" r:id="rId698" tooltip="Ukiah, CA Micropolitan Statistical Area" display="https://en.wikipedia.org/wiki/Ukiah,_CA_Micropolitan_Statistical_Area" xr:uid="{C1E9ECEE-FD55-B44A-B226-7CAF19F640C7}"/>
    <hyperlink ref="B424" r:id="rId699" tooltip="Corvallis, OR Metropolitan Statistical Area" display="https://en.wikipedia.org/wiki/Corvallis,_OR_Metropolitan_Statistical_Area" xr:uid="{83BFEBCE-154B-E04F-AA91-DC9E6FADED33}"/>
    <hyperlink ref="F424" r:id="rId700" tooltip="Portland-Vancouver-Salem, OR-WA Combined Statistical Area" display="https://en.wikipedia.org/wiki/Portland-Vancouver-Salem,_OR-WA_Combined_Statistical_Area" xr:uid="{B9DD0287-6D1F-C240-963A-607CF682ADD3}"/>
    <hyperlink ref="B425" r:id="rId701" tooltip="Zanesville, OH Micropolitan Statistical Area" display="https://en.wikipedia.org/wiki/Zanesville,_OH_Micropolitan_Statistical_Area" xr:uid="{76FF6F08-3969-FD40-900A-D950EE65CFFB}"/>
    <hyperlink ref="F425" r:id="rId702" tooltip="Columbus-Marion-Zanesville, OH Combined Statistical Area" display="https://en.wikipedia.org/wiki/Columbus-Marion-Zanesville,_OH_Combined_Statistical_Area" xr:uid="{4D43784C-E7EC-D04C-BBF9-359A2B623152}"/>
    <hyperlink ref="B426" r:id="rId703" tooltip="Bloomsburg-Berwick, PA Metropolitan Statistical Area" display="https://en.wikipedia.org/wiki/Bloomsburg-Berwick,_PA_Metropolitan_Statistical_Area" xr:uid="{82445815-993A-A143-9DEF-FF175D9AED26}"/>
    <hyperlink ref="F426" r:id="rId704" tooltip="Bloomsburg-Berwick-Sunbury, PA Combined Statistical Area" display="https://en.wikipedia.org/wiki/Bloomsburg-Berwick-Sunbury,_PA_Combined_Statistical_Area" xr:uid="{65049FD4-CA2E-2646-A512-2FC0A85437F9}"/>
    <hyperlink ref="B427" r:id="rId705" tooltip="Laurel, MS Micropolitan Statistical Area" display="https://en.wikipedia.org/wiki/Laurel,_MS_Micropolitan_Statistical_Area" xr:uid="{9735C5B9-16D6-EB4C-96EC-0B3DC065F3E1}"/>
    <hyperlink ref="B428" r:id="rId706" tooltip="Russellville, AR Micropolitan Statistical Area" display="https://en.wikipedia.org/wiki/Russellville,_AR_Micropolitan_Statistical_Area" xr:uid="{FC7344C1-8572-D14E-B6F5-9D54C1725EDF}"/>
    <hyperlink ref="B429" r:id="rId707" tooltip="Branson, MO Micropolitan Statistical Area" display="https://en.wikipedia.org/wiki/Branson,_MO_Micropolitan_Statistical_Area" xr:uid="{78858EC2-1ECD-9C4D-89DF-161436A483B6}"/>
    <hyperlink ref="F429" r:id="rId708" tooltip="Springfield-Branson, MO Combined Statistical Area" display="https://en.wikipedia.org/wiki/Springfield-Branson,_MO_Combined_Statistical_Area" xr:uid="{0C6EC5E6-8A2C-F84B-95DA-E2BF9916160D}"/>
    <hyperlink ref="B430" r:id="rId709" tooltip="Watertown-Fort Atkinson, WI Micropolitan Statistical Area" display="https://en.wikipedia.org/wiki/Watertown-Fort_Atkinson,_WI_Micropolitan_Statistical_Area" xr:uid="{D4EF94AD-6E3E-E848-98FB-88C10515E763}"/>
    <hyperlink ref="F430" r:id="rId710" tooltip="Milwaukee-Racine-Waukesha, WI Combined Statistical Area" display="https://en.wikipedia.org/wiki/Milwaukee-Racine-Waukesha,_WI_Combined_Statistical_Area" xr:uid="{C8BFB916-6182-8F4E-86EC-11BECE81226E}"/>
    <hyperlink ref="B431" r:id="rId711" tooltip="Midland, MI Metropolitan Statistical Area" display="https://en.wikipedia.org/wiki/Midland,_MI_Metropolitan_Statistical_Area" xr:uid="{D72815E1-4B26-FF4A-B676-8830E3B54185}"/>
    <hyperlink ref="F431" r:id="rId712" tooltip="Saginaw-Midland-Bay City, MI Combined Statistical Area" display="https://en.wikipedia.org/wiki/Saginaw-Midland-Bay_City,_MI_Combined_Statistical_Area" xr:uid="{7BC6EDD6-829E-C749-A036-995307A7CD1C}"/>
    <hyperlink ref="B432" r:id="rId713" tooltip="Pocatello, ID Metropolitan Statistical Area" display="https://en.wikipedia.org/wiki/Pocatello,_ID_Metropolitan_Statistical_Area" xr:uid="{646239A0-A56E-AE45-9DB7-F5C8F92A8238}"/>
    <hyperlink ref="B433" r:id="rId714" tooltip="Opelousas, LA Micropolitan Statistical Area" display="https://en.wikipedia.org/wiki/Opelousas,_LA_Micropolitan_Statistical_Area" xr:uid="{CC4E20AE-DF7B-3345-870C-20F1D33116F2}"/>
    <hyperlink ref="F433" r:id="rId715" tooltip="Lafayette-Opelousas-Morgan City, LA Combined Statistical Area" display="https://en.wikipedia.org/wiki/Lafayette-Opelousas-Morgan_City,_LA_Combined_Statistical_Area" xr:uid="{51B0BD79-B4EF-5F41-8067-BDCC795551CC}"/>
    <hyperlink ref="B434" r:id="rId716" tooltip="Grand Island, NE Metropolitan Statistical Area" display="https://en.wikipedia.org/wiki/Grand_Island,_NE_Metropolitan_Statistical_Area" xr:uid="{ED672E4D-0EA3-4846-AB77-A3AE22326429}"/>
    <hyperlink ref="B435" r:id="rId717" tooltip="Grants Pass, OR Metropolitan Statistical Area" display="https://en.wikipedia.org/wiki/Grants_Pass,_OR_Metropolitan_Statistical_Area" xr:uid="{32AF0E80-1792-714F-8455-C9EAE291C42F}"/>
    <hyperlink ref="F435" r:id="rId718" tooltip="Medford-Grants Pass, OR Combined Statistical Area" display="https://en.wikipedia.org/wiki/Medford-Grants_Pass,_OR_Combined_Statistical_Area" xr:uid="{4B885F5F-F893-484B-989F-98C325171F04}"/>
    <hyperlink ref="B436" r:id="rId719" tooltip="Kokomo, IN Metropolitan Statistical Area" display="https://en.wikipedia.org/wiki/Kokomo,_IN_Metropolitan_Statistical_Area" xr:uid="{C88B74CD-2A36-F34C-9B08-DB4FE43700DA}"/>
    <hyperlink ref="F436" r:id="rId720" tooltip="Kokomo-Peru, IN Combined Statistical Area" display="https://en.wikipedia.org/wiki/Kokomo-Peru,_IN_Combined_Statistical_Area" xr:uid="{6ACC4A7D-B349-7B46-8C5D-91612FB6846B}"/>
    <hyperlink ref="B437" r:id="rId721" tooltip="Huntsville, TX Micropolitan Statistical Area" display="https://en.wikipedia.org/wiki/Huntsville,_TX_Micropolitan_Statistical_Area" xr:uid="{0ABBC7D2-8445-6248-9813-25A6E1BEC04F}"/>
    <hyperlink ref="F437" r:id="rId722" tooltip="Houston-The Woodlands, TX Combined Statistical Area" display="https://en.wikipedia.org/wiki/Houston-The_Woodlands,_TX_Combined_Statistical_Area" xr:uid="{C4326168-69F1-4F40-A764-57AADEB9044E}"/>
    <hyperlink ref="B438" r:id="rId723" tooltip="Wilson, NC Micropolitan Statistical Area" display="https://en.wikipedia.org/wiki/Wilson,_NC_Micropolitan_Statistical_Area" xr:uid="{7C7E1377-73F1-7F49-A4E2-CC94E3F90D5F}"/>
    <hyperlink ref="F438" r:id="rId724" tooltip="Rocky Mount-Wilson-Roanoke Rapids, NC Combined Statistical Area" display="https://en.wikipedia.org/wiki/Rocky_Mount-Wilson-Roanoke_Rapids,_NC_Combined_Statistical_Area" xr:uid="{30928663-A7B9-C44C-BBA2-F7C5666C1B61}"/>
    <hyperlink ref="B439" r:id="rId725" tooltip="Great Falls, MT Metropolitan Statistical Area" display="https://en.wikipedia.org/wiki/Great_Falls,_MT_Metropolitan_Statistical_Area" xr:uid="{83DAB2C6-1BCC-5C44-AA95-EC8D19E84DE7}"/>
    <hyperlink ref="B440" r:id="rId726" tooltip="Plattsburgh, NY Micropolitan Statistical Area" display="https://en.wikipedia.org/wiki/Plattsburgh,_NY_Micropolitan_Statistical_Area" xr:uid="{5DB22D16-8561-964A-83E7-5CDDA8C2E338}"/>
    <hyperlink ref="B441" r:id="rId727" tooltip="Hinesville, GA Metropolitan Statistical Area" display="https://en.wikipedia.org/wiki/Hinesville,_GA_Metropolitan_Statistical_Area" xr:uid="{B4960769-A9FF-A749-BA47-DD23CA6B2990}"/>
    <hyperlink ref="F441" r:id="rId728" tooltip="Savannah-Hinesville-Statesboro, GA Combined Statistical Area" display="https://en.wikipedia.org/wiki/Savannah-Hinesville-Statesboro,_GA_Combined_Statistical_Area" xr:uid="{715F8D48-24C2-2149-B7B2-52CE03F14216}"/>
    <hyperlink ref="B442" r:id="rId729" tooltip="DuBois, PA Micropolitan Statistical Area" display="https://en.wikipedia.org/wiki/DuBois,_PA_Micropolitan_Statistical_Area" xr:uid="{3C510427-2E83-2343-859E-CABEA24FC1DB}"/>
    <hyperlink ref="F442" r:id="rId730" tooltip="State College-DuBois, PA Combined Statistical Area" display="https://en.wikipedia.org/wiki/State_College-DuBois,_PA_Combined_Statistical_Area" xr:uid="{A656CA0A-E933-5840-80AE-BE736AD429F9}"/>
    <hyperlink ref="B443" r:id="rId731" tooltip="Danville, IL Metropolitan Statistical Area" display="https://en.wikipedia.org/wiki/Danville,_IL_Metropolitan_Statistical_Area" xr:uid="{603E789E-513A-8E48-9FFD-8C00B0F7B1F1}"/>
    <hyperlink ref="B444" r:id="rId732" tooltip="Manitowoc, WI Micropolitan Statistical Area" display="https://en.wikipedia.org/wiki/Manitowoc,_WI_Micropolitan_Statistical_Area" xr:uid="{D852D2AA-740C-3F45-BEDA-78EEEEEB6580}"/>
    <hyperlink ref="B445" r:id="rId733" tooltip="Cullman, AL Micropolitan Statistical Area" display="https://en.wikipedia.org/wiki/Cullman,_AL_Micropolitan_Statistical_Area" xr:uid="{0692B305-4960-3148-8E44-FD2610B77622}"/>
    <hyperlink ref="F445" r:id="rId734" tooltip="Birmingham-Hoover-Talladega, AL Combined Statistical Area" display="https://en.wikipedia.org/wiki/Birmingham-Hoover-Talladega,_AL_Combined_Statistical_Area" xr:uid="{57369505-0997-6748-A7D6-67D8D811ABCC}"/>
    <hyperlink ref="B446" r:id="rId735" tooltip="Auburn, NY Micropolitan Statistical Area" display="https://en.wikipedia.org/wiki/Auburn,_NY_Micropolitan_Statistical_Area" xr:uid="{42811A67-4E0B-2E48-8571-0AEFF877EBC4}"/>
    <hyperlink ref="F446" r:id="rId736" tooltip="Syracuse-Auburn, NY Combined Statistical Area" display="https://en.wikipedia.org/wiki/Syracuse-Auburn,_NY_Combined_Statistical_Area" xr:uid="{54DFDE8D-D2D2-DF48-9549-D6F2B1892BE7}"/>
    <hyperlink ref="B447" r:id="rId737" tooltip="Olean, NY Micropolitan Statistical Area" display="https://en.wikipedia.org/wiki/Olean,_NY_Micropolitan_Statistical_Area" xr:uid="{C2632F4A-47CB-F048-8DA6-2D9A759792B3}"/>
    <hyperlink ref="F447" r:id="rId738" tooltip="Buffalo-Cheektowaga, NY Combined Statistical Area" display="https://en.wikipedia.org/wiki/Buffalo-Cheektowaga,_NY_Combined_Statistical_Area" xr:uid="{E72AEF5E-BCF8-A343-9AEC-7C79439160AB}"/>
    <hyperlink ref="B448" r:id="rId739" tooltip="Oak Harbor, WA Micropolitan Statistical Area" display="https://en.wikipedia.org/wiki/Oak_Harbor,_WA_Micropolitan_Statistical_Area" xr:uid="{E8449675-ACFB-DE46-9D25-E1AD651D0810}"/>
    <hyperlink ref="F448" r:id="rId740" tooltip="Seattle-Tacoma, WA Combined Statistical Area" display="https://en.wikipedia.org/wiki/Seattle-Tacoma,_WA_Combined_Statistical_Area" xr:uid="{BFC057C5-BC98-4441-AC74-E45D795A9945}"/>
    <hyperlink ref="B449" r:id="rId741" tooltip="Columbus, IN Metropolitan Statistical Area" display="https://en.wikipedia.org/wiki/Columbus,_IN_Metropolitan_Statistical_Area" xr:uid="{FC4B80A2-731A-624A-BADE-D223833C27EE}"/>
    <hyperlink ref="F449" r:id="rId742" tooltip="Indianapolis-Carmel-Muncie, IN Combined Statistical Area" display="https://en.wikipedia.org/wiki/Indianapolis-Carmel-Muncie,_IN_Combined_Statistical_Area" xr:uid="{39BFAD66-C764-5345-9B96-3BF0E84024AB}"/>
    <hyperlink ref="B450" r:id="rId743" tooltip="Athens, TX Micropolitan Statistical Area" display="https://en.wikipedia.org/wiki/Athens,_TX_Micropolitan_Statistical_Area" xr:uid="{92E9027A-C6C1-924E-B22B-215577375435}"/>
    <hyperlink ref="F450" r:id="rId744" tooltip="Dallas-Fort Worth, TX-OK Combined Statistical Area" display="https://en.wikipedia.org/wiki/Dallas-Fort_Worth,_TX-OK_Combined_Statistical_Area" xr:uid="{8950D49A-BA4C-4C4B-8D8C-107E9D318393}"/>
    <hyperlink ref="B451" r:id="rId745" tooltip="Casper, WY Metropolitan Statistical Area" display="https://en.wikipedia.org/wiki/Casper,_WY_Metropolitan_Statistical_Area" xr:uid="{8A6D9A63-5F4D-E249-B421-5B36FDF357BC}"/>
    <hyperlink ref="B452" r:id="rId746" tooltip="Searcy, AR Micropolitan Statistical Area" display="https://en.wikipedia.org/wiki/Searcy,_AR_Micropolitan_Statistical_Area" xr:uid="{E01D0B99-65B7-0844-9E67-A3632D32A9CF}"/>
    <hyperlink ref="F452" r:id="rId747" tooltip="Little Rock-North Little Rock, AR Combined Statistical Area" display="https://en.wikipedia.org/wiki/Little_Rock-North_Little_Rock,_AR_Combined_Statistical_Area" xr:uid="{B3E5526F-97C5-AD4F-9D0B-141E3C36D5B6}"/>
    <hyperlink ref="B453" r:id="rId748" tooltip="Portsmouth, OH Micropolitan Statistical Area" display="https://en.wikipedia.org/wiki/Portsmouth,_OH_Micropolitan_Statistical_Area" xr:uid="{AF742B98-FD43-3F4E-8D56-35927FB95ACC}"/>
    <hyperlink ref="F453" r:id="rId749" tooltip="Charleston-Huntington-Ashland, WV-OH-KY Combined Statistical Area" display="https://en.wikipedia.org/wiki/Charleston-Huntington-Ashland,_WV-OH-KY_Combined_Statistical_Area" xr:uid="{F7C8DDE2-1116-AD4A-9D76-52953C263442}"/>
    <hyperlink ref="B454" r:id="rId750" tooltip="Stillwater, OK Micropolitan Statistical Area" display="https://en.wikipedia.org/wiki/Stillwater,_OK_Micropolitan_Statistical_Area" xr:uid="{65ED9EFB-283E-9544-ADC8-2EC83F132D01}"/>
    <hyperlink ref="B455" r:id="rId751" tooltip="Warsaw, IN Micropolitan Statistical Area" display="https://en.wikipedia.org/wiki/Warsaw,_IN_Micropolitan_Statistical_Area" xr:uid="{800D651F-C650-FC42-9863-CADB0AB1CEC0}"/>
    <hyperlink ref="B456" r:id="rId752" tooltip="Chillicothe, OH Micropolitan Statistical Area" display="https://en.wikipedia.org/wiki/Chillicothe,_OH_Micropolitan_Statistical_Area" xr:uid="{2DD47631-32FE-1E47-93C6-C9421CB25538}"/>
    <hyperlink ref="F456" r:id="rId753" tooltip="Columbus-Marion-Zanesville, OH Combined Statistical Area" display="https://en.wikipedia.org/wiki/Columbus-Marion-Zanesville,_OH_Combined_Statistical_Area" xr:uid="{8A653D45-C6AC-CD48-BE72-53E45F3A1535}"/>
    <hyperlink ref="B457" r:id="rId754" tooltip="Quincy, IL-MO Micropolitan Statistical Area" display="https://en.wikipedia.org/wiki/Quincy,_IL-MO_Micropolitan_Statistical_Area" xr:uid="{5CFCBA76-D666-5D42-82DE-082B40056B2C}"/>
    <hyperlink ref="F457" r:id="rId755" tooltip="Quincy-Hannibal, IL-MO Combined Statistical Area" display="https://en.wikipedia.org/wiki/Quincy-Hannibal,_IL-MO_Combined_Statistical_Area" xr:uid="{F78E359E-494D-E248-A4E1-16B0F19C44E9}"/>
    <hyperlink ref="B458" r:id="rId756" tooltip="Somerset, PA Micropolitan Statistical Area" display="https://en.wikipedia.org/wiki/Somerset,_PA_Micropolitan_Statistical_Area" xr:uid="{BBB635C0-8649-5245-B9BC-915CBCDEA1A8}"/>
    <hyperlink ref="F458" r:id="rId757" tooltip="Johnstown-Somerset, PA Combined Statistical Area" display="https://en.wikipedia.org/wiki/Johnstown-Somerset,_PA_Combined_Statistical_Area" xr:uid="{9849A3A0-EA75-984D-96B4-E3228DF22B1F}"/>
    <hyperlink ref="B459" r:id="rId758" tooltip="Keene, NH Micropolitan Statistical Area" display="https://en.wikipedia.org/wiki/Keene,_NH_Micropolitan_Statistical_Area" xr:uid="{E88CE2E4-A8EA-4F44-A785-CE6E96029190}"/>
    <hyperlink ref="B460" r:id="rId759" tooltip="Sandusky, OH Micropolitan Statistical Area" display="https://en.wikipedia.org/wiki/Sandusky,_OH_Micropolitan_Statistical_Area" xr:uid="{10392F06-F986-2F4B-A445-4334D7D1E41E}"/>
    <hyperlink ref="F460" r:id="rId760" tooltip="Cleveland-Akron-Canton, OH Combined Statistical Area" display="https://en.wikipedia.org/wiki/Cleveland-Akron-Canton,_OH_Combined_Statistical_Area" xr:uid="{3A4859CF-9A42-2548-9789-033584C732CE}"/>
    <hyperlink ref="B461" r:id="rId761" tooltip="Helena, MT Micropolitan Statistical Area" display="https://en.wikipedia.org/wiki/Helena,_MT_Micropolitan_Statistical_Area" xr:uid="{D69A5DC9-6180-324D-B7FA-D96A972F5569}"/>
    <hyperlink ref="B462" r:id="rId762" tooltip="Findlay, OH Micropolitan Statistical Area" display="https://en.wikipedia.org/wiki/Findlay,_OH_Micropolitan_Statistical_Area" xr:uid="{7F7F199F-8261-EB48-9322-D220223BD7EA}"/>
    <hyperlink ref="F462" r:id="rId763" tooltip="Findlay-Tiffin, OH Combined Statistical Area" display="https://en.wikipedia.org/wiki/Findlay-Tiffin,_OH_Combined_Statistical_Area" xr:uid="{1941077F-D1EC-9E43-AF75-1DB8866FBA95}"/>
    <hyperlink ref="B463" r:id="rId764" tooltip="Centralia, WA Micropolitan Statistical Area" display="https://en.wikipedia.org/wiki/Centralia,_WA_Micropolitan_Statistical_Area" xr:uid="{4FD654DD-C345-C247-BE09-664C789285B9}"/>
    <hyperlink ref="F463" r:id="rId765" tooltip="Seattle-Tacoma, WA Combined Statistical Area" display="https://en.wikipedia.org/wiki/Seattle-Tacoma,_WA_Combined_Statistical_Area" xr:uid="{2A4754E9-1846-1F42-AE21-17B92A37FF3B}"/>
    <hyperlink ref="B464" r:id="rId766" tooltip="Roanoke Rapids, NC Micropolitan Statistical Area" display="https://en.wikipedia.org/wiki/Roanoke_Rapids,_NC_Micropolitan_Statistical_Area" xr:uid="{0FC3DAE5-D3C5-D249-8DDC-8A1729299744}"/>
    <hyperlink ref="F464" r:id="rId767" tooltip="Rocky Mount-Wilson-Roanoke Rapids, NC Combined Statistical Area" display="https://en.wikipedia.org/wiki/Rocky_Mount-Wilson-Roanoke_Rapids,_NC_Combined_Statistical_Area" xr:uid="{4C50983B-E9F8-4446-851C-99B6D06FC7FB}"/>
    <hyperlink ref="B465" r:id="rId768" tooltip="Key West, FL Micropolitan Statistical Area" display="https://en.wikipedia.org/wiki/Key_West,_FL_Micropolitan_Statistical_Area" xr:uid="{DB1A3038-7A83-BC49-A8F8-04F153F095DC}"/>
    <hyperlink ref="B466" r:id="rId769" tooltip="Seneca, SC Micropolitan Statistical Area" display="https://en.wikipedia.org/wiki/Seneca,_SC_Micropolitan_Statistical_Area" xr:uid="{F4D043EE-A294-AA48-A787-A7878C07447E}"/>
    <hyperlink ref="F466" r:id="rId770" tooltip="Greenville-Spartanburg-Anderson, SC Combined Statistical Area" display="https://en.wikipedia.org/wiki/Greenville-Spartanburg-Anderson,_SC_Combined_Statistical_Area" xr:uid="{643B6C5D-CF00-EC4F-869E-58A3B1C87A33}"/>
    <hyperlink ref="B467" r:id="rId771" tooltip="Wisconsin Rapids-Marshfield, WI Micropolitan Statistical Area" display="https://en.wikipedia.org/wiki/Wisconsin_Rapids-Marshfield,_WI_Micropolitan_Statistical_Area" xr:uid="{2A84B113-D194-7548-B7F0-3ABC57A43160}"/>
    <hyperlink ref="F467" r:id="rId772" tooltip="Wausau-Stevens Point-Wisconsin Rapids, WI Combined Statistical Area" display="https://en.wikipedia.org/wiki/Wausau-Stevens_Point-Wisconsin_Rapids,_WI_Combined_Statistical_Area" xr:uid="{2BBAB30A-DCD5-0547-BEBB-4A0FF3101D9A}"/>
    <hyperlink ref="B468" r:id="rId773" tooltip="Glenwood Springs, CO Micropolitan Statistical Area" display="https://en.wikipedia.org/wiki/Glenwood_Springs,_CO_Micropolitan_Statistical_Area" xr:uid="{E36EF813-DAA3-BA43-9E2E-23AA1943574F}"/>
    <hyperlink ref="F468" r:id="rId774" tooltip="Edwards-Glenwood Springs, CO Combined Statistical Area" display="https://en.wikipedia.org/wiki/Edwards-Glenwood_Springs,_CO_Combined_Statistical_Area" xr:uid="{B7617919-E0B0-6047-A218-9C545653ED6D}"/>
    <hyperlink ref="B469" r:id="rId775" tooltip="Mount Airy, NC Micropolitan Statistical Area" display="https://en.wikipedia.org/wiki/Mount_Airy,_NC_Micropolitan_Statistical_Area" xr:uid="{EB8A2F6B-05F6-6742-8884-1FC3CE4C4CE7}"/>
    <hyperlink ref="F469" r:id="rId776" tooltip="Greensboro–Winston-Salem–High Point, NC Combined Statistical Area" display="https://en.wikipedia.org/wiki/Greensboro%E2%80%93Winston-Salem%E2%80%93High_Point,_NC_Combined_Statistical_Area" xr:uid="{EA27A124-AFD1-9349-B08F-FBB8248CAF70}"/>
    <hyperlink ref="B470" r:id="rId777" tooltip="Palatka, FL Micropolitan Statistical Area" display="https://en.wikipedia.org/wiki/Palatka,_FL_Micropolitan_Statistical_Area" xr:uid="{F644B08B-510F-F649-90CC-F1278FB3FE6C}"/>
    <hyperlink ref="F470" r:id="rId778" tooltip="Jacksonville-St. Marys-Palatka, FL-GA Combined Statistical Area" display="https://en.wikipedia.org/wiki/Jacksonville-St._Marys-Palatka,_FL-GA_Combined_Statistical_Area" xr:uid="{560C1795-44C0-824E-9DD6-738A0AADD349}"/>
    <hyperlink ref="B471" r:id="rId779" tooltip="Minot, ND Micropolitan Statistical Area" display="https://en.wikipedia.org/wiki/Minot,_ND_Micropolitan_Statistical_Area" xr:uid="{34C98297-2E5E-B44F-A351-BF3B936F0C5B}"/>
    <hyperlink ref="B472" r:id="rId780" tooltip="Gallup, NM Micropolitan Statistical Area" display="https://en.wikipedia.org/wiki/Gallup,_NM_Micropolitan_Statistical_Area" xr:uid="{52842E4B-ACD3-3540-AB72-477A69500236}"/>
    <hyperlink ref="B473" r:id="rId781" tooltip="Statesboro, GA Micropolitan Statistical Area" display="https://en.wikipedia.org/wiki/Statesboro,_GA_Micropolitan_Statistical_Area" xr:uid="{FD7A464F-1D9D-504B-9485-5A426425BA5B}"/>
    <hyperlink ref="F473" r:id="rId782" tooltip="Savannah-Hinesville-Statesboro, GA Combined Statistical Area" display="https://en.wikipedia.org/wiki/Savannah-Hinesville-Statesboro,_GA_Combined_Statistical_Area" xr:uid="{DB91D72F-EDA2-9843-9FEA-453293691E8F}"/>
    <hyperlink ref="B474" r:id="rId783" tooltip="Port Angeles, WA Micropolitan Statistical Area" display="https://en.wikipedia.org/wiki/Port_Angeles,_WA_Micropolitan_Statistical_Area" xr:uid="{4EBAD25A-79CA-2C48-9F47-CABC7FFEDD96}"/>
    <hyperlink ref="B475" r:id="rId784" tooltip="Aberdeen, WA Micropolitan Statistical Area" display="https://en.wikipedia.org/wiki/Aberdeen,_WA_Micropolitan_Statistical_Area" xr:uid="{873039AE-D179-2D44-A01B-EEA584F208FD}"/>
    <hyperlink ref="B476" r:id="rId785" tooltip="Greenfield Town, MA Micropolitan Statistical Area" display="https://en.wikipedia.org/wiki/Greenfield_Town,_MA_Micropolitan_Statistical_Area" xr:uid="{7E4846D5-9E8E-7244-86DE-9B62D5264570}"/>
    <hyperlink ref="F476" r:id="rId786" tooltip="Springfield-Greenfield Town, MA Combined Statistical Area" display="https://en.wikipedia.org/wiki/Springfield-Greenfield_Town,_MA_Combined_Statistical_Area" xr:uid="{C12355AB-E44E-984C-949D-151B7229FC7A}"/>
    <hyperlink ref="B477" r:id="rId787" tooltip="Frankfort, KY Micropolitan Statistical Area" display="https://en.wikipedia.org/wiki/Frankfort,_KY_Micropolitan_Statistical_Area" xr:uid="{16475119-89B5-984A-9912-57540DA95051}"/>
    <hyperlink ref="F477" r:id="rId788" tooltip="Lexington-Fayette–Richmond–Frankfort, KY Combined Statistical Area" display="https://en.wikipedia.org/wiki/Lexington-Fayette%E2%80%93Richmond%E2%80%93Frankfort,_KY_Combined_Statistical_Area" xr:uid="{F7652103-656D-D94B-946F-045D3EF47FDA}"/>
    <hyperlink ref="B478" r:id="rId789" tooltip="Shawnee, OK Micropolitan Statistical Area" display="https://en.wikipedia.org/wiki/Shawnee,_OK_Micropolitan_Statistical_Area" xr:uid="{EE521620-082F-694D-B1E4-1E0E854D50EB}"/>
    <hyperlink ref="F478" r:id="rId790" tooltip="Oklahoma City-Shawnee, OK Combined Statistical Area" display="https://en.wikipedia.org/wiki/Oklahoma_City-Shawnee,_OK_Combined_Statistical_Area" xr:uid="{2A165B3C-43A1-7C46-A154-0D1AC0F0A9EC}"/>
    <hyperlink ref="B479" r:id="rId791" tooltip="Mount Pleasant, MI Micropolitan Statistical Area" display="https://en.wikipedia.org/wiki/Mount_Pleasant,_MI_Micropolitan_Statistical_Area" xr:uid="{AC54586F-05B2-B74B-8721-A3E78C89DC50}"/>
    <hyperlink ref="F479" r:id="rId792" tooltip="Mount Pleasant-Alma, MI Combined Statistical Area" display="https://en.wikipedia.org/wiki/Mount_Pleasant-Alma,_MI_Combined_Statistical_Area" xr:uid="{2B4D701A-D4BE-EC47-B8BA-53600AD4BF98}"/>
    <hyperlink ref="B480" r:id="rId793" tooltip="Muskogee, OK Micropolitan Statistical Area" display="https://en.wikipedia.org/wiki/Muskogee,_OK_Micropolitan_Statistical_Area" xr:uid="{230D84E9-3393-6E4C-9BD6-E450FE8DF708}"/>
    <hyperlink ref="F480" r:id="rId794" tooltip="Tulsa-Muskogee-Bartlesville, OK Combined Statistical Area" display="https://en.wikipedia.org/wiki/Tulsa-Muskogee-Bartlesville,_OK_Combined_Statistical_Area" xr:uid="{D94BDEB8-9135-7B48-9E03-72EA3E7D8FBB}"/>
    <hyperlink ref="B481" r:id="rId795" tooltip="Stevens Point, WI Micropolitan Statistical Area" display="https://en.wikipedia.org/wiki/Stevens_Point,_WI_Micropolitan_Statistical_Area" xr:uid="{C214D7FC-BFA5-CF46-9F61-38DC5E3368EE}"/>
    <hyperlink ref="F481" r:id="rId796" tooltip="Wausau-Stevens Point-Wisconsin Rapids, WI Combined Statistical Area" display="https://en.wikipedia.org/wiki/Wausau-Stevens_Point-Wisconsin_Rapids,_WI_Combined_Statistical_Area" xr:uid="{3C8E0BCC-3E4D-9F41-9540-B37406629E84}"/>
    <hyperlink ref="B482" r:id="rId797" tooltip="Marion, IN Micropolitan Statistical Area" display="https://en.wikipedia.org/wiki/Marion,_IN_Micropolitan_Statistical_Area" xr:uid="{5CB0991A-06CD-9743-9B1A-ED8780700C98}"/>
    <hyperlink ref="B483" r:id="rId798" tooltip="North Wilkesboro, NC Micropolitan Statistical Area" display="https://en.wikipedia.org/wiki/North_Wilkesboro,_NC_Micropolitan_Statistical_Area" xr:uid="{D2C642D3-5575-2249-A615-2C9A663E5AEB}"/>
    <hyperlink ref="B484" r:id="rId799" tooltip="Owosso, MI Micropolitan Statistical Area" display="https://en.wikipedia.org/wiki/Owosso,_MI_Micropolitan_Statistical_Area" xr:uid="{8D095049-50C4-CA40-B1D4-3BB57FE4B6EE}"/>
    <hyperlink ref="F484" r:id="rId800" tooltip="Lansing-East Lansing-Owosso, MI Combined Statistical Area" display="https://en.wikipedia.org/wiki/Lansing-East_Lansing-Owosso,_MI_Combined_Statistical_Area" xr:uid="{D5B68786-B7E9-BF4B-B44C-7B642E926E04}"/>
    <hyperlink ref="B485" r:id="rId801" tooltip="Greeneville, TN Micropolitan Statistical Area" display="https://en.wikipedia.org/wiki/Greeneville,_TN_Micropolitan_Statistical_Area" xr:uid="{A3ECC141-5F7C-484D-BF2A-000105BCD161}"/>
    <hyperlink ref="B486" r:id="rId802" tooltip="LaGrange, GA Micropolitan Statistical Area" display="https://en.wikipedia.org/wiki/LaGrange,_GA_Micropolitan_Statistical_Area" xr:uid="{7DBA53A4-39D6-024D-BE7C-9DB02C68EAD2}"/>
    <hyperlink ref="F486" r:id="rId803" tooltip="Atlanta–Athens-Clarke County–Sandy Springs, GA Combined Statistical Area" display="https://en.wikipedia.org/wiki/Atlanta%E2%80%93Athens-Clarke_County%E2%80%93Sandy_Springs,_GA_Combined_Statistical_Area" xr:uid="{42EBF630-951A-864B-A742-6FF83D26D339}"/>
    <hyperlink ref="B487" r:id="rId804" tooltip="Kapaa, HI Micropolitan Statistical Area" display="https://en.wikipedia.org/wiki/Kapaa,_HI_Micropolitan_Statistical_Area" xr:uid="{B2D3440C-1AA1-9D49-95C9-ECF266C5FF5C}"/>
    <hyperlink ref="B488" r:id="rId805" tooltip="Richmond, IN Micropolitan Statistical Area" display="https://en.wikipedia.org/wiki/Richmond,_IN_Micropolitan_Statistical_Area" xr:uid="{7089B194-56B8-A746-A3C4-326C925F6254}"/>
    <hyperlink ref="F488" r:id="rId806" tooltip="Richmond-Connersville, IN Combined Statistical Area" display="https://en.wikipedia.org/wiki/Richmond-Connersville,_IN_Combined_Statistical_Area" xr:uid="{1BF21F0B-D13F-0549-BC30-EC17AD5CAD29}"/>
    <hyperlink ref="B489" r:id="rId807" tooltip="Lake City, FL Micropolitan Statistical Area" display="https://en.wikipedia.org/wiki/Lake_City,_FL_Micropolitan_Statistical_Area" xr:uid="{B029B02F-87AE-CB46-B8DE-0A5E1A74E53D}"/>
    <hyperlink ref="F489" r:id="rId808" tooltip="Gainesville-Lake City, FL Combined Statistical Area" display="https://en.wikipedia.org/wiki/Gainesville-Lake_City,_FL_Combined_Statistical_Area" xr:uid="{83E78171-442C-A942-A92B-E468BBB5B14F}"/>
    <hyperlink ref="B490" r:id="rId809" tooltip="Marquette, MI Micropolitan Statistical Area" display="https://en.wikipedia.org/wiki/Marquette,_MI_Micropolitan_Statistical_Area" xr:uid="{1FEBA2B9-D6E7-3B43-A649-B8BA255FE6CA}"/>
    <hyperlink ref="B491" r:id="rId810" tooltip="Morehead City, NC Micropolitan Statistical Area" display="https://en.wikipedia.org/wiki/Morehead_City,_NC_Micropolitan_Statistical_Area" xr:uid="{18F099B0-B512-3148-80EB-B7E4C77674F9}"/>
    <hyperlink ref="F491" r:id="rId811" tooltip="New Bern-Morehead City, NC Combined Statistical Area" display="https://en.wikipedia.org/wiki/New_Bern-Morehead_City,_NC_Combined_Statistical_Area" xr:uid="{BC205510-5218-C04B-A900-584E11846155}"/>
    <hyperlink ref="B492" r:id="rId812" tooltip="Marshall, TX Micropolitan Statistical Area" display="https://en.wikipedia.org/wiki/Marshall,_TX_Micropolitan_Statistical_Area" xr:uid="{38261DCD-BDEA-F548-9D96-47A5E5B39E74}"/>
    <hyperlink ref="F492" r:id="rId813" tooltip="Longview-Marshall, TX Combined Statistical Area" display="https://en.wikipedia.org/wiki/Longview-Marshall,_TX_Combined_Statistical_Area" xr:uid="{8963705F-5FD4-6043-ABE9-048C99E70DCE}"/>
    <hyperlink ref="B493" r:id="rId814" tooltip="Forest City, NC Micropolitan Statistical Area" display="https://en.wikipedia.org/wiki/Forest_City,_NC_Micropolitan_Statistical_Area" xr:uid="{C60FE01C-3E67-F146-87DE-6DAAADA10FBF}"/>
    <hyperlink ref="B494" r:id="rId815" tooltip="Martinsville, VA Micropolitan Statistical Area" display="https://en.wikipedia.org/wiki/Martinsville,_VA_Micropolitan_Statistical_Area" xr:uid="{561BF9A6-E57E-174F-BC20-CCF996AB9346}"/>
    <hyperlink ref="B495" r:id="rId816" tooltip="Hobbs, NM Micropolitan Statistical Area" display="https://en.wikipedia.org/wiki/Hobbs,_NM_Micropolitan_Statistical_Area" xr:uid="{D2530EA6-01AE-7249-A316-CE721501B3E9}"/>
    <hyperlink ref="B496" r:id="rId817" tooltip="Marion, OH Micropolitan Statistical Area" display="https://en.wikipedia.org/wiki/Marion,_OH_Micropolitan_Statistical_Area" xr:uid="{8DF928A4-2EAF-E74C-804B-0783BBB1E743}"/>
    <hyperlink ref="F496" r:id="rId818" tooltip="Columbus-Marion-Zanesville, OH Combined Statistical Area" display="https://en.wikipedia.org/wiki/Columbus-Marion-Zanesville,_OH_Combined_Statistical_Area" xr:uid="{0CB0FE46-1D35-D047-9C2B-9673713E1E69}"/>
    <hyperlink ref="B497" r:id="rId819" tooltip="Alamogordo, NM Micropolitan Statistical Area" display="https://en.wikipedia.org/wiki/Alamogordo,_NM_Micropolitan_Statistical_Area" xr:uid="{1428096E-BF9E-E249-AB61-CDB96B77B2DD}"/>
    <hyperlink ref="B498" r:id="rId820" tooltip="Nacogdoches, TX Micropolitan Statistical Area" display="https://en.wikipedia.org/wiki/Nacogdoches,_TX_Micropolitan_Statistical_Area" xr:uid="{05CEBBFA-BE79-C14A-B02F-D14C819D5A7A}"/>
    <hyperlink ref="B499" r:id="rId821" tooltip="Farmington, MO Micropolitan Statistical Area" display="https://en.wikipedia.org/wiki/Farmington,_MO_Micropolitan_Statistical_Area" xr:uid="{42547024-C9A7-2343-933A-854AB5E7D84A}"/>
    <hyperlink ref="F499" r:id="rId822" tooltip="St. Louis-St. Charles-Farmington, MO-IL Combined Statistical Area" display="https://en.wikipedia.org/wiki/St._Louis-St._Charles-Farmington,_MO-IL_Combined_Statistical_Area" xr:uid="{A1DF80A4-EB55-C342-BB06-870D762C768C}"/>
    <hyperlink ref="B500" r:id="rId823" tooltip="Klamath Falls, OR Micropolitan Statistical Area" display="https://en.wikipedia.org/wiki/Klamath_Falls,_OR_Micropolitan_Statistical_Area" xr:uid="{98EA0024-E3BE-3C43-A568-04027F545404}"/>
    <hyperlink ref="B501" r:id="rId824" tooltip="Roswell, NM Micropolitan Statistical Area" display="https://en.wikipedia.org/wiki/Roswell,_NM_Micropolitan_Statistical_Area" xr:uid="{D538D52E-E856-414B-809B-E27245527152}"/>
    <hyperlink ref="B502" r:id="rId825" tooltip="Marinette, WI-MI Micropolitan Statistical Area" display="https://en.wikipedia.org/wiki/Marinette,_WI-MI_Micropolitan_Statistical_Area" xr:uid="{0123A997-3395-AF44-944B-61FBFA58DF79}"/>
    <hyperlink ref="B503" r:id="rId826" tooltip="Faribault-Northfield, MN Micropolitan Statistical Area" display="https://en.wikipedia.org/wiki/Faribault-Northfield,_MN_Micropolitan_Statistical_Area" xr:uid="{7B1424D5-6A4C-9641-9D48-51C1A22424BE}"/>
    <hyperlink ref="F503" r:id="rId827" tooltip="Minneapolis-St. Paul, MN-WI Combined Statistical Area" display="https://en.wikipedia.org/wiki/Minneapolis-St._Paul,_MN-WI_Combined_Statistical_Area" xr:uid="{A2BB2404-3A94-374F-96B9-D7E4E8D0DB29}"/>
    <hyperlink ref="B504" r:id="rId828" tooltip="Charleston-Mattoon, IL Micropolitan Statistical Area" display="https://en.wikipedia.org/wiki/Charleston-Mattoon,_IL_Micropolitan_Statistical_Area" xr:uid="{49D5C657-C6B4-CE40-AB23-D4A2DDF1D8ED}"/>
    <hyperlink ref="B505" r:id="rId829" tooltip="Hutchinson, KS Micropolitan Statistical Area" display="https://en.wikipedia.org/wiki/Hutchinson,_KS_Micropolitan_Statistical_Area" xr:uid="{4A54EB15-FD39-884F-B83D-1A02D8852726}"/>
    <hyperlink ref="B506" r:id="rId830" tooltip="Athens, OH Micropolitan Statistical Area" display="https://en.wikipedia.org/wiki/Athens,_OH_Micropolitan_Statistical_Area" xr:uid="{952ED439-1162-9547-8FF3-ADE4DABAEADB}"/>
    <hyperlink ref="B507" r:id="rId831" tooltip="Elizabeth City, NC Micropolitan Statistical Area" display="https://en.wikipedia.org/wiki/Elizabeth_City,_NC_Micropolitan_Statistical_Area" xr:uid="{97FCDC00-C4CE-8741-BBA5-7100F8E7574A}"/>
    <hyperlink ref="F507" r:id="rId832" tooltip="Virginia Beach-Norfolk, VA-NC Combined Statistical Area" display="https://en.wikipedia.org/wiki/Virginia_Beach-Norfolk,_VA-NC_Combined_Statistical_Area" xr:uid="{CFAF0D4B-BFCD-A547-ACF7-CBCAD722F0C4}"/>
    <hyperlink ref="B508" r:id="rId833" tooltip="Clearlake, CA Micropolitan Statistical Area" display="https://en.wikipedia.org/wiki/Clearlake,_CA_Micropolitan_Statistical_Area" xr:uid="{03664BFA-298B-F042-BAFF-EC70E40DEA99}"/>
    <hyperlink ref="B509" r:id="rId834" tooltip="Ionia, MI Micropolitan Statistical Area" display="https://en.wikipedia.org/wiki/Ionia,_MI_Micropolitan_Statistical_Area" xr:uid="{A3DFEBE3-9209-E446-A40F-25EF513399C7}"/>
    <hyperlink ref="F509" r:id="rId835" tooltip="Grand Rapids-Wyoming-Muskegon, MI Combined Statistical Area" display="https://en.wikipedia.org/wiki/Grand_Rapids-Wyoming-Muskegon,_MI_Combined_Statistical_Area" xr:uid="{B80B1554-FFA0-914C-A190-8CF0F73A72BD}"/>
    <hyperlink ref="B510" r:id="rId836" tooltip="Somerset, KY Micropolitan Statistical Area" display="https://en.wikipedia.org/wiki/Somerset,_KY_Micropolitan_Statistical_Area" xr:uid="{82D1B6C2-B4B4-E94A-96C2-1EEDB6F788EA}"/>
    <hyperlink ref="B511" r:id="rId837" tooltip="Red Bluff, CA Micropolitan Statistical Area" display="https://en.wikipedia.org/wiki/Red_Bluff,_CA_Micropolitan_Statistical_Area" xr:uid="{FADCA067-F033-BE4E-B5E7-E89ED85BE1D0}"/>
    <hyperlink ref="F511" r:id="rId838" tooltip="Redding-Red Bluff, CA Combined Statistical Area" display="https://en.wikipedia.org/wiki/Redding-Red_Bluff,_CA_Combined_Statistical_Area" xr:uid="{E2E226F3-46A4-A54D-BA23-4FE58945C6B6}"/>
    <hyperlink ref="B512" r:id="rId839" tooltip="Walla Walla, WA Metropolitan Statistical Area" display="https://en.wikipedia.org/wiki/Walla_Walla,_WA_Metropolitan_Statistical_Area" xr:uid="{4C2C0A25-B261-6D47-BBA0-8CBC528415CC}"/>
    <hyperlink ref="B513" r:id="rId840" tooltip="Sayre, PA Micropolitan Statistical Area" display="https://en.wikipedia.org/wiki/Sayre,_PA_Micropolitan_Statistical_Area" xr:uid="{47A1B201-8545-C845-B31F-CAD470BEF99A}"/>
    <hyperlink ref="B514" r:id="rId841" tooltip="Baraboo, WI Micropolitan Statistical Area" display="https://en.wikipedia.org/wiki/Baraboo,_WI_Micropolitan_Statistical_Area" xr:uid="{0934E65B-5986-1442-8C99-B05F2E021055}"/>
    <hyperlink ref="F514" r:id="rId842" tooltip="Madison-Janesville-Beloit, WI Combined Statistical Area" display="https://en.wikipedia.org/wiki/Madison-Janesville-Beloit,_WI_Combined_Statistical_Area" xr:uid="{BABF0CA7-BF2B-224C-9935-10AAE530BB64}"/>
    <hyperlink ref="B515" r:id="rId843" tooltip="Coos Bay, OR Micropolitan Statistical Area" display="https://en.wikipedia.org/wiki/Coos_Bay,_OR_Micropolitan_Statistical_Area" xr:uid="{900F5B4C-77CF-F34C-AF58-A51C43381A39}"/>
    <hyperlink ref="B516" r:id="rId844" tooltip="Hudson, NY Micropolitan Statistical Area" display="https://en.wikipedia.org/wiki/Hudson,_NY_Micropolitan_Statistical_Area" xr:uid="{A29AF0A2-1BC3-9648-9CFA-84FC779E752B}"/>
    <hyperlink ref="F516" r:id="rId845" tooltip="Albany-Schenectady, NY Combined Statistical Area" display="https://en.wikipedia.org/wiki/Albany-Schenectady,_NY_Combined_Statistical_Area" xr:uid="{B3B9F78F-6014-FB4D-9FCA-D721CA9F7FE3}"/>
    <hyperlink ref="B517" r:id="rId846" tooltip="Salina, KS Micropolitan Statistical Area" display="https://en.wikipedia.org/wiki/Salina,_KS_Micropolitan_Statistical_Area" xr:uid="{341901FF-6A79-F940-B707-C50A44933DD2}"/>
    <hyperlink ref="B518" r:id="rId847" tooltip="Oneonta, NY Micropolitan Statistical Area" display="https://en.wikipedia.org/wiki/Oneonta,_NY_Micropolitan_Statistical_Area" xr:uid="{F081DEB9-6EB6-114C-B48E-5BC60F0E060D}"/>
    <hyperlink ref="B519" r:id="rId848" tooltip="Rio Grande City, TX Micropolitan Statistical Area" display="https://en.wikipedia.org/wiki/Rio_Grande_City,_TX_Micropolitan_Statistical_Area" xr:uid="{CA0E4FC0-7AED-DE4E-BC50-3D870D733DBE}"/>
    <hyperlink ref="F519" r:id="rId849" tooltip="McAllen-Edinburg, TX Combined Statistical Area" display="https://en.wikipedia.org/wiki/McAllen-Edinburg,_TX_Combined_Statistical_Area" xr:uid="{7652D91C-45C8-4149-821E-D58FAB402F01}"/>
    <hyperlink ref="B520" r:id="rId850" tooltip="Fort Madison-Keokuk, IA-IL-MO Micropolitan Statistical Area" display="https://en.wikipedia.org/wiki/Fort_Madison-Keokuk,_IA-IL-MO_Micropolitan_Statistical_Area" xr:uid="{553CBEBE-108F-4E44-A5A1-91DB0AD974F1}"/>
    <hyperlink ref="B521" r:id="rId851" tooltip="Marietta, OH Micropolitan Statistical Area" display="https://en.wikipedia.org/wiki/Marietta,_OH_Micropolitan_Statistical_Area" xr:uid="{4B41B0AD-60B6-EE4E-8E45-B84C62F80F20}"/>
    <hyperlink ref="F521" r:id="rId852" tooltip="Parkersburg-Marietta-Vienna, WV-OH Combined Statistical Area" display="https://en.wikipedia.org/wiki/Parkersburg-Marietta-Vienna,_WV-OH_Combined_Statistical_Area" xr:uid="{439D366C-6938-AA42-B99F-51CCC78524E6}"/>
    <hyperlink ref="B522" r:id="rId853" tooltip="Lewiston, Idaho metropolitan area" display="https://en.wikipedia.org/wiki/Lewiston,_Idaho_metropolitan_area" xr:uid="{B67B2654-D39A-A442-B5BD-AAAB3E11742F}"/>
    <hyperlink ref="B523" r:id="rId854" tooltip="Enid, OK Micropolitan Statistical Area" display="https://en.wikipedia.org/wiki/Enid,_OK_Micropolitan_Statistical_Area" xr:uid="{A802FEE2-5529-F140-8FBE-3DF808E20250}"/>
    <hyperlink ref="B524" r:id="rId855" tooltip="Rutland, VT Micropolitan Statistical Area" display="https://en.wikipedia.org/wiki/Rutland,_VT_Micropolitan_Statistical_Area" xr:uid="{65A0B91D-37E5-0344-B4D8-2687D9C25984}"/>
    <hyperlink ref="B525" r:id="rId856" tooltip="Shelton, WA Micropolitan Statistical Area" display="https://en.wikipedia.org/wiki/Shelton,_WA_Micropolitan_Statistical_Area" xr:uid="{88998CF8-BABB-444E-AA96-C3B01B97E1B0}"/>
    <hyperlink ref="F525" r:id="rId857" tooltip="Seattle-Tacoma, WA Combined Statistical Area" display="https://en.wikipedia.org/wiki/Seattle-Tacoma,_WA_Combined_Statistical_Area" xr:uid="{232818C9-E86C-F448-82EB-58A61E0C4A91}"/>
    <hyperlink ref="B526" r:id="rId858" tooltip="Sturgis, MI Micropolitan Statistical Area" display="https://en.wikipedia.org/wiki/Sturgis,_MI_Micropolitan_Statistical_Area" xr:uid="{2001A483-A7D8-5F49-A991-60CDA56867B2}"/>
    <hyperlink ref="F526" r:id="rId859" tooltip="Kalamazoo-Battle Creek-Portage, MI Combined Statistical Area" display="https://en.wikipedia.org/wiki/Kalamazoo-Battle_Creek-Portage,_MI_Combined_Statistical_Area" xr:uid="{DE8D156F-5224-1F42-8824-A0588DB79B2C}"/>
    <hyperlink ref="B527" r:id="rId860" tooltip="Mount Vernon, OH Micropolitan Statistical Area" display="https://en.wikipedia.org/wiki/Mount_Vernon,_OH_Micropolitan_Statistical_Area" xr:uid="{AE84F9AA-BECE-6D48-A0D7-0217E859BEF3}"/>
    <hyperlink ref="F527" r:id="rId861" tooltip="Columbus-Marion-Zanesville, OH Combined Statistical Area" display="https://en.wikipedia.org/wiki/Columbus-Marion-Zanesville,_OH_Combined_Statistical_Area" xr:uid="{F9128C61-7FD8-0648-8747-3B158EC4F318}"/>
    <hyperlink ref="B528" r:id="rId862" tooltip="Big Stone Gap, VA Micropolitan Statistical Area" display="https://en.wikipedia.org/wiki/Big_Stone_Gap,_VA_Micropolitan_Statistical_Area" xr:uid="{69F55CF4-AC7C-D54C-B0D7-D0183D1B4919}"/>
    <hyperlink ref="B529" r:id="rId863" tooltip="Albemarle, NC Micropolitan Statistical Area" display="https://en.wikipedia.org/wiki/Albemarle,_NC_Micropolitan_Statistical_Area" xr:uid="{6D201AB6-711B-1C47-B761-BFC91DD734FB}"/>
    <hyperlink ref="F529" r:id="rId864" tooltip="Charlotte-Concord, NC-SC Combined Statistical Area" display="https://en.wikipedia.org/wiki/Charlotte-Concord,_NC-SC_Combined_Statistical_Area" xr:uid="{773AFFDE-8DD9-9046-B0D3-F4B46EC7AEDF}"/>
    <hyperlink ref="B530" r:id="rId865" tooltip="Jefferson, GA Micropolitan Statistical Area" display="https://en.wikipedia.org/wiki/Jefferson,_GA_Micropolitan_Statistical_Area" xr:uid="{BC510B4F-21D3-B146-AEEC-7A6A9DF51ED2}"/>
    <hyperlink ref="F530" r:id="rId866" tooltip="Atlanta–Athens-Clarke County–Sandy Springs, GA Combined Statistical Area" display="https://en.wikipedia.org/wiki/Atlanta%E2%80%93Athens-Clarke_County%E2%80%93Sandy_Springs,_GA_Combined_Statistical_Area" xr:uid="{09EE351F-947D-BB4D-8F27-B0EC6621E629}"/>
    <hyperlink ref="B531" r:id="rId867" tooltip="Fremont, OH Micropolitan Statistical Area" display="https://en.wikipedia.org/wiki/Fremont,_OH_Micropolitan_Statistical_Area" xr:uid="{FBC7970A-13B2-A14D-8765-06AC5468EE76}"/>
    <hyperlink ref="B532" r:id="rId868" tooltip="Oxford, NC Micropolitan Statistical Area" display="https://en.wikipedia.org/wiki/Oxford,_NC_Micropolitan_Statistical_Area" xr:uid="{282CD848-D49A-D748-8113-3B1CB47CF085}"/>
    <hyperlink ref="F532" r:id="rId869" tooltip="Raleigh-Durham-Chapel Hill, NC Combined Statistical Area" display="https://en.wikipedia.org/wiki/Raleigh-Durham-Chapel_Hill,_NC_Combined_Statistical_Area" xr:uid="{8F5539CD-120D-0341-BB84-28672610716B}"/>
    <hyperlink ref="B533" r:id="rId870" tooltip="Laconia, NH Micropolitan Statistical Area" display="https://en.wikipedia.org/wiki/Laconia,_NH_Micropolitan_Statistical_Area" xr:uid="{4F8A4C85-3598-2D40-8373-C263444C990B}"/>
    <hyperlink ref="F533" r:id="rId871" tooltip="Boston-Worcester-Providence, MA-RI-NH-CT Combined Statistical Area" display="https://en.wikipedia.org/wiki/Boston-Worcester-Providence,_MA-RI-NH-CT_Combined_Statistical_Area" xr:uid="{9612A1F8-11BE-1143-9979-4957C0E3CF87}"/>
    <hyperlink ref="B534" r:id="rId872" tooltip="Georgetown, SC Micropolitan Statistical Area" display="https://en.wikipedia.org/wiki/Georgetown,_SC_Micropolitan_Statistical_Area" xr:uid="{1DB10939-76D3-7745-A62D-3FB881A699D3}"/>
    <hyperlink ref="F534" r:id="rId873" tooltip="Myrtle Beach-Conway, SC-NC Combined Statistical Area" display="https://en.wikipedia.org/wiki/Myrtle_Beach-Conway,_SC-NC_Combined_Statistical_Area" xr:uid="{B80A5B56-C8F8-0048-8089-17AF5A489AB6}"/>
    <hyperlink ref="B535" r:id="rId874" tooltip="Batavia, NY Micropolitan Statistical Area" display="https://en.wikipedia.org/wiki/Batavia,_NY_Micropolitan_Statistical_Area" xr:uid="{4EEE26F7-BEE3-5A4D-9167-709E35AB0BDB}"/>
    <hyperlink ref="F535" r:id="rId875" tooltip="Rochester-Batavia-Seneca Falls, NY Combined Statistical Area" display="https://en.wikipedia.org/wiki/Rochester-Batavia-Seneca_Falls,_NY_Combined_Statistical_Area" xr:uid="{78852049-32E9-2040-A162-D2584A2311E8}"/>
    <hyperlink ref="B536" r:id="rId876" tooltip="Sanford, NC Micropolitan Statistical Area" display="https://en.wikipedia.org/wiki/Sanford,_NC_Micropolitan_Statistical_Area" xr:uid="{CB039A45-E67D-8A43-9B82-F7A106E2C392}"/>
    <hyperlink ref="F536" r:id="rId877" tooltip="Raleigh-Durham-Chapel Hill, NC Combined Statistical Area" display="https://en.wikipedia.org/wiki/Raleigh-Durham-Chapel_Hill,_NC_Combined_Statistical_Area" xr:uid="{99F0DBCB-7C94-4140-8A63-E41D550F3DD4}"/>
    <hyperlink ref="B537" r:id="rId878" tooltip="Columbus, MS Micropolitan Statistical Area" display="https://en.wikipedia.org/wiki/Columbus,_MS_Micropolitan_Statistical_Area" xr:uid="{6A9E1EFD-ABF3-FC47-85A7-1FCB4E00C041}"/>
    <hyperlink ref="B538" r:id="rId879" tooltip="Barre, VT Micropolitan Statistical Area" display="https://en.wikipedia.org/wiki/Barre,_VT_Micropolitan_Statistical_Area" xr:uid="{8BDCF99B-213C-7141-887D-2D79F2F884FE}"/>
    <hyperlink ref="B539" r:id="rId880" tooltip="Norwalk, OH Micropolitan Statistical Area" display="https://en.wikipedia.org/wiki/Norwalk,_OH_Micropolitan_Statistical_Area" xr:uid="{850C9A13-D438-F64E-AAFD-14C6E22F3F75}"/>
    <hyperlink ref="F539" r:id="rId881" tooltip="Cleveland-Akron-Canton, OH Combined Statistical Area" display="https://en.wikipedia.org/wiki/Cleveland-Akron-Canton,_OH_Combined_Statistical_Area" xr:uid="{E8B0DB3C-255E-6E4D-85E2-6B2615877288}"/>
    <hyperlink ref="B540" r:id="rId882" tooltip="Kinston, NC Micropolitan Statistical Area" display="https://en.wikipedia.org/wiki/Kinston,_NC_Micropolitan_Statistical_Area" xr:uid="{BAC38EE8-C92B-0547-8FEA-A39A06794038}"/>
    <hyperlink ref="B541" r:id="rId883" tooltip="Palestine, TX Micropolitan Statistical Area" display="https://en.wikipedia.org/wiki/Palestine,_TX_Micropolitan_Statistical_Area" xr:uid="{71D24C41-9473-7644-B863-39EFC897B449}"/>
    <hyperlink ref="B542" r:id="rId884" tooltip="Dublin, GA Micropolitan Statistical Area" display="https://en.wikipedia.org/wiki/Dublin,_GA_Micropolitan_Statistical_Area" xr:uid="{DC4657F5-203C-BA4D-A37F-2A1C59B22438}"/>
    <hyperlink ref="B543" r:id="rId885" tooltip="Point Pleasant, WV-OH Micropolitan Statistical Area" display="https://en.wikipedia.org/wiki/Point_Pleasant,_WV-OH_Micropolitan_Statistical_Area" xr:uid="{C232210A-7C51-E541-A76D-E22EE66837EE}"/>
    <hyperlink ref="B544" r:id="rId886" tooltip="Sterling, IL Micropolitan Statistical Area" display="https://en.wikipedia.org/wiki/Sterling,_IL_Micropolitan_Statistical_Area" xr:uid="{8B37A433-FB2D-4C44-AD1C-DC1441142573}"/>
    <hyperlink ref="F544" r:id="rId887" tooltip="Dixon-Sterling, IL Combined Statistical Area" display="https://en.wikipedia.org/wiki/Dixon-Sterling,_IL_Combined_Statistical_Area" xr:uid="{5CB1D49E-55B8-5448-B74A-CC74A5FEAE24}"/>
    <hyperlink ref="B545" r:id="rId888" tooltip="Vicksburg, MS Micropolitan Statistical Area" display="https://en.wikipedia.org/wiki/Vicksburg,_MS_Micropolitan_Statistical_Area" xr:uid="{496AE7E7-7602-E242-8E61-B930A9EC1602}"/>
    <hyperlink ref="F545" r:id="rId889" tooltip="Jackson-Vicksburg-Brookhaven, MS Combined Statistical Area" display="https://en.wikipedia.org/wiki/Jackson-Vicksburg-Brookhaven,_MS_Combined_Statistical_Area" xr:uid="{D46CEEA8-2A40-604E-9141-58D5033028FD}"/>
    <hyperlink ref="B546" r:id="rId890" tooltip="Fergus Falls, MN Micropolitan Statistical Area" display="https://en.wikipedia.org/wiki/Fergus_Falls,_MN_Micropolitan_Statistical_Area" xr:uid="{1538CEF9-7FFF-5841-A56C-528CA682F1FC}"/>
    <hyperlink ref="B547" r:id="rId891" tooltip="Crossville, TN Micropolitan Statistical Area" display="https://en.wikipedia.org/wiki/Crossville,_TN_Micropolitan_Statistical_Area" xr:uid="{B1C0EC80-713F-9947-AE0A-32961CB0C406}"/>
    <hyperlink ref="B548" r:id="rId892" tooltip="Fairmont, WV Micropolitan Statistical Area" display="https://en.wikipedia.org/wiki/Fairmont,_WV_Micropolitan_Statistical_Area" xr:uid="{99535BF4-E24B-F444-B932-4AC44DABAB33}"/>
    <hyperlink ref="F548" r:id="rId893" tooltip="Morgantown-Fairmont, WV Combined Statistical Area" display="https://en.wikipedia.org/wiki/Morgantown-Fairmont,_WV_Combined_Statistical_Area" xr:uid="{B642C14E-D5D9-F04A-A1D1-2818B9F45542}"/>
    <hyperlink ref="B549" r:id="rId894" tooltip="Tiffin, OH Micropolitan Statistical Area" display="https://en.wikipedia.org/wiki/Tiffin,_OH_Micropolitan_Statistical_Area" xr:uid="{E2E2997B-A5E6-C647-A118-DABCEEDDF0AB}"/>
    <hyperlink ref="F549" r:id="rId895" tooltip="Findlay-Tiffin, OH Combined Statistical Area" display="https://en.wikipedia.org/wiki/Findlay-Tiffin,_OH_Combined_Statistical_Area" xr:uid="{DE037518-9BF3-E64B-AA32-E585E3E87FD6}"/>
    <hyperlink ref="B550" r:id="rId896" tooltip="Calhoun, GA Micropolitan Statistical Area" display="https://en.wikipedia.org/wiki/Calhoun,_GA_Micropolitan_Statistical_Area" xr:uid="{19B0C44D-4508-AF41-A1E5-08C0B4415CFC}"/>
    <hyperlink ref="F550" r:id="rId897" tooltip="Atlanta–Athens-Clarke County–Sandy Springs, GA Combined Statistical Area" display="https://en.wikipedia.org/wiki/Atlanta%E2%80%93Athens-Clarke_County%E2%80%93Sandy_Springs,_GA_Combined_Statistical_Area" xr:uid="{A2B4AFF6-0BE8-A144-BAEE-4BCF56FE4FB7}"/>
    <hyperlink ref="B551" r:id="rId898" tooltip="Gaffney, SC Micropolitan Statistical Area" display="https://en.wikipedia.org/wiki/Gaffney,_SC_Micropolitan_Statistical_Area" xr:uid="{F9CF142B-1AB5-054F-B27C-A82C725C397B}"/>
    <hyperlink ref="F551" r:id="rId899" tooltip="Greenville-Spartanburg-Anderson, SC Combined Statistical Area" display="https://en.wikipedia.org/wiki/Greenville-Spartanburg-Anderson,_SC_Combined_Statistical_Area" xr:uid="{364D7C47-DF17-2D47-9068-DBF911445C91}"/>
    <hyperlink ref="B552" r:id="rId900" tooltip="Eagle Pass, TX Micropolitan Statistical Area" display="https://en.wikipedia.org/wiki/Eagle_Pass,_TX_Micropolitan_Statistical_Area" xr:uid="{6C18AA96-0C51-4549-8B0E-976E02F31B50}"/>
    <hyperlink ref="B553" r:id="rId901" tooltip="Milledgeville, GA Micropolitan Statistical Area" display="https://en.wikipedia.org/wiki/Milledgeville,_GA_Micropolitan_Statistical_Area" xr:uid="{3EA2D599-BF00-C047-A1C1-6710333DD554}"/>
    <hyperlink ref="B554" r:id="rId902" tooltip="Picayune, MS Micropolitan Statistical Area" display="https://en.wikipedia.org/wiki/Picayune,_MS_Micropolitan_Statistical_Area" xr:uid="{C5620BA5-9127-AA48-AC34-1B1ED9D02C82}"/>
    <hyperlink ref="F554" r:id="rId903" tooltip="New Orleans-Metairie-Hammond, LA-MS Combined Statistical Area" display="https://en.wikipedia.org/wiki/New_Orleans-Metairie-Hammond,_LA-MS_Combined_Statistical_Area" xr:uid="{0853044F-60BC-9449-B4BE-3562CEB420FF}"/>
    <hyperlink ref="B555" r:id="rId904" tooltip="Gloversville, NY Micropolitan Statistical Area" display="https://en.wikipedia.org/wiki/Gloversville,_NY_Micropolitan_Statistical_Area" xr:uid="{7250FF28-4A64-C647-9927-D9370D19831D}"/>
    <hyperlink ref="F555" r:id="rId905" tooltip="Albany-Schenectady, NY Combined Statistical Area" display="https://en.wikipedia.org/wiki/Albany-Schenectady,_NY_Combined_Statistical_Area" xr:uid="{E61EB557-BF00-2F48-8B25-97AA4AB02CC7}"/>
    <hyperlink ref="B556" r:id="rId906" tooltip="Carson City, NV Metropolitan Statistical Area" display="https://en.wikipedia.org/wiki/Carson_City,_NV_Metropolitan_Statistical_Area" xr:uid="{52B33107-1549-BE48-B32B-BC442A2BA656}"/>
    <hyperlink ref="F556" r:id="rId907" tooltip="Reno-Carson City-Fernley, NV Combined Statistical Area" display="https://en.wikipedia.org/wiki/Reno-Carson_City-Fernley,_NV_Combined_Statistical_Area" xr:uid="{7E0CA788-7C83-3C42-8248-F53E6AB45611}"/>
    <hyperlink ref="B557" r:id="rId908" tooltip="Jasper, IN Micropolitan Statistical Area" display="https://en.wikipedia.org/wiki/Jasper,_IN_Micropolitan_Statistical_Area" xr:uid="{C54B83FB-9673-074F-9D1B-A1F999FC1519}"/>
    <hyperlink ref="B558" r:id="rId909" tooltip="Waycross, GA Micropolitan Statistical Area" display="https://en.wikipedia.org/wiki/Waycross,_GA_Micropolitan_Statistical_Area" xr:uid="{A4E4F7E9-8016-7E4D-8F8C-5FB708DE9E85}"/>
    <hyperlink ref="B559" r:id="rId910" tooltip="Carlsbad-Artesia, NM Micropolitan Statistical Area" display="https://en.wikipedia.org/wiki/Carlsbad-Artesia,_NM_Micropolitan_Statistical_Area" xr:uid="{968DE8EB-5538-B148-AE0F-54DD3B7067ED}"/>
    <hyperlink ref="B560" r:id="rId911" tooltip="Warrensburg, MO Micropolitan Statistical Area" display="https://en.wikipedia.org/wiki/Warrensburg,_MO_Micropolitan_Statistical_Area" xr:uid="{C7009A60-3D6A-B846-80B2-E479F5E59590}"/>
    <hyperlink ref="F560" r:id="rId912" tooltip="Kansas City-Overland Park-Kansas City, MO-KS Combined Statistical Area" display="https://en.wikipedia.org/wiki/Kansas_City-Overland_Park-Kansas_City,_MO-KS_Combined_Statistical_Area" xr:uid="{25778C6F-0BA5-9C49-9AFD-18DCDB1F004D}"/>
    <hyperlink ref="B561" r:id="rId913" tooltip="Oil City, PA Micropolitan Statistical Area" display="https://en.wikipedia.org/wiki/Oil_City,_PA_Micropolitan_Statistical_Area" xr:uid="{F93F7796-A2C4-9741-B82D-F732948FD88F}"/>
    <hyperlink ref="B562" r:id="rId914" tooltip="Sonora, CA Micropolitan Statistical Area" display="https://en.wikipedia.org/wiki/Sonora,_CA_Micropolitan_Statistical_Area" xr:uid="{366EC0F8-5639-784D-8D4F-1F725D145278}"/>
    <hyperlink ref="B563" r:id="rId915" tooltip="Kearney, NE Micropolitan Statistical Area" display="https://en.wikipedia.org/wiki/Kearney,_NE_Micropolitan_Statistical_Area" xr:uid="{2AE67A54-74DB-A144-B9B5-B996E17AE521}"/>
    <hyperlink ref="B564" r:id="rId916" tooltip="Fort Polk South, LA Micropolitan Statistical Area" display="https://en.wikipedia.org/wiki/Fort_Polk_South,_LA_Micropolitan_Statistical_Area" xr:uid="{2FF608C2-99BD-174B-A610-5DB5BA5EBB60}"/>
    <hyperlink ref="F564" r:id="rId917" tooltip="DeRidder-Fort Polk South, LA Combined Statistical Area" display="https://en.wikipedia.org/wiki/DeRidder-Fort_Polk_South,_LA_Combined_Statistical_Area" xr:uid="{6F9DFF01-4E0A-524E-8A39-6650A4EEA1A2}"/>
    <hyperlink ref="B565" r:id="rId918" tooltip="Morgan City, LA Micropolitan Statistical Area" display="https://en.wikipedia.org/wiki/Morgan_City,_LA_Micropolitan_Statistical_Area" xr:uid="{4699AD28-835C-E74F-942B-51FBAA8DF4D3}"/>
    <hyperlink ref="F565" r:id="rId919" tooltip="Lafayette-Opelousas-Morgan City, LA Combined Statistical Area" display="https://en.wikipedia.org/wiki/Lafayette-Opelousas-Morgan_City,_LA_Combined_Statistical_Area" xr:uid="{6817348A-6E28-1045-8A12-C8A1CE64C5BF}"/>
    <hyperlink ref="B566" r:id="rId920" tooltip="Ontario, OR-ID Micropolitan Statistical Area" display="https://en.wikipedia.org/wiki/Ontario,_OR-ID_Micropolitan_Statistical_Area" xr:uid="{E11839FA-5B3D-D948-B005-35EE8F18D488}"/>
    <hyperlink ref="F566" r:id="rId921" tooltip="Boise City-Mountain Home-Ontario, ID-OR Combined Statistical Area" display="https://en.wikipedia.org/wiki/Boise_City-Mountain_Home-Ontario,_ID-OR_Combined_Statistical_Area" xr:uid="{F75F497E-2F9D-BB43-BAF4-760562E8EBF3}"/>
    <hyperlink ref="B567" r:id="rId922" tooltip="Fort Leonard Wood, MO Micropolitan Statistical Area" display="https://en.wikipedia.org/wiki/Fort_Leonard_Wood,_MO_Micropolitan_Statistical_Area" xr:uid="{A5E59761-D1D0-9840-856B-1AF2327108E1}"/>
    <hyperlink ref="B568" r:id="rId923" tooltip="Elko, NV Micropolitan Statistical Area" display="https://en.wikipedia.org/wiki/Elko,_NV_Micropolitan_Statistical_Area" xr:uid="{65DAFC75-6BC6-9B4C-89B9-E1372C0232A1}"/>
    <hyperlink ref="B569" r:id="rId924" tooltip="Payson, AZ Micropolitan Statistical Area" display="https://en.wikipedia.org/wiki/Payson,_AZ_Micropolitan_Statistical_Area" xr:uid="{CA72BD6B-C223-B64B-A404-B37807F21009}"/>
    <hyperlink ref="B570" r:id="rId925" tooltip="Danville, KY Micropolitan Statistical Area" display="https://en.wikipedia.org/wiki/Danville,_KY_Micropolitan_Statistical_Area" xr:uid="{1F484A97-4949-234B-A4FB-56103AC9CDF0}"/>
    <hyperlink ref="B571" r:id="rId926" tooltip="McComb, MS Micropolitan Statistical Area" display="https://en.wikipedia.org/wiki/McComb,_MS_Micropolitan_Statistical_Area" xr:uid="{B686D33A-CF70-F048-9659-1E868B0B1676}"/>
    <hyperlink ref="B572" r:id="rId927" tooltip="Scottsboro, AL Micropolitan Statistical Area" display="https://en.wikipedia.org/wiki/Scottsboro,_AL_Micropolitan_Statistical_Area" xr:uid="{B17A3B00-C3B7-D64C-8BCB-BDEE17517411}"/>
    <hyperlink ref="F572" r:id="rId928" tooltip="Chattanooga-Cleveland-Dalton, TN-GA-AL Combined Statistical Area" display="https://en.wikipedia.org/wiki/Chattanooga-Cleveland-Dalton,_TN-GA-AL_Combined_Statistical_Area" xr:uid="{4B27ABB7-06FD-8748-848D-E034DF3CA57E}"/>
    <hyperlink ref="B573" r:id="rId929" tooltip="Ashland, OH Micropolitan Statistical Area" display="https://en.wikipedia.org/wiki/Ashland,_OH_Micropolitan_Statistical_Area" xr:uid="{ECF295BD-3EEF-424E-8EB7-83C46B56AB10}"/>
    <hyperlink ref="F573" r:id="rId930" tooltip="Mansfield-Ashland-Bucyrus, OH Combined Statistical Area" display="https://en.wikipedia.org/wiki/Mansfield-Ashland-Bucyrus,_OH_Combined_Statistical_Area" xr:uid="{A90B2277-3CF6-F44E-829F-50DD4A504316}"/>
    <hyperlink ref="B574" r:id="rId931" tooltip="Rochelle, IL Micropolitan Statistical Area" display="https://en.wikipedia.org/wiki/Rochelle,_IL_Micropolitan_Statistical_Area" xr:uid="{34DFA6B2-FA97-BD44-B678-18885834F071}"/>
    <hyperlink ref="F574" r:id="rId932" tooltip="Rockford-Freeport-Rochelle, IL Combined Statistical Area" display="https://en.wikipedia.org/wiki/Rockford-Freeport-Rochelle,_IL_Combined_Statistical_Area" xr:uid="{2DCB074B-8E9B-B24A-8B06-9740365F5675}"/>
    <hyperlink ref="B575" r:id="rId933" tooltip="Glasgow, KY Micropolitan Statistical Area" display="https://en.wikipedia.org/wiki/Glasgow,_KY_Micropolitan_Statistical_Area" xr:uid="{A00EDBBB-F5AB-7844-B024-277740F3AAA5}"/>
    <hyperlink ref="F575" r:id="rId934" tooltip="Bowling Green-Glasgow, KY Combined Statistical Area" display="https://en.wikipedia.org/wiki/Bowling_Green-Glasgow,_KY_Combined_Statistical_Area" xr:uid="{29E50763-6E8D-3747-AD30-8A57B1D116C3}"/>
    <hyperlink ref="B576" r:id="rId935" tooltip="Greenville, OH Micropolitan Statistical Area" display="https://en.wikipedia.org/wiki/Greenville,_OH_Micropolitan_Statistical_Area" xr:uid="{DE581B08-109E-234D-AD38-C61C8896F728}"/>
    <hyperlink ref="F576" r:id="rId936" tooltip="Dayton-Springfield-Sidney, OH Combined Statistical Area" display="https://en.wikipedia.org/wiki/Dayton-Springfield-Sidney,_OH_Combined_Statistical_Area" xr:uid="{AA90D4C8-2867-AA4D-8B4C-ADDD2890690D}"/>
    <hyperlink ref="B577" r:id="rId937" tooltip="Natchez, MS-LA Micropolitan Statistical Area" display="https://en.wikipedia.org/wiki/Natchez,_MS-LA_Micropolitan_Statistical_Area" xr:uid="{081A8510-9EFD-6F45-8A6E-C825471EBEB1}"/>
    <hyperlink ref="B578" r:id="rId938" tooltip="Athens, TN Micropolitan Statistical Area" display="https://en.wikipedia.org/wiki/Athens,_TN_Micropolitan_Statistical_Area" xr:uid="{F7DFA169-999F-D94B-9667-4297059C9063}"/>
    <hyperlink ref="F578" r:id="rId939" tooltip="Chattanooga-Cleveland-Dalton, TN-GA-AL Combined Statistical Area" display="https://en.wikipedia.org/wiki/Chattanooga-Cleveland-Dalton,_TN-GA-AL_Combined_Statistical_Area" xr:uid="{F931F442-53C9-1E4C-A0AA-1693DAD6131C}"/>
    <hyperlink ref="B579" r:id="rId940" tooltip="Durango, CO Micropolitan Statistical Area" display="https://en.wikipedia.org/wiki/Durango,_CO_Micropolitan_Statistical_Area" xr:uid="{3D3E207C-BA93-D04D-95C8-05FEB122AD52}"/>
    <hyperlink ref="B580" r:id="rId941" tooltip="Galesburg, IL Micropolitan Statistical Area" display="https://en.wikipedia.org/wiki/Galesburg,_IL_Micropolitan_Statistical_Area" xr:uid="{893D324E-30B5-D24F-AFED-182A9F713CAF}"/>
    <hyperlink ref="B581" r:id="rId942" tooltip="Edwards, CO Micropolitan Statistical Area" display="https://en.wikipedia.org/wiki/Edwards,_CO_Micropolitan_Statistical_Area" xr:uid="{2C813CC8-CC9C-584F-A194-3B138822133E}"/>
    <hyperlink ref="F581" r:id="rId943" tooltip="Edwards-Glenwood Springs, CO Combined Statistical Area" display="https://en.wikipedia.org/wiki/Edwards-Glenwood_Springs,_CO_Combined_Statistical_Area" xr:uid="{487BB536-E927-BB44-BEF7-1FF983A595A8}"/>
    <hyperlink ref="B582" r:id="rId944" tooltip="Boone, NC Micropolitan Statistical Area" display="https://en.wikipedia.org/wiki/Boone,_NC_Micropolitan_Statistical_Area" xr:uid="{6E336C5A-3E2D-9C4A-8004-71EA7CF74A29}"/>
    <hyperlink ref="B583" r:id="rId945" tooltip="Malone, NY Micropolitan Statistical Area" display="https://en.wikipedia.org/wiki/Malone,_NY_Micropolitan_Statistical_Area" xr:uid="{62E9EFC3-8DA3-8C4F-B8B5-465A5F083EEA}"/>
    <hyperlink ref="B584" r:id="rId946" tooltip="Bartlesville, OK Micropolitan Statistical Area" display="https://en.wikipedia.org/wiki/Bartlesville,_OK_Micropolitan_Statistical_Area" xr:uid="{A3CAC5F3-72C3-C542-BDE6-4482A72EA545}"/>
    <hyperlink ref="F584" r:id="rId947" tooltip="Tulsa-Muskogee-Bartlesville, OK Combined Statistical Area" display="https://en.wikipedia.org/wiki/Tulsa-Muskogee-Bartlesville,_OK_Combined_Statistical_Area" xr:uid="{8148CF22-ED5C-914E-8A96-EE8B602D7BB8}"/>
    <hyperlink ref="B585" r:id="rId948" tooltip="Winona, MN Micropolitan Statistical Area" display="https://en.wikipedia.org/wiki/Winona,_MN_Micropolitan_Statistical_Area" xr:uid="{A0A82003-D173-A244-B0F9-85E797B5E012}"/>
    <hyperlink ref="B586" r:id="rId949" tooltip="St. Marys, GA Micropolitan Statistical Area" display="https://en.wikipedia.org/wiki/St._Marys,_GA_Micropolitan_Statistical_Area" xr:uid="{BE19FAA9-2F06-024D-BFBB-A26FF2FFA83E}"/>
    <hyperlink ref="F586" r:id="rId950" tooltip="Jacksonville-St. Marys-Palatka, FL-GA Combined Statistical Area" display="https://en.wikipedia.org/wiki/Jacksonville-St._Marys-Palatka,_FL-GA_Combined_Statistical_Area" xr:uid="{B6F80D32-2252-124C-8F8E-866D3A004233}"/>
    <hyperlink ref="B587" r:id="rId951" tooltip="Fernley, NV Micropolitan Statistical Area" display="https://en.wikipedia.org/wiki/Fernley,_NV_Micropolitan_Statistical_Area" xr:uid="{22514336-D8ED-6340-AF6C-B24BB85CB7FA}"/>
    <hyperlink ref="F587" r:id="rId952" tooltip="Reno-Carson City-Fernley, NV Combined Statistical Area" display="https://en.wikipedia.org/wiki/Reno-Carson_City-Fernley,_NV_Combined_Statistical_Area" xr:uid="{C845522D-CF3D-5346-9C00-968788789D79}"/>
    <hyperlink ref="B588" r:id="rId953" tooltip="Mason City, IA Micropolitan Statistical Area" display="https://en.wikipedia.org/wiki/Mason_City,_IA_Micropolitan_Statistical_Area" xr:uid="{FF36CD8A-9674-4D41-8D5B-9E1AB734F8CD}"/>
    <hyperlink ref="B589" r:id="rId954" tooltip="Enterprise, AL Micropolitan Statistical Area" display="https://en.wikipedia.org/wiki/Enterprise,_AL_Micropolitan_Statistical_Area" xr:uid="{F776D9CD-32EA-5A43-A509-596E20057C88}"/>
    <hyperlink ref="F589" r:id="rId955" tooltip="Dothan-Enterprise-Ozark, AL Combined Statistical Area" display="https://en.wikipedia.org/wiki/Dothan-Enterprise-Ozark,_AL_Combined_Statistical_Area" xr:uid="{C2CE3B83-22F3-2F43-A32B-5703A212A374}"/>
    <hyperlink ref="B590" r:id="rId956" tooltip="Jacksonville, TX Micropolitan Statistical Area" display="https://en.wikipedia.org/wiki/Jacksonville,_TX_Micropolitan_Statistical_Area" xr:uid="{BE1E0E93-3651-BC40-86D2-FC69FEADC0EE}"/>
    <hyperlink ref="F590" r:id="rId957" tooltip="Tyler-Jacksonville, TX Combined Statistical Area" display="https://en.wikipedia.org/wiki/Tyler-Jacksonville,_TX_Combined_Statistical_Area" xr:uid="{B64649C1-BDB8-3B43-9999-0DF703FEA366}"/>
    <hyperlink ref="B591" r:id="rId958" tooltip="Platteville, WI Micropolitan Statistical Area" display="https://en.wikipedia.org/wiki/Platteville,_WI_Micropolitan_Statistical_Area" xr:uid="{D1AAD51B-8A5D-0E43-8ECC-C4051D5DA1B3}"/>
    <hyperlink ref="B592" r:id="rId959" tooltip="Ozark, AL Micropolitan Statistical Area" display="https://en.wikipedia.org/wiki/Ozark,_AL_Micropolitan_Statistical_Area" xr:uid="{6EA34EB9-968B-8445-A788-D0AB9F172655}"/>
    <hyperlink ref="F592" r:id="rId960" tooltip="Dothan-Enterprise-Ozark, AL Combined Statistical Area" display="https://en.wikipedia.org/wiki/Dothan-Enterprise-Ozark,_AL_Combined_Statistical_Area" xr:uid="{BCFACC67-7F68-BC4D-8CFE-2A282D224523}"/>
    <hyperlink ref="B593" r:id="rId961" tooltip="Rexburg, ID Micropolitan Statistical Area" display="https://en.wikipedia.org/wiki/Rexburg,_ID_Micropolitan_Statistical_Area" xr:uid="{421880AD-3DD2-7043-8074-F0812628E18B}"/>
    <hyperlink ref="F593" r:id="rId962" tooltip="Idaho Falls-Rexburg-Blackfoot, ID Combined Statistical Area" display="https://en.wikipedia.org/wiki/Idaho_Falls-Rexburg-Blackfoot,_ID_Combined_Statistical_Area" xr:uid="{AF6E11F1-AB0C-A345-9AED-0F8D2D7DAECA}"/>
    <hyperlink ref="B594" r:id="rId963" tooltip="Amsterdam, NY Micropolitan Statistical Area" display="https://en.wikipedia.org/wiki/Amsterdam,_NY_Micropolitan_Statistical_Area" xr:uid="{36B216A5-4DDF-C94A-9DA0-E4155F89CC2B}"/>
    <hyperlink ref="F594" r:id="rId964" tooltip="Albany-Schenectady, NY Combined Statistical Area" display="https://en.wikipedia.org/wiki/Albany-Schenectady,_NY_Combined_Statistical_Area" xr:uid="{A323216F-AD90-4F4F-968B-A43BF3234B4F}"/>
    <hyperlink ref="B595" r:id="rId965" tooltip="Clovis, NM Micropolitan Statistical Area" display="https://en.wikipedia.org/wiki/Clovis,_NM_Micropolitan_Statistical_Area" xr:uid="{6DFF9038-F059-3042-AE14-54C6C35CE1CF}"/>
    <hyperlink ref="F595" r:id="rId966" tooltip="Clovis-Portales, NM Combined Statistical Area" display="https://en.wikipedia.org/wiki/Clovis-Portales,_NM_Combined_Statistical_Area" xr:uid="{3A3927AA-DC04-2844-99B8-9773A1AA2594}"/>
    <hyperlink ref="B596" r:id="rId967" tooltip="Paris, TX Micropolitan Statistical Area" display="https://en.wikipedia.org/wiki/Paris,_TX_Micropolitan_Statistical_Area" xr:uid="{F9054311-C75C-8C4F-A6D9-7E08C7C42B70}"/>
    <hyperlink ref="B597" r:id="rId968" tooltip="Kerrville, TX Micropolitan Statistical Area" display="https://en.wikipedia.org/wiki/Kerrville,_TX_Micropolitan_Statistical_Area" xr:uid="{DCB9B347-CC50-CA4A-B5EB-F0EE8A95D5C8}"/>
    <hyperlink ref="B598" r:id="rId969" tooltip="Greenville, MS Micropolitan Statistical Area" display="https://en.wikipedia.org/wiki/Greenville,_MS_Micropolitan_Statistical_Area" xr:uid="{BC9A1E53-F10F-1743-B4A8-2F78525F58E9}"/>
    <hyperlink ref="B599" r:id="rId970" tooltip="Oxford, MS Micropolitan Statistical Area" display="https://en.wikipedia.org/wiki/Oxford,_MS_Micropolitan_Statistical_Area" xr:uid="{5E1ACA65-E483-4C41-AA8E-9195B1C136F8}"/>
    <hyperlink ref="B600" r:id="rId971" tooltip="Cortland, NY Micropolitan Statistical Area" display="https://en.wikipedia.org/wiki/Cortland,_NY_Micropolitan_Statistical_Area" xr:uid="{E3BA4697-5CC6-2F4E-B4C3-9AAA9A383208}"/>
    <hyperlink ref="F600" r:id="rId972" tooltip="Ithaca-Cortland, NY Combined Statistical Area" display="https://en.wikipedia.org/wiki/Ithaca-Cortland,_NY_Combined_Statistical_Area" xr:uid="{B23D22B3-D2BC-764B-9D07-078D460F354E}"/>
    <hyperlink ref="B601" r:id="rId973" tooltip="New Castle, IN Micropolitan Statistical Area" display="https://en.wikipedia.org/wiki/New_Castle,_IN_Micropolitan_Statistical_Area" xr:uid="{2AF71F79-656F-B84E-B769-3A7DF34767FC}"/>
    <hyperlink ref="F601" r:id="rId974" tooltip="Indianapolis-Carmel-Muncie, IN Combined Statistical Area" display="https://en.wikipedia.org/wiki/Indianapolis-Carmel-Muncie,_IN_Combined_Statistical_Area" xr:uid="{D4731888-0C1A-0448-8BA4-8092CDD033B9}"/>
    <hyperlink ref="B602" r:id="rId975" tooltip="Sidney, OH Micropolitan Statistical Area" display="https://en.wikipedia.org/wiki/Sidney,_OH_Micropolitan_Statistical_Area" xr:uid="{7F5A2B5B-8F2E-C949-8AF3-E0F049905EC6}"/>
    <hyperlink ref="F602" r:id="rId976" tooltip="Dayton-Springfield-Sidney, OH Combined Statistical Area" display="https://en.wikipedia.org/wiki/Dayton-Springfield-Sidney,_OH_Combined_Statistical_Area" xr:uid="{5947D4A7-C0AF-AA49-B688-532155BFE42A}"/>
    <hyperlink ref="B603" r:id="rId977" tooltip="Clinton, IA Micropolitan Statistical Area" display="https://en.wikipedia.org/wiki/Clinton,_IA_Micropolitan_Statistical_Area" xr:uid="{D78130EC-E587-7A4A-AD46-4F12E1287D04}"/>
    <hyperlink ref="F603" r:id="rId978" tooltip="Davenport-Moline, IA-IL Combined Statistical Area" display="https://en.wikipedia.org/wiki/Davenport-Moline,_IA-IL_Combined_Statistical_Area" xr:uid="{B879DF0B-550C-684A-98E8-5AF13DD3F5D4}"/>
    <hyperlink ref="B604" r:id="rId979" tooltip="Del Rio, TX Micropolitan Statistical Area" display="https://en.wikipedia.org/wiki/Del_Rio,_TX_Micropolitan_Statistical_Area" xr:uid="{E5DFB498-6BB1-774A-9045-7D40BB9D002E}"/>
    <hyperlink ref="B605" r:id="rId980" tooltip="Norfolk, NE Micropolitan Statistical Area" display="https://en.wikipedia.org/wiki/Norfolk,_NE_Micropolitan_Statistical_Area" xr:uid="{8E038375-7B69-DC4D-81FF-63D63AF2CE0C}"/>
    <hyperlink ref="B606" r:id="rId981" tooltip="Starkville, MS Micropolitan Statistical Area" display="https://en.wikipedia.org/wiki/Starkville,_MS_Micropolitan_Statistical_Area" xr:uid="{0D26A537-4FD8-4A42-909C-59C65BB4E6AF}"/>
    <hyperlink ref="B607" r:id="rId982" tooltip="Tahlequah, OK Micropolitan Statistical Area" display="https://en.wikipedia.org/wiki/Tahlequah,_OK_Micropolitan_Statistical_Area" xr:uid="{C2C05B48-E0C9-C044-8F46-FA056E8F99FD}"/>
    <hyperlink ref="F607" r:id="rId983" tooltip="Tulsa-Muskogee-Bartlesville, OK Combined Statistical Area" display="https://en.wikipedia.org/wiki/Tulsa-Muskogee-Bartlesville,_OK_Combined_Statistical_Area" xr:uid="{11A7E97F-457F-0043-8915-13FF556BAEE3}"/>
    <hyperlink ref="B608" r:id="rId984" tooltip="Ardmore, OK Micropolitan Statistical Area" display="https://en.wikipedia.org/wiki/Ardmore,_OK_Micropolitan_Statistical_Area" xr:uid="{47077F40-EFE8-E442-9B34-BC9915FDB7B8}"/>
    <hyperlink ref="B609" r:id="rId985" tooltip="Corsicana, TX Micropolitan Statistical Area" display="https://en.wikipedia.org/wiki/Corsicana,_TX_Micropolitan_Statistical_Area" xr:uid="{E0D424E1-3B02-CE41-B1A9-AAD22CB88DEA}"/>
    <hyperlink ref="F609" r:id="rId986" tooltip="Dallas-Fort Worth, TX-OK Combined Statistical Area" display="https://en.wikipedia.org/wiki/Dallas-Fort_Worth,_TX-OK_Combined_Statistical_Area" xr:uid="{807E95C6-9922-1641-BC8F-D49362C67B84}"/>
    <hyperlink ref="B610" r:id="rId987" tooltip="Gillette, WY Micropolitan Statistical Area" display="https://en.wikipedia.org/wiki/Gillette,_WY_Micropolitan_Statistical_Area" xr:uid="{D10ACE61-9C5B-2048-99CE-EA9AF88D7A3A}"/>
    <hyperlink ref="B611" r:id="rId988" tooltip="Cadillac, MI Micropolitan Statistical Area" display="https://en.wikipedia.org/wiki/Cadillac,_MI_Micropolitan_Statistical_Area" xr:uid="{A6CF3358-89ED-B44E-8B1A-0291C392F025}"/>
    <hyperlink ref="B612" r:id="rId989" tooltip="Kendallville, IN Micropolitan Statistical Area" display="https://en.wikipedia.org/wiki/Kendallville,_IN_Micropolitan_Statistical_Area" xr:uid="{0C233C37-30C9-A347-837C-33E03D2C0024}"/>
    <hyperlink ref="F612" r:id="rId990" tooltip="Fort Wayne-Huntington-Auburn, IN Combined Statistical Area" display="https://en.wikipedia.org/wiki/Fort_Wayne-Huntington-Auburn,_IN_Combined_Statistical_Area" xr:uid="{E0224062-D58B-CF45-A25B-6C1B9DE72A64}"/>
    <hyperlink ref="B613" r:id="rId991" tooltip="Washington, NC Micropolitan Statistical Area" display="https://en.wikipedia.org/wiki/Washington,_NC_Micropolitan_Statistical_Area" xr:uid="{F9F6E556-05AF-CF4F-B9C8-72546B60FA96}"/>
    <hyperlink ref="F613" r:id="rId992" tooltip="Greenville-Washington, NC Combined Statistical Area" display="https://en.wikipedia.org/wiki/Greenville-Washington,_NC_Combined_Statistical_Area" xr:uid="{61B102B4-94F0-D34C-9DEA-F35B1404411C}"/>
    <hyperlink ref="B614" r:id="rId993" tooltip="Burlington, IA-IL Micropolitan Statistical Area" display="https://en.wikipedia.org/wiki/Burlington,_IA-IL_Micropolitan_Statistical_Area" xr:uid="{DBC84D8B-A8FF-D64E-8035-BA2815BE771F}"/>
    <hyperlink ref="B615" r:id="rId994" tooltip="Nogales, AZ Micropolitan Statistical Area" display="https://en.wikipedia.org/wiki/Nogales,_AZ_Micropolitan_Statistical_Area" xr:uid="{54359B41-F7B5-844A-AC73-597738106931}"/>
    <hyperlink ref="F615" r:id="rId995" tooltip="Tucson-Nogales, AZ Combined Statistical Area" display="https://en.wikipedia.org/wiki/Tucson-Nogales,_AZ_Combined_Statistical_Area" xr:uid="{88846331-F497-F84E-8485-85E7C45CB6C0}"/>
    <hyperlink ref="B616" r:id="rId996" tooltip="Plymouth, IN Micropolitan Statistical Area" display="https://en.wikipedia.org/wiki/Plymouth,_IN_Micropolitan_Statistical_Area" xr:uid="{82E4E0D7-30FD-0D4A-90DA-13B33ADA6237}"/>
    <hyperlink ref="F616" r:id="rId997" tooltip="South Bend-Elkhart-Mishawaka, IN-MI Combined Statistical Area" display="https://en.wikipedia.org/wiki/South_Bend-Elkhart-Mishawaka,_IN-MI_Combined_Statistical_Area" xr:uid="{638AB7F3-D674-5E43-93BC-7B55E3E8B7A3}"/>
    <hyperlink ref="B617" r:id="rId998" tooltip="Gardnerville Ranchos, NV Micropolitan Statistical Area" display="https://en.wikipedia.org/wiki/Gardnerville_Ranchos,_NV_Micropolitan_Statistical_Area" xr:uid="{1E2CE54D-F41E-8740-888F-C4AA8D58A8D7}"/>
    <hyperlink ref="F617" r:id="rId999" tooltip="Reno-Carson City-Fernley, NV Combined Statistical Area" display="https://en.wikipedia.org/wiki/Reno-Carson_City-Fernley,_NV_Combined_Statistical_Area" xr:uid="{23867F63-1796-C147-813D-7C2676707C4B}"/>
    <hyperlink ref="B618" r:id="rId1000" tooltip="Freeport, IL Micropolitan Statistical Area" display="https://en.wikipedia.org/wiki/Freeport,_IL_Micropolitan_Statistical_Area" xr:uid="{0471EDEC-9E5A-2946-B260-79058A5392D5}"/>
    <hyperlink ref="F618" r:id="rId1001" tooltip="Rockford-Freeport-Rochelle, IL Combined Statistical Area" display="https://en.wikipedia.org/wiki/Rockford-Freeport-Rochelle,_IL_Combined_Statistical_Area" xr:uid="{8FDCFF37-416C-AA4B-8C32-AF79EDD73309}"/>
    <hyperlink ref="B619" r:id="rId1002" tooltip="Ruston, LA Micropolitan Statistical Area" display="https://en.wikipedia.org/wiki/Ruston,_LA_Micropolitan_Statistical_Area" xr:uid="{0E801535-16C7-3744-BC22-B0A9EAFC5DB4}"/>
    <hyperlink ref="F619" r:id="rId1003" tooltip="Monroe-Ruston-Bastrop, LA Combined Statistical Area" display="https://en.wikipedia.org/wiki/Monroe-Ruston-Bastrop,_LA_Combined_Statistical_Area" xr:uid="{87723C00-7FBE-8C4C-B471-0DE3B8B77281}"/>
    <hyperlink ref="B620" r:id="rId1004" tooltip="Cañon City, CO Micropolitan Statistical Area" display="https://en.wikipedia.org/wiki/Ca%C3%B1on_City,_CO_Micropolitan_Statistical_Area" xr:uid="{65603666-774F-8C4E-B61C-3837736E4965}"/>
    <hyperlink ref="F620" r:id="rId1005" tooltip="Pueblo-Cañon City, CO Combined Statistical Area" display="https://en.wikipedia.org/wiki/Pueblo-Ca%C3%B1on_City,_CO_Combined_Statistical_Area" xr:uid="{66F5B296-3AAB-9E48-B0A3-13E5DBDA9E45}"/>
    <hyperlink ref="B621" r:id="rId1006" tooltip="Lewistown, PA Micropolitan Statistical Area" display="https://en.wikipedia.org/wiki/Lewistown,_PA_Micropolitan_Statistical_Area" xr:uid="{81B5F1F6-2985-C447-94CD-2F484078E626}"/>
    <hyperlink ref="B622" r:id="rId1007" tooltip="Cedar City, UT Micropolitan Statistical Area" display="https://en.wikipedia.org/wiki/Cedar_City,_UT_Micropolitan_Statistical_Area" xr:uid="{A3B8B470-4056-B546-9371-7863051E8AC5}"/>
    <hyperlink ref="B623" r:id="rId1008" tooltip="Madisonville, KY Micropolitan Statistical Area" display="https://en.wikipedia.org/wiki/Madisonville,_KY_Micropolitan_Statistical_Area" xr:uid="{85E26D73-B99A-3347-94C7-F663E55A38EA}"/>
    <hyperlink ref="B624" r:id="rId1009" tooltip="Bogalusa, LA Micropolitan Statistical Area" display="https://en.wikipedia.org/wiki/Bogalusa,_LA_Micropolitan_Statistical_Area" xr:uid="{D38F7AD2-64EF-D04A-9555-8AC79C6716CD}"/>
    <hyperlink ref="F624" r:id="rId1010" tooltip="New Orleans-Metairie-Hammond, LA-MS Combined Statistical Area" display="https://en.wikipedia.org/wiki/New_Orleans-Metairie-Hammond,_LA-MS_Combined_Statistical_Area" xr:uid="{18736502-6BCB-084E-BE50-F36C5B585EA0}"/>
    <hyperlink ref="B625" r:id="rId1011" tooltip="Rockingham, NC Micropolitan Statistical Area" display="https://en.wikipedia.org/wiki/Rockingham,_NC_Micropolitan_Statistical_Area" xr:uid="{91833969-253E-EE4F-B8B1-7E025067D9A9}"/>
    <hyperlink ref="B626" r:id="rId1012" tooltip="Pullman, WA Micropolitan Statistical Area" display="https://en.wikipedia.org/wiki/Pullman,_WA_Micropolitan_Statistical_Area" xr:uid="{39E1B6B5-723E-8E49-8FB7-889702382A11}"/>
    <hyperlink ref="F626" r:id="rId1013" tooltip="Pullman-Moscow, WA-ID Combined Statistical Area" display="https://en.wikipedia.org/wiki/Pullman-Moscow,_WA-ID_Combined_Statistical_Area" xr:uid="{8536D9F9-A2C1-CC44-9480-3567D1CBF6D6}"/>
    <hyperlink ref="B627" r:id="rId1014" tooltip="Red Wing, MN Micropolitan Statistical Area" display="https://en.wikipedia.org/wiki/Red_Wing,_MN_Micropolitan_Statistical_Area" xr:uid="{D0303B36-6521-7A48-B6E7-FDF27A4A3566}"/>
    <hyperlink ref="F627" r:id="rId1015" tooltip="Minneapolis-St. Paul, MN-WI Combined Statistical Area" display="https://en.wikipedia.org/wiki/Minneapolis-St._Paul,_MN-WI_Combined_Statistical_Area" xr:uid="{A21518B6-5DAA-3D41-BA02-73EF540D3C5F}"/>
    <hyperlink ref="B628" r:id="rId1016" tooltip="Hillsdale, MI Micropolitan Statistical Area" display="https://en.wikipedia.org/wiki/Hillsdale,_MI_Micropolitan_Statistical_Area" xr:uid="{0BA412BF-AC0A-804D-BF69-A25CB568BCE4}"/>
    <hyperlink ref="B629" r:id="rId1017" tooltip="Newport, OR Micropolitan Statistical Area" display="https://en.wikipedia.org/wiki/Newport,_OR_Micropolitan_Statistical_Area" xr:uid="{A31CFCE9-4C47-BD48-AB7C-D7F53BCBCD29}"/>
    <hyperlink ref="B630" r:id="rId1018" tooltip="Moultrie, GA Micropolitan Statistical Area" display="https://en.wikipedia.org/wiki/Moultrie,_GA_Micropolitan_Statistical_Area" xr:uid="{75C0503B-0B9C-7C4C-9DBB-96D6C61263A7}"/>
    <hyperlink ref="B631" r:id="rId1019" tooltip="Bedford, IN Micropolitan Statistical Area" display="https://en.wikipedia.org/wiki/Bedford,_IN_Micropolitan_Statistical_Area" xr:uid="{7A3D9590-BF5C-2540-A201-5D9574FFE5F9}"/>
    <hyperlink ref="F631" r:id="rId1020" tooltip="Bloomington-Bedford, IN Combined Statistical Area" display="https://en.wikipedia.org/wiki/Bloomington-Bedford,_IN_Combined_Statistical_Area" xr:uid="{9E95BD74-FB44-E34D-8FEF-B1ED6A041AC5}"/>
    <hyperlink ref="B632" r:id="rId1021" tooltip="Shawano, WI Micropolitan Statistical Area" display="https://en.wikipedia.org/wiki/Shawano,_WI_Micropolitan_Statistical_Area" xr:uid="{822AD849-BDEA-474E-8523-2BF142E707CF}"/>
    <hyperlink ref="F632" r:id="rId1022" tooltip="Green Bay-Shawano, WI Combined Statistical Area" display="https://en.wikipedia.org/wiki/Green_Bay-Shawano,_WI_Combined_Statistical_Area" xr:uid="{B11A5901-C7E5-914B-B046-BA1DA688CD45}"/>
    <hyperlink ref="B633" r:id="rId1023" tooltip="Huntingdon, PA Micropolitan Statistical Area" display="https://en.wikipedia.org/wiki/Huntingdon,_PA_Micropolitan_Statistical_Area" xr:uid="{276BF0FA-D14E-954F-8216-02C61559AE6C}"/>
    <hyperlink ref="B634" r:id="rId1024" tooltip="Ponca City, OK Micropolitan Statistical Area" display="https://en.wikipedia.org/wiki/Ponca_City,_OK_Micropolitan_Statistical_Area" xr:uid="{D23C357A-F1EF-D840-B105-858F408F9C91}"/>
    <hyperlink ref="B635" r:id="rId1025" tooltip="Wapakoneta, OH Micropolitan Statistical Area" display="https://en.wikipedia.org/wiki/Wapakoneta,_OH_Micropolitan_Statistical_Area" xr:uid="{CF27F3B6-F560-C14E-9A45-5BFB618FC96A}"/>
    <hyperlink ref="F635" r:id="rId1026" tooltip="Lima-Van Wert-Celina, OH Combined Statistical Area" display="https://en.wikipedia.org/wiki/Lima-Van_Wert-Celina,_OH_Combined_Statistical_Area" xr:uid="{0FF4827D-4777-8A47-A23E-C66E230C7459}"/>
    <hyperlink ref="B636" r:id="rId1027" tooltip="Shelbyville, TN Micropolitan Statistical Area" display="https://en.wikipedia.org/wiki/Shelbyville,_TN_Micropolitan_Statistical_Area" xr:uid="{B7FBEFC8-D985-644F-8796-D4D8EAB965D4}"/>
    <hyperlink ref="F636" r:id="rId1028" tooltip="Nashville-Davidson–Murfreesboro, TN Combined Statistical Area" display="https://en.wikipedia.org/wiki/Nashville-Davidson%E2%80%93Murfreesboro,_TN_Combined_Statistical_Area" xr:uid="{0B63CA1E-A147-8D44-8BB4-B9048B2B769A}"/>
    <hyperlink ref="B637" r:id="rId1029" tooltip="Blytheville, AR Micropolitan Statistical Area" display="https://en.wikipedia.org/wiki/Blytheville,_AR_Micropolitan_Statistical_Area" xr:uid="{5FFB76DF-3432-FB4D-945B-BBFB7F3C873F}"/>
    <hyperlink ref="B638" r:id="rId1030" tooltip="Bellefontaine, OH Micropolitan Statistical Area" display="https://en.wikipedia.org/wiki/Bellefontaine,_OH_Micropolitan_Statistical_Area" xr:uid="{C9BCE2F5-66F5-4345-A755-520104AFC9D5}"/>
    <hyperlink ref="F638" r:id="rId1031" tooltip="Columbus-Marion-Zanesville, OH Combined Statistical Area" display="https://en.wikipedia.org/wiki/Columbus-Marion-Zanesville,_OH_Combined_Statistical_Area" xr:uid="{CB1543A5-2AB5-A646-A47F-6E20EFA3C82B}"/>
    <hyperlink ref="B639" r:id="rId1032" tooltip="Blackfoot, ID Micropolitan Statistical Area" display="https://en.wikipedia.org/wiki/Blackfoot,_ID_Micropolitan_Statistical_Area" xr:uid="{DEA0FE43-A00E-5841-B04D-B15E3079E422}"/>
    <hyperlink ref="F639" r:id="rId1033" tooltip="Idaho Falls-Rexburg-Blackfoot, ID Combined Statistical Area" display="https://en.wikipedia.org/wiki/Idaho_Falls-Rexburg-Blackfoot,_ID_Combined_Statistical_Area" xr:uid="{1ADBE339-9D83-0C4D-B678-FB4039A57615}"/>
    <hyperlink ref="B640" r:id="rId1034" tooltip="Harrison, AR Micropolitan Statistical Area" display="https://en.wikipedia.org/wiki/Harrison,_AR_Micropolitan_Statistical_Area" xr:uid="{7CB6D05B-1FF7-544B-86B9-F2EA475A9080}"/>
    <hyperlink ref="B641" r:id="rId1035" tooltip="Bemidji, MN Micropolitan Statistical Area" display="https://en.wikipedia.org/wiki/Bemidji,_MN_Micropolitan_Statistical_Area" xr:uid="{7AE959CA-0386-AD4B-962C-3F2A7BF42518}"/>
    <hyperlink ref="B642" r:id="rId1036" tooltip="Rock Springs, WY Micropolitan Statistical Area" display="https://en.wikipedia.org/wiki/Rock_Springs,_WY_Micropolitan_Statistical_Area" xr:uid="{1F2BBBC5-5CC4-7644-B52D-40D063DF5C72}"/>
    <hyperlink ref="B643" r:id="rId1037" tooltip="Henderson, NC Micropolitan Statistical Area" display="https://en.wikipedia.org/wiki/Henderson,_NC_Micropolitan_Statistical_Area" xr:uid="{EDBE8A93-5ADA-EC48-BD09-BC98CC7ED145}"/>
    <hyperlink ref="F643" r:id="rId1038" tooltip="Raleigh-Durham-Chapel Hill, NC Combined Statistical Area" display="https://en.wikipedia.org/wiki/Raleigh-Durham-Chapel_Hill,_NC_Combined_Statistical_Area" xr:uid="{461C4819-BC21-FD40-B71D-DEEF31439B7B}"/>
    <hyperlink ref="B644" r:id="rId1039" tooltip="McAlester, OK Micropolitan Statistical Area" display="https://en.wikipedia.org/wiki/McAlester,_OK_Micropolitan_Statistical_Area" xr:uid="{22FE5250-963F-0549-9232-77FA2646895A}"/>
    <hyperlink ref="B645" r:id="rId1040" tooltip="Marion, NC Micropolitan Statistical Area" display="https://en.wikipedia.org/wiki/Marion,_NC_Micropolitan_Statistical_Area" xr:uid="{98E6944C-7CA3-E341-9A11-049F7EAD385B}"/>
    <hyperlink ref="F645" r:id="rId1041" tooltip="Hickory-Lenoir, NC Combined Statistical Area" display="https://en.wikipedia.org/wiki/Hickory-Lenoir,_NC_Combined_Statistical_Area" xr:uid="{E3E99707-A8F0-684D-99E3-17CD5D117AC6}"/>
    <hyperlink ref="B646" r:id="rId1042" tooltip="Rolla, MO Micropolitan Statistical Area" display="https://en.wikipedia.org/wiki/Rolla,_MO_Micropolitan_Statistical_Area" xr:uid="{6D3AACE8-334F-D248-96B7-8CC7D465C184}"/>
    <hyperlink ref="B647" r:id="rId1043" tooltip="Lewisburg, PA Micropolitan Statistical Area" display="https://en.wikipedia.org/wiki/Lewisburg,_PA_Micropolitan_Statistical_Area" xr:uid="{5473E143-6698-734C-9F87-D97C9EDDF731}"/>
    <hyperlink ref="F647" r:id="rId1044" tooltip="Bloomsburg-Berwick-Sunbury, PA Combined Statistical Area" display="https://en.wikipedia.org/wiki/Bloomsburg-Berwick-Sunbury,_PA_Combined_Statistical_Area" xr:uid="{256C3E57-80CB-8A4E-9C47-16F6E091862C}"/>
    <hyperlink ref="B648" r:id="rId1045" tooltip="Mount Sterling, KY Micropolitan Statistical Area" display="https://en.wikipedia.org/wiki/Mount_Sterling,_KY_Micropolitan_Statistical_Area" xr:uid="{8990E886-3571-3448-98E2-B70CF441FE76}"/>
    <hyperlink ref="F648" r:id="rId1046" tooltip="Lexington-Fayette–Richmond–Frankfort, KY Combined Statistical Area" display="https://en.wikipedia.org/wiki/Lexington-Fayette%E2%80%93Richmond%E2%80%93Frankfort,_KY_Combined_Statistical_Area" xr:uid="{DAD9AFBF-3257-FC4E-86D3-166008617AFA}"/>
    <hyperlink ref="B649" r:id="rId1047" tooltip="Duncan, OK Micropolitan Statistical Area" display="https://en.wikipedia.org/wiki/Duncan,_OK_Micropolitan_Statistical_Area" xr:uid="{7D4B45E5-3291-E54D-B82D-68A8DE7FD41B}"/>
    <hyperlink ref="B650" r:id="rId1048" tooltip="Thomasville, GA Micropolitan Statistical Area" display="https://en.wikipedia.org/wiki/Thomasville,_GA_Micropolitan_Statistical_Area" xr:uid="{369C7448-3CD4-7A48-83A0-F8A097D99723}"/>
    <hyperlink ref="B651" r:id="rId1049" tooltip="Bardstown, KY Micropolitan Statistical Area" display="https://en.wikipedia.org/wiki/Bardstown,_KY_Micropolitan_Statistical_Area" xr:uid="{210A7901-335B-814B-BEB7-3D616A4C2F85}"/>
    <hyperlink ref="F651" r:id="rId1050" tooltip="Louisville/Jefferson County–Elizabethtown–Bardstown, KY-IN Combined Statistical Area" display="https://en.wikipedia.org/wiki/Louisville/Jefferson_County%E2%80%93Elizabethtown%E2%80%93Bardstown,_KY-IN_Combined_Statistical_Area" xr:uid="{58936A07-6713-D24D-B02A-FABC21FCFB56}"/>
    <hyperlink ref="B652" r:id="rId1051" tooltip="Menomonie, WI Micropolitan Statistical Area" display="https://en.wikipedia.org/wiki/Menomonie,_WI_Micropolitan_Statistical_Area" xr:uid="{582C0CDF-E335-B648-9699-6CB13B20110C}"/>
    <hyperlink ref="F652" r:id="rId1052" tooltip="Eau Claire-Menomonie, WI Combined Statistical Area" display="https://en.wikipedia.org/wiki/Eau_Claire-Menomonie,_WI_Combined_Statistical_Area" xr:uid="{FE5E18E2-E09B-9A42-B77D-2F5E492C0E9B}"/>
    <hyperlink ref="B653" r:id="rId1053" tooltip="Ottumwa, IA Micropolitan Statistical Area" display="https://en.wikipedia.org/wiki/Ottumwa,_IA_Micropolitan_Statistical_Area" xr:uid="{428436C0-B83B-844F-8328-C3EA8963B34F}"/>
    <hyperlink ref="B654" r:id="rId1054" tooltip="Coldwater, MI Micropolitan Statistical Area" display="https://en.wikipedia.org/wiki/Coldwater,_MI_Micropolitan_Statistical_Area" xr:uid="{03F96ABF-5EE6-C14B-A746-DBADC802019F}"/>
    <hyperlink ref="B655" r:id="rId1055" tooltip="Cornelia, GA Micropolitan Statistical Area" display="https://en.wikipedia.org/wiki/Cornelia,_GA_Micropolitan_Statistical_Area" xr:uid="{CBAD4F77-B651-4D41-A7EB-A4456164C303}"/>
    <hyperlink ref="B656" r:id="rId1056" tooltip="Durant, OK Micropolitan Statistical Area" display="https://en.wikipedia.org/wiki/Durant,_OK_Micropolitan_Statistical_Area" xr:uid="{9A6E6ABC-B88E-784F-9445-27D5D6935EEE}"/>
    <hyperlink ref="F656" r:id="rId1057" tooltip="Dallas-Fort Worth, TX-OK Combined Statistical Area" display="https://en.wikipedia.org/wiki/Dallas-Fort_Worth,_TX-OK_Combined_Statistical_Area" xr:uid="{DE803A1D-9EC3-C747-83C5-929860F1BF82}"/>
    <hyperlink ref="B657" r:id="rId1058" tooltip="Big Rapids, MI Micropolitan Statistical Area" display="https://en.wikipedia.org/wiki/Big_Rapids,_MI_Micropolitan_Statistical_Area" xr:uid="{DD07FFE1-9346-5D4B-B4B4-76D466EF3298}"/>
    <hyperlink ref="F657" r:id="rId1059" tooltip="Grand Rapids-Wyoming-Muskegon, MI Combined Statistical Area" display="https://en.wikipedia.org/wiki/Grand_Rapids-Wyoming-Muskegon,_MI_Combined_Statistical_Area" xr:uid="{ADB30EC9-4640-B44F-A191-A65D879C70E7}"/>
    <hyperlink ref="B658" r:id="rId1060" tooltip="Burley, ID Micropolitan Statistical Area" display="https://en.wikipedia.org/wiki/Burley,_ID_Micropolitan_Statistical_Area" xr:uid="{461D802B-762B-9240-8A42-14AD67DABF47}"/>
    <hyperlink ref="B659" r:id="rId1061" tooltip="Douglas, GA Micropolitan Statistical Area" display="https://en.wikipedia.org/wiki/Douglas,_GA_Micropolitan_Statistical_Area" xr:uid="{EC8AC107-8820-E34A-A1B3-6392B80D4AFA}"/>
    <hyperlink ref="B660" r:id="rId1062" tooltip="Paragould, AR Micropolitan Statistical Area" display="https://en.wikipedia.org/wiki/Paragould,_AR_Micropolitan_Statistical_Area" xr:uid="{C552B486-9606-714C-81F8-A9FB6ECBF01B}"/>
    <hyperlink ref="F660" r:id="rId1063" tooltip="Jonesboro-Paragould, AR Combined Statistical Area" display="https://en.wikipedia.org/wiki/Jonesboro-Paragould,_AR_Combined_Statistical_Area" xr:uid="{C586D870-3C58-774D-A6B5-A4E7F7E49C6C}"/>
    <hyperlink ref="B661" r:id="rId1064" tooltip="Bradford, PA Micropolitan Statistical Area" display="https://en.wikipedia.org/wiki/Bradford,_PA_Micropolitan_Statistical_Area" xr:uid="{A7EC08FF-43DC-0C43-A547-08B217589822}"/>
    <hyperlink ref="B662" r:id="rId1065" tooltip="Seymour, IN Micropolitan Statistical Area" display="https://en.wikipedia.org/wiki/Seymour,_IN_Micropolitan_Statistical_Area" xr:uid="{D9E44275-4738-744D-B3E0-2A4E30D0E78B}"/>
    <hyperlink ref="F662" r:id="rId1066" tooltip="Indianapolis-Carmel-Muncie, IN Combined Statistical Area" display="https://en.wikipedia.org/wiki/Indianapolis-Carmel-Muncie,_IN_Combined_Statistical_Area" xr:uid="{B3200851-8EC1-AA4E-9249-9594F3D44522}"/>
    <hyperlink ref="B663" r:id="rId1067" tooltip="Poplar Bluff, MO Micropolitan Statistical Area" display="https://en.wikipedia.org/wiki/Poplar_Bluff,_MO_Micropolitan_Statistical_Area" xr:uid="{8D0B36CF-8B22-7144-80BD-A86265878DC0}"/>
    <hyperlink ref="B664" r:id="rId1068" tooltip="Pahrump, NV Micropolitan Statistical Area" display="https://en.wikipedia.org/wiki/Pahrump,_NV_Micropolitan_Statistical_Area" xr:uid="{2138B10D-1772-0648-9FDA-B171CED329BA}"/>
    <hyperlink ref="F664" r:id="rId1069" tooltip="Las Vegas-Henderson, NV-AZ Combined Statistical Area" display="https://en.wikipedia.org/wiki/Las_Vegas-Henderson,_NV-AZ_Combined_Statistical_Area" xr:uid="{569E2DC6-3943-4946-B35D-74FE878B36B1}"/>
    <hyperlink ref="B665" r:id="rId1070" tooltip="Muscatine, IA Micropolitan Statistical Area" display="https://en.wikipedia.org/wiki/Muscatine,_IA_Micropolitan_Statistical_Area" xr:uid="{85C4ED30-BA2D-6848-A0FF-7C5EF324F8CE}"/>
    <hyperlink ref="F665" r:id="rId1071" tooltip="Davenport-Moline, IA-IL Combined Statistical Area" display="https://en.wikipedia.org/wiki/Davenport-Moline,_IA-IL_Combined_Statistical_Area" xr:uid="{573ECB4C-A7FA-EE47-8779-4E16223850F4}"/>
    <hyperlink ref="B666" r:id="rId1072" tooltip="Selma, AL Micropolitan Statistical Area" display="https://en.wikipedia.org/wiki/Selma,_AL_Micropolitan_Statistical_Area" xr:uid="{5BFB4A8C-7463-AE4B-8FA5-7995F0675F9C}"/>
    <hyperlink ref="B667" r:id="rId1073" tooltip="Bucyrus, OH Micropolitan Statistical Area" display="https://en.wikipedia.org/wiki/Bucyrus,_OH_Micropolitan_Statistical_Area" xr:uid="{FFCC95E0-E8B4-C145-AF42-A4EAEE1D6767}"/>
    <hyperlink ref="F667" r:id="rId1074" tooltip="Mansfield-Ashland-Bucyrus, OH Combined Statistical Area" display="https://en.wikipedia.org/wiki/Mansfield-Ashland-Bucyrus,_OH_Combined_Statistical_Area" xr:uid="{E2AE5A05-63ED-6D4C-B26F-25718BE7DF0A}"/>
    <hyperlink ref="B668" r:id="rId1075" tooltip="Willmar, MN Micropolitan Statistical Area" display="https://en.wikipedia.org/wiki/Willmar,_MN_Micropolitan_Statistical_Area" xr:uid="{FDC7A11D-F1EA-E14C-8C7B-F2C26ECB4E61}"/>
    <hyperlink ref="B669" r:id="rId1076" tooltip="Auburn, IN Micropolitan Statistical Area" display="https://en.wikipedia.org/wiki/Auburn,_IN_Micropolitan_Statistical_Area" xr:uid="{726C8CAA-E417-FA4F-B1ED-5171BB3CD982}"/>
    <hyperlink ref="F669" r:id="rId1077" tooltip="Fort Wayne-Huntington-Auburn, IN Combined Statistical Area" display="https://en.wikipedia.org/wiki/Fort_Wayne-Huntington-Auburn,_IN_Combined_Statistical_Area" xr:uid="{46CC3121-DF59-E94B-ADDE-6E5EC671701A}"/>
    <hyperlink ref="B670" r:id="rId1078" tooltip="Sedalia, MO Micropolitan Statistical Area" display="https://en.wikipedia.org/wiki/Sedalia,_MO_Micropolitan_Statistical_Area" xr:uid="{31C5483F-ACDC-8F4E-A1FE-C7651A73D0CD}"/>
    <hyperlink ref="B671" r:id="rId1079" tooltip="Lawrenceburg, TN Micropolitan Statistical Area" display="https://en.wikipedia.org/wiki/Lawrenceburg,_TN_Micropolitan_Statistical_Area" xr:uid="{2CE28916-B9D1-EE4F-A3B0-6DF00BBE16C3}"/>
    <hyperlink ref="F671" r:id="rId1080" tooltip="Nashville-Davidson–Murfreesboro, TN Combined Statistical Area" display="https://en.wikipedia.org/wiki/Nashville-Davidson%E2%80%93Murfreesboro,_TN_Combined_Statistical_Area" xr:uid="{155DF17C-0E2B-F442-A9A0-B77B0A3004A5}"/>
    <hyperlink ref="B672" r:id="rId1081" tooltip="Alma, MI Micropolitan Statistical Area" display="https://en.wikipedia.org/wiki/Alma,_MI_Micropolitan_Statistical_Area" xr:uid="{0C162F3B-1F0D-2E4D-BCAE-FE80AF4D6151}"/>
    <hyperlink ref="F672" r:id="rId1082" tooltip="Mount Pleasant-Alma, MI Combined Statistical Area" display="https://en.wikipedia.org/wiki/Mount_Pleasant-Alma,_MI_Combined_Statistical_Area" xr:uid="{840D63FB-4F68-4647-955C-FE595A7D7636}"/>
    <hyperlink ref="B673" r:id="rId1083" tooltip="Wilmington, OH Micropolitan Statistical Area" display="https://en.wikipedia.org/wiki/Wilmington,_OH_Micropolitan_Statistical_Area" xr:uid="{63C97462-F730-3245-89FE-C3D21C216CDB}"/>
    <hyperlink ref="F673" r:id="rId1084" tooltip="Cincinnati-Wilmington-Maysville, OH-KY-IN Combined Statistical Area" display="https://en.wikipedia.org/wiki/Cincinnati-Wilmington-Maysville,_OH-KY-IN_Combined_Statistical_Area" xr:uid="{AACDEF0E-8FC4-6847-BDC1-57B06738E8C2}"/>
    <hyperlink ref="B674" r:id="rId1085" tooltip="Alice, TX Micropolitan Statistical Area" display="https://en.wikipedia.org/wiki/Alice,_TX_Micropolitan_Statistical_Area" xr:uid="{A6E97F69-3137-334A-9561-356BC19F5D0A}"/>
    <hyperlink ref="F674" r:id="rId1086" tooltip="Corpus Christi-Kingsville-Alice, TX Combined Statistical Area" display="https://en.wikipedia.org/wiki/Corpus_Christi-Kingsville-Alice,_TX_Combined_Statistical_Area" xr:uid="{CA777607-B536-C34C-8FB6-6C4834F1FF4A}"/>
    <hyperlink ref="B675" r:id="rId1087" tooltip="Ellensburg, WA Micropolitan Statistical Area" display="https://en.wikipedia.org/wiki/Ellensburg,_WA_Micropolitan_Statistical_Area" xr:uid="{C905785F-83F6-B64B-8DD2-1A4A70629260}"/>
    <hyperlink ref="B676" r:id="rId1088" tooltip="Greenwood, MS Micropolitan Statistical Area" display="https://en.wikipedia.org/wiki/Greenwood,_MS_Micropolitan_Statistical_Area" xr:uid="{0F539085-97E4-8C4B-8EB6-460A1CEA0AD4}"/>
    <hyperlink ref="B677" r:id="rId1089" tooltip="Aberdeen, SD Micropolitan Statistical Area" display="https://en.wikipedia.org/wiki/Aberdeen,_SD_Micropolitan_Statistical_Area" xr:uid="{C2DB6101-C6E5-3D4E-9519-99202AE8DF6F}"/>
    <hyperlink ref="B678" r:id="rId1090" tooltip="Port Clinton, OH Micropolitan Statistical Area" display="https://en.wikipedia.org/wiki/Port_Clinton,_OH_Micropolitan_Statistical_Area" xr:uid="{13BC9C0B-08F4-194F-AF7B-D9004D548C02}"/>
    <hyperlink ref="F678" r:id="rId1091" tooltip="Toledo-Port Clinton, OH Combined Statistical Area" display="https://en.wikipedia.org/wiki/Toledo-Port_Clinton,_OH_Combined_Statistical_Area" xr:uid="{0C646A80-C30A-C547-8E41-2F6426BEAB42}"/>
    <hyperlink ref="B679" r:id="rId1092" tooltip="El Campo, TX Micropolitan Statistical Area" display="https://en.wikipedia.org/wiki/El_Campo,_TX_Micropolitan_Statistical_Area" xr:uid="{58F2EDF5-4BBD-B344-8EC8-CB850A2A37B3}"/>
    <hyperlink ref="F679" r:id="rId1093" tooltip="Houston-The Woodlands, TX Combined Statistical Area" display="https://en.wikipedia.org/wiki/Houston-The_Woodlands,_TX_Combined_Statistical_Area" xr:uid="{D1E7ECD0-7B78-114B-A316-2F0B21E6239E}"/>
    <hyperlink ref="B680" r:id="rId1094" tooltip="Cedartown, GA Micropolitan Statistical Area" display="https://en.wikipedia.org/wiki/Cedartown,_GA_Micropolitan_Statistical_Area" xr:uid="{A0C7F13C-1B82-0647-9844-563B807B1A97}"/>
    <hyperlink ref="F680" r:id="rId1095" tooltip="Atlanta–Athens-Clarke County–Sandy Springs, GA Combined Statistical Area" display="https://en.wikipedia.org/wiki/Atlanta%E2%80%93Athens-Clarke_County%E2%80%93Sandy_Springs,_GA_Combined_Statistical_Area" xr:uid="{88184A37-E719-7245-A928-68F627838F4E}"/>
    <hyperlink ref="B681" r:id="rId1096" tooltip="Garden City, KS Micropolitan Statistical Area" display="https://en.wikipedia.org/wiki/Garden_City,_KS_Micropolitan_Statistical_Area" xr:uid="{7A30BC36-799C-E84B-9526-FB64232C9629}"/>
    <hyperlink ref="B682" r:id="rId1097" tooltip="Warren, PA Micropolitan Statistical Area" display="https://en.wikipedia.org/wiki/Warren,_PA_Micropolitan_Statistical_Area" xr:uid="{BB637691-A2E5-8D48-94CB-E2DEDBD962E7}"/>
    <hyperlink ref="B683" r:id="rId1098" tooltip="Riverton, WY Micropolitan Statistical Area" display="https://en.wikipedia.org/wiki/Riverton,_WY_Micropolitan_Statistical_Area" xr:uid="{B12D4D46-5121-664E-B9C8-F985D80598C7}"/>
    <hyperlink ref="B684" r:id="rId1099" tooltip="Tifton, GA Micropolitan Statistical Area" display="https://en.wikipedia.org/wiki/Tifton,_GA_Micropolitan_Statistical_Area" xr:uid="{29C7B212-AE34-0846-9912-483F6531B660}"/>
    <hyperlink ref="B685" r:id="rId1100" tooltip="Mountain Home, AR Micropolitan Statistical Area" display="https://en.wikipedia.org/wiki/Mountain_Home,_AR_Micropolitan_Statistical_Area" xr:uid="{1A76A54D-FCE5-FE46-9ACF-85408EB5A57D}"/>
    <hyperlink ref="B686" r:id="rId1101" tooltip="Celina, OH Micropolitan Statistical Area" display="https://en.wikipedia.org/wiki/Celina,_OH_Micropolitan_Statistical_Area" xr:uid="{92DE586C-ACBC-3146-BEDE-C133C98D1F3D}"/>
    <hyperlink ref="F686" r:id="rId1102" tooltip="Lima-Van Wert-Celina, OH Combined Statistical Area" display="https://en.wikipedia.org/wiki/Lima-Van_Wert-Celina,_OH_Combined_Statistical_Area" xr:uid="{51C6DA43-BDEC-1047-953E-87D0EB694049}"/>
    <hyperlink ref="B687" r:id="rId1103" tooltip="El Dorado, AR Micropolitan Statistical Area" display="https://en.wikipedia.org/wiki/El_Dorado,_AR_Micropolitan_Statistical_Area" xr:uid="{DD9F0DA0-95AF-E249-9B6D-7A9D3290B144}"/>
    <hyperlink ref="B688" r:id="rId1104" tooltip="Marshalltown, IA Micropolitan Statistical Area" display="https://en.wikipedia.org/wiki/Marshalltown,_IA_Micropolitan_Statistical_Area" xr:uid="{237CFD4F-8011-294F-8247-33FE1A14007A}"/>
    <hyperlink ref="B689" r:id="rId1105" tooltip="Montrose, CO Micropolitan Statistical Area" display="https://en.wikipedia.org/wiki/Montrose,_CO_Micropolitan_Statistical_Area" xr:uid="{B016002F-B626-A04B-A68F-6794B643A957}"/>
    <hyperlink ref="B690" r:id="rId1106" tooltip="West Plains, MO Micropolitan Statistical Area" display="https://en.wikipedia.org/wiki/West_Plains,_MO_Micropolitan_Statistical_Area" xr:uid="{7E934B15-745A-9D48-82D4-FEC80637C7DD}"/>
    <hyperlink ref="B691" r:id="rId1107" tooltip="Jacksonville, IL Micropolitan Statistical Area" display="https://en.wikipedia.org/wiki/Jacksonville,_IL_Micropolitan_Statistical_Area" xr:uid="{CFC1384C-7E7C-C149-931A-12ECCFBB1C30}"/>
    <hyperlink ref="F691" r:id="rId1108" tooltip="Springfield-Jacksonville-Lincoln, IL Combined Statistical Area" display="https://en.wikipedia.org/wiki/Springfield-Jacksonville-Lincoln,_IL_Combined_Statistical_Area" xr:uid="{361D34B9-98C6-804A-ADAF-5D00EC48916A}"/>
    <hyperlink ref="B692" r:id="rId1109" tooltip="Sandpoint, ID Micropolitan Statistical Area" display="https://en.wikipedia.org/wiki/Sandpoint,_ID_Micropolitan_Statistical_Area" xr:uid="{0EA2DDE7-F35D-0E4D-B00E-6A01788A7F6A}"/>
    <hyperlink ref="B693" r:id="rId1110" tooltip="Cullowhee, NC Micropolitan Statistical Area" display="https://en.wikipedia.org/wiki/Cullowhee,_NC_Micropolitan_Statistical_Area" xr:uid="{8A50A3FD-CD4C-1A4B-BBB0-D93074CD515D}"/>
    <hyperlink ref="B694" r:id="rId1111" tooltip="Española, NM Micropolitan Statistical Area" display="https://en.wikipedia.org/wiki/Espa%C3%B1ola,_NM_Micropolitan_Statistical_Area" xr:uid="{32B3B284-115E-174B-AE15-50FBE7D97F3E}"/>
    <hyperlink ref="F694" r:id="rId1112" tooltip="Albuquerque-Santa Fe-Las Vegas, NM Combined Statistical Area" display="https://en.wikipedia.org/wiki/Albuquerque-Santa_Fe-Las_Vegas,_NM_Combined_Statistical_Area" xr:uid="{9AB25B48-7DCE-8F45-9751-85FF26F1BCE6}"/>
    <hyperlink ref="B695" r:id="rId1113" tooltip="McMinnville, TN Micropolitan Statistical Area" display="https://en.wikipedia.org/wiki/McMinnville,_TN_Micropolitan_Statistical_Area" xr:uid="{8466D749-3756-DB40-BE19-410C91CDE11C}"/>
    <hyperlink ref="B696" r:id="rId1114" tooltip="Cambridge, OH Micropolitan Statistical Area" display="https://en.wikipedia.org/wiki/Cambridge,_OH_Micropolitan_Statistical_Area" xr:uid="{3CDCF191-7417-194E-99A9-AC2F1CAA50C3}"/>
    <hyperlink ref="F696" r:id="rId1115" tooltip="Columbus-Marion-Zanesville, OH Combined Statistical Area" display="https://en.wikipedia.org/wiki/Columbus-Marion-Zanesville,_OH_Combined_Statistical_Area" xr:uid="{57AF5A01-1884-2A46-AC06-3D7479F70204}"/>
    <hyperlink ref="B697" r:id="rId1116" tooltip="Selinsgrove, PA Micropolitan Statistical Area" display="https://en.wikipedia.org/wiki/Selinsgrove,_PA_Micropolitan_Statistical_Area" xr:uid="{5EE58D43-B081-1447-83A6-E5873DD6504A}"/>
    <hyperlink ref="F697" r:id="rId1117" tooltip="Bloomsburg-Berwick-Sunbury, PA Combined Statistical Area" display="https://en.wikipedia.org/wiki/Bloomsburg-Berwick-Sunbury,_PA_Combined_Statistical_Area" xr:uid="{1F2DEC08-C18E-9146-B668-0B7ABD6AAB7A}"/>
    <hyperlink ref="B698" r:id="rId1118" tooltip="Urbana, OH Micropolitan Statistical Area" display="https://en.wikipedia.org/wiki/Urbana,_OH_Micropolitan_Statistical_Area" xr:uid="{6FDC7745-A209-F947-A70E-5A1ADAAD80AC}"/>
    <hyperlink ref="F698" r:id="rId1119" tooltip="Dayton-Springfield-Sidney, OH Combined Statistical Area" display="https://en.wikipedia.org/wiki/Dayton-Springfield-Sidney,_OH_Combined_Statistical_Area" xr:uid="{E3F4526C-B656-6541-AF70-561DBCBF1559}"/>
    <hyperlink ref="B699" r:id="rId1120" tooltip="Lock Haven, PA Micropolitan Statistical Area" display="https://en.wikipedia.org/wiki/Lock_Haven,_PA_Micropolitan_Statistical_Area" xr:uid="{D7454A13-8B1A-4E4D-B39B-81CBD76E9841}"/>
    <hyperlink ref="F699" r:id="rId1121" tooltip="Williamsport-Lock Haven, PA Combined Statistical Area" display="https://en.wikipedia.org/wiki/Williamsport-Lock_Haven,_PA_Combined_Statistical_Area" xr:uid="{BFBE853B-C17A-0342-AB1A-75AD0BE54CCC}"/>
    <hyperlink ref="B700" r:id="rId1122" tooltip="Okeechobee, FL Micropolitan Statistical Area" display="https://en.wikipedia.org/wiki/Okeechobee,_FL_Micropolitan_Statistical_Area" xr:uid="{33191B26-94CE-7F4F-929B-758C1DC314CA}"/>
    <hyperlink ref="F700" r:id="rId1123" tooltip="Miami-Fort Lauderdale-Port St. Lucie, FL Combined Statistical Area" display="https://en.wikipedia.org/wiki/Miami-Fort_Lauderdale-Port_St._Lucie,_FL_Combined_Statistical_Area" xr:uid="{42086BE5-44D1-1941-BBB2-A34D6D6503A3}"/>
    <hyperlink ref="B701" r:id="rId1124" tooltip="Natchitoches, LA Micropolitan Statistical Area" display="https://en.wikipedia.org/wiki/Natchitoches,_LA_Micropolitan_Statistical_Area" xr:uid="{C2837CBC-E7D2-024D-A716-9860E704F526}"/>
    <hyperlink ref="B702" r:id="rId1125" tooltip="Austin, MN Micropolitan Statistical Area" display="https://en.wikipedia.org/wiki/Austin,_MN_Micropolitan_Statistical_Area" xr:uid="{FD259BA4-B977-B445-BC86-FC28CE131D34}"/>
    <hyperlink ref="F702" r:id="rId1126" tooltip="Rochester-Austin, MN Combined Statistical Area" display="https://en.wikipedia.org/wiki/Rochester-Austin,_MN_Combined_Statistical_Area" xr:uid="{C0B23837-0D16-654D-BA9D-4026F51FC444}"/>
    <hyperlink ref="B703" r:id="rId1127" tooltip="Pittsburg, KS Micropolitan Statistical Area" display="https://en.wikipedia.org/wiki/Pittsburg,_KS_Micropolitan_Statistical_Area" xr:uid="{DF7B5E2D-A660-6A4C-AE85-329BDD6B371A}"/>
    <hyperlink ref="B704" r:id="rId1128" tooltip="Stephenville, TX Micropolitan Statistical Area" display="https://en.wikipedia.org/wiki/Stephenville,_TX_Micropolitan_Statistical_Area" xr:uid="{E630DA52-76F8-7C49-BCA2-97EF9D74C933}"/>
    <hyperlink ref="B705" r:id="rId1129" tooltip="Sikeston, MO Micropolitan Statistical Area" display="https://en.wikipedia.org/wiki/Sikeston,_MO_Micropolitan_Statistical_Area" xr:uid="{BDC5CE16-BBC6-6442-AA42-B138DE949937}"/>
    <hyperlink ref="F705" r:id="rId1130" tooltip="Cape Girardeau-Sikeston, MO-IL Combined Statistical Area" display="https://en.wikipedia.org/wiki/Cape_Girardeau-Sikeston,_MO-IL_Combined_Statistical_Area" xr:uid="{69958D9D-5239-2348-94CA-67F7CC71B31F}"/>
    <hyperlink ref="B706" r:id="rId1131" tooltip="Scottsbluff, NE Micropolitan Statistical Area" display="https://en.wikipedia.org/wiki/Scottsbluff,_NE_Micropolitan_Statistical_Area" xr:uid="{574CF405-CFA3-084E-BD05-A42B03C35BBD}"/>
    <hyperlink ref="B707" r:id="rId1132" tooltip="Hannibal, MO Micropolitan Statistical Area" display="https://en.wikipedia.org/wiki/Hannibal,_MO_Micropolitan_Statistical_Area" xr:uid="{C695D468-26ED-8045-92E3-C37FC24BA4A8}"/>
    <hyperlink ref="F707" r:id="rId1133" tooltip="Quincy-Hannibal, IL-MO Combined Statistical Area" display="https://en.wikipedia.org/wiki/Quincy-Hannibal,_IL-MO_Combined_Statistical_Area" xr:uid="{B07DE5C8-C4DE-A34F-9765-C8EC812F2547}"/>
    <hyperlink ref="B708" r:id="rId1134" tooltip="Sault Ste. Marie, MI Micropolitan Statistical Area" display="https://en.wikipedia.org/wiki/Sault_Ste._Marie,_MI_Micropolitan_Statistical_Area" xr:uid="{51E8F9DE-1F7B-1F41-AA28-646ED24DFDE2}"/>
    <hyperlink ref="B709" r:id="rId1135" tooltip="Kill Devil Hills, NC Micropolitan Statistical Area" display="https://en.wikipedia.org/wiki/Kill_Devil_Hills,_NC_Micropolitan_Statistical_Area" xr:uid="{8DF17FA1-9B5C-2948-BE01-1816673AC9BC}"/>
    <hyperlink ref="F709" r:id="rId1136" tooltip="Virginia Beach-Norfolk, VA-NC Combined Statistical Area" display="https://en.wikipedia.org/wiki/Virginia_Beach-Norfolk,_VA-NC_Combined_Statistical_Area" xr:uid="{8DBD03D1-AC30-8940-8F58-E9C9FAF84A0F}"/>
    <hyperlink ref="B710" r:id="rId1137" tooltip="Centralia, IL Micropolitan Statistical Area" display="https://en.wikipedia.org/wiki/Centralia,_IL_Micropolitan_Statistical_Area" xr:uid="{386AD191-E0E3-1343-BE22-3BC0D3BD6D6D}"/>
    <hyperlink ref="F710" r:id="rId1138" tooltip="St. Louis-St. Charles-Farmington, MO-IL Combined Statistical Area" display="https://en.wikipedia.org/wiki/St._Louis-St._Charles-Farmington,_MO-IL_Combined_Statistical_Area" xr:uid="{0DA82A19-3325-A548-9626-32A70A2E096D}"/>
    <hyperlink ref="B711" r:id="rId1139" tooltip="Houghton, MI Micropolitan Statistical Area" display="https://en.wikipedia.org/wiki/Houghton,_MI_Micropolitan_Statistical_Area" xr:uid="{5D26D832-F1A4-3249-A2DF-2447FC2CFBF2}"/>
    <hyperlink ref="B712" r:id="rId1140" tooltip="Mount Vernon, IL Micropolitan Statistical Area" display="https://en.wikipedia.org/wiki/Mount_Vernon,_IL_Micropolitan_Statistical_Area" xr:uid="{4B0B0E0A-5426-B746-AB9E-31EFE92CB533}"/>
    <hyperlink ref="B713" r:id="rId1141" tooltip="Gainesville, TX Micropolitan Statistical Area" display="https://en.wikipedia.org/wiki/Gainesville,_TX_Micropolitan_Statistical_Area" xr:uid="{FD100218-ACEB-E147-93F7-0EC33F538963}"/>
    <hyperlink ref="F713" r:id="rId1142" tooltip="Dallas-Fort Worth, TX-OK Combined Statistical Area" display="https://en.wikipedia.org/wiki/Dallas-Fort_Worth,_TX-OK_Combined_Statistical_Area" xr:uid="{7AC63071-3DFB-904D-A31E-E0B25DC03A58}"/>
    <hyperlink ref="B714" r:id="rId1143" tooltip="Defiance, OH Micropolitan Statistical Area" display="https://en.wikipedia.org/wiki/Defiance,_OH_Micropolitan_Statistical_Area" xr:uid="{7DB62FAB-C915-9742-9760-7B871EBA37A6}"/>
    <hyperlink ref="B715" r:id="rId1144" tooltip="Pontiac, IL Micropolitan Statistical Area" display="https://en.wikipedia.org/wiki/Pontiac,_IL_Micropolitan_Statistical_Area" xr:uid="{A4BCC2F6-849B-CD4F-927A-484524CCC03A}"/>
    <hyperlink ref="F715" r:id="rId1145" tooltip="Bloomington-Pontiac, IL Combined Statistical Area" display="https://en.wikipedia.org/wiki/Bloomington-Pontiac,_IL_Combined_Statistical_Area" xr:uid="{F5D43047-608D-B242-8492-FA9AAD0BED1C}"/>
    <hyperlink ref="B716" r:id="rId1146" tooltip="Logansport, IN Micropolitan Statistical Area" display="https://en.wikipedia.org/wiki/Logansport,_IN_Micropolitan_Statistical_Area" xr:uid="{B4D92FC0-D3EC-0847-8068-A376BF8EC6D5}"/>
    <hyperlink ref="B717" r:id="rId1147" tooltip="Berlin, NH-VT Micropolitan Statistical Area" display="https://en.wikipedia.org/wiki/Berlin,_NH-VT_Micropolitan_Statistical_Area" xr:uid="{B5352289-EF25-1B48-BF49-30605F2B8B90}"/>
    <hyperlink ref="B718" r:id="rId1148" tooltip="Dyersburg, TN Micropolitan Statistical Area" display="https://en.wikipedia.org/wiki/Dyersburg,_TN_Micropolitan_Statistical_Area" xr:uid="{2A0C583C-AF1B-5B42-912C-3838475CF95B}"/>
    <hyperlink ref="B719" r:id="rId1149" tooltip="Crawfordsville, IN Micropolitan Statistical Area" display="https://en.wikipedia.org/wiki/Crawfordsville,_IN_Micropolitan_Statistical_Area" xr:uid="{276F7040-0554-9E48-9043-BCE75390FB56}"/>
    <hyperlink ref="F719" r:id="rId1150" tooltip="Indianapolis-Carmel-Muncie, IN Combined Statistical Area" display="https://en.wikipedia.org/wiki/Indianapolis-Carmel-Muncie,_IN_Combined_Statistical_Area" xr:uid="{E2DDCE90-44E2-784F-993F-C9C7C151A54E}"/>
    <hyperlink ref="B720" r:id="rId1151" tooltip="Moscow, ID Micropolitan Statistical Area" display="https://en.wikipedia.org/wiki/Moscow,_ID_Micropolitan_Statistical_Area" xr:uid="{CBC25D57-9FC0-ED4E-B2B7-1C8B97D77D1F}"/>
    <hyperlink ref="F720" r:id="rId1152" tooltip="Pullman-Moscow, WA-ID Combined Statistical Area" display="https://en.wikipedia.org/wiki/Pullman-Moscow,_WA-ID_Combined_Statistical_Area" xr:uid="{E417B3CA-A88F-E643-A423-F2EB435EE79F}"/>
    <hyperlink ref="B721" r:id="rId1153" tooltip="Vincennes, IN Micropolitan Statistical Area" display="https://en.wikipedia.org/wiki/Vincennes,_IN_Micropolitan_Statistical_Area" xr:uid="{441AE30F-F6EE-3848-8332-F111AB11EC81}"/>
    <hyperlink ref="B722" r:id="rId1154" tooltip="Easton, MD Micropolitan Statistical Area" display="https://en.wikipedia.org/wiki/Easton,_MD_Micropolitan_Statistical_Area" xr:uid="{AFF0165E-29D3-4E41-A739-A9F64E7B66BF}"/>
    <hyperlink ref="F722" r:id="rId1155" tooltip="Washington-Baltimore-Arlington, DC-MD-VA-WV-PA Combined Statistical Area" display="https://en.wikipedia.org/wiki/Washington-Baltimore-Arlington,_DC-MD-VA-WV-PA_Combined_Statistical_Area" xr:uid="{C5A69554-ADA5-CA44-B47B-F0708A0E7636}"/>
    <hyperlink ref="B723" r:id="rId1156" tooltip="Junction City, KS Micropolitan Statistical Area" display="https://en.wikipedia.org/wiki/Junction_City,_KS_Micropolitan_Statistical_Area" xr:uid="{43EC506A-0EF1-EE42-8CD8-9E760DCE77BB}"/>
    <hyperlink ref="F723" r:id="rId1157" tooltip="Manhattan-Junction City, KS Combined Statistical Area" display="https://en.wikipedia.org/wiki/Manhattan-Junction_City,_KS_Combined_Statistical_Area" xr:uid="{D71DD8A0-2A5E-2641-AE37-F651EF2FF23E}"/>
    <hyperlink ref="B724" r:id="rId1158" tooltip="Summit Park, UT Micropolitan Statistical Area" display="https://en.wikipedia.org/wiki/Summit_Park,_UT_Micropolitan_Statistical_Area" xr:uid="{6C668EA6-204C-7143-892F-B98C556B10AF}"/>
    <hyperlink ref="F724" r:id="rId1159" tooltip="Salt Lake City-Provo-Orem, UT Combined Statistical Area" display="https://en.wikipedia.org/wiki/Salt_Lake_City-Provo-Orem,_UT_Combined_Statistical_Area" xr:uid="{7188F080-CD04-C045-A4A4-AD8AF584EF11}"/>
    <hyperlink ref="B725" r:id="rId1160" tooltip="Ada, OK Micropolitan Statistical Area" display="https://en.wikipedia.org/wiki/Ada,_OK_Micropolitan_Statistical_Area" xr:uid="{C9E0547F-5265-004B-8941-BBAA5005E043}"/>
    <hyperlink ref="B726" r:id="rId1161" tooltip="Union City, TN Micropolitan Statistical Area" display="https://en.wikipedia.org/wiki/Union_City,_TN_Micropolitan_Statistical_Area" xr:uid="{67681380-C150-854D-AC25-02F2A74698B5}"/>
    <hyperlink ref="F726" r:id="rId1162" tooltip="Martin-Union City, TN Combined Statistical Area" display="https://en.wikipedia.org/wiki/Martin-Union_City,_TN_Combined_Statistical_Area" xr:uid="{16764FB0-79F8-4741-830B-72721CE5EB59}"/>
    <hyperlink ref="B727" r:id="rId1163" tooltip="Brownwood, TX Micropolitan Statistical Area" display="https://en.wikipedia.org/wiki/Brownwood,_TX_Micropolitan_Statistical_Area" xr:uid="{F9024526-C0BF-864C-82E3-0FDBBB051C6A}"/>
    <hyperlink ref="B728" r:id="rId1164" tooltip="Murray, KY Micropolitan Statistical Area" display="https://en.wikipedia.org/wiki/Murray,_KY_Micropolitan_Statistical_Area" xr:uid="{D793458E-84E2-A341-97B3-F3ECF6737A22}"/>
    <hyperlink ref="B729" r:id="rId1165" tooltip="Newberry, SC Micropolitan Statistical Area" display="https://en.wikipedia.org/wiki/Newberry,_SC_Micropolitan_Statistical_Area" xr:uid="{6E480A49-E2DF-F24B-B33C-B105FDAAF6B5}"/>
    <hyperlink ref="F729" r:id="rId1166" tooltip="Columbia-Orangeburg-Newberry, SC Combined Statistical Area" display="https://en.wikipedia.org/wiki/Columbia-Orangeburg-Newberry,_SC_Combined_Statistical_Area" xr:uid="{4AC168BA-E9DF-DC48-95AE-B26CD6BAD68A}"/>
    <hyperlink ref="B730" r:id="rId1167" tooltip="Mayfield, KY Micropolitan Statistical Area" display="https://en.wikipedia.org/wiki/Mayfield,_KY_Micropolitan_Statistical_Area" xr:uid="{735B5460-F9FB-C344-93E3-C99651F9D426}"/>
    <hyperlink ref="F730" r:id="rId1168" tooltip="Paducah-Mayfield, KY-IL Combined Statistical Area" display="https://en.wikipedia.org/wiki/Paducah-Mayfield,_KY-IL_Combined_Statistical_Area" xr:uid="{DF71445C-3DF1-E04B-8197-C314BD37C704}"/>
    <hyperlink ref="B731" r:id="rId1169" tooltip="Clewiston, FL Micropolitan Statistical Area" display="https://en.wikipedia.org/wiki/Clewiston,_FL_Micropolitan_Statistical_Area" xr:uid="{EAE3CCB9-3017-9A41-9FB5-E59705F52354}"/>
    <hyperlink ref="B732" r:id="rId1170" tooltip="Safford, AZ Micropolitan Statistical Area" display="https://en.wikipedia.org/wiki/Safford,_AZ_Micropolitan_Statistical_Area" xr:uid="{3285CB6E-BD32-9942-91A5-0B5FD6369C52}"/>
    <hyperlink ref="B733" r:id="rId1171" tooltip="North Platte, NE Micropolitan Statistical Area" display="https://en.wikipedia.org/wiki/North_Platte,_NE_Micropolitan_Statistical_Area" xr:uid="{BB40A900-4589-9F46-A6D1-1933EC15B91D}"/>
    <hyperlink ref="B734" r:id="rId1172" tooltip="Astoria, OR Micropolitan Statistical Area" display="https://en.wikipedia.org/wiki/Astoria,_OR_Micropolitan_Statistical_Area" xr:uid="{BA7535C1-8B67-1742-B1BC-1CB7F7FD54FF}"/>
    <hyperlink ref="B735" r:id="rId1173" tooltip="Laramie, WY Micropolitan Statistical Area" display="https://en.wikipedia.org/wiki/Laramie,_WY_Micropolitan_Statistical_Area" xr:uid="{C2EC75A9-5754-7541-A5C3-7697793AB674}"/>
    <hyperlink ref="B736" r:id="rId1174" tooltip="Fort Dodge, IA Micropolitan Statistical Area" display="https://en.wikipedia.org/wiki/Fort_Dodge,_IA_Micropolitan_Statistical_Area" xr:uid="{60A99886-FFFB-5347-B19D-2FA357BDACDF}"/>
    <hyperlink ref="B737" r:id="rId1175" tooltip="Corinth, MS Micropolitan Statistical Area" display="https://en.wikipedia.org/wiki/Corinth,_MS_Micropolitan_Statistical_Area" xr:uid="{5B883796-1177-5B4E-B0D9-752AA5BD5F01}"/>
    <hyperlink ref="B738" r:id="rId1176" tooltip="Batesville, AR Micropolitan Statistical Area" display="https://en.wikipedia.org/wiki/Batesville,_AR_Micropolitan_Statistical_Area" xr:uid="{C2485842-CBA7-2A47-AA58-6302FAC362D2}"/>
    <hyperlink ref="B739" r:id="rId1177" tooltip="Huntington, IN Micropolitan Statistical Area" display="https://en.wikipedia.org/wiki/Huntington,_IN_Micropolitan_Statistical_Area" xr:uid="{429A9E64-4A37-894F-9A6E-669EA67C9FDB}"/>
    <hyperlink ref="F739" r:id="rId1178" tooltip="Fort Wayne-Huntington-Auburn, IN Combined Statistical Area" display="https://en.wikipedia.org/wiki/Fort_Wayne-Huntington-Auburn,_IN_Combined_Statistical_Area" xr:uid="{A5838583-A662-3C40-A1C9-987B28956BF1}"/>
    <hyperlink ref="B740" r:id="rId1179" tooltip="Escanaba, MI Micropolitan Statistical Area" display="https://en.wikipedia.org/wiki/Escanaba,_MI_Micropolitan_Statistical_Area" xr:uid="{4257B1B6-AC85-274A-A02F-E853A9856C5B}"/>
    <hyperlink ref="B741" r:id="rId1180" tooltip="Coshocton, OH Micropolitan Statistical Area" display="https://en.wikipedia.org/wiki/Coshocton,_OH_Micropolitan_Statistical_Area" xr:uid="{10E308FF-15FD-8848-BCFA-5FFE4CAFC3CB}"/>
    <hyperlink ref="B742" r:id="rId1181" tooltip="Bennington, VT Micropolitan Statistical Area" display="https://en.wikipedia.org/wiki/Bennington,_VT_Micropolitan_Statistical_Area" xr:uid="{3AD91E45-9D4E-174F-8FD2-159C9A17CB28}"/>
    <hyperlink ref="B743" r:id="rId1182" tooltip="Big Spring, TX Micropolitan Statistical Area" display="https://en.wikipedia.org/wiki/Big_Spring,_TX_Micropolitan_Statistical_Area" xr:uid="{65BBFD6F-32CC-9B4F-A055-FEA82EB2984C}"/>
    <hyperlink ref="B744" r:id="rId1183" tooltip="Canton, IL Micropolitan Statistical Area" display="https://en.wikipedia.org/wiki/Canton,_IL_Micropolitan_Statistical_Area" xr:uid="{EA175779-540C-5C44-AD60-4D8F07E08E70}"/>
    <hyperlink ref="F744" r:id="rId1184" tooltip="Peoria-Canton, IL Combined Statistical Area" display="https://en.wikipedia.org/wiki/Peoria-Canton,_IL_Combined_Statistical_Area" xr:uid="{20E2FFC9-F53D-E04B-BB0A-9E238EB18ED7}"/>
    <hyperlink ref="B745" r:id="rId1185" tooltip="Newton, IA Micropolitan Statistical Area" display="https://en.wikipedia.org/wiki/Newton,_IA_Micropolitan_Statistical_Area" xr:uid="{216A97FB-32D8-7046-AC6D-E3B77C08E35F}"/>
    <hyperlink ref="F745" r:id="rId1186" tooltip="Des Moines-Ames-West Des Moines, IA Combined Statistical Area" display="https://en.wikipedia.org/wiki/Des_Moines-Ames-West_Des_Moines,_IA_Combined_Statistical_Area" xr:uid="{FD29C46E-F5F9-2E46-A75D-1BCF0F81C941}"/>
    <hyperlink ref="B746" r:id="rId1187" tooltip="Bay City, TX Micropolitan Statistical Area" display="https://en.wikipedia.org/wiki/Bay_City,_TX_Micropolitan_Statistical_Area" xr:uid="{768B37AE-BA33-A540-AA03-A4E1F2AF37F1}"/>
    <hyperlink ref="F746" r:id="rId1188" tooltip="Houston-The Woodlands, TX Combined Statistical Area" display="https://en.wikipedia.org/wiki/Houston-The_Woodlands,_TX_Combined_Statistical_Area" xr:uid="{CC52CC62-3649-C24F-9176-8D3956AE74C8}"/>
    <hyperlink ref="B747" r:id="rId1189" tooltip="Americus, GA Micropolitan Statistical Area" display="https://en.wikipedia.org/wiki/Americus,_GA_Micropolitan_Statistical_Area" xr:uid="{80930124-686C-6E41-B353-C82C3DDBFBAE}"/>
    <hyperlink ref="B748" r:id="rId1190" tooltip="Peru, IN Micropolitan Statistical Area" display="https://en.wikipedia.org/wiki/Peru,_IN_Micropolitan_Statistical_Area" xr:uid="{4F3933D2-8D89-7F48-AEAF-D22208C5C652}"/>
    <hyperlink ref="F748" r:id="rId1191" tooltip="Kokomo-Peru, IN Combined Statistical Area" display="https://en.wikipedia.org/wiki/Kokomo-Peru,_IN_Combined_Statistical_Area" xr:uid="{75403684-27AB-7A40-9208-03D0C1466605}"/>
    <hyperlink ref="B749" r:id="rId1192" tooltip="Fremont, NE Micropolitan Statistical Area" display="https://en.wikipedia.org/wiki/Fremont,_NE_Micropolitan_Statistical_Area" xr:uid="{6735314A-528E-5C46-8335-AE83DD03B68A}"/>
    <hyperlink ref="F749" r:id="rId1193" tooltip="Omaha-Council Bluffs-Fremont, NE-IA Combined Statistical Area" display="https://en.wikipedia.org/wiki/Omaha-Council_Bluffs-Fremont,_NE-IA_Combined_Statistical_Area" xr:uid="{7AC45A4D-80E6-AA4A-A1CA-62C61DC78079}"/>
    <hyperlink ref="B750" r:id="rId1194" tooltip="Alexandria, MN Micropolitan Statistical Area" display="https://en.wikipedia.org/wiki/Alexandria,_MN_Micropolitan_Statistical_Area" xr:uid="{640173AC-C778-7F44-BE48-4ED8DF7A2555}"/>
    <hyperlink ref="B751" r:id="rId1195" tooltip="Plainview, TX Micropolitan Statistical Area" display="https://en.wikipedia.org/wiki/Plainview,_TX_Micropolitan_Statistical_Area" xr:uid="{509CC1CE-BBD2-D746-92F7-536E04FFB99E}"/>
    <hyperlink ref="B752" r:id="rId1196" tooltip="Owatonna, MN Micropolitan Statistical Area" display="https://en.wikipedia.org/wiki/Owatonna,_MN_Micropolitan_Statistical_Area" xr:uid="{D15A85C6-1A0A-0C46-9F4F-0E5A617AA2C8}"/>
    <hyperlink ref="B753" r:id="rId1197" tooltip="Arkansas City-Winfield, KS Micropolitan Statistical Area" display="https://en.wikipedia.org/wiki/Arkansas_City-Winfield,_KS_Micropolitan_Statistical_Area" xr:uid="{ECF90590-7AF3-D64C-A364-EC1763F6BB44}"/>
    <hyperlink ref="F753" r:id="rId1198" tooltip="Wichita-Arkansas City-Winfield, KS Combined Statistical Area" display="https://en.wikipedia.org/wiki/Wichita-Arkansas_City-Winfield,_KS_Combined_Statistical_Area" xr:uid="{4A8C7598-7915-484C-8E28-86F3685C85BE}"/>
    <hyperlink ref="B754" r:id="rId1199" tooltip="DeRidder, LA Micropolitan Statistical Area" display="https://en.wikipedia.org/wiki/DeRidder,_LA_Micropolitan_Statistical_Area" xr:uid="{E139FDFE-5202-D348-88FF-99CF23141506}"/>
    <hyperlink ref="F754" r:id="rId1200" tooltip="DeRidder-Fort Polk South, LA Combined Statistical Area" display="https://en.wikipedia.org/wiki/DeRidder-Fort_Polk_South,_LA_Combined_Statistical_Area" xr:uid="{4B13097A-50BA-8A48-920F-83657C290E1C}"/>
    <hyperlink ref="B755" r:id="rId1201" tooltip="Vidalia, GA Micropolitan Statistical Area" display="https://en.wikipedia.org/wiki/Vidalia,_GA_Micropolitan_Statistical_Area" xr:uid="{4C721179-EBF3-E047-9C27-1C415E9813F5}"/>
    <hyperlink ref="B756" r:id="rId1202" tooltip="Logan, WV Micropolitan Statistical Area" display="https://en.wikipedia.org/wiki/Logan,_WV_Micropolitan_Statistical_Area" xr:uid="{AA1BA9EF-E7F8-E149-9734-FAA3ABB0235F}"/>
    <hyperlink ref="F756" r:id="rId1203" tooltip="Charleston-Huntington-Ashland, WV-OH-KY Combined Statistical Area" display="https://en.wikipedia.org/wiki/Charleston-Huntington-Ashland,_WV-OH-KY_Combined_Statistical_Area" xr:uid="{461B7AD4-DF64-EA4D-BCF3-69126783A6AC}"/>
    <hyperlink ref="B757" r:id="rId1204" tooltip="Laurinburg, NC Micropolitan Statistical Area" display="https://en.wikipedia.org/wiki/Laurinburg,_NC_Micropolitan_Statistical_Area" xr:uid="{DA27D78C-905A-AA4D-96E8-0FCA969DC0F0}"/>
    <hyperlink ref="F757" r:id="rId1205" tooltip="Fayetteville-Lumberton-Laurinburg, NC Combined Statistical Area" display="https://en.wikipedia.org/wiki/Fayetteville-Lumberton-Laurinburg,_NC_Combined_Statistical_Area" xr:uid="{AE645144-1A9F-0143-A870-54C0D880C498}"/>
    <hyperlink ref="B758" r:id="rId1206" tooltip="Hutchinson, MN Micropolitan Statistical Area" display="https://en.wikipedia.org/wiki/Hutchinson,_MN_Micropolitan_Statistical_Area" xr:uid="{B640DFEB-079C-8C45-B6CC-B7B99FEB7FBD}"/>
    <hyperlink ref="F758" r:id="rId1207" tooltip="Minneapolis-St. Paul, MN-WI Combined Statistical Area" display="https://en.wikipedia.org/wiki/Minneapolis-St._Paul,_MN-WI_Combined_Statistical_Area" xr:uid="{A654F6B9-3D42-8F46-82B8-5E53F28B62C7}"/>
    <hyperlink ref="B759" r:id="rId1208" tooltip="Newport, TN Micropolitan Statistical Area" display="https://en.wikipedia.org/wiki/Newport,_TN_Micropolitan_Statistical_Area" xr:uid="{74D44ACA-58B1-9241-B593-EAF0429E953E}"/>
    <hyperlink ref="F759" r:id="rId1209" tooltip="Knoxville-Morristown-Sevierville, TN Combined Statistical Area" display="https://en.wikipedia.org/wiki/Knoxville-Morristown-Sevierville,_TN_Combined_Statistical_Area" xr:uid="{1B23C74C-E6BF-B24E-8742-8ADD0E9D993B}"/>
    <hyperlink ref="B760" r:id="rId1210" tooltip="Sulphur Springs, TX Micropolitan Statistical Area" display="https://en.wikipedia.org/wiki/Sulphur_Springs,_TX_Micropolitan_Statistical_Area" xr:uid="{168F811B-CBC0-AA4A-B3CB-76F4F380590A}"/>
    <hyperlink ref="F760" r:id="rId1211" tooltip="Dallas-Fort Worth, TX-OK Combined Statistical Area" display="https://en.wikipedia.org/wiki/Dallas-Fort_Worth,_TX-OK_Combined_Statistical_Area" xr:uid="{320688F1-7D72-D646-A6E9-C51C1E2FF860}"/>
    <hyperlink ref="B761" r:id="rId1212" tooltip="Lebanon, MO Micropolitan Statistical Area" display="https://en.wikipedia.org/wiki/Lebanon,_MO_Micropolitan_Statistical_Area" xr:uid="{1A11AB8E-472B-0048-9216-B51390A24DEE}"/>
    <hyperlink ref="B762" r:id="rId1213" tooltip="Seneca Falls, NY Micropolitan Statistical Area" display="https://en.wikipedia.org/wiki/Seneca_Falls,_NY_Micropolitan_Statistical_Area" xr:uid="{8A7B41C4-B08A-7E4A-A1F2-6C81AF091E5A}"/>
    <hyperlink ref="F762" r:id="rId1214" tooltip="Rochester-Batavia-Seneca Falls, NY Combined Statistical Area" display="https://en.wikipedia.org/wiki/Rochester-Batavia-Seneca_Falls,_NY_Combined_Statistical_Area" xr:uid="{82EA43DE-71C0-8247-863A-AF2D27907F97}"/>
    <hyperlink ref="B763" r:id="rId1215" tooltip="Dixon, IL Micropolitan Statistical Area" display="https://en.wikipedia.org/wiki/Dixon,_IL_Micropolitan_Statistical_Area" xr:uid="{A1618B7C-5AF0-5042-921E-D4D1C47AE3A2}"/>
    <hyperlink ref="F763" r:id="rId1216" tooltip="Dixon-Sterling, IL Combined Statistical Area" display="https://en.wikipedia.org/wiki/Dixon-Sterling,_IL_Combined_Statistical_Area" xr:uid="{4F249DFC-C2C8-3E46-AF61-28EA38FB7CD9}"/>
    <hyperlink ref="B764" r:id="rId1217" tooltip="Brookhaven, MS Micropolitan Statistical Area" display="https://en.wikipedia.org/wiki/Brookhaven,_MS_Micropolitan_Statistical_Area" xr:uid="{0056CA8A-83A0-F447-8C0D-C09B98077F18}"/>
    <hyperlink ref="F764" r:id="rId1218" tooltip="Jackson-Vicksburg-Brookhaven, MS Combined Statistical Area" display="https://en.wikipedia.org/wiki/Jackson-Vicksburg-Brookhaven,_MS_Combined_Statistical_Area" xr:uid="{E5F49D45-2EA8-784B-ADD6-37F136985583}"/>
    <hyperlink ref="B765" r:id="rId1219" tooltip="Martin, TN Micropolitan Statistical Area" display="https://en.wikipedia.org/wiki/Martin,_TN_Micropolitan_Statistical_Area" xr:uid="{9DB5880A-FED5-AE4D-ADAD-58032C80858D}"/>
    <hyperlink ref="F765" r:id="rId1220" tooltip="Martin-Union City, TN Combined Statistical Area" display="https://en.wikipedia.org/wiki/Martin-Union_City,_TN_Combined_Statistical_Area" xr:uid="{D7E5BEBB-8542-E744-8608-379CB56A4D32}"/>
    <hyperlink ref="B766" r:id="rId1221" tooltip="Dodge City, KS Micropolitan Statistical Area" display="https://en.wikipedia.org/wiki/Dodge_City,_KS_Micropolitan_Statistical_Area" xr:uid="{352111BE-5A18-C244-AEA1-23BA78A92B03}"/>
    <hyperlink ref="B767" r:id="rId1222" tooltip="Arcadia, FL Micropolitan Statistical Area" display="https://en.wikipedia.org/wiki/Arcadia,_FL_Micropolitan_Statistical_Area" xr:uid="{A97ABCFF-D615-9141-B029-4DF32A767CA7}"/>
    <hyperlink ref="F767" r:id="rId1223" tooltip="North Port-Sarasota, FL Combined Statistical Area" display="https://en.wikipedia.org/wiki/North_Port-Sarasota,_FL_Combined_Statistical_Area" xr:uid="{8B122E3A-83F6-BB48-8575-89931ABE1617}"/>
    <hyperlink ref="B768" r:id="rId1224" tooltip="Taylorville, IL Micropolitan Statistical Area" display="https://en.wikipedia.org/wiki/Taylorville,_IL_Micropolitan_Statistical_Area" xr:uid="{62C2593B-038D-784C-B15E-F5E25BE9E55C}"/>
    <hyperlink ref="F768" r:id="rId1225" tooltip="Springfield-Jacksonville-Lincoln, IL Combined Statistical Area" display="https://en.wikipedia.org/wiki/Springfield-Jacksonville-Lincoln,_IL_Combined_Statistical_Area" xr:uid="{7A6C8B5F-791F-9045-AAA0-F45E5B248941}"/>
    <hyperlink ref="B769" r:id="rId1226" tooltip="Vernal, UT Micropolitan Statistical Area" display="https://en.wikipedia.org/wiki/Vernal,_UT_Micropolitan_Statistical_Area" xr:uid="{EE43B024-0FF5-4242-871B-D1AD8EAE5404}"/>
    <hyperlink ref="B770" r:id="rId1227" tooltip="Coffeyville, KS Micropolitan Statistical Area" display="https://en.wikipedia.org/wiki/Coffeyville,_KS_Micropolitan_Statistical_Area" xr:uid="{E66C118D-E341-B34D-894D-5DEFC54EE62E}"/>
    <hyperlink ref="B771" r:id="rId1228" tooltip="Butte-Silver Bow, MT Micropolitan Statistical Area" display="https://en.wikipedia.org/wiki/Butte-Silver_Bow,_MT_Micropolitan_Statistical_Area" xr:uid="{E4148F8D-1CE8-6D46-8A63-3B7DE66C74ED}"/>
    <hyperlink ref="B772" r:id="rId1229" tooltip="Decatur, IN Micropolitan Statistical Area" display="https://en.wikipedia.org/wiki/Decatur,_IN_Micropolitan_Statistical_Area" xr:uid="{482402BD-027D-714B-9160-164F0A884B7F}"/>
    <hyperlink ref="F772" r:id="rId1230" tooltip="Fort Wayne-Huntington-Auburn, IN Combined Statistical Area" display="https://en.wikipedia.org/wiki/Fort_Wayne-Huntington-Auburn,_IN_Combined_Statistical_Area" xr:uid="{B4BDA46C-49C5-9F41-888B-F64043483675}"/>
    <hyperlink ref="B773" r:id="rId1231" tooltip="Effingham, IL Micropolitan Statistical Area" display="https://en.wikipedia.org/wiki/Effingham,_IL_Micropolitan_Statistical_Area" xr:uid="{21CAA031-7D19-8845-8385-61763789AF9D}"/>
    <hyperlink ref="B774" r:id="rId1232" tooltip="Angola, IN Micropolitan Statistical Area" display="https://en.wikipedia.org/wiki/Angola,_IN_Micropolitan_Statistical_Area" xr:uid="{455A931A-5FF3-084F-95D2-B0947C75DC01}"/>
    <hyperlink ref="F774" r:id="rId1233" tooltip="Fort Wayne-Huntington-Auburn, IN Combined Statistical Area" display="https://en.wikipedia.org/wiki/Fort_Wayne-Huntington-Auburn,_IN_Combined_Statistical_Area" xr:uid="{14B46BC0-B3F4-4549-BF73-24B263BE9005}"/>
    <hyperlink ref="B775" r:id="rId1234" tooltip="Brenham, TX Micropolitan Statistical Area" display="https://en.wikipedia.org/wiki/Brenham,_TX_Micropolitan_Statistical_Area" xr:uid="{07B9FC77-43E3-BF41-BED9-36DDC27EE339}"/>
    <hyperlink ref="F775" r:id="rId1235" tooltip="Houston-The Woodlands, TX Combined Statistical Area" display="https://en.wikipedia.org/wiki/Houston-The_Woodlands,_TX_Combined_Statistical_Area" xr:uid="{99A30360-5ADF-BC45-B934-09046F4C558D}"/>
    <hyperlink ref="B776" r:id="rId1236" tooltip="Valley, AL Micropolitan Statistical Area" display="https://en.wikipedia.org/wiki/Valley,_AL_Micropolitan_Statistical_Area" xr:uid="{318A7944-83C6-DF4B-9654-A0D66260CDED}"/>
    <hyperlink ref="F776" r:id="rId1237" tooltip="Columbus-Auburn-Opelika, GA-AL Combined Statistical Area" display="https://en.wikipedia.org/wiki/Columbus-Auburn-Opelika,_GA-AL_Combined_Statistical_Area" xr:uid="{FD89AE21-BA62-6A44-A068-3B6736834D9D}"/>
    <hyperlink ref="B777" r:id="rId1238" tooltip="Cleveland, MS Micropolitan Statistical Area" display="https://en.wikipedia.org/wiki/Cleveland,_MS_Micropolitan_Statistical_Area" xr:uid="{15209699-452E-944C-9237-F9246D65C0F4}"/>
    <hyperlink ref="F777" r:id="rId1239" tooltip="Cleveland-Indianola, MS Combined Statistical Area" display="https://en.wikipedia.org/wiki/Cleveland-Indianola,_MS_Combined_Statistical_Area" xr:uid="{097266EF-D398-BF4F-A447-01D1D1BF3D23}"/>
    <hyperlink ref="B778" r:id="rId1240" tooltip="Emporia, KS Micropolitan Statistical Area" display="https://en.wikipedia.org/wiki/Emporia,_KS_Micropolitan_Statistical_Area" xr:uid="{65C85799-CA1D-6140-B10A-9C697991627A}"/>
    <hyperlink ref="B779" r:id="rId1241" tooltip="Susanville, CA Micropolitan Statistical Area" display="https://en.wikipedia.org/wiki/Susanville,_CA_Micropolitan_Statistical_Area" xr:uid="{AC69A364-E761-1845-AE78-10F85D74BCCC}"/>
    <hyperlink ref="B780" r:id="rId1242" tooltip="Malvern, AR Micropolitan Statistical Area" display="https://en.wikipedia.org/wiki/Malvern,_AR_Micropolitan_Statistical_Area" xr:uid="{1F23604B-ABC7-6A4F-964A-B948EC73DB7E}"/>
    <hyperlink ref="F780" r:id="rId1243" tooltip="Hot Springs-Malvern, AR Combined Statistical Area" display="https://en.wikipedia.org/wiki/Hot_Springs-Malvern,_AR_Combined_Statistical_Area" xr:uid="{406C4477-4C96-8C48-BF3F-42EF3A77FF17}"/>
    <hyperlink ref="B781" r:id="rId1244" tooltip="Troy, AL Micropolitan Statistical Area" display="https://en.wikipedia.org/wiki/Troy,_AL_Micropolitan_Statistical_Area" xr:uid="{96AD38E0-9F50-954D-AFD2-E2AB38FCB3D1}"/>
    <hyperlink ref="B782" r:id="rId1245" tooltip="Frankfort, IN Micropolitan Statistical Area" display="https://en.wikipedia.org/wiki/Frankfort,_IN_Micropolitan_Statistical_Area" xr:uid="{2521D3C9-A870-AA43-B84A-2764606C45C8}"/>
    <hyperlink ref="F782" r:id="rId1246" tooltip="Lafayette-West Lafayette-Frankfort, IN Combined Statistical Area" display="https://en.wikipedia.org/wiki/Lafayette-West_Lafayette-Frankfort,_IN_Combined_Statistical_Area" xr:uid="{9CA5ECE3-D4A4-614A-891B-55A20B997BA6}"/>
    <hyperlink ref="B783" r:id="rId1247" tooltip="Jackson, OH Micropolitan Statistical Area" display="https://en.wikipedia.org/wiki/Jackson,_OH_Micropolitan_Statistical_Area" xr:uid="{4C775B94-0DC4-DD41-A5E6-1E4F0D76D284}"/>
    <hyperlink ref="B784" r:id="rId1248" tooltip="Brevard, NC Micropolitan Statistical Area" display="https://en.wikipedia.org/wiki/Brevard,_NC_Micropolitan_Statistical_Area" xr:uid="{D408F8F7-D8C4-C14E-AA5C-592E9BD3CABA}"/>
    <hyperlink ref="F784" r:id="rId1249" tooltip="Asheville-Brevard, NC Combined Statistical Area" display="https://en.wikipedia.org/wiki/Asheville-Brevard,_NC_Combined_Statistical_Area" xr:uid="{687644A5-4F1B-0C43-8835-E153F7CFA20E}"/>
    <hyperlink ref="B785" r:id="rId1250" tooltip="Taos, NM Micropolitan Statistical Area" display="https://en.wikipedia.org/wiki/Taos,_NM_Micropolitan_Statistical_Area" xr:uid="{18F8B58E-D624-834D-8896-D7206A3F810A}"/>
    <hyperlink ref="B786" r:id="rId1251" tooltip="Columbus, NE Micropolitan Statistical Area" display="https://en.wikipedia.org/wiki/Columbus,_NE_Micropolitan_Statistical_Area" xr:uid="{9B137B78-246F-EE4D-91E9-4D7F8CD70FDA}"/>
    <hyperlink ref="B787" r:id="rId1252" tooltip="Mount Pleasant, TX Micropolitan Statistical Area" display="https://en.wikipedia.org/wiki/Mount_Pleasant,_TX_Micropolitan_Statistical_Area" xr:uid="{68A27A8D-18F3-DE41-9234-DAB97BEC19FE}"/>
    <hyperlink ref="B788" r:id="rId1253" tooltip="Brookings, SD Micropolitan Statistical Area" display="https://en.wikipedia.org/wiki/Brookings,_SD_Micropolitan_Statistical_Area" xr:uid="{09A482F3-9253-6447-A601-C199FEB8D261}"/>
    <hyperlink ref="B789" r:id="rId1254" tooltip="Juneau, AK Micropolitan Statistical Area" display="https://en.wikipedia.org/wiki/Juneau,_AK_Micropolitan_Statistical_Area" xr:uid="{241C0119-7357-B741-B7C0-31E43270CDAC}"/>
    <hyperlink ref="B790" r:id="rId1255" tooltip="Madison, IN Micropolitan Statistical Area" display="https://en.wikipedia.org/wiki/Madison,_IN_Micropolitan_Statistical_Area" xr:uid="{E247D577-DE56-EF4C-8B2A-9C8B0D69AF9D}"/>
    <hyperlink ref="B791" r:id="rId1256" tooltip="Cambridge, MD Micropolitan Statistical Area" display="https://en.wikipedia.org/wiki/Cambridge,_MD_Micropolitan_Statistical_Area" xr:uid="{DFF138EA-2EE4-0942-82D1-AD6A83E2E6F3}"/>
    <hyperlink ref="F791" r:id="rId1257" tooltip="Washington-Baltimore-Arlington, DC-MD-VA-WV-PA Combined Statistical Area" display="https://en.wikipedia.org/wiki/Washington-Baltimore-Arlington,_DC-MD-VA-WV-PA_Combined_Statistical_Area" xr:uid="{2BD9778C-2B1B-3C44-8C07-3FE5375C60D9}"/>
    <hyperlink ref="B792" r:id="rId1258" tooltip="Macomb, IL Micropolitan Statistical Area" display="https://en.wikipedia.org/wiki/Macomb,_IL_Micropolitan_Statistical_Area" xr:uid="{DB154807-2C91-5344-9C5E-B9D1DB662F97}"/>
    <hyperlink ref="B793" r:id="rId1259" tooltip="Beeville, TX Micropolitan Statistical Area" display="https://en.wikipedia.org/wiki/Beeville,_TX_Micropolitan_Statistical_Area" xr:uid="{2249D98B-91F9-A647-A2F3-A57D45B22B70}"/>
    <hyperlink ref="B794" r:id="rId1260" tooltip="Kingsville, TX Micropolitan Statistical Area" display="https://en.wikipedia.org/wiki/Kingsville,_TX_Micropolitan_Statistical_Area" xr:uid="{C47C66A4-60EB-E841-A7A6-931271936D78}"/>
    <hyperlink ref="F794" r:id="rId1261" tooltip="Corpus Christi-Kingsville-Alice, TX Combined Statistical Area" display="https://en.wikipedia.org/wiki/Corpus_Christi-Kingsville-Alice,_TX_Combined_Statistical_Area" xr:uid="{DE633E09-A42B-E844-839A-943045C2CF98}"/>
    <hyperlink ref="B795" r:id="rId1262" tooltip="Wabash, IN Micropolitan Statistical Area" display="https://en.wikipedia.org/wiki/Wabash,_IN_Micropolitan_Statistical_Area" xr:uid="{FBCB6CE8-0E09-324C-A6E0-C27A0E459B99}"/>
    <hyperlink ref="B796" r:id="rId1263" tooltip="Paris, TN Micropolitan Statistical Area" display="https://en.wikipedia.org/wiki/Paris,_TN_Micropolitan_Statistical_Area" xr:uid="{7DE6D7A1-79C8-6C4D-94EB-18A547055EF5}"/>
    <hyperlink ref="B797" r:id="rId1264" tooltip="Dayton, TN Micropolitan Statistical Area" display="https://en.wikipedia.org/wiki/Dayton,_TN_Micropolitan_Statistical_Area" xr:uid="{B2A2F0C6-BCAC-B347-95DC-2A3578A40750}"/>
    <hyperlink ref="F797" r:id="rId1265" tooltip="Chattanooga-Cleveland-Dalton, TN-GA-AL Combined Statistical Area" display="https://en.wikipedia.org/wiki/Chattanooga-Cleveland-Dalton,_TN-GA-AL_Combined_Statistical_Area" xr:uid="{74C07727-288B-184A-9F26-E6645DFA5201}"/>
    <hyperlink ref="B798" r:id="rId1266" tooltip="Miami, OK Micropolitan Statistical Area" display="https://en.wikipedia.org/wiki/Miami,_OK_Micropolitan_Statistical_Area" xr:uid="{BD2D3DD6-F879-FA40-9D78-F38E64ECF079}"/>
    <hyperlink ref="F798" r:id="rId1267" tooltip="Joplin-Miami, MO-OK Combined Statistical Area" display="https://en.wikipedia.org/wiki/Joplin-Miami,_MO-OK_Combined_Statistical_Area" xr:uid="{839A8D29-ACED-BC49-A246-83CA9F70FD65}"/>
    <hyperlink ref="B799" r:id="rId1268" tooltip="Washington, IN Micropolitan Statistical Area" display="https://en.wikipedia.org/wiki/Washington,_IN_Micropolitan_Statistical_Area" xr:uid="{96EA5F1C-477D-0B40-ACAD-AAF7906C753F}"/>
    <hyperlink ref="B800" r:id="rId1269" tooltip="Kennett, MO Micropolitan Statistical Area" display="https://en.wikipedia.org/wiki/Kennett,_MO_Micropolitan_Statistical_Area" xr:uid="{675B02C6-7ECC-154F-9F39-8DB19AE69238}"/>
    <hyperlink ref="B801" r:id="rId1270" tooltip="Jackson, WY-ID Micropolitan Statistical Area" display="https://en.wikipedia.org/wiki/Jackson,_WY-ID_Micropolitan_Statistical_Area" xr:uid="{F2A2F6F5-7C72-4049-AD1D-4F7D08C2FE3F}"/>
    <hyperlink ref="B802" r:id="rId1271" tooltip="Hastings, NE Micropolitan Statistical Area" display="https://en.wikipedia.org/wiki/Hastings,_NE_Micropolitan_Statistical_Area" xr:uid="{9FAF4A98-8593-8C46-A3E6-5BF0C1264C8D}"/>
    <hyperlink ref="B803" r:id="rId1272" tooltip="Albert Lea, MN Micropolitan Statistical Area" display="https://en.wikipedia.org/wiki/Albert_Lea,_MN_Micropolitan_Statistical_Area" xr:uid="{3C74B7EC-AE78-264F-869A-1C5441FB9894}"/>
    <hyperlink ref="B804" r:id="rId1273" tooltip="Lewisburg, TN Micropolitan Statistical Area" display="https://en.wikipedia.org/wiki/Lewisburg,_TN_Micropolitan_Statistical_Area" xr:uid="{CDE69F4C-1A93-9445-9A31-EFA2818F6FA7}"/>
    <hyperlink ref="F804" r:id="rId1274" tooltip="Nashville-Davidson–Murfreesboro, TN Combined Statistical Area" display="https://en.wikipedia.org/wiki/Nashville-Davidson%E2%80%93Murfreesboro,_TN_Combined_Statistical_Area" xr:uid="{CE061D1A-A172-804B-9DED-F793FD7311C8}"/>
    <hyperlink ref="B805" r:id="rId1275" tooltip="Camden, AR Micropolitan Statistical Area" display="https://en.wikipedia.org/wiki/Camden,_AR_Micropolitan_Statistical_Area" xr:uid="{54F10FED-5A62-784D-8EFD-00D2B68891E7}"/>
    <hyperlink ref="B806" r:id="rId1276" tooltip="Iron Mountain, MI-WI Micropolitan Statistical Area" display="https://en.wikipedia.org/wiki/Iron_Mountain,_MI-WI_Micropolitan_Statistical_Area" xr:uid="{5B83A8CE-D7EC-5945-B0A5-F15E661FA5C1}"/>
    <hyperlink ref="B807" r:id="rId1277" tooltip="Jesup, GA Micropolitan Statistical Area" display="https://en.wikipedia.org/wiki/Jesup,_GA_Micropolitan_Statistical_Area" xr:uid="{AEBDF431-5DEA-FD41-99CF-72CFF0D20DF6}"/>
    <hyperlink ref="B808" r:id="rId1278" tooltip="Lincoln, IL Micropolitan Statistical Area" display="https://en.wikipedia.org/wiki/Lincoln,_IL_Micropolitan_Statistical_Area" xr:uid="{05F8EA4F-9862-0F43-A664-46BA84760D3F}"/>
    <hyperlink ref="F808" r:id="rId1279" tooltip="Springfield-Jacksonville-Lincoln, IL Combined Statistical Area" display="https://en.wikipedia.org/wiki/Springfield-Jacksonville-Lincoln,_IL_Combined_Statistical_Area" xr:uid="{68EE70DB-A48C-2E4D-8357-C0FE217C1299}"/>
    <hyperlink ref="B809" r:id="rId1280" tooltip="Kirksville, MO Micropolitan Statistical Area" display="https://en.wikipedia.org/wiki/Kirksville,_MO_Micropolitan_Statistical_Area" xr:uid="{1846AA66-7CAB-8B40-9819-240E8ACA3C6D}"/>
    <hyperlink ref="B810" r:id="rId1281" tooltip="Sheridan, WY Micropolitan Statistical Area" display="https://en.wikipedia.org/wiki/Sheridan,_WY_Micropolitan_Statistical_Area" xr:uid="{664CA1E6-01FC-014A-A6EE-441FD17F7F3E}"/>
    <hyperlink ref="B811" r:id="rId1282" tooltip="Silver City, NM Micropolitan Statistical Area" display="https://en.wikipedia.org/wiki/Silver_City,_NM_Micropolitan_Statistical_Area" xr:uid="{791B2BE3-15F9-7642-B72B-8262266D8B56}"/>
    <hyperlink ref="B812" r:id="rId1283" tooltip="Elkins, WV Micropolitan Statistical Area" display="https://en.wikipedia.org/wiki/Elkins,_WV_Micropolitan_Statistical_Area" xr:uid="{17D7F6EB-28B4-F746-9780-D79090C0E37A}"/>
    <hyperlink ref="B813" r:id="rId1284" tooltip="McPherson, KS Micropolitan Statistical Area" display="https://en.wikipedia.org/wiki/McPherson,_KS_Micropolitan_Statistical_Area" xr:uid="{035D4CCD-877D-0345-954E-2225F27DC0FC}"/>
    <hyperlink ref="B814" r:id="rId1285" tooltip="Alpena, MI Micropolitan Statistical Area" display="https://en.wikipedia.org/wiki/Alpena,_MI_Micropolitan_Statistical_Area" xr:uid="{4A6349BF-C3D5-4D42-808C-3DE74686AE2B}"/>
    <hyperlink ref="B815" r:id="rId1286" tooltip="Hays, KS Micropolitan Statistical Area" display="https://en.wikipedia.org/wiki/Hays,_KS_Micropolitan_Statistical_Area" xr:uid="{F8590596-FAC4-0F47-9F63-5D21574C7423}"/>
    <hyperlink ref="B816" r:id="rId1287" tooltip="Las Vegas, NM Micropolitan Statistical Area" display="https://en.wikipedia.org/wiki/Las_Vegas,_NM_Micropolitan_Statistical_Area" xr:uid="{D835319E-E8C5-8D42-B03B-E5C7BBC1519E}"/>
    <hyperlink ref="F816" r:id="rId1288" tooltip="Albuquerque-Santa Fe-Las Vegas, NM Combined Statistical Area" display="https://en.wikipedia.org/wiki/Albuquerque-Santa_Fe-Las_Vegas,_NM_Combined_Statistical_Area" xr:uid="{8E62CE80-7DAE-9447-97F4-40455173AEDE}"/>
    <hyperlink ref="B817" r:id="rId1289" tooltip="Washington Court House, OH Micropolitan Statistical Area" display="https://en.wikipedia.org/wiki/Washington_Court_House,_OH_Micropolitan_Statistical_Area" xr:uid="{120541B1-93D3-D94B-B07B-E2EBF072EB29}"/>
    <hyperlink ref="F817" r:id="rId1290" tooltip="Columbus-Marion-Zanesville, OH Combined Statistical Area" display="https://en.wikipedia.org/wiki/Columbus-Marion-Zanesville,_OH_Combined_Statistical_Area" xr:uid="{6EDB4435-13B5-2948-B9FE-0DC2CF848F7E}"/>
    <hyperlink ref="B818" r:id="rId1291" tooltip="Van Wert, OH Micropolitan Statistical Area" display="https://en.wikipedia.org/wiki/Van_Wert,_OH_Micropolitan_Statistical_Area" xr:uid="{EA3A1E27-10C6-5B40-9B34-684323DB392C}"/>
    <hyperlink ref="F818" r:id="rId1292" tooltip="Lima-Van Wert-Celina, OH Combined Statistical Area" display="https://en.wikipedia.org/wiki/Lima-Van_Wert-Celina,_OH_Combined_Statistical_Area" xr:uid="{6CDA1AE3-6545-1745-931D-D82AF41C71B1}"/>
    <hyperlink ref="B819" r:id="rId1293" tooltip="Ludington, MI Micropolitan Statistical Area" display="https://en.wikipedia.org/wiki/Ludington,_MI_Micropolitan_Statistical_Area" xr:uid="{04A8212A-D56D-254B-9AE0-6CCA560E8E09}"/>
    <hyperlink ref="B820" r:id="rId1294" tooltip="Weatherford, OK Micropolitan Statistical Area" display="https://en.wikipedia.org/wiki/Weatherford,_OK_Micropolitan_Statistical_Area" xr:uid="{BC8BE914-460B-094C-9DE6-BAF5B593EA24}"/>
    <hyperlink ref="B821" r:id="rId1295" tooltip="Fort Morgan, CO Micropolitan Statistical Area" display="https://en.wikipedia.org/wiki/Fort_Morgan,_CO_Micropolitan_Statistical_Area" xr:uid="{5F20D1F1-EB06-D947-9522-39F1C29E2450}"/>
    <hyperlink ref="B822" r:id="rId1296" tooltip="Indianola, MS Micropolitan Statistical Area" display="https://en.wikipedia.org/wiki/Indianola,_MS_Micropolitan_Statistical_Area" xr:uid="{8DDCE0D5-96EB-8344-BE75-8A97AF918971}"/>
    <hyperlink ref="F822" r:id="rId1297" tooltip="Cleveland-Indianola, MS Combined Statistical Area" display="https://en.wikipedia.org/wiki/Cleveland-Indianola,_MS_Combined_Statistical_Area" xr:uid="{2B488FE8-6EAB-EB4B-AF2D-3C5BAFEB04B3}"/>
    <hyperlink ref="B823" r:id="rId1298" tooltip="Merrill, WI Micropolitan Statistical Area" display="https://en.wikipedia.org/wiki/Merrill,_WI_Micropolitan_Statistical_Area" xr:uid="{FE82FB54-15F5-1B4D-9686-A24B4BF1B7C8}"/>
    <hyperlink ref="F823" r:id="rId1299" tooltip="Wausau-Stevens Point-Wisconsin Rapids, WI Combined Statistical Area" display="https://en.wikipedia.org/wiki/Wausau-Stevens_Point-Wisconsin_Rapids,_WI_Combined_Statistical_Area" xr:uid="{57113F38-00E3-B94A-91E1-171434025935}"/>
    <hyperlink ref="B824" r:id="rId1300" tooltip="Crescent City, CA Micropolitan Statistical Area" display="https://en.wikipedia.org/wiki/Crescent_City,_CA_Micropolitan_Statistical_Area" xr:uid="{B32E9A06-4505-C444-BB7B-9B4F07DE5AB9}"/>
    <hyperlink ref="B825" r:id="rId1301" tooltip="Middlesborough, KY Micropolitan Statistical Area" display="https://en.wikipedia.org/wiki/Middlesborough,_KY_Micropolitan_Statistical_Area" xr:uid="{E348A2E8-101E-B345-BFF5-51DF95843227}"/>
    <hyperlink ref="B826" r:id="rId1302" tooltip="North Vernon, IN Micropolitan Statistical Area" display="https://en.wikipedia.org/wiki/North_Vernon,_IN_Micropolitan_Statistical_Area" xr:uid="{2836DE8D-3A74-AD49-B065-8D5E2E732060}"/>
    <hyperlink ref="F826" r:id="rId1303" tooltip="Indianapolis-Carmel-Muncie, IN Combined Statistical Area" display="https://en.wikipedia.org/wiki/Indianapolis-Carmel-Muncie,_IN_Combined_Statistical_Area" xr:uid="{F1D7B83C-6CE9-F741-894F-6B5DAAF405EC}"/>
    <hyperlink ref="B827" r:id="rId1304" tooltip="Bennettsville, SC Micropolitan Statistical Area" display="https://en.wikipedia.org/wiki/Bennettsville,_SC_Micropolitan_Statistical_Area" xr:uid="{EB9A354B-6176-0F4E-B747-F2CA64D578D0}"/>
    <hyperlink ref="B828" r:id="rId1305" tooltip="Breckenridge, CO Micropolitan Statistical Area" display="https://en.wikipedia.org/wiki/Breckenridge,_CO_Micropolitan_Statistical_Area" xr:uid="{A4EEAF41-BE64-1C41-9189-ACCC4E6B662D}"/>
    <hyperlink ref="B829" r:id="rId1306" tooltip="Forrest City, AR Micropolitan Statistical Area" display="https://en.wikipedia.org/wiki/Forrest_City,_AR_Micropolitan_Statistical_Area" xr:uid="{CD1394A2-932D-1544-ACC5-4A8C6DF024D3}"/>
    <hyperlink ref="F829" r:id="rId1307" tooltip="Memphis-Forrest City, TN-MS-AR Combined Statistical Area" display="https://en.wikipedia.org/wiki/Memphis-Forrest_City,_TN-MS-AR_Combined_Statistical_Area" xr:uid="{EE908CEC-2B90-EE4D-AD86-B7B60EED8E4A}"/>
    <hyperlink ref="B830" r:id="rId1308" tooltip="Mineral Wells, TX Micropolitan Statistical Area" display="https://en.wikipedia.org/wiki/Mineral_Wells,_TX_Micropolitan_Statistical_Area" xr:uid="{A4EE3C65-9305-F649-85F9-30A95640192C}"/>
    <hyperlink ref="F830" r:id="rId1309" tooltip="Dallas-Fort Worth, TX-OK Combined Statistical Area" display="https://en.wikipedia.org/wiki/Dallas-Fort_Worth,_TX-OK_Combined_Statistical_Area" xr:uid="{C7913435-D329-D04F-9561-616A6B1BD2F0}"/>
    <hyperlink ref="B831" r:id="rId1310" tooltip="Watertown, SD Micropolitan Statistical Area" display="https://en.wikipedia.org/wiki/Watertown,_SD_Micropolitan_Statistical_Area" xr:uid="{4F82324B-2213-9A4C-917F-1E030FDC79AE}"/>
    <hyperlink ref="B832" r:id="rId1311" tooltip="Bastrop, LA Micropolitan Statistical Area" display="https://en.wikipedia.org/wiki/Bastrop,_LA_Micropolitan_Statistical_Area" xr:uid="{5243F62C-6C4E-654E-9750-91ECC52906A8}"/>
    <hyperlink ref="F832" r:id="rId1312" tooltip="Monroe-Ruston-Bastrop, LA Combined Statistical Area" display="https://en.wikipedia.org/wiki/Monroe-Ruston-Bastrop,_LA_Combined_Statistical_Area" xr:uid="{0AF5CEC7-58CF-5C4C-ADBF-3570241E5D91}"/>
    <hyperlink ref="B833" r:id="rId1313" tooltip="Great Bend, KS Micropolitan Statistical Area" display="https://en.wikipedia.org/wiki/Great_Bend,_KS_Micropolitan_Statistical_Area" xr:uid="{1E6A1777-F783-4942-BF4E-9A9BF03270AA}"/>
    <hyperlink ref="B834" r:id="rId1314" tooltip="Wauchula, FL Micropolitan Statistical Area" display="https://en.wikipedia.org/wiki/Wauchula,_FL_Micropolitan_Statistical_Area" xr:uid="{E94FFDE3-7888-B942-892D-A5AC54C67A2D}"/>
    <hyperlink ref="B835" r:id="rId1315" tooltip="Bainbridge, GA Micropolitan Statistical Area" display="https://en.wikipedia.org/wiki/Bainbridge,_GA_Micropolitan_Statistical_Area" xr:uid="{B4F94E3C-4E67-8441-BE06-293C148E3CDE}"/>
    <hyperlink ref="F835" r:id="rId1316" tooltip="Tallahassee-Bainbridge, FL-GA Combined Statistical Area" display="https://en.wikipedia.org/wiki/Tallahassee-Bainbridge,_FL-GA_Combined_Statistical_Area" xr:uid="{253B07EF-F1B5-A843-B02B-BB4F1449BF5E}"/>
    <hyperlink ref="B836" r:id="rId1317" tooltip="Hailey, ID Micropolitan Statistical Area" display="https://en.wikipedia.org/wiki/Hailey,_ID_Micropolitan_Statistical_Area" xr:uid="{FC4F7498-D8B6-FF4C-BBB3-1D1D00C12320}"/>
    <hyperlink ref="B837" r:id="rId1318" tooltip="Grants, NM Micropolitan Statistical Area" display="https://en.wikipedia.org/wiki/Grants,_NM_Micropolitan_Statistical_Area" xr:uid="{92EC347F-DF96-2242-AFAB-3EEF1A80AD85}"/>
    <hyperlink ref="F837" r:id="rId1319" tooltip="Albuquerque-Santa Fe-Las Vegas, NM Combined Statistical Area" display="https://en.wikipedia.org/wiki/Albuquerque-Santa_Fe-Las_Vegas,_NM_Combined_Statistical_Area" xr:uid="{2B73A306-5F1F-9D44-96E0-272DEB460166}"/>
    <hyperlink ref="B838" r:id="rId1320" tooltip="Dickinson, ND Micropolitan Statistical Area" display="https://en.wikipedia.org/wiki/Dickinson,_ND_Micropolitan_Statistical_Area" xr:uid="{923B8CA6-AA5F-0242-B2EA-950E65DBF58F}"/>
    <hyperlink ref="B839" r:id="rId1321" tooltip="Uvalde, TX Micropolitan Statistical Area" display="https://en.wikipedia.org/wiki/Uvalde,_TX_Micropolitan_Statistical_Area" xr:uid="{F22BBB6B-6201-3F4B-992F-05F9F5407170}"/>
    <hyperlink ref="B840" r:id="rId1322" tooltip="Williston, ND Micropolitan Statistical Area" display="https://en.wikipedia.org/wiki/Williston,_ND_Micropolitan_Statistical_Area" xr:uid="{5A379BC1-8D69-FC44-9F86-746E6C7B1DED}"/>
    <hyperlink ref="B841" r:id="rId1323" tooltip="Thomaston, GA Micropolitan Statistical Area" display="https://en.wikipedia.org/wiki/Thomaston,_GA_Micropolitan_Statistical_Area" xr:uid="{6499C190-25CF-DF48-9022-B13453375587}"/>
    <hyperlink ref="F841" r:id="rId1324" tooltip="Atlanta–Athens-Clarke County–Sandy Springs, GA Combined Statistical Area" display="https://en.wikipedia.org/wiki/Atlanta%E2%80%93Athens-Clarke_County%E2%80%93Sandy_Springs,_GA_Combined_Statistical_Area" xr:uid="{A05480A1-03BE-994C-9E3B-921EDBFF2B24}"/>
    <hyperlink ref="B842" r:id="rId1325" tooltip="Lexington, NE Micropolitan Statistical Area" display="https://en.wikipedia.org/wiki/Lexington,_NE_Micropolitan_Statistical_Area" xr:uid="{AE3E0FFE-29B1-9649-BE3E-AD8E2DCE9606}"/>
    <hyperlink ref="B843" r:id="rId1326" tooltip="Altus, OK Micropolitan Statistical Area" display="https://en.wikipedia.org/wiki/Altus,_OK_Micropolitan_Statistical_Area" xr:uid="{25D6D95C-0E62-3C4E-9B33-1DED4FED7A4D}"/>
    <hyperlink ref="B844" r:id="rId1327" tooltip="Mountain Home, ID Micropolitan Statistical Area" display="https://en.wikipedia.org/wiki/Mountain_Home,_ID_Micropolitan_Statistical_Area" xr:uid="{8819CB31-6C87-F946-B5BD-9883D2C92440}"/>
    <hyperlink ref="F844" r:id="rId1328" tooltip="Boise City-Mountain Home-Ontario, ID-OR Combined Statistical Area" display="https://en.wikipedia.org/wiki/Boise_City-Mountain_Home-Ontario,_ID-OR_Combined_Statistical_Area" xr:uid="{6B7FB4D9-A9DB-B848-8AAF-E3C1C4EB6280}"/>
    <hyperlink ref="B845" r:id="rId1329" tooltip="Boone, IA Micropolitan Statistical Area" display="https://en.wikipedia.org/wiki/Boone,_IA_Micropolitan_Statistical_Area" xr:uid="{F48F2A92-1405-894A-BAD2-FE43207785E4}"/>
    <hyperlink ref="F845" r:id="rId1330" tooltip="Des Moines-Ames-West Des Moines, IA Combined Statistical Area" display="https://en.wikipedia.org/wiki/Des_Moines-Ames-West_Des_Moines,_IA_Combined_Statistical_Area" xr:uid="{D4246EA0-4CCB-2F4B-85CD-17A7D19B6CED}"/>
    <hyperlink ref="B846" r:id="rId1331" tooltip="Greensburg, IN Micropolitan Statistical Area" display="https://en.wikipedia.org/wiki/Greensburg,_IN_Micropolitan_Statistical_Area" xr:uid="{AFD15B91-99CE-BE42-A02E-246CA18A5E3A}"/>
    <hyperlink ref="F846" r:id="rId1332" tooltip="Indianapolis-Carmel-Muncie, IN Combined Statistical Area" display="https://en.wikipedia.org/wiki/Indianapolis-Carmel-Muncie,_IN_Combined_Statistical_Area" xr:uid="{81FE5650-052B-5B49-A8C7-421F52C2211A}"/>
    <hyperlink ref="B847" r:id="rId1333" tooltip="Ottawa, KS Micropolitan Statistical Area" display="https://en.wikipedia.org/wiki/Ottawa,_KS_Micropolitan_Statistical_Area" xr:uid="{8345A210-E2B4-A14B-85E2-4BA64ED1CBA9}"/>
    <hyperlink ref="F847" r:id="rId1334" tooltip="Kansas City-Overland Park-Kansas City, MO-KS Combined Statistical Area" display="https://en.wikipedia.org/wiki/Kansas_City-Overland_Park-Kansas_City,_MO-KS_Combined_Statistical_Area" xr:uid="{F86E9B4E-4E32-B04D-B2C2-95FA0C7F5AAE}"/>
    <hyperlink ref="B848" r:id="rId1335" tooltip="Toccoa, GA Micropolitan Statistical Area" display="https://en.wikipedia.org/wiki/Toccoa,_GA_Micropolitan_Statistical_Area" xr:uid="{EDDC4540-4A6E-794A-9A56-DC6FC66037AA}"/>
    <hyperlink ref="B849" r:id="rId1336" tooltip="La Grande, OR Micropolitan Statistical Area" display="https://en.wikipedia.org/wiki/La_Grande,_OR_Micropolitan_Statistical_Area" xr:uid="{9D46265D-3C3C-4748-BCF3-EEC4E0EEE36A}"/>
    <hyperlink ref="B850" r:id="rId1337" tooltip="Summerville, GA Micropolitan Statistical Area" display="https://en.wikipedia.org/wiki/Summerville,_GA_Micropolitan_Statistical_Area" xr:uid="{8BA2AD65-4E8D-6D4D-B0F4-C063E72E15D9}"/>
    <hyperlink ref="F850" r:id="rId1338" tooltip="Rome-Summerville, GA Combined Statistical Area" display="https://en.wikipedia.org/wiki/Rome-Summerville,_GA_Combined_Statistical_Area" xr:uid="{4537D002-D464-6147-A40B-9B08EE7623EE}"/>
    <hyperlink ref="B851" r:id="rId1339" tooltip="Clarksdale, MS Micropolitan Statistical Area" display="https://en.wikipedia.org/wiki/Clarksdale,_MS_Micropolitan_Statistical_Area" xr:uid="{686087A0-6409-E24A-B335-FF94ABE5B5F6}"/>
    <hyperlink ref="B852" r:id="rId1340" tooltip="Mexico, MO Micropolitan Statistical Area" display="https://en.wikipedia.org/wiki/Mexico,_MO_Micropolitan_Statistical_Area" xr:uid="{5B0B7FFD-C50F-4742-A386-7D66C246DEEE}"/>
    <hyperlink ref="F852" r:id="rId1341" tooltip="Columbia-Moberly-Mexico, MO Combined Statistical Area" display="https://en.wikipedia.org/wiki/Columbia-Moberly-Mexico,_MO_Combined_Statistical_Area" xr:uid="{77B15CD8-3CEC-3E4F-8FBD-02B257508A6C}"/>
    <hyperlink ref="B853" r:id="rId1342" tooltip="Marshall, MN Micropolitan Statistical Area" display="https://en.wikipedia.org/wiki/Marshall,_MN_Micropolitan_Statistical_Area" xr:uid="{567D50C6-E85D-1845-A123-B78FD3252CF5}"/>
    <hyperlink ref="B854" r:id="rId1343" tooltip="The Dalles, OR Micropolitan Statistical Area" display="https://en.wikipedia.org/wiki/The_Dalles,_OR_Micropolitan_Statistical_Area" xr:uid="{5B10BF4C-0F91-C849-96B7-998353F9BA14}"/>
    <hyperlink ref="B855" r:id="rId1344" tooltip="New Ulm, MN Micropolitan Statistical Area" display="https://en.wikipedia.org/wiki/New_Ulm,_MN_Micropolitan_Statistical_Area" xr:uid="{65587D01-9E6F-544C-8009-867A10A32C66}"/>
    <hyperlink ref="F855" r:id="rId1345" tooltip="Mankato-New Ulm-North Mankato, MN Combined Statistical Area" display="https://en.wikipedia.org/wiki/Mankato-New_Ulm-North_Mankato,_MN_Combined_Statistical_Area" xr:uid="{5428C4CF-4088-244A-9D01-28396A435D7D}"/>
    <hyperlink ref="B856" r:id="rId1346" tooltip="Moberly, MO Micropolitan Statistical Area" display="https://en.wikipedia.org/wiki/Moberly,_MO_Micropolitan_Statistical_Area" xr:uid="{1B0E1417-B710-D44C-BB6E-DAAA2CA0899E}"/>
    <hyperlink ref="F856" r:id="rId1347" tooltip="Columbia-Moberly-Mexico, MO Combined Statistical Area" display="https://en.wikipedia.org/wiki/Columbia-Moberly-Mexico,_MO_Combined_Statistical_Area" xr:uid="{B6CEF545-7F3A-6244-95A5-8E0DAB3EE06C}"/>
    <hyperlink ref="B857" r:id="rId1348" tooltip="Heber, UT Micropolitan Statistical Area" display="https://en.wikipedia.org/wiki/Heber,_UT_Micropolitan_Statistical_Area" xr:uid="{51AE6258-B3DF-4A47-BA6F-69CFF2607E6B}"/>
    <hyperlink ref="F857" r:id="rId1349" tooltip="Salt Lake City-Provo-Orem, UT Combined Statistical Area" display="https://en.wikipedia.org/wiki/Salt_Lake_City-Provo-Orem,_UT_Combined_Statistical_Area" xr:uid="{4BD05776-DBBF-F44F-8A5B-251FB970E7CE}"/>
    <hyperlink ref="B858" r:id="rId1350" tooltip="Fredericksburg, TX Micropolitan Statistical Area" display="https://en.wikipedia.org/wiki/Fredericksburg,_TX_Micropolitan_Statistical_Area" xr:uid="{7D7A3FB9-571D-2C47-9590-017CDF269FF7}"/>
    <hyperlink ref="B859" r:id="rId1351" tooltip="Deming, NM Micropolitan Statistical Area" display="https://en.wikipedia.org/wiki/Deming,_NM_Micropolitan_Statistical_Area" xr:uid="{FB178CC9-1112-6F43-8B7B-61B74B2CB3A0}"/>
    <hyperlink ref="B860" r:id="rId1352" tooltip="Campbellsville, KY Micropolitan Statistical Area" display="https://en.wikipedia.org/wiki/Campbellsville,_KY_Micropolitan_Statistical_Area" xr:uid="{6D5CB2DD-1547-894E-A5FB-1200F827A82A}"/>
    <hyperlink ref="B861" r:id="rId1353" tooltip="Magnolia, AR Micropolitan Statistical Area" display="https://en.wikipedia.org/wiki/Magnolia,_AR_Micropolitan_Statistical_Area" xr:uid="{91D98EFE-40A8-AB46-A91F-70111D06BF6A}"/>
    <hyperlink ref="B862" r:id="rId1354" tooltip="Spearfish, SD Micropolitan Statistical Area" display="https://en.wikipedia.org/wiki/Spearfish,_SD_Micropolitan_Statistical_Area" xr:uid="{CF639B77-7052-B442-9480-23C0A0028C42}"/>
    <hyperlink ref="F862" r:id="rId1355" tooltip="Rapid City-Spearfish, SD Combined Statistical Area" display="https://en.wikipedia.org/wiki/Rapid_City-Spearfish,_SD_Combined_Statistical_Area" xr:uid="{EDBE0B67-87CA-E243-8CB5-9EEE5A91F33B}"/>
    <hyperlink ref="B863" r:id="rId1356" tooltip="Fallon, NV Micropolitan Statistical Area" display="https://en.wikipedia.org/wiki/Fallon,_NV_Micropolitan_Statistical_Area" xr:uid="{62567DBD-20AC-0240-88AB-191546F0962F}"/>
    <hyperlink ref="B864" r:id="rId1357" tooltip="Connersville, IN Micropolitan Statistical Area" display="https://en.wikipedia.org/wiki/Connersville,_IN_Micropolitan_Statistical_Area" xr:uid="{30C03A8E-14C6-0A4D-9DB3-BF8E2BBE183A}"/>
    <hyperlink ref="F864" r:id="rId1358" tooltip="Richmond-Connersville, IN Combined Statistical Area" display="https://en.wikipedia.org/wiki/Richmond-Connersville,_IN_Combined_Statistical_Area" xr:uid="{4C573690-0EBD-3440-89F3-EF4DE7173A4F}"/>
    <hyperlink ref="B865" r:id="rId1359" tooltip="Cordele, GA Micropolitan Statistical Area" display="https://en.wikipedia.org/wiki/Cordele,_GA_Micropolitan_Statistical_Area" xr:uid="{9F5F5619-E12B-B34C-8927-65B2F06C84E5}"/>
    <hyperlink ref="B866" r:id="rId1360" tooltip="Liberal, KS Micropolitan Statistical Area" display="https://en.wikipedia.org/wiki/Liberal,_KS_Micropolitan_Statistical_Area" xr:uid="{735C0B57-31E0-8647-A128-775C6664F5D0}"/>
    <hyperlink ref="B867" r:id="rId1361" tooltip="Maryville, MO Micropolitan Statistical Area" display="https://en.wikipedia.org/wiki/Maryville,_MO_Micropolitan_Statistical_Area" xr:uid="{1207C777-D213-8E49-8AD6-627B87D7D3D8}"/>
    <hyperlink ref="B868" r:id="rId1362" tooltip="Marshall, MO Micropolitan Statistical Area" display="https://en.wikipedia.org/wiki/Marshall,_MO_Micropolitan_Statistical_Area" xr:uid="{AD5905D4-AC60-D148-88E5-AC4094FC05EA}"/>
    <hyperlink ref="B869" r:id="rId1363" tooltip="Steamboat Springs, CO Micropolitan Statistical Area" display="https://en.wikipedia.org/wiki/Steamboat_Springs,_CO_Micropolitan_Statistical_Area" xr:uid="{D374EC98-2019-6348-940E-9A8A789994CA}"/>
    <hyperlink ref="F869" r:id="rId1364" tooltip="Steamboat Springs-Craig, CO Combined Statistical Area" display="https://en.wikipedia.org/wiki/Steamboat_Springs-Craig,_CO_Combined_Statistical_Area" xr:uid="{72AEC406-17D1-0046-848F-FFB8D266DEA7}"/>
    <hyperlink ref="B870" r:id="rId1365" tooltip="Mitchell, SD Micropolitan Statistical Area" display="https://en.wikipedia.org/wiki/Mitchell,_SD_Micropolitan_Statistical_Area" xr:uid="{1455DEAB-FBB4-1144-99D8-F90151642AF5}"/>
    <hyperlink ref="B871" r:id="rId1366" tooltip="Elk City, OK Micropolitan Statistical Area" display="https://en.wikipedia.org/wiki/Elk_City,_OK_Micropolitan_Statistical_Area" xr:uid="{A77E4C07-FAB1-8847-A7E5-93C69CCF05B6}"/>
    <hyperlink ref="B872" r:id="rId1367" tooltip="Levelland, TX Micropolitan Statistical Area" display="https://en.wikipedia.org/wiki/Levelland,_TX_Micropolitan_Statistical_Area" xr:uid="{C9038345-0DE7-A74F-A65B-B7CDEF031866}"/>
    <hyperlink ref="F872" r:id="rId1368" tooltip="Lubbock-Levelland, TX Combined Statistical Area" display="https://en.wikipedia.org/wiki/Lubbock-Levelland,_TX_Combined_Statistical_Area" xr:uid="{EB8B5795-3DEE-174E-AD72-7BBF13CC8DB1}"/>
    <hyperlink ref="B873" r:id="rId1369" tooltip="Pampa, TX Micropolitan Statistical Area" display="https://en.wikipedia.org/wiki/Pampa,_TX_Micropolitan_Statistical_Area" xr:uid="{4BBF52B3-CE41-A64B-A7A9-1DF8628AEDD0}"/>
    <hyperlink ref="B874" r:id="rId1370" tooltip="Arkadelphia, AR Micropolitan Statistical Area" display="https://en.wikipedia.org/wiki/Arkadelphia,_AR_Micropolitan_Statistical_Area" xr:uid="{0F4AF8C5-FF7E-F647-8289-6D1E3EF47973}"/>
    <hyperlink ref="B875" r:id="rId1371" tooltip="Wahpeton, ND-MN Micropolitan Statistical Area" display="https://en.wikipedia.org/wiki/Wahpeton,_ND-MN_Micropolitan_Statistical_Area" xr:uid="{224CB3D5-813E-854B-A2CC-A7BA72B0223F}"/>
    <hyperlink ref="F875" r:id="rId1372" tooltip="Fargo-Wahpeton, ND-MN Combined Statistical Area" display="https://en.wikipedia.org/wiki/Fargo-Wahpeton,_ND-MN_Combined_Statistical_Area" xr:uid="{260ECBC8-7F4C-A04A-999A-0A738093C103}"/>
    <hyperlink ref="B876" r:id="rId1373" tooltip="Sterling, CO Micropolitan Statistical Area" display="https://en.wikipedia.org/wiki/Sterling,_CO_Micropolitan_Statistical_Area" xr:uid="{3E41AB6C-60BE-3F4B-B5BD-2EECB03F78E4}"/>
    <hyperlink ref="B877" r:id="rId1374" tooltip="Yankton, SD Micropolitan Statistical Area" display="https://en.wikipedia.org/wiki/Yankton,_SD_Micropolitan_Statistical_Area" xr:uid="{E090A02C-7683-CC4A-B36F-98CC59CD9F97}"/>
    <hyperlink ref="B878" r:id="rId1375" tooltip="Hood River, OR Micropolitan Statistical Area" display="https://en.wikipedia.org/wiki/Hood_River,_OR_Micropolitan_Statistical_Area" xr:uid="{CD4907EE-14BF-5C43-9E33-5CE5B4DE76C3}"/>
    <hyperlink ref="B879" r:id="rId1376" tooltip="Oskaloosa, IA Micropolitan Statistical Area" display="https://en.wikipedia.org/wiki/Oskaloosa,_IA_Micropolitan_Statistical_Area" xr:uid="{CB10992D-F72E-0A48-8822-27B08D96B69F}"/>
    <hyperlink ref="B880" r:id="rId1377" tooltip="Dumas, TX Micropolitan Statistical Area" display="https://en.wikipedia.org/wiki/Dumas,_TX_Micropolitan_Statistical_Area" xr:uid="{8948EDCD-C5E4-3F48-8FAC-33265C6E9AFB}"/>
    <hyperlink ref="B881" r:id="rId1378" tooltip="Brookings, OR Micropolitan Statistical Area" display="https://en.wikipedia.org/wiki/Brookings,_OR_Micropolitan_Statistical_Area" xr:uid="{3B76B240-DCC6-E149-A1C6-EA0BEBF31B89}"/>
    <hyperlink ref="B882" r:id="rId1379" tooltip="Raymondville, TX Micropolitan Statistical Area" display="https://en.wikipedia.org/wiki/Raymondville,_TX_Micropolitan_Statistical_Area" xr:uid="{C6D8B26B-6944-3847-9F52-DCB94D5E0314}"/>
    <hyperlink ref="F882" r:id="rId1380" tooltip="Brownsville-Harlingen-Raymondville, TX Combined Statistical Area" display="https://en.wikipedia.org/wiki/Brownsville-Harlingen-Raymondville,_TX_Combined_Statistical_Area" xr:uid="{B5DF6B9F-47CD-2648-B31E-D30842CDC22C}"/>
    <hyperlink ref="B883" r:id="rId1381" tooltip="Borger, TX Micropolitan Statistical Area" display="https://en.wikipedia.org/wiki/Borger,_TX_Micropolitan_Statistical_Area" xr:uid="{307944AD-D4D1-4A4B-BF31-DAFF9CBEC8E4}"/>
    <hyperlink ref="F883" r:id="rId1382" tooltip="Amarillo-Borger, TX Combined Statistical Area" display="https://en.wikipedia.org/wiki/Amarillo-Borger,_TX_Combined_Statistical_Area" xr:uid="{31135A65-C53E-5640-A7C5-0065883D80D2}"/>
    <hyperlink ref="B884" r:id="rId1383" tooltip="Pierre, SD Micropolitan Statistical Area" display="https://en.wikipedia.org/wiki/Pierre,_SD_Micropolitan_Statistical_Area" xr:uid="{6E9BB72C-E912-1C48-A7D3-F71473F6B91A}"/>
    <hyperlink ref="B885" r:id="rId1384" tooltip="Beatrice, NE Micropolitan Statistical Area" display="https://en.wikipedia.org/wiki/Beatrice,_NE_Micropolitan_Statistical_Area" xr:uid="{FBF8DE37-9B37-7D41-96FB-6E97CDD7E35E}"/>
    <hyperlink ref="F885" r:id="rId1385" tooltip="Lincoln, Nebraska metropolitan area" display="https://en.wikipedia.org/wiki/Lincoln,_Nebraska_metropolitan_area" xr:uid="{1CAB7AD7-6702-2A4F-A31C-29DE557D1D00}"/>
    <hyperlink ref="B886" r:id="rId1386" tooltip="Grenada, MS Micropolitan Statistical Area" display="https://en.wikipedia.org/wiki/Grenada,_MS_Micropolitan_Statistical_Area" xr:uid="{E122B63F-79C1-CE4B-B099-A212F704B65F}"/>
    <hyperlink ref="B887" r:id="rId1387" tooltip="Port Lavaca, TX Micropolitan Statistical Area" display="https://en.wikipedia.org/wiki/Port_Lavaca,_TX_Micropolitan_Statistical_Area" xr:uid="{4CEAB8E9-DC8A-6E47-9444-C0E6F0FE7108}"/>
    <hyperlink ref="F887" r:id="rId1388" tooltip="Victoria-Port Lavaca, TX Combined Statistical Area" display="https://en.wikipedia.org/wiki/Victoria-Port_Lavaca,_TX_Combined_Statistical_Area" xr:uid="{9011B69D-19BC-D141-B07B-1E691E698D31}"/>
    <hyperlink ref="B888" r:id="rId1389" tooltip="Guymon, OK Micropolitan Statistical Area" display="https://en.wikipedia.org/wiki/Guymon,_OK_Micropolitan_Statistical_Area" xr:uid="{E04AC484-FDA1-AB41-B0A6-BFE90AC53FB8}"/>
    <hyperlink ref="B889" r:id="rId1390" tooltip="Worthington, MN Micropolitan Statistical Area" display="https://en.wikipedia.org/wiki/Worthington,_MN_Micropolitan_Statistical_Area" xr:uid="{4597DA59-03F4-064A-90C4-CDCC44CD81A4}"/>
    <hyperlink ref="B890" r:id="rId1391" tooltip="Parsons, KS Micropolitan Statistical Area" display="https://en.wikipedia.org/wiki/Parsons,_KS_Micropolitan_Statistical_Area" xr:uid="{A5D099ED-E223-D44E-B142-0FEE502842A0}"/>
    <hyperlink ref="B891" r:id="rId1392" tooltip="Price, UT Micropolitan Statistical Area" display="https://en.wikipedia.org/wiki/Price,_UT_Micropolitan_Statistical_Area" xr:uid="{B756D5F7-1FA2-C540-BA7A-933A53D0007C}"/>
    <hyperlink ref="B892" r:id="rId1393" tooltip="Evanston, WY Micropolitan Statistical Area" display="https://en.wikipedia.org/wiki/Evanston,_WY_Micropolitan_Statistical_Area" xr:uid="{57905B00-A362-CE49-8C77-7D7EC087B550}"/>
    <hyperlink ref="B893" r:id="rId1394" tooltip="Jamestown, ND Micropolitan Statistical Area" display="https://en.wikipedia.org/wiki/Jamestown,_ND_Micropolitan_Statistical_Area" xr:uid="{6705B83A-DF17-9744-B92F-46B7FAFD2A9D}"/>
    <hyperlink ref="B894" r:id="rId1395" tooltip="Helena-West Helena, AR Micropolitan Statistical Area" display="https://en.wikipedia.org/wiki/Helena-West_Helena,_AR_Micropolitan_Statistical_Area" xr:uid="{AA2BF7A2-76F0-F741-8712-48E40FFA24E9}"/>
    <hyperlink ref="B895" r:id="rId1396" tooltip="Prineville, OR Micropolitan Statistical Area" display="https://en.wikipedia.org/wiki/Prineville,_OR_Micropolitan_Statistical_Area" xr:uid="{3A9843FC-2C04-7348-95B5-6595CA78D11E}"/>
    <hyperlink ref="F895" r:id="rId1397" tooltip="Bend-Prineville, OR Combined Statistical Area" display="https://en.wikipedia.org/wiki/Bend-Prineville,_OR_Combined_Statistical_Area" xr:uid="{EDAFCDB3-2106-7843-87FA-B8A8CD34D7AE}"/>
    <hyperlink ref="B896" r:id="rId1398" tooltip="Storm Lake, IA Micropolitan Statistical Area" display="https://en.wikipedia.org/wiki/Storm_Lake,_IA_Micropolitan_Statistical_Area" xr:uid="{B88CE8C4-6724-5946-93CE-1411FA149B04}"/>
    <hyperlink ref="B897" r:id="rId1399" tooltip="Woodward, OK Micropolitan Statistical Area" display="https://en.wikipedia.org/wiki/Woodward,_OK_Micropolitan_Statistical_Area" xr:uid="{1FDFF7EE-BBDF-2C45-A785-081DFEABF792}"/>
    <hyperlink ref="B898" r:id="rId1400" tooltip="Portales, NM Micropolitan Statistical Area" display="https://en.wikipedia.org/wiki/Portales,_NM_Micropolitan_Statistical_Area" xr:uid="{7CE971A9-7D13-0A44-AC29-DD16E79188C2}"/>
    <hyperlink ref="F898" r:id="rId1401" tooltip="Clovis-Portales, NM Combined Statistical Area" display="https://en.wikipedia.org/wiki/Clovis-Portales,_NM_Combined_Statistical_Area" xr:uid="{A98210C9-20AA-FE4F-A8B7-1C20948A7505}"/>
    <hyperlink ref="B899" r:id="rId1402" tooltip="Hereford, TX Micropolitan Statistical Area" display="https://en.wikipedia.org/wiki/Hereford,_TX_Micropolitan_Statistical_Area" xr:uid="{BE6BAFEA-06D9-7E46-8BB9-62C5FCED0339}"/>
    <hyperlink ref="B900" r:id="rId1403" tooltip="Othello, WA Micropolitan Statistical Area" display="https://en.wikipedia.org/wiki/Othello,_WA_Micropolitan_Statistical_Area" xr:uid="{A86438D0-BC02-A942-8E24-473A1AE821DF}"/>
    <hyperlink ref="F900" r:id="rId1404" tooltip="Moses Lake-Othello, WA Combined Statistical Area" display="https://en.wikipedia.org/wiki/Moses_Lake-Othello,_WA_Combined_Statistical_Area" xr:uid="{6BCA94A0-6CA4-E348-8534-DAF0F0E18A08}"/>
    <hyperlink ref="B901" r:id="rId1405" tooltip="Los Alamos, NM Micropolitan Statistical Area" display="https://en.wikipedia.org/wiki/Los_Alamos,_NM_Micropolitan_Statistical_Area" xr:uid="{377CC789-EE34-5240-8A27-97BE0342B73C}"/>
    <hyperlink ref="F901" r:id="rId1406" tooltip="Albuquerque-Santa Fe-Las Vegas, NM Combined Statistical Area" display="https://en.wikipedia.org/wiki/Albuquerque-Santa_Fe-Las_Vegas,_NM_Combined_Statistical_Area" xr:uid="{95BDA0F4-8D5C-AA44-9EC4-1F4315EE82FB}"/>
    <hyperlink ref="B902" r:id="rId1407" tooltip="Huron, SD Micropolitan Statistical Area" display="https://en.wikipedia.org/wiki/Huron,_SD_Micropolitan_Statistical_Area" xr:uid="{010F471A-39E6-824B-AB1C-ABD394E301DF}"/>
    <hyperlink ref="B903" r:id="rId1408" tooltip="Fitzgerald, GA Micropolitan Statistical Area" display="https://en.wikipedia.org/wiki/Fitzgerald,_GA_Micropolitan_Statistical_Area" xr:uid="{96B93316-1F97-AF43-AB44-EB3F3E4012FE}"/>
    <hyperlink ref="B904" r:id="rId1409" tooltip="Maysville, KY Micropolitan Statistical Area" display="https://en.wikipedia.org/wiki/Maysville,_KY_Micropolitan_Statistical_Area" xr:uid="{9248C29A-7E87-B84C-91BE-27A14E6005BA}"/>
    <hyperlink ref="F904" r:id="rId1410" tooltip="Cincinnati-Wilmington-Maysville, OH-KY-IN Combined Statistical Area" display="https://en.wikipedia.org/wiki/Cincinnati-Wilmington-Maysville,_OH-KY-IN_Combined_Statistical_Area" xr:uid="{68A9CF96-F937-594C-AE59-815210AD8E30}"/>
    <hyperlink ref="B905" r:id="rId1411" tooltip="Snyder, TX Micropolitan Statistical Area" display="https://en.wikipedia.org/wiki/Snyder,_TX_Micropolitan_Statistical_Area" xr:uid="{8E809D00-E0E1-404F-84E4-5F1ADD33CC1E}"/>
    <hyperlink ref="B906" r:id="rId1412" tooltip="Winnemucca, NV Micropolitan Statistical Area" display="https://en.wikipedia.org/wiki/Winnemucca,_NV_Micropolitan_Statistical_Area" xr:uid="{57CF89F5-AC51-0640-9C2A-F1842BF7D976}"/>
    <hyperlink ref="B907" r:id="rId1413" tooltip="Vineyard Haven, MA Micropolitan Statistical Area" display="https://en.wikipedia.org/wiki/Vineyard_Haven,_MA_Micropolitan_Statistical_Area" xr:uid="{09A4A3E8-7AD5-F144-800F-B938E539316E}"/>
    <hyperlink ref="B908" r:id="rId1414" tooltip="Spirit Lake, IA Micropolitan Statistical Area" display="https://en.wikipedia.org/wiki/Spirit_Lake,_IA_Micropolitan_Statistical_Area" xr:uid="{B698EA69-76DC-6A4F-AB9D-69320E596DF7}"/>
    <hyperlink ref="B909" r:id="rId1415" tooltip="Fairfield, IA Micropolitan Statistical Area" display="https://en.wikipedia.org/wiki/Fairfield,_IA_Micropolitan_Statistical_Area" xr:uid="{23C29AD4-B47D-A449-98EA-0D6E7A3F13E3}"/>
    <hyperlink ref="B910" r:id="rId1416" tooltip="Atchison, KS Micropolitan Statistical Area" display="https://en.wikipedia.org/wiki/Atchison,_KS_Micropolitan_Statistical_Area" xr:uid="{18F93C52-6307-2B4C-9397-E7322A6E4C62}"/>
    <hyperlink ref="F910" r:id="rId1417" tooltip="Kansas City-Overland Park-Kansas City, MO-KS Combined Statistical Area" display="https://en.wikipedia.org/wiki/Kansas_City-Overland_Park-Kansas_City,_MO-KS_Combined_Statistical_Area" xr:uid="{27508E8B-24EF-084D-B402-B972F063F8C8}"/>
    <hyperlink ref="B911" r:id="rId1418" tooltip="Spencer, IA Micropolitan Statistical Area" display="https://en.wikipedia.org/wiki/Spencer,_IA_Micropolitan_Statistical_Area" xr:uid="{F7B6CE1C-FC79-6D4B-B389-60404F14C235}"/>
    <hyperlink ref="B912" r:id="rId1419" tooltip="Andrews, TX Micropolitan Statistical Area" display="https://en.wikipedia.org/wiki/Andrews,_TX_Micropolitan_Statistical_Area" xr:uid="{0F27B51A-5AB5-CE4C-B62F-85F8CB29A797}"/>
    <hyperlink ref="B913" r:id="rId1420" tooltip="Sweetwater, TX Micropolitan Statistical Area" display="https://en.wikipedia.org/wiki/Sweetwater,_TX_Micropolitan_Statistical_Area" xr:uid="{6BA9FA97-D20B-324C-8259-6ADAD94A18ED}"/>
    <hyperlink ref="B914" r:id="rId1421" tooltip="Zapata, TX Micropolitan Statistical Area" display="https://en.wikipedia.org/wiki/Zapata,_TX_Micropolitan_Statistical_Area" xr:uid="{2BEC7E43-6B3A-814A-9A4E-A23089E6F0CA}"/>
    <hyperlink ref="B915" r:id="rId1422" tooltip="Vermillion, SD Micropolitan Statistical Area" display="https://en.wikipedia.org/wiki/Vermillion,_SD_Micropolitan_Statistical_Area" xr:uid="{00E89B95-08AD-2049-B0AF-F806223988CE}"/>
    <hyperlink ref="F915" r:id="rId1423" tooltip="Sioux City-Vermillion, IA-SD-NE Combined Statistical Area" display="https://en.wikipedia.org/wiki/Sioux_City-Vermillion,_IA-SD-NE_Combined_Statistical_Area" xr:uid="{5E5EF619-E766-BB4E-8E3E-F79B8042BEBE}"/>
    <hyperlink ref="B916" r:id="rId1424" tooltip="Pecos, TX Micropolitan Statistical Area" display="https://en.wikipedia.org/wiki/Pecos,_TX_Micropolitan_Statistical_Area" xr:uid="{8E75E10E-1FFC-2D40-9915-2FD8E5443052}"/>
    <hyperlink ref="B917" r:id="rId1425" tooltip="Ketchikan, AK Micropolitan Statistical Area" display="https://en.wikipedia.org/wiki/Ketchikan,_AK_Micropolitan_Statistical_Area" xr:uid="{6E30977E-5AAE-2B45-A4FA-52F5327B449D}"/>
    <hyperlink ref="B918" r:id="rId1426" tooltip="Lamesa, TX Micropolitan Statistical Area" display="https://en.wikipedia.org/wiki/Lamesa,_TX_Micropolitan_Statistical_Area" xr:uid="{694CB9D8-6933-0D46-8F95-DD3DACD61CFC}"/>
    <hyperlink ref="B919" r:id="rId1427" tooltip="Vernon, TX Micropolitan Statistical Area" display="https://en.wikipedia.org/wiki/Vernon,_TX_Micropolitan_Statistical_Area" xr:uid="{466E08D2-DD2E-9544-99EC-16B9907EA43C}"/>
    <hyperlink ref="B920" r:id="rId1428" tooltip="Craig, CO Micropolitan Statistical Area" display="https://en.wikipedia.org/wiki/Craig,_CO_Micropolitan_Statistical_Area" xr:uid="{4823E881-CE30-3B4F-A0C0-A5E8FAB3994B}"/>
    <hyperlink ref="F920" r:id="rId1429" tooltip="Steamboat Springs-Craig, CO Combined Statistical Area" display="https://en.wikipedia.org/wiki/Steamboat_Springs-Craig,_CO_Combined_Statistical_Area" xr:uid="{EC7C45F3-437E-244A-8CE6-FCC7EE37300E}"/>
  </hyperlink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ED725-B318-FE49-9E09-C1F542711958}">
  <dimension ref="A1:G1917"/>
  <sheetViews>
    <sheetView tabSelected="1" zoomScale="150" workbookViewId="0">
      <selection activeCell="A1915" sqref="A1915"/>
    </sheetView>
  </sheetViews>
  <sheetFormatPr baseColWidth="10" defaultRowHeight="15"/>
  <cols>
    <col min="1" max="1" width="10.33203125" style="21" customWidth="1"/>
    <col min="2" max="2" width="35.5" style="21" bestFit="1" customWidth="1"/>
    <col min="3" max="3" width="20" style="21" bestFit="1" customWidth="1"/>
    <col min="4" max="4" width="43.5" style="21" bestFit="1" customWidth="1"/>
    <col min="5" max="5" width="21.5" style="21" bestFit="1" customWidth="1"/>
    <col min="6" max="6" width="14" style="21" customWidth="1"/>
    <col min="7" max="7" width="7" style="21" customWidth="1"/>
    <col min="8" max="251" width="8.83203125" style="21" customWidth="1"/>
    <col min="252" max="252" width="9.1640625" style="21" customWidth="1"/>
    <col min="253" max="254" width="8.83203125" style="21" customWidth="1"/>
    <col min="255" max="255" width="35.5" style="21" bestFit="1" customWidth="1"/>
    <col min="256" max="256" width="20" style="21" bestFit="1" customWidth="1"/>
    <col min="257" max="257" width="38.83203125" style="21" bestFit="1" customWidth="1"/>
    <col min="258" max="258" width="43.5" style="21" bestFit="1" customWidth="1"/>
    <col min="259" max="259" width="21.5" style="21" bestFit="1" customWidth="1"/>
    <col min="260" max="260" width="14" style="21" customWidth="1"/>
    <col min="261" max="262" width="5.6640625" style="21" customWidth="1"/>
    <col min="263" max="263" width="7" style="21" customWidth="1"/>
    <col min="264" max="507" width="8.83203125" style="21" customWidth="1"/>
    <col min="508" max="508" width="9.1640625" style="21" customWidth="1"/>
    <col min="509" max="510" width="8.83203125" style="21" customWidth="1"/>
    <col min="511" max="511" width="35.5" style="21" bestFit="1" customWidth="1"/>
    <col min="512" max="512" width="20" style="21" bestFit="1" customWidth="1"/>
    <col min="513" max="513" width="38.83203125" style="21" bestFit="1" customWidth="1"/>
    <col min="514" max="514" width="43.5" style="21" bestFit="1" customWidth="1"/>
    <col min="515" max="515" width="21.5" style="21" bestFit="1" customWidth="1"/>
    <col min="516" max="516" width="14" style="21" customWidth="1"/>
    <col min="517" max="518" width="5.6640625" style="21" customWidth="1"/>
    <col min="519" max="519" width="7" style="21" customWidth="1"/>
    <col min="520" max="763" width="8.83203125" style="21" customWidth="1"/>
    <col min="764" max="764" width="9.1640625" style="21" customWidth="1"/>
    <col min="765" max="766" width="8.83203125" style="21" customWidth="1"/>
    <col min="767" max="767" width="35.5" style="21" bestFit="1" customWidth="1"/>
    <col min="768" max="768" width="20" style="21" bestFit="1" customWidth="1"/>
    <col min="769" max="769" width="38.83203125" style="21" bestFit="1" customWidth="1"/>
    <col min="770" max="770" width="43.5" style="21" bestFit="1" customWidth="1"/>
    <col min="771" max="771" width="21.5" style="21" bestFit="1" customWidth="1"/>
    <col min="772" max="772" width="14" style="21" customWidth="1"/>
    <col min="773" max="774" width="5.6640625" style="21" customWidth="1"/>
    <col min="775" max="775" width="7" style="21" customWidth="1"/>
    <col min="776" max="1019" width="8.83203125" style="21" customWidth="1"/>
    <col min="1020" max="1020" width="9.1640625" style="21" customWidth="1"/>
    <col min="1021" max="1022" width="8.83203125" style="21" customWidth="1"/>
    <col min="1023" max="1023" width="35.5" style="21" bestFit="1" customWidth="1"/>
    <col min="1024" max="1024" width="20" style="21" bestFit="1" customWidth="1"/>
    <col min="1025" max="1025" width="38.83203125" style="21" bestFit="1" customWidth="1"/>
    <col min="1026" max="1026" width="43.5" style="21" bestFit="1" customWidth="1"/>
    <col min="1027" max="1027" width="21.5" style="21" bestFit="1" customWidth="1"/>
    <col min="1028" max="1028" width="14" style="21" customWidth="1"/>
    <col min="1029" max="1030" width="5.6640625" style="21" customWidth="1"/>
    <col min="1031" max="1031" width="7" style="21" customWidth="1"/>
    <col min="1032" max="1275" width="8.83203125" style="21" customWidth="1"/>
    <col min="1276" max="1276" width="9.1640625" style="21" customWidth="1"/>
    <col min="1277" max="1278" width="8.83203125" style="21" customWidth="1"/>
    <col min="1279" max="1279" width="35.5" style="21" bestFit="1" customWidth="1"/>
    <col min="1280" max="1280" width="20" style="21" bestFit="1" customWidth="1"/>
    <col min="1281" max="1281" width="38.83203125" style="21" bestFit="1" customWidth="1"/>
    <col min="1282" max="1282" width="43.5" style="21" bestFit="1" customWidth="1"/>
    <col min="1283" max="1283" width="21.5" style="21" bestFit="1" customWidth="1"/>
    <col min="1284" max="1284" width="14" style="21" customWidth="1"/>
    <col min="1285" max="1286" width="5.6640625" style="21" customWidth="1"/>
    <col min="1287" max="1287" width="7" style="21" customWidth="1"/>
    <col min="1288" max="1531" width="8.83203125" style="21" customWidth="1"/>
    <col min="1532" max="1532" width="9.1640625" style="21" customWidth="1"/>
    <col min="1533" max="1534" width="8.83203125" style="21" customWidth="1"/>
    <col min="1535" max="1535" width="35.5" style="21" bestFit="1" customWidth="1"/>
    <col min="1536" max="1536" width="20" style="21" bestFit="1" customWidth="1"/>
    <col min="1537" max="1537" width="38.83203125" style="21" bestFit="1" customWidth="1"/>
    <col min="1538" max="1538" width="43.5" style="21" bestFit="1" customWidth="1"/>
    <col min="1539" max="1539" width="21.5" style="21" bestFit="1" customWidth="1"/>
    <col min="1540" max="1540" width="14" style="21" customWidth="1"/>
    <col min="1541" max="1542" width="5.6640625" style="21" customWidth="1"/>
    <col min="1543" max="1543" width="7" style="21" customWidth="1"/>
    <col min="1544" max="1787" width="8.83203125" style="21" customWidth="1"/>
    <col min="1788" max="1788" width="9.1640625" style="21" customWidth="1"/>
    <col min="1789" max="1790" width="8.83203125" style="21" customWidth="1"/>
    <col min="1791" max="1791" width="35.5" style="21" bestFit="1" customWidth="1"/>
    <col min="1792" max="1792" width="20" style="21" bestFit="1" customWidth="1"/>
    <col min="1793" max="1793" width="38.83203125" style="21" bestFit="1" customWidth="1"/>
    <col min="1794" max="1794" width="43.5" style="21" bestFit="1" customWidth="1"/>
    <col min="1795" max="1795" width="21.5" style="21" bestFit="1" customWidth="1"/>
    <col min="1796" max="1796" width="14" style="21" customWidth="1"/>
    <col min="1797" max="1798" width="5.6640625" style="21" customWidth="1"/>
    <col min="1799" max="1799" width="7" style="21" customWidth="1"/>
    <col min="1800" max="2043" width="8.83203125" style="21" customWidth="1"/>
    <col min="2044" max="2044" width="9.1640625" style="21" customWidth="1"/>
    <col min="2045" max="2046" width="8.83203125" style="21" customWidth="1"/>
    <col min="2047" max="2047" width="35.5" style="21" bestFit="1" customWidth="1"/>
    <col min="2048" max="2048" width="20" style="21" bestFit="1" customWidth="1"/>
    <col min="2049" max="2049" width="38.83203125" style="21" bestFit="1" customWidth="1"/>
    <col min="2050" max="2050" width="43.5" style="21" bestFit="1" customWidth="1"/>
    <col min="2051" max="2051" width="21.5" style="21" bestFit="1" customWidth="1"/>
    <col min="2052" max="2052" width="14" style="21" customWidth="1"/>
    <col min="2053" max="2054" width="5.6640625" style="21" customWidth="1"/>
    <col min="2055" max="2055" width="7" style="21" customWidth="1"/>
    <col min="2056" max="2299" width="8.83203125" style="21" customWidth="1"/>
    <col min="2300" max="2300" width="9.1640625" style="21" customWidth="1"/>
    <col min="2301" max="2302" width="8.83203125" style="21" customWidth="1"/>
    <col min="2303" max="2303" width="35.5" style="21" bestFit="1" customWidth="1"/>
    <col min="2304" max="2304" width="20" style="21" bestFit="1" customWidth="1"/>
    <col min="2305" max="2305" width="38.83203125" style="21" bestFit="1" customWidth="1"/>
    <col min="2306" max="2306" width="43.5" style="21" bestFit="1" customWidth="1"/>
    <col min="2307" max="2307" width="21.5" style="21" bestFit="1" customWidth="1"/>
    <col min="2308" max="2308" width="14" style="21" customWidth="1"/>
    <col min="2309" max="2310" width="5.6640625" style="21" customWidth="1"/>
    <col min="2311" max="2311" width="7" style="21" customWidth="1"/>
    <col min="2312" max="2555" width="8.83203125" style="21" customWidth="1"/>
    <col min="2556" max="2556" width="9.1640625" style="21" customWidth="1"/>
    <col min="2557" max="2558" width="8.83203125" style="21" customWidth="1"/>
    <col min="2559" max="2559" width="35.5" style="21" bestFit="1" customWidth="1"/>
    <col min="2560" max="2560" width="20" style="21" bestFit="1" customWidth="1"/>
    <col min="2561" max="2561" width="38.83203125" style="21" bestFit="1" customWidth="1"/>
    <col min="2562" max="2562" width="43.5" style="21" bestFit="1" customWidth="1"/>
    <col min="2563" max="2563" width="21.5" style="21" bestFit="1" customWidth="1"/>
    <col min="2564" max="2564" width="14" style="21" customWidth="1"/>
    <col min="2565" max="2566" width="5.6640625" style="21" customWidth="1"/>
    <col min="2567" max="2567" width="7" style="21" customWidth="1"/>
    <col min="2568" max="2811" width="8.83203125" style="21" customWidth="1"/>
    <col min="2812" max="2812" width="9.1640625" style="21" customWidth="1"/>
    <col min="2813" max="2814" width="8.83203125" style="21" customWidth="1"/>
    <col min="2815" max="2815" width="35.5" style="21" bestFit="1" customWidth="1"/>
    <col min="2816" max="2816" width="20" style="21" bestFit="1" customWidth="1"/>
    <col min="2817" max="2817" width="38.83203125" style="21" bestFit="1" customWidth="1"/>
    <col min="2818" max="2818" width="43.5" style="21" bestFit="1" customWidth="1"/>
    <col min="2819" max="2819" width="21.5" style="21" bestFit="1" customWidth="1"/>
    <col min="2820" max="2820" width="14" style="21" customWidth="1"/>
    <col min="2821" max="2822" width="5.6640625" style="21" customWidth="1"/>
    <col min="2823" max="2823" width="7" style="21" customWidth="1"/>
    <col min="2824" max="3067" width="8.83203125" style="21" customWidth="1"/>
    <col min="3068" max="3068" width="9.1640625" style="21" customWidth="1"/>
    <col min="3069" max="3070" width="8.83203125" style="21" customWidth="1"/>
    <col min="3071" max="3071" width="35.5" style="21" bestFit="1" customWidth="1"/>
    <col min="3072" max="3072" width="20" style="21" bestFit="1" customWidth="1"/>
    <col min="3073" max="3073" width="38.83203125" style="21" bestFit="1" customWidth="1"/>
    <col min="3074" max="3074" width="43.5" style="21" bestFit="1" customWidth="1"/>
    <col min="3075" max="3075" width="21.5" style="21" bestFit="1" customWidth="1"/>
    <col min="3076" max="3076" width="14" style="21" customWidth="1"/>
    <col min="3077" max="3078" width="5.6640625" style="21" customWidth="1"/>
    <col min="3079" max="3079" width="7" style="21" customWidth="1"/>
    <col min="3080" max="3323" width="8.83203125" style="21" customWidth="1"/>
    <col min="3324" max="3324" width="9.1640625" style="21" customWidth="1"/>
    <col min="3325" max="3326" width="8.83203125" style="21" customWidth="1"/>
    <col min="3327" max="3327" width="35.5" style="21" bestFit="1" customWidth="1"/>
    <col min="3328" max="3328" width="20" style="21" bestFit="1" customWidth="1"/>
    <col min="3329" max="3329" width="38.83203125" style="21" bestFit="1" customWidth="1"/>
    <col min="3330" max="3330" width="43.5" style="21" bestFit="1" customWidth="1"/>
    <col min="3331" max="3331" width="21.5" style="21" bestFit="1" customWidth="1"/>
    <col min="3332" max="3332" width="14" style="21" customWidth="1"/>
    <col min="3333" max="3334" width="5.6640625" style="21" customWidth="1"/>
    <col min="3335" max="3335" width="7" style="21" customWidth="1"/>
    <col min="3336" max="3579" width="8.83203125" style="21" customWidth="1"/>
    <col min="3580" max="3580" width="9.1640625" style="21" customWidth="1"/>
    <col min="3581" max="3582" width="8.83203125" style="21" customWidth="1"/>
    <col min="3583" max="3583" width="35.5" style="21" bestFit="1" customWidth="1"/>
    <col min="3584" max="3584" width="20" style="21" bestFit="1" customWidth="1"/>
    <col min="3585" max="3585" width="38.83203125" style="21" bestFit="1" customWidth="1"/>
    <col min="3586" max="3586" width="43.5" style="21" bestFit="1" customWidth="1"/>
    <col min="3587" max="3587" width="21.5" style="21" bestFit="1" customWidth="1"/>
    <col min="3588" max="3588" width="14" style="21" customWidth="1"/>
    <col min="3589" max="3590" width="5.6640625" style="21" customWidth="1"/>
    <col min="3591" max="3591" width="7" style="21" customWidth="1"/>
    <col min="3592" max="3835" width="8.83203125" style="21" customWidth="1"/>
    <col min="3836" max="3836" width="9.1640625" style="21" customWidth="1"/>
    <col min="3837" max="3838" width="8.83203125" style="21" customWidth="1"/>
    <col min="3839" max="3839" width="35.5" style="21" bestFit="1" customWidth="1"/>
    <col min="3840" max="3840" width="20" style="21" bestFit="1" customWidth="1"/>
    <col min="3841" max="3841" width="38.83203125" style="21" bestFit="1" customWidth="1"/>
    <col min="3842" max="3842" width="43.5" style="21" bestFit="1" customWidth="1"/>
    <col min="3843" max="3843" width="21.5" style="21" bestFit="1" customWidth="1"/>
    <col min="3844" max="3844" width="14" style="21" customWidth="1"/>
    <col min="3845" max="3846" width="5.6640625" style="21" customWidth="1"/>
    <col min="3847" max="3847" width="7" style="21" customWidth="1"/>
    <col min="3848" max="4091" width="8.83203125" style="21" customWidth="1"/>
    <col min="4092" max="4092" width="9.1640625" style="21" customWidth="1"/>
    <col min="4093" max="4094" width="8.83203125" style="21" customWidth="1"/>
    <col min="4095" max="4095" width="35.5" style="21" bestFit="1" customWidth="1"/>
    <col min="4096" max="4096" width="20" style="21" bestFit="1" customWidth="1"/>
    <col min="4097" max="4097" width="38.83203125" style="21" bestFit="1" customWidth="1"/>
    <col min="4098" max="4098" width="43.5" style="21" bestFit="1" customWidth="1"/>
    <col min="4099" max="4099" width="21.5" style="21" bestFit="1" customWidth="1"/>
    <col min="4100" max="4100" width="14" style="21" customWidth="1"/>
    <col min="4101" max="4102" width="5.6640625" style="21" customWidth="1"/>
    <col min="4103" max="4103" width="7" style="21" customWidth="1"/>
    <col min="4104" max="4347" width="8.83203125" style="21" customWidth="1"/>
    <col min="4348" max="4348" width="9.1640625" style="21" customWidth="1"/>
    <col min="4349" max="4350" width="8.83203125" style="21" customWidth="1"/>
    <col min="4351" max="4351" width="35.5" style="21" bestFit="1" customWidth="1"/>
    <col min="4352" max="4352" width="20" style="21" bestFit="1" customWidth="1"/>
    <col min="4353" max="4353" width="38.83203125" style="21" bestFit="1" customWidth="1"/>
    <col min="4354" max="4354" width="43.5" style="21" bestFit="1" customWidth="1"/>
    <col min="4355" max="4355" width="21.5" style="21" bestFit="1" customWidth="1"/>
    <col min="4356" max="4356" width="14" style="21" customWidth="1"/>
    <col min="4357" max="4358" width="5.6640625" style="21" customWidth="1"/>
    <col min="4359" max="4359" width="7" style="21" customWidth="1"/>
    <col min="4360" max="4603" width="8.83203125" style="21" customWidth="1"/>
    <col min="4604" max="4604" width="9.1640625" style="21" customWidth="1"/>
    <col min="4605" max="4606" width="8.83203125" style="21" customWidth="1"/>
    <col min="4607" max="4607" width="35.5" style="21" bestFit="1" customWidth="1"/>
    <col min="4608" max="4608" width="20" style="21" bestFit="1" customWidth="1"/>
    <col min="4609" max="4609" width="38.83203125" style="21" bestFit="1" customWidth="1"/>
    <col min="4610" max="4610" width="43.5" style="21" bestFit="1" customWidth="1"/>
    <col min="4611" max="4611" width="21.5" style="21" bestFit="1" customWidth="1"/>
    <col min="4612" max="4612" width="14" style="21" customWidth="1"/>
    <col min="4613" max="4614" width="5.6640625" style="21" customWidth="1"/>
    <col min="4615" max="4615" width="7" style="21" customWidth="1"/>
    <col min="4616" max="4859" width="8.83203125" style="21" customWidth="1"/>
    <col min="4860" max="4860" width="9.1640625" style="21" customWidth="1"/>
    <col min="4861" max="4862" width="8.83203125" style="21" customWidth="1"/>
    <col min="4863" max="4863" width="35.5" style="21" bestFit="1" customWidth="1"/>
    <col min="4864" max="4864" width="20" style="21" bestFit="1" customWidth="1"/>
    <col min="4865" max="4865" width="38.83203125" style="21" bestFit="1" customWidth="1"/>
    <col min="4866" max="4866" width="43.5" style="21" bestFit="1" customWidth="1"/>
    <col min="4867" max="4867" width="21.5" style="21" bestFit="1" customWidth="1"/>
    <col min="4868" max="4868" width="14" style="21" customWidth="1"/>
    <col min="4869" max="4870" width="5.6640625" style="21" customWidth="1"/>
    <col min="4871" max="4871" width="7" style="21" customWidth="1"/>
    <col min="4872" max="5115" width="8.83203125" style="21" customWidth="1"/>
    <col min="5116" max="5116" width="9.1640625" style="21" customWidth="1"/>
    <col min="5117" max="5118" width="8.83203125" style="21" customWidth="1"/>
    <col min="5119" max="5119" width="35.5" style="21" bestFit="1" customWidth="1"/>
    <col min="5120" max="5120" width="20" style="21" bestFit="1" customWidth="1"/>
    <col min="5121" max="5121" width="38.83203125" style="21" bestFit="1" customWidth="1"/>
    <col min="5122" max="5122" width="43.5" style="21" bestFit="1" customWidth="1"/>
    <col min="5123" max="5123" width="21.5" style="21" bestFit="1" customWidth="1"/>
    <col min="5124" max="5124" width="14" style="21" customWidth="1"/>
    <col min="5125" max="5126" width="5.6640625" style="21" customWidth="1"/>
    <col min="5127" max="5127" width="7" style="21" customWidth="1"/>
    <col min="5128" max="5371" width="8.83203125" style="21" customWidth="1"/>
    <col min="5372" max="5372" width="9.1640625" style="21" customWidth="1"/>
    <col min="5373" max="5374" width="8.83203125" style="21" customWidth="1"/>
    <col min="5375" max="5375" width="35.5" style="21" bestFit="1" customWidth="1"/>
    <col min="5376" max="5376" width="20" style="21" bestFit="1" customWidth="1"/>
    <col min="5377" max="5377" width="38.83203125" style="21" bestFit="1" customWidth="1"/>
    <col min="5378" max="5378" width="43.5" style="21" bestFit="1" customWidth="1"/>
    <col min="5379" max="5379" width="21.5" style="21" bestFit="1" customWidth="1"/>
    <col min="5380" max="5380" width="14" style="21" customWidth="1"/>
    <col min="5381" max="5382" width="5.6640625" style="21" customWidth="1"/>
    <col min="5383" max="5383" width="7" style="21" customWidth="1"/>
    <col min="5384" max="5627" width="8.83203125" style="21" customWidth="1"/>
    <col min="5628" max="5628" width="9.1640625" style="21" customWidth="1"/>
    <col min="5629" max="5630" width="8.83203125" style="21" customWidth="1"/>
    <col min="5631" max="5631" width="35.5" style="21" bestFit="1" customWidth="1"/>
    <col min="5632" max="5632" width="20" style="21" bestFit="1" customWidth="1"/>
    <col min="5633" max="5633" width="38.83203125" style="21" bestFit="1" customWidth="1"/>
    <col min="5634" max="5634" width="43.5" style="21" bestFit="1" customWidth="1"/>
    <col min="5635" max="5635" width="21.5" style="21" bestFit="1" customWidth="1"/>
    <col min="5636" max="5636" width="14" style="21" customWidth="1"/>
    <col min="5637" max="5638" width="5.6640625" style="21" customWidth="1"/>
    <col min="5639" max="5639" width="7" style="21" customWidth="1"/>
    <col min="5640" max="5883" width="8.83203125" style="21" customWidth="1"/>
    <col min="5884" max="5884" width="9.1640625" style="21" customWidth="1"/>
    <col min="5885" max="5886" width="8.83203125" style="21" customWidth="1"/>
    <col min="5887" max="5887" width="35.5" style="21" bestFit="1" customWidth="1"/>
    <col min="5888" max="5888" width="20" style="21" bestFit="1" customWidth="1"/>
    <col min="5889" max="5889" width="38.83203125" style="21" bestFit="1" customWidth="1"/>
    <col min="5890" max="5890" width="43.5" style="21" bestFit="1" customWidth="1"/>
    <col min="5891" max="5891" width="21.5" style="21" bestFit="1" customWidth="1"/>
    <col min="5892" max="5892" width="14" style="21" customWidth="1"/>
    <col min="5893" max="5894" width="5.6640625" style="21" customWidth="1"/>
    <col min="5895" max="5895" width="7" style="21" customWidth="1"/>
    <col min="5896" max="6139" width="8.83203125" style="21" customWidth="1"/>
    <col min="6140" max="6140" width="9.1640625" style="21" customWidth="1"/>
    <col min="6141" max="6142" width="8.83203125" style="21" customWidth="1"/>
    <col min="6143" max="6143" width="35.5" style="21" bestFit="1" customWidth="1"/>
    <col min="6144" max="6144" width="20" style="21" bestFit="1" customWidth="1"/>
    <col min="6145" max="6145" width="38.83203125" style="21" bestFit="1" customWidth="1"/>
    <col min="6146" max="6146" width="43.5" style="21" bestFit="1" customWidth="1"/>
    <col min="6147" max="6147" width="21.5" style="21" bestFit="1" customWidth="1"/>
    <col min="6148" max="6148" width="14" style="21" customWidth="1"/>
    <col min="6149" max="6150" width="5.6640625" style="21" customWidth="1"/>
    <col min="6151" max="6151" width="7" style="21" customWidth="1"/>
    <col min="6152" max="6395" width="8.83203125" style="21" customWidth="1"/>
    <col min="6396" max="6396" width="9.1640625" style="21" customWidth="1"/>
    <col min="6397" max="6398" width="8.83203125" style="21" customWidth="1"/>
    <col min="6399" max="6399" width="35.5" style="21" bestFit="1" customWidth="1"/>
    <col min="6400" max="6400" width="20" style="21" bestFit="1" customWidth="1"/>
    <col min="6401" max="6401" width="38.83203125" style="21" bestFit="1" customWidth="1"/>
    <col min="6402" max="6402" width="43.5" style="21" bestFit="1" customWidth="1"/>
    <col min="6403" max="6403" width="21.5" style="21" bestFit="1" customWidth="1"/>
    <col min="6404" max="6404" width="14" style="21" customWidth="1"/>
    <col min="6405" max="6406" width="5.6640625" style="21" customWidth="1"/>
    <col min="6407" max="6407" width="7" style="21" customWidth="1"/>
    <col min="6408" max="6651" width="8.83203125" style="21" customWidth="1"/>
    <col min="6652" max="6652" width="9.1640625" style="21" customWidth="1"/>
    <col min="6653" max="6654" width="8.83203125" style="21" customWidth="1"/>
    <col min="6655" max="6655" width="35.5" style="21" bestFit="1" customWidth="1"/>
    <col min="6656" max="6656" width="20" style="21" bestFit="1" customWidth="1"/>
    <col min="6657" max="6657" width="38.83203125" style="21" bestFit="1" customWidth="1"/>
    <col min="6658" max="6658" width="43.5" style="21" bestFit="1" customWidth="1"/>
    <col min="6659" max="6659" width="21.5" style="21" bestFit="1" customWidth="1"/>
    <col min="6660" max="6660" width="14" style="21" customWidth="1"/>
    <col min="6661" max="6662" width="5.6640625" style="21" customWidth="1"/>
    <col min="6663" max="6663" width="7" style="21" customWidth="1"/>
    <col min="6664" max="6907" width="8.83203125" style="21" customWidth="1"/>
    <col min="6908" max="6908" width="9.1640625" style="21" customWidth="1"/>
    <col min="6909" max="6910" width="8.83203125" style="21" customWidth="1"/>
    <col min="6911" max="6911" width="35.5" style="21" bestFit="1" customWidth="1"/>
    <col min="6912" max="6912" width="20" style="21" bestFit="1" customWidth="1"/>
    <col min="6913" max="6913" width="38.83203125" style="21" bestFit="1" customWidth="1"/>
    <col min="6914" max="6914" width="43.5" style="21" bestFit="1" customWidth="1"/>
    <col min="6915" max="6915" width="21.5" style="21" bestFit="1" customWidth="1"/>
    <col min="6916" max="6916" width="14" style="21" customWidth="1"/>
    <col min="6917" max="6918" width="5.6640625" style="21" customWidth="1"/>
    <col min="6919" max="6919" width="7" style="21" customWidth="1"/>
    <col min="6920" max="7163" width="8.83203125" style="21" customWidth="1"/>
    <col min="7164" max="7164" width="9.1640625" style="21" customWidth="1"/>
    <col min="7165" max="7166" width="8.83203125" style="21" customWidth="1"/>
    <col min="7167" max="7167" width="35.5" style="21" bestFit="1" customWidth="1"/>
    <col min="7168" max="7168" width="20" style="21" bestFit="1" customWidth="1"/>
    <col min="7169" max="7169" width="38.83203125" style="21" bestFit="1" customWidth="1"/>
    <col min="7170" max="7170" width="43.5" style="21" bestFit="1" customWidth="1"/>
    <col min="7171" max="7171" width="21.5" style="21" bestFit="1" customWidth="1"/>
    <col min="7172" max="7172" width="14" style="21" customWidth="1"/>
    <col min="7173" max="7174" width="5.6640625" style="21" customWidth="1"/>
    <col min="7175" max="7175" width="7" style="21" customWidth="1"/>
    <col min="7176" max="7419" width="8.83203125" style="21" customWidth="1"/>
    <col min="7420" max="7420" width="9.1640625" style="21" customWidth="1"/>
    <col min="7421" max="7422" width="8.83203125" style="21" customWidth="1"/>
    <col min="7423" max="7423" width="35.5" style="21" bestFit="1" customWidth="1"/>
    <col min="7424" max="7424" width="20" style="21" bestFit="1" customWidth="1"/>
    <col min="7425" max="7425" width="38.83203125" style="21" bestFit="1" customWidth="1"/>
    <col min="7426" max="7426" width="43.5" style="21" bestFit="1" customWidth="1"/>
    <col min="7427" max="7427" width="21.5" style="21" bestFit="1" customWidth="1"/>
    <col min="7428" max="7428" width="14" style="21" customWidth="1"/>
    <col min="7429" max="7430" width="5.6640625" style="21" customWidth="1"/>
    <col min="7431" max="7431" width="7" style="21" customWidth="1"/>
    <col min="7432" max="7675" width="8.83203125" style="21" customWidth="1"/>
    <col min="7676" max="7676" width="9.1640625" style="21" customWidth="1"/>
    <col min="7677" max="7678" width="8.83203125" style="21" customWidth="1"/>
    <col min="7679" max="7679" width="35.5" style="21" bestFit="1" customWidth="1"/>
    <col min="7680" max="7680" width="20" style="21" bestFit="1" customWidth="1"/>
    <col min="7681" max="7681" width="38.83203125" style="21" bestFit="1" customWidth="1"/>
    <col min="7682" max="7682" width="43.5" style="21" bestFit="1" customWidth="1"/>
    <col min="7683" max="7683" width="21.5" style="21" bestFit="1" customWidth="1"/>
    <col min="7684" max="7684" width="14" style="21" customWidth="1"/>
    <col min="7685" max="7686" width="5.6640625" style="21" customWidth="1"/>
    <col min="7687" max="7687" width="7" style="21" customWidth="1"/>
    <col min="7688" max="7931" width="8.83203125" style="21" customWidth="1"/>
    <col min="7932" max="7932" width="9.1640625" style="21" customWidth="1"/>
    <col min="7933" max="7934" width="8.83203125" style="21" customWidth="1"/>
    <col min="7935" max="7935" width="35.5" style="21" bestFit="1" customWidth="1"/>
    <col min="7936" max="7936" width="20" style="21" bestFit="1" customWidth="1"/>
    <col min="7937" max="7937" width="38.83203125" style="21" bestFit="1" customWidth="1"/>
    <col min="7938" max="7938" width="43.5" style="21" bestFit="1" customWidth="1"/>
    <col min="7939" max="7939" width="21.5" style="21" bestFit="1" customWidth="1"/>
    <col min="7940" max="7940" width="14" style="21" customWidth="1"/>
    <col min="7941" max="7942" width="5.6640625" style="21" customWidth="1"/>
    <col min="7943" max="7943" width="7" style="21" customWidth="1"/>
    <col min="7944" max="8187" width="8.83203125" style="21" customWidth="1"/>
    <col min="8188" max="8188" width="9.1640625" style="21" customWidth="1"/>
    <col min="8189" max="8190" width="8.83203125" style="21" customWidth="1"/>
    <col min="8191" max="8191" width="35.5" style="21" bestFit="1" customWidth="1"/>
    <col min="8192" max="8192" width="20" style="21" bestFit="1" customWidth="1"/>
    <col min="8193" max="8193" width="38.83203125" style="21" bestFit="1" customWidth="1"/>
    <col min="8194" max="8194" width="43.5" style="21" bestFit="1" customWidth="1"/>
    <col min="8195" max="8195" width="21.5" style="21" bestFit="1" customWidth="1"/>
    <col min="8196" max="8196" width="14" style="21" customWidth="1"/>
    <col min="8197" max="8198" width="5.6640625" style="21" customWidth="1"/>
    <col min="8199" max="8199" width="7" style="21" customWidth="1"/>
    <col min="8200" max="8443" width="8.83203125" style="21" customWidth="1"/>
    <col min="8444" max="8444" width="9.1640625" style="21" customWidth="1"/>
    <col min="8445" max="8446" width="8.83203125" style="21" customWidth="1"/>
    <col min="8447" max="8447" width="35.5" style="21" bestFit="1" customWidth="1"/>
    <col min="8448" max="8448" width="20" style="21" bestFit="1" customWidth="1"/>
    <col min="8449" max="8449" width="38.83203125" style="21" bestFit="1" customWidth="1"/>
    <col min="8450" max="8450" width="43.5" style="21" bestFit="1" customWidth="1"/>
    <col min="8451" max="8451" width="21.5" style="21" bestFit="1" customWidth="1"/>
    <col min="8452" max="8452" width="14" style="21" customWidth="1"/>
    <col min="8453" max="8454" width="5.6640625" style="21" customWidth="1"/>
    <col min="8455" max="8455" width="7" style="21" customWidth="1"/>
    <col min="8456" max="8699" width="8.83203125" style="21" customWidth="1"/>
    <col min="8700" max="8700" width="9.1640625" style="21" customWidth="1"/>
    <col min="8701" max="8702" width="8.83203125" style="21" customWidth="1"/>
    <col min="8703" max="8703" width="35.5" style="21" bestFit="1" customWidth="1"/>
    <col min="8704" max="8704" width="20" style="21" bestFit="1" customWidth="1"/>
    <col min="8705" max="8705" width="38.83203125" style="21" bestFit="1" customWidth="1"/>
    <col min="8706" max="8706" width="43.5" style="21" bestFit="1" customWidth="1"/>
    <col min="8707" max="8707" width="21.5" style="21" bestFit="1" customWidth="1"/>
    <col min="8708" max="8708" width="14" style="21" customWidth="1"/>
    <col min="8709" max="8710" width="5.6640625" style="21" customWidth="1"/>
    <col min="8711" max="8711" width="7" style="21" customWidth="1"/>
    <col min="8712" max="8955" width="8.83203125" style="21" customWidth="1"/>
    <col min="8956" max="8956" width="9.1640625" style="21" customWidth="1"/>
    <col min="8957" max="8958" width="8.83203125" style="21" customWidth="1"/>
    <col min="8959" max="8959" width="35.5" style="21" bestFit="1" customWidth="1"/>
    <col min="8960" max="8960" width="20" style="21" bestFit="1" customWidth="1"/>
    <col min="8961" max="8961" width="38.83203125" style="21" bestFit="1" customWidth="1"/>
    <col min="8962" max="8962" width="43.5" style="21" bestFit="1" customWidth="1"/>
    <col min="8963" max="8963" width="21.5" style="21" bestFit="1" customWidth="1"/>
    <col min="8964" max="8964" width="14" style="21" customWidth="1"/>
    <col min="8965" max="8966" width="5.6640625" style="21" customWidth="1"/>
    <col min="8967" max="8967" width="7" style="21" customWidth="1"/>
    <col min="8968" max="9211" width="8.83203125" style="21" customWidth="1"/>
    <col min="9212" max="9212" width="9.1640625" style="21" customWidth="1"/>
    <col min="9213" max="9214" width="8.83203125" style="21" customWidth="1"/>
    <col min="9215" max="9215" width="35.5" style="21" bestFit="1" customWidth="1"/>
    <col min="9216" max="9216" width="20" style="21" bestFit="1" customWidth="1"/>
    <col min="9217" max="9217" width="38.83203125" style="21" bestFit="1" customWidth="1"/>
    <col min="9218" max="9218" width="43.5" style="21" bestFit="1" customWidth="1"/>
    <col min="9219" max="9219" width="21.5" style="21" bestFit="1" customWidth="1"/>
    <col min="9220" max="9220" width="14" style="21" customWidth="1"/>
    <col min="9221" max="9222" width="5.6640625" style="21" customWidth="1"/>
    <col min="9223" max="9223" width="7" style="21" customWidth="1"/>
    <col min="9224" max="9467" width="8.83203125" style="21" customWidth="1"/>
    <col min="9468" max="9468" width="9.1640625" style="21" customWidth="1"/>
    <col min="9469" max="9470" width="8.83203125" style="21" customWidth="1"/>
    <col min="9471" max="9471" width="35.5" style="21" bestFit="1" customWidth="1"/>
    <col min="9472" max="9472" width="20" style="21" bestFit="1" customWidth="1"/>
    <col min="9473" max="9473" width="38.83203125" style="21" bestFit="1" customWidth="1"/>
    <col min="9474" max="9474" width="43.5" style="21" bestFit="1" customWidth="1"/>
    <col min="9475" max="9475" width="21.5" style="21" bestFit="1" customWidth="1"/>
    <col min="9476" max="9476" width="14" style="21" customWidth="1"/>
    <col min="9477" max="9478" width="5.6640625" style="21" customWidth="1"/>
    <col min="9479" max="9479" width="7" style="21" customWidth="1"/>
    <col min="9480" max="9723" width="8.83203125" style="21" customWidth="1"/>
    <col min="9724" max="9724" width="9.1640625" style="21" customWidth="1"/>
    <col min="9725" max="9726" width="8.83203125" style="21" customWidth="1"/>
    <col min="9727" max="9727" width="35.5" style="21" bestFit="1" customWidth="1"/>
    <col min="9728" max="9728" width="20" style="21" bestFit="1" customWidth="1"/>
    <col min="9729" max="9729" width="38.83203125" style="21" bestFit="1" customWidth="1"/>
    <col min="9730" max="9730" width="43.5" style="21" bestFit="1" customWidth="1"/>
    <col min="9731" max="9731" width="21.5" style="21" bestFit="1" customWidth="1"/>
    <col min="9732" max="9732" width="14" style="21" customWidth="1"/>
    <col min="9733" max="9734" width="5.6640625" style="21" customWidth="1"/>
    <col min="9735" max="9735" width="7" style="21" customWidth="1"/>
    <col min="9736" max="9979" width="8.83203125" style="21" customWidth="1"/>
    <col min="9980" max="9980" width="9.1640625" style="21" customWidth="1"/>
    <col min="9981" max="9982" width="8.83203125" style="21" customWidth="1"/>
    <col min="9983" max="9983" width="35.5" style="21" bestFit="1" customWidth="1"/>
    <col min="9984" max="9984" width="20" style="21" bestFit="1" customWidth="1"/>
    <col min="9985" max="9985" width="38.83203125" style="21" bestFit="1" customWidth="1"/>
    <col min="9986" max="9986" width="43.5" style="21" bestFit="1" customWidth="1"/>
    <col min="9987" max="9987" width="21.5" style="21" bestFit="1" customWidth="1"/>
    <col min="9988" max="9988" width="14" style="21" customWidth="1"/>
    <col min="9989" max="9990" width="5.6640625" style="21" customWidth="1"/>
    <col min="9991" max="9991" width="7" style="21" customWidth="1"/>
    <col min="9992" max="10235" width="8.83203125" style="21" customWidth="1"/>
    <col min="10236" max="10236" width="9.1640625" style="21" customWidth="1"/>
    <col min="10237" max="10238" width="8.83203125" style="21" customWidth="1"/>
    <col min="10239" max="10239" width="35.5" style="21" bestFit="1" customWidth="1"/>
    <col min="10240" max="10240" width="20" style="21" bestFit="1" customWidth="1"/>
    <col min="10241" max="10241" width="38.83203125" style="21" bestFit="1" customWidth="1"/>
    <col min="10242" max="10242" width="43.5" style="21" bestFit="1" customWidth="1"/>
    <col min="10243" max="10243" width="21.5" style="21" bestFit="1" customWidth="1"/>
    <col min="10244" max="10244" width="14" style="21" customWidth="1"/>
    <col min="10245" max="10246" width="5.6640625" style="21" customWidth="1"/>
    <col min="10247" max="10247" width="7" style="21" customWidth="1"/>
    <col min="10248" max="10491" width="8.83203125" style="21" customWidth="1"/>
    <col min="10492" max="10492" width="9.1640625" style="21" customWidth="1"/>
    <col min="10493" max="10494" width="8.83203125" style="21" customWidth="1"/>
    <col min="10495" max="10495" width="35.5" style="21" bestFit="1" customWidth="1"/>
    <col min="10496" max="10496" width="20" style="21" bestFit="1" customWidth="1"/>
    <col min="10497" max="10497" width="38.83203125" style="21" bestFit="1" customWidth="1"/>
    <col min="10498" max="10498" width="43.5" style="21" bestFit="1" customWidth="1"/>
    <col min="10499" max="10499" width="21.5" style="21" bestFit="1" customWidth="1"/>
    <col min="10500" max="10500" width="14" style="21" customWidth="1"/>
    <col min="10501" max="10502" width="5.6640625" style="21" customWidth="1"/>
    <col min="10503" max="10503" width="7" style="21" customWidth="1"/>
    <col min="10504" max="10747" width="8.83203125" style="21" customWidth="1"/>
    <col min="10748" max="10748" width="9.1640625" style="21" customWidth="1"/>
    <col min="10749" max="10750" width="8.83203125" style="21" customWidth="1"/>
    <col min="10751" max="10751" width="35.5" style="21" bestFit="1" customWidth="1"/>
    <col min="10752" max="10752" width="20" style="21" bestFit="1" customWidth="1"/>
    <col min="10753" max="10753" width="38.83203125" style="21" bestFit="1" customWidth="1"/>
    <col min="10754" max="10754" width="43.5" style="21" bestFit="1" customWidth="1"/>
    <col min="10755" max="10755" width="21.5" style="21" bestFit="1" customWidth="1"/>
    <col min="10756" max="10756" width="14" style="21" customWidth="1"/>
    <col min="10757" max="10758" width="5.6640625" style="21" customWidth="1"/>
    <col min="10759" max="10759" width="7" style="21" customWidth="1"/>
    <col min="10760" max="11003" width="8.83203125" style="21" customWidth="1"/>
    <col min="11004" max="11004" width="9.1640625" style="21" customWidth="1"/>
    <col min="11005" max="11006" width="8.83203125" style="21" customWidth="1"/>
    <col min="11007" max="11007" width="35.5" style="21" bestFit="1" customWidth="1"/>
    <col min="11008" max="11008" width="20" style="21" bestFit="1" customWidth="1"/>
    <col min="11009" max="11009" width="38.83203125" style="21" bestFit="1" customWidth="1"/>
    <col min="11010" max="11010" width="43.5" style="21" bestFit="1" customWidth="1"/>
    <col min="11011" max="11011" width="21.5" style="21" bestFit="1" customWidth="1"/>
    <col min="11012" max="11012" width="14" style="21" customWidth="1"/>
    <col min="11013" max="11014" width="5.6640625" style="21" customWidth="1"/>
    <col min="11015" max="11015" width="7" style="21" customWidth="1"/>
    <col min="11016" max="11259" width="8.83203125" style="21" customWidth="1"/>
    <col min="11260" max="11260" width="9.1640625" style="21" customWidth="1"/>
    <col min="11261" max="11262" width="8.83203125" style="21" customWidth="1"/>
    <col min="11263" max="11263" width="35.5" style="21" bestFit="1" customWidth="1"/>
    <col min="11264" max="11264" width="20" style="21" bestFit="1" customWidth="1"/>
    <col min="11265" max="11265" width="38.83203125" style="21" bestFit="1" customWidth="1"/>
    <col min="11266" max="11266" width="43.5" style="21" bestFit="1" customWidth="1"/>
    <col min="11267" max="11267" width="21.5" style="21" bestFit="1" customWidth="1"/>
    <col min="11268" max="11268" width="14" style="21" customWidth="1"/>
    <col min="11269" max="11270" width="5.6640625" style="21" customWidth="1"/>
    <col min="11271" max="11271" width="7" style="21" customWidth="1"/>
    <col min="11272" max="11515" width="8.83203125" style="21" customWidth="1"/>
    <col min="11516" max="11516" width="9.1640625" style="21" customWidth="1"/>
    <col min="11517" max="11518" width="8.83203125" style="21" customWidth="1"/>
    <col min="11519" max="11519" width="35.5" style="21" bestFit="1" customWidth="1"/>
    <col min="11520" max="11520" width="20" style="21" bestFit="1" customWidth="1"/>
    <col min="11521" max="11521" width="38.83203125" style="21" bestFit="1" customWidth="1"/>
    <col min="11522" max="11522" width="43.5" style="21" bestFit="1" customWidth="1"/>
    <col min="11523" max="11523" width="21.5" style="21" bestFit="1" customWidth="1"/>
    <col min="11524" max="11524" width="14" style="21" customWidth="1"/>
    <col min="11525" max="11526" width="5.6640625" style="21" customWidth="1"/>
    <col min="11527" max="11527" width="7" style="21" customWidth="1"/>
    <col min="11528" max="11771" width="8.83203125" style="21" customWidth="1"/>
    <col min="11772" max="11772" width="9.1640625" style="21" customWidth="1"/>
    <col min="11773" max="11774" width="8.83203125" style="21" customWidth="1"/>
    <col min="11775" max="11775" width="35.5" style="21" bestFit="1" customWidth="1"/>
    <col min="11776" max="11776" width="20" style="21" bestFit="1" customWidth="1"/>
    <col min="11777" max="11777" width="38.83203125" style="21" bestFit="1" customWidth="1"/>
    <col min="11778" max="11778" width="43.5" style="21" bestFit="1" customWidth="1"/>
    <col min="11779" max="11779" width="21.5" style="21" bestFit="1" customWidth="1"/>
    <col min="11780" max="11780" width="14" style="21" customWidth="1"/>
    <col min="11781" max="11782" width="5.6640625" style="21" customWidth="1"/>
    <col min="11783" max="11783" width="7" style="21" customWidth="1"/>
    <col min="11784" max="12027" width="8.83203125" style="21" customWidth="1"/>
    <col min="12028" max="12028" width="9.1640625" style="21" customWidth="1"/>
    <col min="12029" max="12030" width="8.83203125" style="21" customWidth="1"/>
    <col min="12031" max="12031" width="35.5" style="21" bestFit="1" customWidth="1"/>
    <col min="12032" max="12032" width="20" style="21" bestFit="1" customWidth="1"/>
    <col min="12033" max="12033" width="38.83203125" style="21" bestFit="1" customWidth="1"/>
    <col min="12034" max="12034" width="43.5" style="21" bestFit="1" customWidth="1"/>
    <col min="12035" max="12035" width="21.5" style="21" bestFit="1" customWidth="1"/>
    <col min="12036" max="12036" width="14" style="21" customWidth="1"/>
    <col min="12037" max="12038" width="5.6640625" style="21" customWidth="1"/>
    <col min="12039" max="12039" width="7" style="21" customWidth="1"/>
    <col min="12040" max="12283" width="8.83203125" style="21" customWidth="1"/>
    <col min="12284" max="12284" width="9.1640625" style="21" customWidth="1"/>
    <col min="12285" max="12286" width="8.83203125" style="21" customWidth="1"/>
    <col min="12287" max="12287" width="35.5" style="21" bestFit="1" customWidth="1"/>
    <col min="12288" max="12288" width="20" style="21" bestFit="1" customWidth="1"/>
    <col min="12289" max="12289" width="38.83203125" style="21" bestFit="1" customWidth="1"/>
    <col min="12290" max="12290" width="43.5" style="21" bestFit="1" customWidth="1"/>
    <col min="12291" max="12291" width="21.5" style="21" bestFit="1" customWidth="1"/>
    <col min="12292" max="12292" width="14" style="21" customWidth="1"/>
    <col min="12293" max="12294" width="5.6640625" style="21" customWidth="1"/>
    <col min="12295" max="12295" width="7" style="21" customWidth="1"/>
    <col min="12296" max="12539" width="8.83203125" style="21" customWidth="1"/>
    <col min="12540" max="12540" width="9.1640625" style="21" customWidth="1"/>
    <col min="12541" max="12542" width="8.83203125" style="21" customWidth="1"/>
    <col min="12543" max="12543" width="35.5" style="21" bestFit="1" customWidth="1"/>
    <col min="12544" max="12544" width="20" style="21" bestFit="1" customWidth="1"/>
    <col min="12545" max="12545" width="38.83203125" style="21" bestFit="1" customWidth="1"/>
    <col min="12546" max="12546" width="43.5" style="21" bestFit="1" customWidth="1"/>
    <col min="12547" max="12547" width="21.5" style="21" bestFit="1" customWidth="1"/>
    <col min="12548" max="12548" width="14" style="21" customWidth="1"/>
    <col min="12549" max="12550" width="5.6640625" style="21" customWidth="1"/>
    <col min="12551" max="12551" width="7" style="21" customWidth="1"/>
    <col min="12552" max="12795" width="8.83203125" style="21" customWidth="1"/>
    <col min="12796" max="12796" width="9.1640625" style="21" customWidth="1"/>
    <col min="12797" max="12798" width="8.83203125" style="21" customWidth="1"/>
    <col min="12799" max="12799" width="35.5" style="21" bestFit="1" customWidth="1"/>
    <col min="12800" max="12800" width="20" style="21" bestFit="1" customWidth="1"/>
    <col min="12801" max="12801" width="38.83203125" style="21" bestFit="1" customWidth="1"/>
    <col min="12802" max="12802" width="43.5" style="21" bestFit="1" customWidth="1"/>
    <col min="12803" max="12803" width="21.5" style="21" bestFit="1" customWidth="1"/>
    <col min="12804" max="12804" width="14" style="21" customWidth="1"/>
    <col min="12805" max="12806" width="5.6640625" style="21" customWidth="1"/>
    <col min="12807" max="12807" width="7" style="21" customWidth="1"/>
    <col min="12808" max="13051" width="8.83203125" style="21" customWidth="1"/>
    <col min="13052" max="13052" width="9.1640625" style="21" customWidth="1"/>
    <col min="13053" max="13054" width="8.83203125" style="21" customWidth="1"/>
    <col min="13055" max="13055" width="35.5" style="21" bestFit="1" customWidth="1"/>
    <col min="13056" max="13056" width="20" style="21" bestFit="1" customWidth="1"/>
    <col min="13057" max="13057" width="38.83203125" style="21" bestFit="1" customWidth="1"/>
    <col min="13058" max="13058" width="43.5" style="21" bestFit="1" customWidth="1"/>
    <col min="13059" max="13059" width="21.5" style="21" bestFit="1" customWidth="1"/>
    <col min="13060" max="13060" width="14" style="21" customWidth="1"/>
    <col min="13061" max="13062" width="5.6640625" style="21" customWidth="1"/>
    <col min="13063" max="13063" width="7" style="21" customWidth="1"/>
    <col min="13064" max="13307" width="8.83203125" style="21" customWidth="1"/>
    <col min="13308" max="13308" width="9.1640625" style="21" customWidth="1"/>
    <col min="13309" max="13310" width="8.83203125" style="21" customWidth="1"/>
    <col min="13311" max="13311" width="35.5" style="21" bestFit="1" customWidth="1"/>
    <col min="13312" max="13312" width="20" style="21" bestFit="1" customWidth="1"/>
    <col min="13313" max="13313" width="38.83203125" style="21" bestFit="1" customWidth="1"/>
    <col min="13314" max="13314" width="43.5" style="21" bestFit="1" customWidth="1"/>
    <col min="13315" max="13315" width="21.5" style="21" bestFit="1" customWidth="1"/>
    <col min="13316" max="13316" width="14" style="21" customWidth="1"/>
    <col min="13317" max="13318" width="5.6640625" style="21" customWidth="1"/>
    <col min="13319" max="13319" width="7" style="21" customWidth="1"/>
    <col min="13320" max="13563" width="8.83203125" style="21" customWidth="1"/>
    <col min="13564" max="13564" width="9.1640625" style="21" customWidth="1"/>
    <col min="13565" max="13566" width="8.83203125" style="21" customWidth="1"/>
    <col min="13567" max="13567" width="35.5" style="21" bestFit="1" customWidth="1"/>
    <col min="13568" max="13568" width="20" style="21" bestFit="1" customWidth="1"/>
    <col min="13569" max="13569" width="38.83203125" style="21" bestFit="1" customWidth="1"/>
    <col min="13570" max="13570" width="43.5" style="21" bestFit="1" customWidth="1"/>
    <col min="13571" max="13571" width="21.5" style="21" bestFit="1" customWidth="1"/>
    <col min="13572" max="13572" width="14" style="21" customWidth="1"/>
    <col min="13573" max="13574" width="5.6640625" style="21" customWidth="1"/>
    <col min="13575" max="13575" width="7" style="21" customWidth="1"/>
    <col min="13576" max="13819" width="8.83203125" style="21" customWidth="1"/>
    <col min="13820" max="13820" width="9.1640625" style="21" customWidth="1"/>
    <col min="13821" max="13822" width="8.83203125" style="21" customWidth="1"/>
    <col min="13823" max="13823" width="35.5" style="21" bestFit="1" customWidth="1"/>
    <col min="13824" max="13824" width="20" style="21" bestFit="1" customWidth="1"/>
    <col min="13825" max="13825" width="38.83203125" style="21" bestFit="1" customWidth="1"/>
    <col min="13826" max="13826" width="43.5" style="21" bestFit="1" customWidth="1"/>
    <col min="13827" max="13827" width="21.5" style="21" bestFit="1" customWidth="1"/>
    <col min="13828" max="13828" width="14" style="21" customWidth="1"/>
    <col min="13829" max="13830" width="5.6640625" style="21" customWidth="1"/>
    <col min="13831" max="13831" width="7" style="21" customWidth="1"/>
    <col min="13832" max="14075" width="8.83203125" style="21" customWidth="1"/>
    <col min="14076" max="14076" width="9.1640625" style="21" customWidth="1"/>
    <col min="14077" max="14078" width="8.83203125" style="21" customWidth="1"/>
    <col min="14079" max="14079" width="35.5" style="21" bestFit="1" customWidth="1"/>
    <col min="14080" max="14080" width="20" style="21" bestFit="1" customWidth="1"/>
    <col min="14081" max="14081" width="38.83203125" style="21" bestFit="1" customWidth="1"/>
    <col min="14082" max="14082" width="43.5" style="21" bestFit="1" customWidth="1"/>
    <col min="14083" max="14083" width="21.5" style="21" bestFit="1" customWidth="1"/>
    <col min="14084" max="14084" width="14" style="21" customWidth="1"/>
    <col min="14085" max="14086" width="5.6640625" style="21" customWidth="1"/>
    <col min="14087" max="14087" width="7" style="21" customWidth="1"/>
    <col min="14088" max="14331" width="8.83203125" style="21" customWidth="1"/>
    <col min="14332" max="14332" width="9.1640625" style="21" customWidth="1"/>
    <col min="14333" max="14334" width="8.83203125" style="21" customWidth="1"/>
    <col min="14335" max="14335" width="35.5" style="21" bestFit="1" customWidth="1"/>
    <col min="14336" max="14336" width="20" style="21" bestFit="1" customWidth="1"/>
    <col min="14337" max="14337" width="38.83203125" style="21" bestFit="1" customWidth="1"/>
    <col min="14338" max="14338" width="43.5" style="21" bestFit="1" customWidth="1"/>
    <col min="14339" max="14339" width="21.5" style="21" bestFit="1" customWidth="1"/>
    <col min="14340" max="14340" width="14" style="21" customWidth="1"/>
    <col min="14341" max="14342" width="5.6640625" style="21" customWidth="1"/>
    <col min="14343" max="14343" width="7" style="21" customWidth="1"/>
    <col min="14344" max="14587" width="8.83203125" style="21" customWidth="1"/>
    <col min="14588" max="14588" width="9.1640625" style="21" customWidth="1"/>
    <col min="14589" max="14590" width="8.83203125" style="21" customWidth="1"/>
    <col min="14591" max="14591" width="35.5" style="21" bestFit="1" customWidth="1"/>
    <col min="14592" max="14592" width="20" style="21" bestFit="1" customWidth="1"/>
    <col min="14593" max="14593" width="38.83203125" style="21" bestFit="1" customWidth="1"/>
    <col min="14594" max="14594" width="43.5" style="21" bestFit="1" customWidth="1"/>
    <col min="14595" max="14595" width="21.5" style="21" bestFit="1" customWidth="1"/>
    <col min="14596" max="14596" width="14" style="21" customWidth="1"/>
    <col min="14597" max="14598" width="5.6640625" style="21" customWidth="1"/>
    <col min="14599" max="14599" width="7" style="21" customWidth="1"/>
    <col min="14600" max="14843" width="8.83203125" style="21" customWidth="1"/>
    <col min="14844" max="14844" width="9.1640625" style="21" customWidth="1"/>
    <col min="14845" max="14846" width="8.83203125" style="21" customWidth="1"/>
    <col min="14847" max="14847" width="35.5" style="21" bestFit="1" customWidth="1"/>
    <col min="14848" max="14848" width="20" style="21" bestFit="1" customWidth="1"/>
    <col min="14849" max="14849" width="38.83203125" style="21" bestFit="1" customWidth="1"/>
    <col min="14850" max="14850" width="43.5" style="21" bestFit="1" customWidth="1"/>
    <col min="14851" max="14851" width="21.5" style="21" bestFit="1" customWidth="1"/>
    <col min="14852" max="14852" width="14" style="21" customWidth="1"/>
    <col min="14853" max="14854" width="5.6640625" style="21" customWidth="1"/>
    <col min="14855" max="14855" width="7" style="21" customWidth="1"/>
    <col min="14856" max="15099" width="8.83203125" style="21" customWidth="1"/>
    <col min="15100" max="15100" width="9.1640625" style="21" customWidth="1"/>
    <col min="15101" max="15102" width="8.83203125" style="21" customWidth="1"/>
    <col min="15103" max="15103" width="35.5" style="21" bestFit="1" customWidth="1"/>
    <col min="15104" max="15104" width="20" style="21" bestFit="1" customWidth="1"/>
    <col min="15105" max="15105" width="38.83203125" style="21" bestFit="1" customWidth="1"/>
    <col min="15106" max="15106" width="43.5" style="21" bestFit="1" customWidth="1"/>
    <col min="15107" max="15107" width="21.5" style="21" bestFit="1" customWidth="1"/>
    <col min="15108" max="15108" width="14" style="21" customWidth="1"/>
    <col min="15109" max="15110" width="5.6640625" style="21" customWidth="1"/>
    <col min="15111" max="15111" width="7" style="21" customWidth="1"/>
    <col min="15112" max="15355" width="8.83203125" style="21" customWidth="1"/>
    <col min="15356" max="15356" width="9.1640625" style="21" customWidth="1"/>
    <col min="15357" max="15358" width="8.83203125" style="21" customWidth="1"/>
    <col min="15359" max="15359" width="35.5" style="21" bestFit="1" customWidth="1"/>
    <col min="15360" max="15360" width="20" style="21" bestFit="1" customWidth="1"/>
    <col min="15361" max="15361" width="38.83203125" style="21" bestFit="1" customWidth="1"/>
    <col min="15362" max="15362" width="43.5" style="21" bestFit="1" customWidth="1"/>
    <col min="15363" max="15363" width="21.5" style="21" bestFit="1" customWidth="1"/>
    <col min="15364" max="15364" width="14" style="21" customWidth="1"/>
    <col min="15365" max="15366" width="5.6640625" style="21" customWidth="1"/>
    <col min="15367" max="15367" width="7" style="21" customWidth="1"/>
    <col min="15368" max="15611" width="8.83203125" style="21" customWidth="1"/>
    <col min="15612" max="15612" width="9.1640625" style="21" customWidth="1"/>
    <col min="15613" max="15614" width="8.83203125" style="21" customWidth="1"/>
    <col min="15615" max="15615" width="35.5" style="21" bestFit="1" customWidth="1"/>
    <col min="15616" max="15616" width="20" style="21" bestFit="1" customWidth="1"/>
    <col min="15617" max="15617" width="38.83203125" style="21" bestFit="1" customWidth="1"/>
    <col min="15618" max="15618" width="43.5" style="21" bestFit="1" customWidth="1"/>
    <col min="15619" max="15619" width="21.5" style="21" bestFit="1" customWidth="1"/>
    <col min="15620" max="15620" width="14" style="21" customWidth="1"/>
    <col min="15621" max="15622" width="5.6640625" style="21" customWidth="1"/>
    <col min="15623" max="15623" width="7" style="21" customWidth="1"/>
    <col min="15624" max="15867" width="8.83203125" style="21" customWidth="1"/>
    <col min="15868" max="15868" width="9.1640625" style="21" customWidth="1"/>
    <col min="15869" max="15870" width="8.83203125" style="21" customWidth="1"/>
    <col min="15871" max="15871" width="35.5" style="21" bestFit="1" customWidth="1"/>
    <col min="15872" max="15872" width="20" style="21" bestFit="1" customWidth="1"/>
    <col min="15873" max="15873" width="38.83203125" style="21" bestFit="1" customWidth="1"/>
    <col min="15874" max="15874" width="43.5" style="21" bestFit="1" customWidth="1"/>
    <col min="15875" max="15875" width="21.5" style="21" bestFit="1" customWidth="1"/>
    <col min="15876" max="15876" width="14" style="21" customWidth="1"/>
    <col min="15877" max="15878" width="5.6640625" style="21" customWidth="1"/>
    <col min="15879" max="15879" width="7" style="21" customWidth="1"/>
    <col min="15880" max="16123" width="8.83203125" style="21" customWidth="1"/>
    <col min="16124" max="16124" width="9.1640625" style="21" customWidth="1"/>
    <col min="16125" max="16126" width="8.83203125" style="21" customWidth="1"/>
    <col min="16127" max="16127" width="35.5" style="21" bestFit="1" customWidth="1"/>
    <col min="16128" max="16128" width="20" style="21" bestFit="1" customWidth="1"/>
    <col min="16129" max="16129" width="38.83203125" style="21" bestFit="1" customWidth="1"/>
    <col min="16130" max="16130" width="43.5" style="21" bestFit="1" customWidth="1"/>
    <col min="16131" max="16131" width="21.5" style="21" bestFit="1" customWidth="1"/>
    <col min="16132" max="16132" width="14" style="21" customWidth="1"/>
    <col min="16133" max="16134" width="5.6640625" style="21" customWidth="1"/>
    <col min="16135" max="16135" width="7" style="21" customWidth="1"/>
    <col min="16136" max="16384" width="8.83203125" style="21" customWidth="1"/>
  </cols>
  <sheetData>
    <row r="1" spans="1:7" ht="37.5" customHeight="1">
      <c r="A1" s="22" t="s">
        <v>9622</v>
      </c>
      <c r="B1" s="22" t="s">
        <v>9621</v>
      </c>
      <c r="C1" s="22" t="s">
        <v>9620</v>
      </c>
      <c r="D1" s="22" t="s">
        <v>9619</v>
      </c>
      <c r="E1" s="22" t="s">
        <v>9618</v>
      </c>
      <c r="F1" s="22" t="s">
        <v>9617</v>
      </c>
      <c r="G1" s="22" t="s">
        <v>9616</v>
      </c>
    </row>
    <row r="2" spans="1:7" ht="12.75" customHeight="1">
      <c r="A2" s="28">
        <v>10100</v>
      </c>
      <c r="B2" s="23" t="s">
        <v>7139</v>
      </c>
      <c r="C2" s="23" t="s">
        <v>9615</v>
      </c>
      <c r="D2" s="23" t="s">
        <v>7138</v>
      </c>
      <c r="E2" s="23" t="s">
        <v>7140</v>
      </c>
      <c r="F2" s="23" t="s">
        <v>7141</v>
      </c>
      <c r="G2" s="23" t="b">
        <v>1</v>
      </c>
    </row>
    <row r="3" spans="1:7" ht="12.5" customHeight="1">
      <c r="A3" s="27">
        <v>10100</v>
      </c>
      <c r="B3" s="24" t="s">
        <v>7139</v>
      </c>
      <c r="C3" s="24" t="s">
        <v>9615</v>
      </c>
      <c r="D3" s="24" t="s">
        <v>7138</v>
      </c>
      <c r="E3" s="24" t="s">
        <v>7142</v>
      </c>
      <c r="F3" s="24" t="s">
        <v>7141</v>
      </c>
      <c r="G3" s="24" t="b">
        <v>0</v>
      </c>
    </row>
    <row r="4" spans="1:7" ht="12.5" customHeight="1">
      <c r="A4" s="27">
        <v>10140</v>
      </c>
      <c r="B4" s="24" t="s">
        <v>7143</v>
      </c>
      <c r="C4" s="24" t="s">
        <v>9615</v>
      </c>
      <c r="D4" s="24" t="s">
        <v>7138</v>
      </c>
      <c r="E4" s="24" t="s">
        <v>7144</v>
      </c>
      <c r="F4" s="24" t="s">
        <v>1134</v>
      </c>
      <c r="G4" s="24" t="b">
        <v>1</v>
      </c>
    </row>
    <row r="5" spans="1:7" ht="12.5" customHeight="1">
      <c r="A5" s="27">
        <v>10180</v>
      </c>
      <c r="B5" s="24" t="s">
        <v>7145</v>
      </c>
      <c r="C5" s="24" t="s">
        <v>9614</v>
      </c>
      <c r="D5" s="24" t="s">
        <v>7138</v>
      </c>
      <c r="E5" s="24" t="s">
        <v>7146</v>
      </c>
      <c r="F5" s="24" t="s">
        <v>7147</v>
      </c>
      <c r="G5" s="24" t="b">
        <v>0</v>
      </c>
    </row>
    <row r="6" spans="1:7" ht="12.5" customHeight="1">
      <c r="A6" s="27">
        <v>10180</v>
      </c>
      <c r="B6" s="24" t="s">
        <v>7145</v>
      </c>
      <c r="C6" s="24" t="s">
        <v>9614</v>
      </c>
      <c r="D6" s="24" t="s">
        <v>7138</v>
      </c>
      <c r="E6" s="24" t="s">
        <v>7148</v>
      </c>
      <c r="F6" s="24" t="s">
        <v>7147</v>
      </c>
      <c r="G6" s="24" t="b">
        <v>0</v>
      </c>
    </row>
    <row r="7" spans="1:7" ht="12.5" customHeight="1">
      <c r="A7" s="27">
        <v>10180</v>
      </c>
      <c r="B7" s="24" t="s">
        <v>7145</v>
      </c>
      <c r="C7" s="24" t="s">
        <v>9614</v>
      </c>
      <c r="D7" s="24" t="s">
        <v>7138</v>
      </c>
      <c r="E7" s="24" t="s">
        <v>7149</v>
      </c>
      <c r="F7" s="24" t="s">
        <v>7147</v>
      </c>
      <c r="G7" s="24" t="b">
        <v>1</v>
      </c>
    </row>
    <row r="8" spans="1:7" ht="12.5" customHeight="1">
      <c r="A8" s="27">
        <v>10220</v>
      </c>
      <c r="B8" s="24" t="s">
        <v>7150</v>
      </c>
      <c r="C8" s="24" t="s">
        <v>9615</v>
      </c>
      <c r="D8" s="24" t="s">
        <v>7138</v>
      </c>
      <c r="E8" s="24" t="s">
        <v>7151</v>
      </c>
      <c r="F8" s="24" t="s">
        <v>7152</v>
      </c>
      <c r="G8" s="24" t="b">
        <v>1</v>
      </c>
    </row>
    <row r="9" spans="1:7" ht="12.5" customHeight="1">
      <c r="A9" s="27">
        <v>10300</v>
      </c>
      <c r="B9" s="24" t="s">
        <v>7153</v>
      </c>
      <c r="C9" s="24" t="s">
        <v>9615</v>
      </c>
      <c r="D9" s="24" t="s">
        <v>7154</v>
      </c>
      <c r="E9" s="24" t="s">
        <v>7155</v>
      </c>
      <c r="F9" s="24" t="s">
        <v>7156</v>
      </c>
      <c r="G9" s="24" t="b">
        <v>1</v>
      </c>
    </row>
    <row r="10" spans="1:7" ht="12.5" customHeight="1">
      <c r="A10" s="27">
        <v>10380</v>
      </c>
      <c r="B10" s="24" t="s">
        <v>7157</v>
      </c>
      <c r="C10" s="24" t="s">
        <v>9614</v>
      </c>
      <c r="D10" s="24" t="s">
        <v>7138</v>
      </c>
      <c r="E10" s="24" t="s">
        <v>7158</v>
      </c>
      <c r="F10" s="24" t="s">
        <v>7159</v>
      </c>
      <c r="G10" s="24" t="b">
        <v>1</v>
      </c>
    </row>
    <row r="11" spans="1:7" ht="12.5" customHeight="1">
      <c r="A11" s="27">
        <v>10380</v>
      </c>
      <c r="B11" s="24" t="s">
        <v>7157</v>
      </c>
      <c r="C11" s="24" t="s">
        <v>9614</v>
      </c>
      <c r="D11" s="24" t="s">
        <v>7138</v>
      </c>
      <c r="E11" s="24" t="s">
        <v>7160</v>
      </c>
      <c r="F11" s="24" t="s">
        <v>7159</v>
      </c>
      <c r="G11" s="24" t="b">
        <v>1</v>
      </c>
    </row>
    <row r="12" spans="1:7" ht="12.5" customHeight="1">
      <c r="A12" s="27">
        <v>10380</v>
      </c>
      <c r="B12" s="24" t="s">
        <v>7157</v>
      </c>
      <c r="C12" s="24" t="s">
        <v>9614</v>
      </c>
      <c r="D12" s="24" t="s">
        <v>7138</v>
      </c>
      <c r="E12" s="24" t="s">
        <v>7161</v>
      </c>
      <c r="F12" s="24" t="s">
        <v>7159</v>
      </c>
      <c r="G12" s="24" t="b">
        <v>1</v>
      </c>
    </row>
    <row r="13" spans="1:7" ht="12.5" customHeight="1">
      <c r="A13" s="27">
        <v>10380</v>
      </c>
      <c r="B13" s="24" t="s">
        <v>7157</v>
      </c>
      <c r="C13" s="24" t="s">
        <v>9614</v>
      </c>
      <c r="D13" s="24" t="s">
        <v>7138</v>
      </c>
      <c r="E13" s="24" t="s">
        <v>7162</v>
      </c>
      <c r="F13" s="24" t="s">
        <v>7159</v>
      </c>
      <c r="G13" s="24" t="b">
        <v>1</v>
      </c>
    </row>
    <row r="14" spans="1:7" ht="12.5" customHeight="1">
      <c r="A14" s="27">
        <v>10380</v>
      </c>
      <c r="B14" s="24" t="s">
        <v>7157</v>
      </c>
      <c r="C14" s="24" t="s">
        <v>9614</v>
      </c>
      <c r="D14" s="24" t="s">
        <v>7138</v>
      </c>
      <c r="E14" s="24" t="s">
        <v>7163</v>
      </c>
      <c r="F14" s="24" t="s">
        <v>7159</v>
      </c>
      <c r="G14" s="24" t="b">
        <v>1</v>
      </c>
    </row>
    <row r="15" spans="1:7" ht="12.5" customHeight="1">
      <c r="A15" s="27">
        <v>10380</v>
      </c>
      <c r="B15" s="24" t="s">
        <v>7157</v>
      </c>
      <c r="C15" s="24" t="s">
        <v>9614</v>
      </c>
      <c r="D15" s="24" t="s">
        <v>7138</v>
      </c>
      <c r="E15" s="24" t="s">
        <v>7164</v>
      </c>
      <c r="F15" s="24" t="s">
        <v>7159</v>
      </c>
      <c r="G15" s="24" t="b">
        <v>1</v>
      </c>
    </row>
    <row r="16" spans="1:7" ht="12.5" customHeight="1">
      <c r="A16" s="27">
        <v>10380</v>
      </c>
      <c r="B16" s="24" t="s">
        <v>7157</v>
      </c>
      <c r="C16" s="24" t="s">
        <v>9614</v>
      </c>
      <c r="D16" s="24" t="s">
        <v>7138</v>
      </c>
      <c r="E16" s="24" t="s">
        <v>7165</v>
      </c>
      <c r="F16" s="24" t="s">
        <v>7159</v>
      </c>
      <c r="G16" s="24" t="b">
        <v>1</v>
      </c>
    </row>
    <row r="17" spans="1:7" ht="12.5" customHeight="1">
      <c r="A17" s="27">
        <v>10380</v>
      </c>
      <c r="B17" s="24" t="s">
        <v>7157</v>
      </c>
      <c r="C17" s="24" t="s">
        <v>9614</v>
      </c>
      <c r="D17" s="24" t="s">
        <v>7138</v>
      </c>
      <c r="E17" s="24" t="s">
        <v>7166</v>
      </c>
      <c r="F17" s="24" t="s">
        <v>7159</v>
      </c>
      <c r="G17" s="24" t="b">
        <v>1</v>
      </c>
    </row>
    <row r="18" spans="1:7" ht="12.5" customHeight="1">
      <c r="A18" s="27">
        <v>10380</v>
      </c>
      <c r="B18" s="24" t="s">
        <v>7157</v>
      </c>
      <c r="C18" s="24" t="s">
        <v>9614</v>
      </c>
      <c r="D18" s="24" t="s">
        <v>7138</v>
      </c>
      <c r="E18" s="24" t="s">
        <v>7167</v>
      </c>
      <c r="F18" s="24" t="s">
        <v>7159</v>
      </c>
      <c r="G18" s="24" t="b">
        <v>1</v>
      </c>
    </row>
    <row r="19" spans="1:7" ht="12.5" customHeight="1">
      <c r="A19" s="27">
        <v>10420</v>
      </c>
      <c r="B19" s="24" t="s">
        <v>7168</v>
      </c>
      <c r="C19" s="24" t="s">
        <v>9614</v>
      </c>
      <c r="D19" s="24" t="s">
        <v>7169</v>
      </c>
      <c r="E19" s="24" t="s">
        <v>7170</v>
      </c>
      <c r="F19" s="24" t="s">
        <v>7171</v>
      </c>
      <c r="G19" s="24" t="b">
        <v>1</v>
      </c>
    </row>
    <row r="20" spans="1:7" ht="12.5" customHeight="1">
      <c r="A20" s="27">
        <v>10420</v>
      </c>
      <c r="B20" s="24" t="s">
        <v>7168</v>
      </c>
      <c r="C20" s="24" t="s">
        <v>9614</v>
      </c>
      <c r="D20" s="24" t="s">
        <v>7169</v>
      </c>
      <c r="E20" s="24" t="s">
        <v>7172</v>
      </c>
      <c r="F20" s="24" t="s">
        <v>7171</v>
      </c>
      <c r="G20" s="24" t="b">
        <v>1</v>
      </c>
    </row>
    <row r="21" spans="1:7" ht="12.5" customHeight="1">
      <c r="A21" s="27">
        <v>10460</v>
      </c>
      <c r="B21" s="24" t="s">
        <v>7173</v>
      </c>
      <c r="C21" s="24" t="s">
        <v>9615</v>
      </c>
      <c r="D21" s="24" t="s">
        <v>7138</v>
      </c>
      <c r="E21" s="24" t="s">
        <v>7174</v>
      </c>
      <c r="F21" s="24" t="s">
        <v>7175</v>
      </c>
      <c r="G21" s="24" t="b">
        <v>1</v>
      </c>
    </row>
    <row r="22" spans="1:7" ht="12.5" customHeight="1">
      <c r="A22" s="27">
        <v>10500</v>
      </c>
      <c r="B22" s="24" t="s">
        <v>7176</v>
      </c>
      <c r="C22" s="24" t="s">
        <v>9614</v>
      </c>
      <c r="D22" s="24" t="s">
        <v>7138</v>
      </c>
      <c r="E22" s="24" t="s">
        <v>7177</v>
      </c>
      <c r="F22" s="24" t="s">
        <v>7178</v>
      </c>
      <c r="G22" s="24" t="b">
        <v>1</v>
      </c>
    </row>
    <row r="23" spans="1:7" ht="12.5" customHeight="1">
      <c r="A23" s="27">
        <v>10500</v>
      </c>
      <c r="B23" s="24" t="s">
        <v>7176</v>
      </c>
      <c r="C23" s="24" t="s">
        <v>9614</v>
      </c>
      <c r="D23" s="24" t="s">
        <v>7138</v>
      </c>
      <c r="E23" s="24" t="s">
        <v>7179</v>
      </c>
      <c r="F23" s="24" t="s">
        <v>7178</v>
      </c>
      <c r="G23" s="24" t="b">
        <v>1</v>
      </c>
    </row>
    <row r="24" spans="1:7" ht="12.5" customHeight="1">
      <c r="A24" s="27">
        <v>10500</v>
      </c>
      <c r="B24" s="24" t="s">
        <v>7176</v>
      </c>
      <c r="C24" s="24" t="s">
        <v>9614</v>
      </c>
      <c r="D24" s="24" t="s">
        <v>7138</v>
      </c>
      <c r="E24" s="24" t="s">
        <v>7180</v>
      </c>
      <c r="F24" s="24" t="s">
        <v>7178</v>
      </c>
      <c r="G24" s="24" t="b">
        <v>0</v>
      </c>
    </row>
    <row r="25" spans="1:7" ht="12.5" customHeight="1">
      <c r="A25" s="27">
        <v>10500</v>
      </c>
      <c r="B25" s="24" t="s">
        <v>7176</v>
      </c>
      <c r="C25" s="24" t="s">
        <v>9614</v>
      </c>
      <c r="D25" s="24" t="s">
        <v>7138</v>
      </c>
      <c r="E25" s="24" t="s">
        <v>7181</v>
      </c>
      <c r="F25" s="24" t="s">
        <v>7178</v>
      </c>
      <c r="G25" s="24" t="b">
        <v>0</v>
      </c>
    </row>
    <row r="26" spans="1:7" ht="12.5" customHeight="1">
      <c r="A26" s="27">
        <v>10540</v>
      </c>
      <c r="B26" s="24" t="s">
        <v>7182</v>
      </c>
      <c r="C26" s="24" t="s">
        <v>9614</v>
      </c>
      <c r="D26" s="24" t="s">
        <v>7183</v>
      </c>
      <c r="E26" s="24" t="s">
        <v>7184</v>
      </c>
      <c r="F26" s="24" t="s">
        <v>4053</v>
      </c>
      <c r="G26" s="24" t="b">
        <v>1</v>
      </c>
    </row>
    <row r="27" spans="1:7" ht="12.5" customHeight="1">
      <c r="A27" s="27">
        <v>10580</v>
      </c>
      <c r="B27" s="24" t="s">
        <v>7185</v>
      </c>
      <c r="C27" s="24" t="s">
        <v>9614</v>
      </c>
      <c r="D27" s="24" t="s">
        <v>7186</v>
      </c>
      <c r="E27" s="24" t="s">
        <v>7187</v>
      </c>
      <c r="F27" s="24" t="s">
        <v>3775</v>
      </c>
      <c r="G27" s="24" t="b">
        <v>1</v>
      </c>
    </row>
    <row r="28" spans="1:7" ht="12.5" customHeight="1">
      <c r="A28" s="27">
        <v>10580</v>
      </c>
      <c r="B28" s="24" t="s">
        <v>7185</v>
      </c>
      <c r="C28" s="24" t="s">
        <v>9614</v>
      </c>
      <c r="D28" s="24" t="s">
        <v>7186</v>
      </c>
      <c r="E28" s="24" t="s">
        <v>7188</v>
      </c>
      <c r="F28" s="24" t="s">
        <v>3775</v>
      </c>
      <c r="G28" s="24" t="b">
        <v>1</v>
      </c>
    </row>
    <row r="29" spans="1:7" ht="12.5" customHeight="1">
      <c r="A29" s="27">
        <v>10580</v>
      </c>
      <c r="B29" s="24" t="s">
        <v>7185</v>
      </c>
      <c r="C29" s="24" t="s">
        <v>9614</v>
      </c>
      <c r="D29" s="24" t="s">
        <v>7186</v>
      </c>
      <c r="E29" s="24" t="s">
        <v>7189</v>
      </c>
      <c r="F29" s="24" t="s">
        <v>3775</v>
      </c>
      <c r="G29" s="24" t="b">
        <v>1</v>
      </c>
    </row>
    <row r="30" spans="1:7" ht="12.5" customHeight="1">
      <c r="A30" s="27">
        <v>10580</v>
      </c>
      <c r="B30" s="24" t="s">
        <v>7185</v>
      </c>
      <c r="C30" s="24" t="s">
        <v>9614</v>
      </c>
      <c r="D30" s="24" t="s">
        <v>7186</v>
      </c>
      <c r="E30" s="24" t="s">
        <v>7190</v>
      </c>
      <c r="F30" s="24" t="s">
        <v>3775</v>
      </c>
      <c r="G30" s="24" t="b">
        <v>1</v>
      </c>
    </row>
    <row r="31" spans="1:7" ht="12.5" customHeight="1">
      <c r="A31" s="27">
        <v>10580</v>
      </c>
      <c r="B31" s="24" t="s">
        <v>7185</v>
      </c>
      <c r="C31" s="24" t="s">
        <v>9614</v>
      </c>
      <c r="D31" s="24" t="s">
        <v>7186</v>
      </c>
      <c r="E31" s="24" t="s">
        <v>7191</v>
      </c>
      <c r="F31" s="24" t="s">
        <v>3775</v>
      </c>
      <c r="G31" s="24" t="b">
        <v>0</v>
      </c>
    </row>
    <row r="32" spans="1:7" ht="12.5" customHeight="1">
      <c r="A32" s="27">
        <v>10620</v>
      </c>
      <c r="B32" s="24" t="s">
        <v>7192</v>
      </c>
      <c r="C32" s="24" t="s">
        <v>9615</v>
      </c>
      <c r="D32" s="24" t="s">
        <v>7193</v>
      </c>
      <c r="E32" s="24" t="s">
        <v>7194</v>
      </c>
      <c r="F32" s="24" t="s">
        <v>7195</v>
      </c>
      <c r="G32" s="24" t="b">
        <v>1</v>
      </c>
    </row>
    <row r="33" spans="1:7" ht="12.5" customHeight="1">
      <c r="A33" s="27">
        <v>10660</v>
      </c>
      <c r="B33" s="24" t="s">
        <v>7196</v>
      </c>
      <c r="C33" s="24" t="s">
        <v>9615</v>
      </c>
      <c r="D33" s="24" t="s">
        <v>7138</v>
      </c>
      <c r="E33" s="24" t="s">
        <v>7197</v>
      </c>
      <c r="F33" s="24" t="s">
        <v>7198</v>
      </c>
      <c r="G33" s="24" t="b">
        <v>1</v>
      </c>
    </row>
    <row r="34" spans="1:7" ht="12.5" customHeight="1">
      <c r="A34" s="27">
        <v>10700</v>
      </c>
      <c r="B34" s="24" t="s">
        <v>7199</v>
      </c>
      <c r="C34" s="24" t="s">
        <v>9615</v>
      </c>
      <c r="D34" s="24" t="s">
        <v>7138</v>
      </c>
      <c r="E34" s="24" t="s">
        <v>7200</v>
      </c>
      <c r="F34" s="24" t="s">
        <v>7201</v>
      </c>
      <c r="G34" s="24" t="b">
        <v>1</v>
      </c>
    </row>
    <row r="35" spans="1:7" ht="12.5" customHeight="1">
      <c r="A35" s="27">
        <v>10740</v>
      </c>
      <c r="B35" s="24" t="s">
        <v>7202</v>
      </c>
      <c r="C35" s="24" t="s">
        <v>9614</v>
      </c>
      <c r="D35" s="24" t="s">
        <v>7203</v>
      </c>
      <c r="E35" s="24" t="s">
        <v>7204</v>
      </c>
      <c r="F35" s="24" t="s">
        <v>7175</v>
      </c>
      <c r="G35" s="24" t="b">
        <v>1</v>
      </c>
    </row>
    <row r="36" spans="1:7" ht="12.5" customHeight="1">
      <c r="A36" s="27">
        <v>10740</v>
      </c>
      <c r="B36" s="24" t="s">
        <v>7202</v>
      </c>
      <c r="C36" s="24" t="s">
        <v>9614</v>
      </c>
      <c r="D36" s="24" t="s">
        <v>7203</v>
      </c>
      <c r="E36" s="24" t="s">
        <v>7205</v>
      </c>
      <c r="F36" s="24" t="s">
        <v>7175</v>
      </c>
      <c r="G36" s="24" t="b">
        <v>1</v>
      </c>
    </row>
    <row r="37" spans="1:7" ht="12.5" customHeight="1">
      <c r="A37" s="27">
        <v>10740</v>
      </c>
      <c r="B37" s="24" t="s">
        <v>7202</v>
      </c>
      <c r="C37" s="24" t="s">
        <v>9614</v>
      </c>
      <c r="D37" s="24" t="s">
        <v>7203</v>
      </c>
      <c r="E37" s="24" t="s">
        <v>7206</v>
      </c>
      <c r="F37" s="24" t="s">
        <v>7175</v>
      </c>
      <c r="G37" s="24" t="b">
        <v>0</v>
      </c>
    </row>
    <row r="38" spans="1:7" ht="12.5" customHeight="1">
      <c r="A38" s="27">
        <v>10740</v>
      </c>
      <c r="B38" s="24" t="s">
        <v>7202</v>
      </c>
      <c r="C38" s="24" t="s">
        <v>9614</v>
      </c>
      <c r="D38" s="24" t="s">
        <v>7203</v>
      </c>
      <c r="E38" s="24" t="s">
        <v>7207</v>
      </c>
      <c r="F38" s="24" t="s">
        <v>7175</v>
      </c>
      <c r="G38" s="24" t="b">
        <v>0</v>
      </c>
    </row>
    <row r="39" spans="1:7" ht="12.5" customHeight="1">
      <c r="A39" s="27">
        <v>10760</v>
      </c>
      <c r="B39" s="24" t="s">
        <v>7208</v>
      </c>
      <c r="C39" s="24" t="s">
        <v>9615</v>
      </c>
      <c r="D39" s="24" t="s">
        <v>7209</v>
      </c>
      <c r="E39" s="24" t="s">
        <v>7210</v>
      </c>
      <c r="F39" s="24" t="s">
        <v>7201</v>
      </c>
      <c r="G39" s="24" t="b">
        <v>0</v>
      </c>
    </row>
    <row r="40" spans="1:7" ht="12.5" customHeight="1">
      <c r="A40" s="27">
        <v>10760</v>
      </c>
      <c r="B40" s="24" t="s">
        <v>7208</v>
      </c>
      <c r="C40" s="24" t="s">
        <v>9615</v>
      </c>
      <c r="D40" s="24" t="s">
        <v>7209</v>
      </c>
      <c r="E40" s="24" t="s">
        <v>7211</v>
      </c>
      <c r="F40" s="24" t="s">
        <v>7201</v>
      </c>
      <c r="G40" s="24" t="b">
        <v>1</v>
      </c>
    </row>
    <row r="41" spans="1:7" ht="12.5" customHeight="1">
      <c r="A41" s="27">
        <v>10780</v>
      </c>
      <c r="B41" s="24" t="s">
        <v>7212</v>
      </c>
      <c r="C41" s="24" t="s">
        <v>9614</v>
      </c>
      <c r="D41" s="24" t="s">
        <v>7138</v>
      </c>
      <c r="E41" s="24" t="s">
        <v>7213</v>
      </c>
      <c r="F41" s="24" t="s">
        <v>7214</v>
      </c>
      <c r="G41" s="24" t="b">
        <v>0</v>
      </c>
    </row>
    <row r="42" spans="1:7" ht="12.5" customHeight="1">
      <c r="A42" s="27">
        <v>10780</v>
      </c>
      <c r="B42" s="24" t="s">
        <v>7212</v>
      </c>
      <c r="C42" s="24" t="s">
        <v>9614</v>
      </c>
      <c r="D42" s="24" t="s">
        <v>7138</v>
      </c>
      <c r="E42" s="24" t="s">
        <v>7215</v>
      </c>
      <c r="F42" s="24" t="s">
        <v>7214</v>
      </c>
      <c r="G42" s="24" t="b">
        <v>1</v>
      </c>
    </row>
    <row r="43" spans="1:7" ht="12.5" customHeight="1">
      <c r="A43" s="27">
        <v>10820</v>
      </c>
      <c r="B43" s="24" t="s">
        <v>7216</v>
      </c>
      <c r="C43" s="24" t="s">
        <v>9615</v>
      </c>
      <c r="D43" s="24" t="s">
        <v>7138</v>
      </c>
      <c r="E43" s="24" t="s">
        <v>7217</v>
      </c>
      <c r="F43" s="24" t="s">
        <v>7198</v>
      </c>
      <c r="G43" s="24" t="b">
        <v>1</v>
      </c>
    </row>
    <row r="44" spans="1:7" ht="12.5" customHeight="1">
      <c r="A44" s="27">
        <v>10860</v>
      </c>
      <c r="B44" s="24" t="s">
        <v>7218</v>
      </c>
      <c r="C44" s="24" t="s">
        <v>9615</v>
      </c>
      <c r="D44" s="24" t="s">
        <v>7219</v>
      </c>
      <c r="E44" s="24" t="s">
        <v>7220</v>
      </c>
      <c r="F44" s="24" t="s">
        <v>7147</v>
      </c>
      <c r="G44" s="24" t="b">
        <v>0</v>
      </c>
    </row>
    <row r="45" spans="1:7" ht="12.5" customHeight="1">
      <c r="A45" s="27">
        <v>10860</v>
      </c>
      <c r="B45" s="24" t="s">
        <v>7218</v>
      </c>
      <c r="C45" s="24" t="s">
        <v>9615</v>
      </c>
      <c r="D45" s="24" t="s">
        <v>7219</v>
      </c>
      <c r="E45" s="24" t="s">
        <v>7221</v>
      </c>
      <c r="F45" s="24" t="s">
        <v>7147</v>
      </c>
      <c r="G45" s="24" t="b">
        <v>1</v>
      </c>
    </row>
    <row r="46" spans="1:7" ht="12.5" customHeight="1">
      <c r="A46" s="27">
        <v>10900</v>
      </c>
      <c r="B46" s="24" t="s">
        <v>7222</v>
      </c>
      <c r="C46" s="24" t="s">
        <v>9614</v>
      </c>
      <c r="D46" s="24" t="s">
        <v>7138</v>
      </c>
      <c r="E46" s="24" t="s">
        <v>7223</v>
      </c>
      <c r="F46" s="24" t="s">
        <v>7224</v>
      </c>
      <c r="G46" s="24" t="b">
        <v>1</v>
      </c>
    </row>
    <row r="47" spans="1:7" ht="12.5" customHeight="1">
      <c r="A47" s="27">
        <v>10900</v>
      </c>
      <c r="B47" s="24" t="s">
        <v>7222</v>
      </c>
      <c r="C47" s="24" t="s">
        <v>9614</v>
      </c>
      <c r="D47" s="24" t="s">
        <v>7138</v>
      </c>
      <c r="E47" s="24" t="s">
        <v>7225</v>
      </c>
      <c r="F47" s="24" t="s">
        <v>7226</v>
      </c>
      <c r="G47" s="24" t="b">
        <v>1</v>
      </c>
    </row>
    <row r="48" spans="1:7" ht="12.5" customHeight="1">
      <c r="A48" s="27">
        <v>10900</v>
      </c>
      <c r="B48" s="24" t="s">
        <v>7222</v>
      </c>
      <c r="C48" s="24" t="s">
        <v>9614</v>
      </c>
      <c r="D48" s="24" t="s">
        <v>7138</v>
      </c>
      <c r="E48" s="24" t="s">
        <v>7227</v>
      </c>
      <c r="F48" s="24" t="s">
        <v>7226</v>
      </c>
      <c r="G48" s="24" t="b">
        <v>1</v>
      </c>
    </row>
    <row r="49" spans="1:7" ht="12.5" customHeight="1">
      <c r="A49" s="27">
        <v>10900</v>
      </c>
      <c r="B49" s="24" t="s">
        <v>7222</v>
      </c>
      <c r="C49" s="24" t="s">
        <v>9614</v>
      </c>
      <c r="D49" s="24" t="s">
        <v>7138</v>
      </c>
      <c r="E49" s="24" t="s">
        <v>7228</v>
      </c>
      <c r="F49" s="24" t="s">
        <v>7226</v>
      </c>
      <c r="G49" s="24" t="b">
        <v>1</v>
      </c>
    </row>
    <row r="50" spans="1:7" ht="12.5" customHeight="1">
      <c r="A50" s="27">
        <v>10940</v>
      </c>
      <c r="B50" s="24" t="s">
        <v>7229</v>
      </c>
      <c r="C50" s="24" t="s">
        <v>9615</v>
      </c>
      <c r="D50" s="24" t="s">
        <v>7230</v>
      </c>
      <c r="E50" s="24" t="s">
        <v>7231</v>
      </c>
      <c r="F50" s="24" t="s">
        <v>7156</v>
      </c>
      <c r="G50" s="24" t="b">
        <v>1</v>
      </c>
    </row>
    <row r="51" spans="1:7" ht="12.5" customHeight="1">
      <c r="A51" s="27">
        <v>10980</v>
      </c>
      <c r="B51" s="24" t="s">
        <v>7232</v>
      </c>
      <c r="C51" s="24" t="s">
        <v>9615</v>
      </c>
      <c r="D51" s="24" t="s">
        <v>7138</v>
      </c>
      <c r="E51" s="24" t="s">
        <v>7233</v>
      </c>
      <c r="F51" s="24" t="s">
        <v>7156</v>
      </c>
      <c r="G51" s="24" t="b">
        <v>1</v>
      </c>
    </row>
    <row r="52" spans="1:7" ht="12.5" customHeight="1">
      <c r="A52" s="27">
        <v>11020</v>
      </c>
      <c r="B52" s="24" t="s">
        <v>7234</v>
      </c>
      <c r="C52" s="24" t="s">
        <v>9614</v>
      </c>
      <c r="D52" s="24" t="s">
        <v>7235</v>
      </c>
      <c r="E52" s="24" t="s">
        <v>7236</v>
      </c>
      <c r="F52" s="24" t="s">
        <v>7226</v>
      </c>
      <c r="G52" s="24" t="b">
        <v>1</v>
      </c>
    </row>
    <row r="53" spans="1:7" ht="12.5" customHeight="1">
      <c r="A53" s="27">
        <v>11060</v>
      </c>
      <c r="B53" s="24" t="s">
        <v>7237</v>
      </c>
      <c r="C53" s="24" t="s">
        <v>9615</v>
      </c>
      <c r="D53" s="24" t="s">
        <v>7138</v>
      </c>
      <c r="E53" s="24" t="s">
        <v>7238</v>
      </c>
      <c r="F53" s="24" t="s">
        <v>7152</v>
      </c>
      <c r="G53" s="24" t="b">
        <v>1</v>
      </c>
    </row>
    <row r="54" spans="1:7" ht="12.5" customHeight="1">
      <c r="A54" s="27">
        <v>11100</v>
      </c>
      <c r="B54" s="24" t="s">
        <v>7239</v>
      </c>
      <c r="C54" s="24" t="s">
        <v>9614</v>
      </c>
      <c r="D54" s="24" t="s">
        <v>7240</v>
      </c>
      <c r="E54" s="24" t="s">
        <v>7241</v>
      </c>
      <c r="F54" s="24" t="s">
        <v>7147</v>
      </c>
      <c r="G54" s="24" t="b">
        <v>0</v>
      </c>
    </row>
    <row r="55" spans="1:7" ht="12.5" customHeight="1">
      <c r="A55" s="27">
        <v>11100</v>
      </c>
      <c r="B55" s="24" t="s">
        <v>7239</v>
      </c>
      <c r="C55" s="24" t="s">
        <v>9614</v>
      </c>
      <c r="D55" s="24" t="s">
        <v>7240</v>
      </c>
      <c r="E55" s="24" t="s">
        <v>7242</v>
      </c>
      <c r="F55" s="24" t="s">
        <v>7147</v>
      </c>
      <c r="G55" s="24" t="b">
        <v>0</v>
      </c>
    </row>
    <row r="56" spans="1:7" ht="12.5" customHeight="1">
      <c r="A56" s="27">
        <v>11100</v>
      </c>
      <c r="B56" s="24" t="s">
        <v>7239</v>
      </c>
      <c r="C56" s="24" t="s">
        <v>9614</v>
      </c>
      <c r="D56" s="24" t="s">
        <v>7240</v>
      </c>
      <c r="E56" s="24" t="s">
        <v>7243</v>
      </c>
      <c r="F56" s="24" t="s">
        <v>7147</v>
      </c>
      <c r="G56" s="24" t="b">
        <v>0</v>
      </c>
    </row>
    <row r="57" spans="1:7" ht="12.5" customHeight="1">
      <c r="A57" s="27">
        <v>11100</v>
      </c>
      <c r="B57" s="24" t="s">
        <v>7239</v>
      </c>
      <c r="C57" s="24" t="s">
        <v>9614</v>
      </c>
      <c r="D57" s="24" t="s">
        <v>7240</v>
      </c>
      <c r="E57" s="24" t="s">
        <v>7244</v>
      </c>
      <c r="F57" s="24" t="s">
        <v>7147</v>
      </c>
      <c r="G57" s="24" t="b">
        <v>1</v>
      </c>
    </row>
    <row r="58" spans="1:7" ht="12.5" customHeight="1">
      <c r="A58" s="27">
        <v>11100</v>
      </c>
      <c r="B58" s="24" t="s">
        <v>7239</v>
      </c>
      <c r="C58" s="24" t="s">
        <v>9614</v>
      </c>
      <c r="D58" s="24" t="s">
        <v>7240</v>
      </c>
      <c r="E58" s="24" t="s">
        <v>7245</v>
      </c>
      <c r="F58" s="24" t="s">
        <v>7147</v>
      </c>
      <c r="G58" s="24" t="b">
        <v>1</v>
      </c>
    </row>
    <row r="59" spans="1:7" ht="12.5" customHeight="1">
      <c r="A59" s="27">
        <v>11140</v>
      </c>
      <c r="B59" s="24" t="s">
        <v>7246</v>
      </c>
      <c r="C59" s="24" t="s">
        <v>9615</v>
      </c>
      <c r="D59" s="24" t="s">
        <v>7138</v>
      </c>
      <c r="E59" s="24" t="s">
        <v>7247</v>
      </c>
      <c r="F59" s="24" t="s">
        <v>7178</v>
      </c>
      <c r="G59" s="24" t="b">
        <v>0</v>
      </c>
    </row>
    <row r="60" spans="1:7" ht="12.5" customHeight="1">
      <c r="A60" s="27">
        <v>11140</v>
      </c>
      <c r="B60" s="24" t="s">
        <v>7246</v>
      </c>
      <c r="C60" s="24" t="s">
        <v>9615</v>
      </c>
      <c r="D60" s="24" t="s">
        <v>7138</v>
      </c>
      <c r="E60" s="24" t="s">
        <v>7248</v>
      </c>
      <c r="F60" s="24" t="s">
        <v>7178</v>
      </c>
      <c r="G60" s="24" t="b">
        <v>1</v>
      </c>
    </row>
    <row r="61" spans="1:7" ht="12.5" customHeight="1">
      <c r="A61" s="27">
        <v>11180</v>
      </c>
      <c r="B61" s="24" t="s">
        <v>7249</v>
      </c>
      <c r="C61" s="24" t="s">
        <v>9614</v>
      </c>
      <c r="D61" s="24" t="s">
        <v>7250</v>
      </c>
      <c r="E61" s="24" t="s">
        <v>7251</v>
      </c>
      <c r="F61" s="24" t="s">
        <v>7252</v>
      </c>
      <c r="G61" s="24" t="b">
        <v>0</v>
      </c>
    </row>
    <row r="62" spans="1:7" ht="12.5" customHeight="1">
      <c r="A62" s="27">
        <v>11180</v>
      </c>
      <c r="B62" s="24" t="s">
        <v>7249</v>
      </c>
      <c r="C62" s="24" t="s">
        <v>9614</v>
      </c>
      <c r="D62" s="24" t="s">
        <v>7250</v>
      </c>
      <c r="E62" s="24" t="s">
        <v>7253</v>
      </c>
      <c r="F62" s="24" t="s">
        <v>7252</v>
      </c>
      <c r="G62" s="24" t="b">
        <v>1</v>
      </c>
    </row>
    <row r="63" spans="1:7" ht="12.5" customHeight="1">
      <c r="A63" s="27">
        <v>11220</v>
      </c>
      <c r="B63" s="24" t="s">
        <v>7254</v>
      </c>
      <c r="C63" s="24" t="s">
        <v>9615</v>
      </c>
      <c r="D63" s="24" t="s">
        <v>7186</v>
      </c>
      <c r="E63" s="24" t="s">
        <v>7255</v>
      </c>
      <c r="F63" s="24" t="s">
        <v>3775</v>
      </c>
      <c r="G63" s="24" t="b">
        <v>1</v>
      </c>
    </row>
    <row r="64" spans="1:7" ht="12.5" customHeight="1">
      <c r="A64" s="27">
        <v>11260</v>
      </c>
      <c r="B64" s="24" t="s">
        <v>7256</v>
      </c>
      <c r="C64" s="24" t="s">
        <v>9614</v>
      </c>
      <c r="D64" s="24" t="s">
        <v>7138</v>
      </c>
      <c r="E64" s="24" t="s">
        <v>7257</v>
      </c>
      <c r="F64" s="24" t="s">
        <v>7258</v>
      </c>
      <c r="G64" s="24" t="b">
        <v>1</v>
      </c>
    </row>
    <row r="65" spans="1:7" ht="12.5" customHeight="1">
      <c r="A65" s="27">
        <v>11260</v>
      </c>
      <c r="B65" s="24" t="s">
        <v>7256</v>
      </c>
      <c r="C65" s="24" t="s">
        <v>9614</v>
      </c>
      <c r="D65" s="24" t="s">
        <v>7138</v>
      </c>
      <c r="E65" s="24" t="s">
        <v>7259</v>
      </c>
      <c r="F65" s="24" t="s">
        <v>7258</v>
      </c>
      <c r="G65" s="24" t="b">
        <v>0</v>
      </c>
    </row>
    <row r="66" spans="1:7" ht="12.5" customHeight="1">
      <c r="A66" s="27">
        <v>11380</v>
      </c>
      <c r="B66" s="24" t="s">
        <v>7260</v>
      </c>
      <c r="C66" s="24" t="s">
        <v>9615</v>
      </c>
      <c r="D66" s="24" t="s">
        <v>7138</v>
      </c>
      <c r="E66" s="24" t="s">
        <v>7261</v>
      </c>
      <c r="F66" s="24" t="s">
        <v>7147</v>
      </c>
      <c r="G66" s="24" t="b">
        <v>1</v>
      </c>
    </row>
    <row r="67" spans="1:7" ht="12.5" customHeight="1">
      <c r="A67" s="27">
        <v>11420</v>
      </c>
      <c r="B67" s="24" t="s">
        <v>7262</v>
      </c>
      <c r="C67" s="24" t="s">
        <v>9615</v>
      </c>
      <c r="D67" s="24" t="s">
        <v>7263</v>
      </c>
      <c r="E67" s="24" t="s">
        <v>7264</v>
      </c>
      <c r="F67" s="24" t="s">
        <v>4460</v>
      </c>
      <c r="G67" s="24" t="b">
        <v>1</v>
      </c>
    </row>
    <row r="68" spans="1:7" ht="12.5" customHeight="1">
      <c r="A68" s="27">
        <v>11460</v>
      </c>
      <c r="B68" s="24" t="s">
        <v>7265</v>
      </c>
      <c r="C68" s="24" t="s">
        <v>9614</v>
      </c>
      <c r="D68" s="24" t="s">
        <v>7154</v>
      </c>
      <c r="E68" s="24" t="s">
        <v>7266</v>
      </c>
      <c r="F68" s="24" t="s">
        <v>7156</v>
      </c>
      <c r="G68" s="24" t="b">
        <v>1</v>
      </c>
    </row>
    <row r="69" spans="1:7" ht="12.5" customHeight="1">
      <c r="A69" s="27">
        <v>11500</v>
      </c>
      <c r="B69" s="24" t="s">
        <v>7267</v>
      </c>
      <c r="C69" s="24" t="s">
        <v>9614</v>
      </c>
      <c r="D69" s="24" t="s">
        <v>7138</v>
      </c>
      <c r="E69" s="24" t="s">
        <v>7268</v>
      </c>
      <c r="F69" s="24" t="s">
        <v>7201</v>
      </c>
      <c r="G69" s="24" t="b">
        <v>1</v>
      </c>
    </row>
    <row r="70" spans="1:7" ht="12.5" customHeight="1">
      <c r="A70" s="27">
        <v>11540</v>
      </c>
      <c r="B70" s="24" t="s">
        <v>7269</v>
      </c>
      <c r="C70" s="24" t="s">
        <v>9614</v>
      </c>
      <c r="D70" s="24" t="s">
        <v>7270</v>
      </c>
      <c r="E70" s="24" t="s">
        <v>7271</v>
      </c>
      <c r="F70" s="24" t="s">
        <v>7272</v>
      </c>
      <c r="G70" s="24" t="b">
        <v>1</v>
      </c>
    </row>
    <row r="71" spans="1:7" ht="12.5" customHeight="1">
      <c r="A71" s="27">
        <v>11540</v>
      </c>
      <c r="B71" s="24" t="s">
        <v>7269</v>
      </c>
      <c r="C71" s="24" t="s">
        <v>9614</v>
      </c>
      <c r="D71" s="24" t="s">
        <v>7270</v>
      </c>
      <c r="E71" s="24" t="s">
        <v>7273</v>
      </c>
      <c r="F71" s="24" t="s">
        <v>7272</v>
      </c>
      <c r="G71" s="24" t="b">
        <v>1</v>
      </c>
    </row>
    <row r="72" spans="1:7" ht="12.5" customHeight="1">
      <c r="A72" s="27">
        <v>11580</v>
      </c>
      <c r="B72" s="24" t="s">
        <v>7274</v>
      </c>
      <c r="C72" s="24" t="s">
        <v>9615</v>
      </c>
      <c r="D72" s="24" t="s">
        <v>7275</v>
      </c>
      <c r="E72" s="24" t="s">
        <v>7276</v>
      </c>
      <c r="F72" s="24" t="s">
        <v>7277</v>
      </c>
      <c r="G72" s="24" t="b">
        <v>1</v>
      </c>
    </row>
    <row r="73" spans="1:7" ht="12.5" customHeight="1">
      <c r="A73" s="27">
        <v>11620</v>
      </c>
      <c r="B73" s="24" t="s">
        <v>7278</v>
      </c>
      <c r="C73" s="24" t="s">
        <v>9615</v>
      </c>
      <c r="D73" s="24" t="s">
        <v>7138</v>
      </c>
      <c r="E73" s="24" t="s">
        <v>7279</v>
      </c>
      <c r="F73" s="24" t="s">
        <v>7152</v>
      </c>
      <c r="G73" s="24" t="b">
        <v>1</v>
      </c>
    </row>
    <row r="74" spans="1:7" ht="12.5" customHeight="1">
      <c r="A74" s="27">
        <v>11620</v>
      </c>
      <c r="B74" s="24" t="s">
        <v>7278</v>
      </c>
      <c r="C74" s="24" t="s">
        <v>9615</v>
      </c>
      <c r="D74" s="24" t="s">
        <v>7138</v>
      </c>
      <c r="E74" s="24" t="s">
        <v>7280</v>
      </c>
      <c r="F74" s="24" t="s">
        <v>7152</v>
      </c>
      <c r="G74" s="24" t="b">
        <v>0</v>
      </c>
    </row>
    <row r="75" spans="1:7" ht="12.5" customHeight="1">
      <c r="A75" s="27">
        <v>11640</v>
      </c>
      <c r="B75" s="24" t="s">
        <v>7281</v>
      </c>
      <c r="C75" s="24" t="s">
        <v>9614</v>
      </c>
      <c r="D75" s="24" t="s">
        <v>7282</v>
      </c>
      <c r="E75" s="24" t="s">
        <v>7283</v>
      </c>
      <c r="F75" s="24" t="s">
        <v>7159</v>
      </c>
      <c r="G75" s="24" t="b">
        <v>1</v>
      </c>
    </row>
    <row r="76" spans="1:7" ht="12.5" customHeight="1">
      <c r="A76" s="27">
        <v>11640</v>
      </c>
      <c r="B76" s="24" t="s">
        <v>7281</v>
      </c>
      <c r="C76" s="24" t="s">
        <v>9614</v>
      </c>
      <c r="D76" s="24" t="s">
        <v>7282</v>
      </c>
      <c r="E76" s="24" t="s">
        <v>7284</v>
      </c>
      <c r="F76" s="24" t="s">
        <v>7159</v>
      </c>
      <c r="G76" s="24" t="b">
        <v>1</v>
      </c>
    </row>
    <row r="77" spans="1:7" ht="12.5" customHeight="1">
      <c r="A77" s="27">
        <v>11640</v>
      </c>
      <c r="B77" s="24" t="s">
        <v>7281</v>
      </c>
      <c r="C77" s="24" t="s">
        <v>9614</v>
      </c>
      <c r="D77" s="24" t="s">
        <v>7282</v>
      </c>
      <c r="E77" s="24" t="s">
        <v>7285</v>
      </c>
      <c r="F77" s="24" t="s">
        <v>7159</v>
      </c>
      <c r="G77" s="24" t="b">
        <v>1</v>
      </c>
    </row>
    <row r="78" spans="1:7" ht="12.5" customHeight="1">
      <c r="A78" s="27">
        <v>11640</v>
      </c>
      <c r="B78" s="24" t="s">
        <v>7281</v>
      </c>
      <c r="C78" s="24" t="s">
        <v>9614</v>
      </c>
      <c r="D78" s="24" t="s">
        <v>7282</v>
      </c>
      <c r="E78" s="24" t="s">
        <v>7286</v>
      </c>
      <c r="F78" s="24" t="s">
        <v>7159</v>
      </c>
      <c r="G78" s="24" t="b">
        <v>1</v>
      </c>
    </row>
    <row r="79" spans="1:7" ht="12.5" customHeight="1">
      <c r="A79" s="27">
        <v>11660</v>
      </c>
      <c r="B79" s="24" t="s">
        <v>7287</v>
      </c>
      <c r="C79" s="24" t="s">
        <v>9615</v>
      </c>
      <c r="D79" s="24" t="s">
        <v>7138</v>
      </c>
      <c r="E79" s="24" t="s">
        <v>7288</v>
      </c>
      <c r="F79" s="24" t="s">
        <v>7289</v>
      </c>
      <c r="G79" s="24" t="b">
        <v>1</v>
      </c>
    </row>
    <row r="80" spans="1:7" ht="12.5" customHeight="1">
      <c r="A80" s="27">
        <v>11700</v>
      </c>
      <c r="B80" s="24" t="s">
        <v>7290</v>
      </c>
      <c r="C80" s="24" t="s">
        <v>9614</v>
      </c>
      <c r="D80" s="24" t="s">
        <v>7291</v>
      </c>
      <c r="E80" s="24" t="s">
        <v>7292</v>
      </c>
      <c r="F80" s="24" t="s">
        <v>7195</v>
      </c>
      <c r="G80" s="24" t="b">
        <v>1</v>
      </c>
    </row>
    <row r="81" spans="1:7" ht="12.5" customHeight="1">
      <c r="A81" s="27">
        <v>11700</v>
      </c>
      <c r="B81" s="24" t="s">
        <v>7290</v>
      </c>
      <c r="C81" s="24" t="s">
        <v>9614</v>
      </c>
      <c r="D81" s="24" t="s">
        <v>7291</v>
      </c>
      <c r="E81" s="24" t="s">
        <v>7293</v>
      </c>
      <c r="F81" s="24" t="s">
        <v>7195</v>
      </c>
      <c r="G81" s="24" t="b">
        <v>1</v>
      </c>
    </row>
    <row r="82" spans="1:7" ht="12.5" customHeight="1">
      <c r="A82" s="27">
        <v>11700</v>
      </c>
      <c r="B82" s="24" t="s">
        <v>7290</v>
      </c>
      <c r="C82" s="24" t="s">
        <v>9614</v>
      </c>
      <c r="D82" s="24" t="s">
        <v>7291</v>
      </c>
      <c r="E82" s="24" t="s">
        <v>7294</v>
      </c>
      <c r="F82" s="24" t="s">
        <v>7195</v>
      </c>
      <c r="G82" s="24" t="b">
        <v>1</v>
      </c>
    </row>
    <row r="83" spans="1:7" ht="12.5" customHeight="1">
      <c r="A83" s="27">
        <v>11700</v>
      </c>
      <c r="B83" s="24" t="s">
        <v>7290</v>
      </c>
      <c r="C83" s="24" t="s">
        <v>9614</v>
      </c>
      <c r="D83" s="24" t="s">
        <v>7291</v>
      </c>
      <c r="E83" s="24" t="s">
        <v>7295</v>
      </c>
      <c r="F83" s="24" t="s">
        <v>7195</v>
      </c>
      <c r="G83" s="24" t="b">
        <v>0</v>
      </c>
    </row>
    <row r="84" spans="1:7" ht="12.5" customHeight="1">
      <c r="A84" s="27">
        <v>11740</v>
      </c>
      <c r="B84" s="24" t="s">
        <v>7296</v>
      </c>
      <c r="C84" s="24" t="s">
        <v>9615</v>
      </c>
      <c r="D84" s="24" t="s">
        <v>7297</v>
      </c>
      <c r="E84" s="24" t="s">
        <v>7298</v>
      </c>
      <c r="F84" s="24" t="s">
        <v>7171</v>
      </c>
      <c r="G84" s="24" t="b">
        <v>1</v>
      </c>
    </row>
    <row r="85" spans="1:7" ht="12.5" customHeight="1">
      <c r="A85" s="27">
        <v>11780</v>
      </c>
      <c r="B85" s="24" t="s">
        <v>7299</v>
      </c>
      <c r="C85" s="24" t="s">
        <v>9615</v>
      </c>
      <c r="D85" s="24" t="s">
        <v>7169</v>
      </c>
      <c r="E85" s="24" t="s">
        <v>7300</v>
      </c>
      <c r="F85" s="24" t="s">
        <v>7171</v>
      </c>
      <c r="G85" s="24" t="b">
        <v>1</v>
      </c>
    </row>
    <row r="86" spans="1:7" ht="12.5" customHeight="1">
      <c r="A86" s="27">
        <v>11820</v>
      </c>
      <c r="B86" s="24" t="s">
        <v>7301</v>
      </c>
      <c r="C86" s="24" t="s">
        <v>9615</v>
      </c>
      <c r="D86" s="24" t="s">
        <v>7138</v>
      </c>
      <c r="E86" s="24" t="s">
        <v>7302</v>
      </c>
      <c r="F86" s="24" t="s">
        <v>4053</v>
      </c>
      <c r="G86" s="24" t="b">
        <v>1</v>
      </c>
    </row>
    <row r="87" spans="1:7" ht="12.5" customHeight="1">
      <c r="A87" s="27">
        <v>11860</v>
      </c>
      <c r="B87" s="24" t="s">
        <v>7303</v>
      </c>
      <c r="C87" s="24" t="s">
        <v>9615</v>
      </c>
      <c r="D87" s="24" t="s">
        <v>7304</v>
      </c>
      <c r="E87" s="24" t="s">
        <v>7305</v>
      </c>
      <c r="F87" s="24" t="s">
        <v>7306</v>
      </c>
      <c r="G87" s="24" t="b">
        <v>1</v>
      </c>
    </row>
    <row r="88" spans="1:7" ht="12.5" customHeight="1">
      <c r="A88" s="27">
        <v>11900</v>
      </c>
      <c r="B88" s="24" t="s">
        <v>7307</v>
      </c>
      <c r="C88" s="24" t="s">
        <v>9615</v>
      </c>
      <c r="D88" s="24" t="s">
        <v>7138</v>
      </c>
      <c r="E88" s="24" t="s">
        <v>7308</v>
      </c>
      <c r="F88" s="24" t="s">
        <v>7171</v>
      </c>
      <c r="G88" s="24" t="b">
        <v>1</v>
      </c>
    </row>
    <row r="89" spans="1:7" ht="12.5" customHeight="1">
      <c r="A89" s="27">
        <v>11940</v>
      </c>
      <c r="B89" s="24" t="s">
        <v>7309</v>
      </c>
      <c r="C89" s="24" t="s">
        <v>9615</v>
      </c>
      <c r="D89" s="24" t="s">
        <v>7310</v>
      </c>
      <c r="E89" s="24" t="s">
        <v>7311</v>
      </c>
      <c r="F89" s="24" t="s">
        <v>7312</v>
      </c>
      <c r="G89" s="24" t="b">
        <v>1</v>
      </c>
    </row>
    <row r="90" spans="1:7" ht="12.5" customHeight="1">
      <c r="A90" s="27">
        <v>11980</v>
      </c>
      <c r="B90" s="24" t="s">
        <v>7313</v>
      </c>
      <c r="C90" s="24" t="s">
        <v>9615</v>
      </c>
      <c r="D90" s="24" t="s">
        <v>7314</v>
      </c>
      <c r="E90" s="24" t="s">
        <v>7294</v>
      </c>
      <c r="F90" s="24" t="s">
        <v>7147</v>
      </c>
      <c r="G90" s="24" t="b">
        <v>1</v>
      </c>
    </row>
    <row r="91" spans="1:7" ht="12.5" customHeight="1">
      <c r="A91" s="27">
        <v>12020</v>
      </c>
      <c r="B91" s="24" t="s">
        <v>7315</v>
      </c>
      <c r="C91" s="24" t="s">
        <v>9614</v>
      </c>
      <c r="D91" s="24" t="s">
        <v>7316</v>
      </c>
      <c r="E91" s="24" t="s">
        <v>7317</v>
      </c>
      <c r="F91" s="24" t="s">
        <v>7178</v>
      </c>
      <c r="G91" s="24" t="b">
        <v>1</v>
      </c>
    </row>
    <row r="92" spans="1:7" ht="12.5" customHeight="1">
      <c r="A92" s="27">
        <v>12020</v>
      </c>
      <c r="B92" s="24" t="s">
        <v>7315</v>
      </c>
      <c r="C92" s="24" t="s">
        <v>9614</v>
      </c>
      <c r="D92" s="24" t="s">
        <v>7316</v>
      </c>
      <c r="E92" s="24" t="s">
        <v>7295</v>
      </c>
      <c r="F92" s="24" t="s">
        <v>7178</v>
      </c>
      <c r="G92" s="24" t="b">
        <v>0</v>
      </c>
    </row>
    <row r="93" spans="1:7" ht="12.5" customHeight="1">
      <c r="A93" s="27">
        <v>12020</v>
      </c>
      <c r="B93" s="24" t="s">
        <v>7315</v>
      </c>
      <c r="C93" s="24" t="s">
        <v>9614</v>
      </c>
      <c r="D93" s="24" t="s">
        <v>7316</v>
      </c>
      <c r="E93" s="24" t="s">
        <v>7318</v>
      </c>
      <c r="F93" s="24" t="s">
        <v>7178</v>
      </c>
      <c r="G93" s="24" t="b">
        <v>1</v>
      </c>
    </row>
    <row r="94" spans="1:7" ht="12.5" customHeight="1">
      <c r="A94" s="27">
        <v>12020</v>
      </c>
      <c r="B94" s="24" t="s">
        <v>7315</v>
      </c>
      <c r="C94" s="24" t="s">
        <v>9614</v>
      </c>
      <c r="D94" s="24" t="s">
        <v>7316</v>
      </c>
      <c r="E94" s="24" t="s">
        <v>7319</v>
      </c>
      <c r="F94" s="24" t="s">
        <v>7178</v>
      </c>
      <c r="G94" s="24" t="b">
        <v>0</v>
      </c>
    </row>
    <row r="95" spans="1:7" ht="12.5" customHeight="1">
      <c r="A95" s="27">
        <v>12060</v>
      </c>
      <c r="B95" s="24" t="s">
        <v>7320</v>
      </c>
      <c r="C95" s="24" t="s">
        <v>9614</v>
      </c>
      <c r="D95" s="24" t="s">
        <v>7316</v>
      </c>
      <c r="E95" s="24" t="s">
        <v>7321</v>
      </c>
      <c r="F95" s="24" t="s">
        <v>7178</v>
      </c>
      <c r="G95" s="24" t="b">
        <v>0</v>
      </c>
    </row>
    <row r="96" spans="1:7" ht="12.5" customHeight="1">
      <c r="A96" s="27">
        <v>12060</v>
      </c>
      <c r="B96" s="24" t="s">
        <v>7320</v>
      </c>
      <c r="C96" s="24" t="s">
        <v>9614</v>
      </c>
      <c r="D96" s="24" t="s">
        <v>7316</v>
      </c>
      <c r="E96" s="24" t="s">
        <v>7322</v>
      </c>
      <c r="F96" s="24" t="s">
        <v>7178</v>
      </c>
      <c r="G96" s="24" t="b">
        <v>0</v>
      </c>
    </row>
    <row r="97" spans="1:7" ht="12.5" customHeight="1">
      <c r="A97" s="27">
        <v>12060</v>
      </c>
      <c r="B97" s="24" t="s">
        <v>7320</v>
      </c>
      <c r="C97" s="24" t="s">
        <v>9614</v>
      </c>
      <c r="D97" s="24" t="s">
        <v>7316</v>
      </c>
      <c r="E97" s="24" t="s">
        <v>7323</v>
      </c>
      <c r="F97" s="24" t="s">
        <v>7178</v>
      </c>
      <c r="G97" s="24" t="b">
        <v>0</v>
      </c>
    </row>
    <row r="98" spans="1:7" ht="12.5" customHeight="1">
      <c r="A98" s="27">
        <v>12060</v>
      </c>
      <c r="B98" s="24" t="s">
        <v>7320</v>
      </c>
      <c r="C98" s="24" t="s">
        <v>9614</v>
      </c>
      <c r="D98" s="24" t="s">
        <v>7316</v>
      </c>
      <c r="E98" s="24" t="s">
        <v>7324</v>
      </c>
      <c r="F98" s="24" t="s">
        <v>7178</v>
      </c>
      <c r="G98" s="24" t="b">
        <v>0</v>
      </c>
    </row>
    <row r="99" spans="1:7" ht="12.5" customHeight="1">
      <c r="A99" s="27">
        <v>12060</v>
      </c>
      <c r="B99" s="24" t="s">
        <v>7320</v>
      </c>
      <c r="C99" s="24" t="s">
        <v>9614</v>
      </c>
      <c r="D99" s="24" t="s">
        <v>7316</v>
      </c>
      <c r="E99" s="24" t="s">
        <v>7325</v>
      </c>
      <c r="F99" s="24" t="s">
        <v>7178</v>
      </c>
      <c r="G99" s="24" t="b">
        <v>1</v>
      </c>
    </row>
    <row r="100" spans="1:7" ht="12.5" customHeight="1">
      <c r="A100" s="27">
        <v>12060</v>
      </c>
      <c r="B100" s="24" t="s">
        <v>7320</v>
      </c>
      <c r="C100" s="24" t="s">
        <v>9614</v>
      </c>
      <c r="D100" s="24" t="s">
        <v>7316</v>
      </c>
      <c r="E100" s="24" t="s">
        <v>7326</v>
      </c>
      <c r="F100" s="24" t="s">
        <v>7178</v>
      </c>
      <c r="G100" s="24" t="b">
        <v>1</v>
      </c>
    </row>
    <row r="101" spans="1:7" ht="12.5" customHeight="1">
      <c r="A101" s="27">
        <v>12060</v>
      </c>
      <c r="B101" s="24" t="s">
        <v>7320</v>
      </c>
      <c r="C101" s="24" t="s">
        <v>9614</v>
      </c>
      <c r="D101" s="24" t="s">
        <v>7316</v>
      </c>
      <c r="E101" s="24" t="s">
        <v>7327</v>
      </c>
      <c r="F101" s="24" t="s">
        <v>7178</v>
      </c>
      <c r="G101" s="24" t="b">
        <v>1</v>
      </c>
    </row>
    <row r="102" spans="1:7" ht="12.5" customHeight="1">
      <c r="A102" s="27">
        <v>12060</v>
      </c>
      <c r="B102" s="24" t="s">
        <v>7320</v>
      </c>
      <c r="C102" s="24" t="s">
        <v>9614</v>
      </c>
      <c r="D102" s="24" t="s">
        <v>7316</v>
      </c>
      <c r="E102" s="24" t="s">
        <v>7328</v>
      </c>
      <c r="F102" s="24" t="s">
        <v>7178</v>
      </c>
      <c r="G102" s="24" t="b">
        <v>1</v>
      </c>
    </row>
    <row r="103" spans="1:7" ht="12.5" customHeight="1">
      <c r="A103" s="27">
        <v>12060</v>
      </c>
      <c r="B103" s="24" t="s">
        <v>7320</v>
      </c>
      <c r="C103" s="24" t="s">
        <v>9614</v>
      </c>
      <c r="D103" s="24" t="s">
        <v>7316</v>
      </c>
      <c r="E103" s="24" t="s">
        <v>7329</v>
      </c>
      <c r="F103" s="24" t="s">
        <v>7178</v>
      </c>
      <c r="G103" s="24" t="b">
        <v>0</v>
      </c>
    </row>
    <row r="104" spans="1:7" ht="12.5" customHeight="1">
      <c r="A104" s="27">
        <v>12060</v>
      </c>
      <c r="B104" s="24" t="s">
        <v>7320</v>
      </c>
      <c r="C104" s="24" t="s">
        <v>9614</v>
      </c>
      <c r="D104" s="24" t="s">
        <v>7316</v>
      </c>
      <c r="E104" s="24" t="s">
        <v>7330</v>
      </c>
      <c r="F104" s="24" t="s">
        <v>7178</v>
      </c>
      <c r="G104" s="24" t="b">
        <v>1</v>
      </c>
    </row>
    <row r="105" spans="1:7" ht="12.5" customHeight="1">
      <c r="A105" s="27">
        <v>12060</v>
      </c>
      <c r="B105" s="24" t="s">
        <v>7320</v>
      </c>
      <c r="C105" s="24" t="s">
        <v>9614</v>
      </c>
      <c r="D105" s="24" t="s">
        <v>7316</v>
      </c>
      <c r="E105" s="24" t="s">
        <v>7217</v>
      </c>
      <c r="F105" s="24" t="s">
        <v>7178</v>
      </c>
      <c r="G105" s="24" t="b">
        <v>1</v>
      </c>
    </row>
    <row r="106" spans="1:7" ht="12.5" customHeight="1">
      <c r="A106" s="27">
        <v>12060</v>
      </c>
      <c r="B106" s="24" t="s">
        <v>7320</v>
      </c>
      <c r="C106" s="24" t="s">
        <v>9614</v>
      </c>
      <c r="D106" s="24" t="s">
        <v>7316</v>
      </c>
      <c r="E106" s="24" t="s">
        <v>7331</v>
      </c>
      <c r="F106" s="24" t="s">
        <v>7178</v>
      </c>
      <c r="G106" s="24" t="b">
        <v>1</v>
      </c>
    </row>
    <row r="107" spans="1:7" ht="12.5" customHeight="1">
      <c r="A107" s="27">
        <v>12060</v>
      </c>
      <c r="B107" s="24" t="s">
        <v>7320</v>
      </c>
      <c r="C107" s="24" t="s">
        <v>9614</v>
      </c>
      <c r="D107" s="24" t="s">
        <v>7316</v>
      </c>
      <c r="E107" s="24" t="s">
        <v>7332</v>
      </c>
      <c r="F107" s="24" t="s">
        <v>7178</v>
      </c>
      <c r="G107" s="24" t="b">
        <v>1</v>
      </c>
    </row>
    <row r="108" spans="1:7" ht="12.5" customHeight="1">
      <c r="A108" s="27">
        <v>12060</v>
      </c>
      <c r="B108" s="24" t="s">
        <v>7320</v>
      </c>
      <c r="C108" s="24" t="s">
        <v>9614</v>
      </c>
      <c r="D108" s="24" t="s">
        <v>7316</v>
      </c>
      <c r="E108" s="24" t="s">
        <v>7333</v>
      </c>
      <c r="F108" s="24" t="s">
        <v>7178</v>
      </c>
      <c r="G108" s="24" t="b">
        <v>1</v>
      </c>
    </row>
    <row r="109" spans="1:7" ht="12.5" customHeight="1">
      <c r="A109" s="27">
        <v>12060</v>
      </c>
      <c r="B109" s="24" t="s">
        <v>7320</v>
      </c>
      <c r="C109" s="24" t="s">
        <v>9614</v>
      </c>
      <c r="D109" s="24" t="s">
        <v>7316</v>
      </c>
      <c r="E109" s="24" t="s">
        <v>7334</v>
      </c>
      <c r="F109" s="24" t="s">
        <v>7178</v>
      </c>
      <c r="G109" s="24" t="b">
        <v>1</v>
      </c>
    </row>
    <row r="110" spans="1:7" ht="12.5" customHeight="1">
      <c r="A110" s="27">
        <v>12060</v>
      </c>
      <c r="B110" s="24" t="s">
        <v>7320</v>
      </c>
      <c r="C110" s="24" t="s">
        <v>9614</v>
      </c>
      <c r="D110" s="24" t="s">
        <v>7316</v>
      </c>
      <c r="E110" s="24" t="s">
        <v>7335</v>
      </c>
      <c r="F110" s="24" t="s">
        <v>7178</v>
      </c>
      <c r="G110" s="24" t="b">
        <v>0</v>
      </c>
    </row>
    <row r="111" spans="1:7" ht="12.5" customHeight="1">
      <c r="A111" s="27">
        <v>12060</v>
      </c>
      <c r="B111" s="24" t="s">
        <v>7320</v>
      </c>
      <c r="C111" s="24" t="s">
        <v>9614</v>
      </c>
      <c r="D111" s="24" t="s">
        <v>7316</v>
      </c>
      <c r="E111" s="24" t="s">
        <v>7336</v>
      </c>
      <c r="F111" s="24" t="s">
        <v>7178</v>
      </c>
      <c r="G111" s="24" t="b">
        <v>0</v>
      </c>
    </row>
    <row r="112" spans="1:7" ht="12.5" customHeight="1">
      <c r="A112" s="27">
        <v>12060</v>
      </c>
      <c r="B112" s="24" t="s">
        <v>7320</v>
      </c>
      <c r="C112" s="24" t="s">
        <v>9614</v>
      </c>
      <c r="D112" s="24" t="s">
        <v>7316</v>
      </c>
      <c r="E112" s="24" t="s">
        <v>7337</v>
      </c>
      <c r="F112" s="24" t="s">
        <v>7178</v>
      </c>
      <c r="G112" s="24" t="b">
        <v>1</v>
      </c>
    </row>
    <row r="113" spans="1:7" ht="12.5" customHeight="1">
      <c r="A113" s="27">
        <v>12060</v>
      </c>
      <c r="B113" s="24" t="s">
        <v>7320</v>
      </c>
      <c r="C113" s="24" t="s">
        <v>9614</v>
      </c>
      <c r="D113" s="24" t="s">
        <v>7316</v>
      </c>
      <c r="E113" s="24" t="s">
        <v>7338</v>
      </c>
      <c r="F113" s="24" t="s">
        <v>7178</v>
      </c>
      <c r="G113" s="24" t="b">
        <v>0</v>
      </c>
    </row>
    <row r="114" spans="1:7" ht="12.5" customHeight="1">
      <c r="A114" s="27">
        <v>12060</v>
      </c>
      <c r="B114" s="24" t="s">
        <v>7320</v>
      </c>
      <c r="C114" s="24" t="s">
        <v>9614</v>
      </c>
      <c r="D114" s="24" t="s">
        <v>7316</v>
      </c>
      <c r="E114" s="24" t="s">
        <v>7339</v>
      </c>
      <c r="F114" s="24" t="s">
        <v>7178</v>
      </c>
      <c r="G114" s="24" t="b">
        <v>0</v>
      </c>
    </row>
    <row r="115" spans="1:7" ht="12.5" customHeight="1">
      <c r="A115" s="27">
        <v>12060</v>
      </c>
      <c r="B115" s="24" t="s">
        <v>7320</v>
      </c>
      <c r="C115" s="24" t="s">
        <v>9614</v>
      </c>
      <c r="D115" s="24" t="s">
        <v>7316</v>
      </c>
      <c r="E115" s="24" t="s">
        <v>7340</v>
      </c>
      <c r="F115" s="24" t="s">
        <v>7178</v>
      </c>
      <c r="G115" s="24" t="b">
        <v>0</v>
      </c>
    </row>
    <row r="116" spans="1:7" ht="12.5" customHeight="1">
      <c r="A116" s="27">
        <v>12060</v>
      </c>
      <c r="B116" s="24" t="s">
        <v>7320</v>
      </c>
      <c r="C116" s="24" t="s">
        <v>9614</v>
      </c>
      <c r="D116" s="24" t="s">
        <v>7316</v>
      </c>
      <c r="E116" s="24" t="s">
        <v>7341</v>
      </c>
      <c r="F116" s="24" t="s">
        <v>7178</v>
      </c>
      <c r="G116" s="24" t="b">
        <v>0</v>
      </c>
    </row>
    <row r="117" spans="1:7" ht="12.5" customHeight="1">
      <c r="A117" s="27">
        <v>12060</v>
      </c>
      <c r="B117" s="24" t="s">
        <v>7320</v>
      </c>
      <c r="C117" s="24" t="s">
        <v>9614</v>
      </c>
      <c r="D117" s="24" t="s">
        <v>7316</v>
      </c>
      <c r="E117" s="24" t="s">
        <v>7342</v>
      </c>
      <c r="F117" s="24" t="s">
        <v>7178</v>
      </c>
      <c r="G117" s="24" t="b">
        <v>1</v>
      </c>
    </row>
    <row r="118" spans="1:7" ht="12.5" customHeight="1">
      <c r="A118" s="27">
        <v>12060</v>
      </c>
      <c r="B118" s="24" t="s">
        <v>7320</v>
      </c>
      <c r="C118" s="24" t="s">
        <v>9614</v>
      </c>
      <c r="D118" s="24" t="s">
        <v>7316</v>
      </c>
      <c r="E118" s="24" t="s">
        <v>7343</v>
      </c>
      <c r="F118" s="24" t="s">
        <v>7178</v>
      </c>
      <c r="G118" s="24" t="b">
        <v>1</v>
      </c>
    </row>
    <row r="119" spans="1:7" ht="12.5" customHeight="1">
      <c r="A119" s="27">
        <v>12060</v>
      </c>
      <c r="B119" s="24" t="s">
        <v>7320</v>
      </c>
      <c r="C119" s="24" t="s">
        <v>9614</v>
      </c>
      <c r="D119" s="24" t="s">
        <v>7316</v>
      </c>
      <c r="E119" s="24" t="s">
        <v>7344</v>
      </c>
      <c r="F119" s="24" t="s">
        <v>7178</v>
      </c>
      <c r="G119" s="24" t="b">
        <v>0</v>
      </c>
    </row>
    <row r="120" spans="1:7" ht="12.5" customHeight="1">
      <c r="A120" s="27">
        <v>12060</v>
      </c>
      <c r="B120" s="24" t="s">
        <v>7320</v>
      </c>
      <c r="C120" s="24" t="s">
        <v>9614</v>
      </c>
      <c r="D120" s="24" t="s">
        <v>7316</v>
      </c>
      <c r="E120" s="24" t="s">
        <v>7345</v>
      </c>
      <c r="F120" s="24" t="s">
        <v>7178</v>
      </c>
      <c r="G120" s="24" t="b">
        <v>0</v>
      </c>
    </row>
    <row r="121" spans="1:7" ht="12.5" customHeight="1">
      <c r="A121" s="27">
        <v>12060</v>
      </c>
      <c r="B121" s="24" t="s">
        <v>7320</v>
      </c>
      <c r="C121" s="24" t="s">
        <v>9614</v>
      </c>
      <c r="D121" s="24" t="s">
        <v>7316</v>
      </c>
      <c r="E121" s="24" t="s">
        <v>7346</v>
      </c>
      <c r="F121" s="24" t="s">
        <v>7178</v>
      </c>
      <c r="G121" s="24" t="b">
        <v>1</v>
      </c>
    </row>
    <row r="122" spans="1:7" ht="12.5" customHeight="1">
      <c r="A122" s="27">
        <v>12060</v>
      </c>
      <c r="B122" s="24" t="s">
        <v>7320</v>
      </c>
      <c r="C122" s="24" t="s">
        <v>9614</v>
      </c>
      <c r="D122" s="24" t="s">
        <v>7316</v>
      </c>
      <c r="E122" s="24" t="s">
        <v>7347</v>
      </c>
      <c r="F122" s="24" t="s">
        <v>7178</v>
      </c>
      <c r="G122" s="24" t="b">
        <v>1</v>
      </c>
    </row>
    <row r="123" spans="1:7" ht="12.5" customHeight="1">
      <c r="A123" s="27">
        <v>12060</v>
      </c>
      <c r="B123" s="24" t="s">
        <v>7320</v>
      </c>
      <c r="C123" s="24" t="s">
        <v>9614</v>
      </c>
      <c r="D123" s="24" t="s">
        <v>7316</v>
      </c>
      <c r="E123" s="24" t="s">
        <v>7348</v>
      </c>
      <c r="F123" s="24" t="s">
        <v>7178</v>
      </c>
      <c r="G123" s="24" t="b">
        <v>1</v>
      </c>
    </row>
    <row r="124" spans="1:7" ht="12.5" customHeight="1">
      <c r="A124" s="27">
        <v>12100</v>
      </c>
      <c r="B124" s="24" t="s">
        <v>7349</v>
      </c>
      <c r="C124" s="24" t="s">
        <v>9614</v>
      </c>
      <c r="D124" s="24" t="s">
        <v>7350</v>
      </c>
      <c r="E124" s="24" t="s">
        <v>7351</v>
      </c>
      <c r="F124" s="24" t="s">
        <v>7224</v>
      </c>
      <c r="G124" s="24" t="b">
        <v>1</v>
      </c>
    </row>
    <row r="125" spans="1:7" ht="12.5" customHeight="1">
      <c r="A125" s="27">
        <v>12120</v>
      </c>
      <c r="B125" s="24" t="s">
        <v>7352</v>
      </c>
      <c r="C125" s="24" t="s">
        <v>9615</v>
      </c>
      <c r="D125" s="24" t="s">
        <v>7353</v>
      </c>
      <c r="E125" s="24" t="s">
        <v>7354</v>
      </c>
      <c r="F125" s="24" t="s">
        <v>7201</v>
      </c>
      <c r="G125" s="24" t="b">
        <v>1</v>
      </c>
    </row>
    <row r="126" spans="1:7" ht="12.5" customHeight="1">
      <c r="A126" s="27">
        <v>12140</v>
      </c>
      <c r="B126" s="24" t="s">
        <v>7355</v>
      </c>
      <c r="C126" s="24" t="s">
        <v>9615</v>
      </c>
      <c r="D126" s="24" t="s">
        <v>7263</v>
      </c>
      <c r="E126" s="24" t="s">
        <v>7330</v>
      </c>
      <c r="F126" s="24" t="s">
        <v>4460</v>
      </c>
      <c r="G126" s="24" t="b">
        <v>1</v>
      </c>
    </row>
    <row r="127" spans="1:7" ht="12.5" customHeight="1">
      <c r="A127" s="27">
        <v>12180</v>
      </c>
      <c r="B127" s="24" t="s">
        <v>7356</v>
      </c>
      <c r="C127" s="24" t="s">
        <v>9615</v>
      </c>
      <c r="D127" s="24" t="s">
        <v>7357</v>
      </c>
      <c r="E127" s="24" t="s">
        <v>7358</v>
      </c>
      <c r="F127" s="24" t="s">
        <v>3775</v>
      </c>
      <c r="G127" s="24" t="b">
        <v>1</v>
      </c>
    </row>
    <row r="128" spans="1:7" ht="12.5" customHeight="1">
      <c r="A128" s="27">
        <v>12220</v>
      </c>
      <c r="B128" s="24" t="s">
        <v>7359</v>
      </c>
      <c r="C128" s="24" t="s">
        <v>9614</v>
      </c>
      <c r="D128" s="24" t="s">
        <v>7360</v>
      </c>
      <c r="E128" s="24" t="s">
        <v>7179</v>
      </c>
      <c r="F128" s="24" t="s">
        <v>7201</v>
      </c>
      <c r="G128" s="24" t="b">
        <v>1</v>
      </c>
    </row>
    <row r="129" spans="1:7" ht="12.5" customHeight="1">
      <c r="A129" s="27">
        <v>12260</v>
      </c>
      <c r="B129" s="24" t="s">
        <v>7361</v>
      </c>
      <c r="C129" s="24" t="s">
        <v>9614</v>
      </c>
      <c r="D129" s="24" t="s">
        <v>7138</v>
      </c>
      <c r="E129" s="24" t="s">
        <v>7362</v>
      </c>
      <c r="F129" s="24" t="s">
        <v>7178</v>
      </c>
      <c r="G129" s="24" t="b">
        <v>0</v>
      </c>
    </row>
    <row r="130" spans="1:7" ht="12.5" customHeight="1">
      <c r="A130" s="27">
        <v>12260</v>
      </c>
      <c r="B130" s="24" t="s">
        <v>7361</v>
      </c>
      <c r="C130" s="24" t="s">
        <v>9614</v>
      </c>
      <c r="D130" s="24" t="s">
        <v>7138</v>
      </c>
      <c r="E130" s="24" t="s">
        <v>7363</v>
      </c>
      <c r="F130" s="24" t="s">
        <v>7178</v>
      </c>
      <c r="G130" s="24" t="b">
        <v>1</v>
      </c>
    </row>
    <row r="131" spans="1:7" ht="12.5" customHeight="1">
      <c r="A131" s="27">
        <v>12260</v>
      </c>
      <c r="B131" s="24" t="s">
        <v>7361</v>
      </c>
      <c r="C131" s="24" t="s">
        <v>9614</v>
      </c>
      <c r="D131" s="24" t="s">
        <v>7138</v>
      </c>
      <c r="E131" s="24" t="s">
        <v>7364</v>
      </c>
      <c r="F131" s="24" t="s">
        <v>7178</v>
      </c>
      <c r="G131" s="24" t="b">
        <v>0</v>
      </c>
    </row>
    <row r="132" spans="1:7" ht="12.5" customHeight="1">
      <c r="A132" s="27">
        <v>12260</v>
      </c>
      <c r="B132" s="24" t="s">
        <v>7361</v>
      </c>
      <c r="C132" s="24" t="s">
        <v>9614</v>
      </c>
      <c r="D132" s="24" t="s">
        <v>7138</v>
      </c>
      <c r="E132" s="24" t="s">
        <v>7365</v>
      </c>
      <c r="F132" s="24" t="s">
        <v>7178</v>
      </c>
      <c r="G132" s="24" t="b">
        <v>0</v>
      </c>
    </row>
    <row r="133" spans="1:7" ht="12.5" customHeight="1">
      <c r="A133" s="27">
        <v>12260</v>
      </c>
      <c r="B133" s="24" t="s">
        <v>7361</v>
      </c>
      <c r="C133" s="24" t="s">
        <v>9614</v>
      </c>
      <c r="D133" s="24" t="s">
        <v>7138</v>
      </c>
      <c r="E133" s="24" t="s">
        <v>7366</v>
      </c>
      <c r="F133" s="24" t="s">
        <v>7178</v>
      </c>
      <c r="G133" s="24" t="b">
        <v>1</v>
      </c>
    </row>
    <row r="134" spans="1:7" ht="12.5" customHeight="1">
      <c r="A134" s="27">
        <v>12260</v>
      </c>
      <c r="B134" s="24" t="s">
        <v>7361</v>
      </c>
      <c r="C134" s="24" t="s">
        <v>9614</v>
      </c>
      <c r="D134" s="24" t="s">
        <v>7138</v>
      </c>
      <c r="E134" s="24" t="s">
        <v>7367</v>
      </c>
      <c r="F134" s="24" t="s">
        <v>7368</v>
      </c>
      <c r="G134" s="24" t="b">
        <v>1</v>
      </c>
    </row>
    <row r="135" spans="1:7" ht="12.5" customHeight="1">
      <c r="A135" s="27">
        <v>12260</v>
      </c>
      <c r="B135" s="24" t="s">
        <v>7361</v>
      </c>
      <c r="C135" s="24" t="s">
        <v>9614</v>
      </c>
      <c r="D135" s="24" t="s">
        <v>7138</v>
      </c>
      <c r="E135" s="24" t="s">
        <v>7369</v>
      </c>
      <c r="F135" s="24" t="s">
        <v>7368</v>
      </c>
      <c r="G135" s="24" t="b">
        <v>0</v>
      </c>
    </row>
    <row r="136" spans="1:7" ht="12.5" customHeight="1">
      <c r="A136" s="27">
        <v>12300</v>
      </c>
      <c r="B136" s="24" t="s">
        <v>7370</v>
      </c>
      <c r="C136" s="24" t="s">
        <v>9615</v>
      </c>
      <c r="D136" s="24" t="s">
        <v>7138</v>
      </c>
      <c r="E136" s="24" t="s">
        <v>7371</v>
      </c>
      <c r="F136" s="24" t="s">
        <v>7372</v>
      </c>
      <c r="G136" s="24" t="b">
        <v>1</v>
      </c>
    </row>
    <row r="137" spans="1:7" ht="12.5" customHeight="1">
      <c r="A137" s="27">
        <v>12380</v>
      </c>
      <c r="B137" s="24" t="s">
        <v>7373</v>
      </c>
      <c r="C137" s="24" t="s">
        <v>9615</v>
      </c>
      <c r="D137" s="24" t="s">
        <v>7374</v>
      </c>
      <c r="E137" s="24" t="s">
        <v>7375</v>
      </c>
      <c r="F137" s="24" t="s">
        <v>7198</v>
      </c>
      <c r="G137" s="24" t="b">
        <v>1</v>
      </c>
    </row>
    <row r="138" spans="1:7" ht="12.5" customHeight="1">
      <c r="A138" s="27">
        <v>12420</v>
      </c>
      <c r="B138" s="24" t="s">
        <v>7376</v>
      </c>
      <c r="C138" s="24" t="s">
        <v>9614</v>
      </c>
      <c r="D138" s="24" t="s">
        <v>7138</v>
      </c>
      <c r="E138" s="24" t="s">
        <v>7377</v>
      </c>
      <c r="F138" s="24" t="s">
        <v>7147</v>
      </c>
      <c r="G138" s="24" t="b">
        <v>0</v>
      </c>
    </row>
    <row r="139" spans="1:7" ht="12.5" customHeight="1">
      <c r="A139" s="27">
        <v>12420</v>
      </c>
      <c r="B139" s="24" t="s">
        <v>7376</v>
      </c>
      <c r="C139" s="24" t="s">
        <v>9614</v>
      </c>
      <c r="D139" s="24" t="s">
        <v>7138</v>
      </c>
      <c r="E139" s="24" t="s">
        <v>7378</v>
      </c>
      <c r="F139" s="24" t="s">
        <v>7147</v>
      </c>
      <c r="G139" s="24" t="b">
        <v>0</v>
      </c>
    </row>
    <row r="140" spans="1:7" ht="12.5" customHeight="1">
      <c r="A140" s="27">
        <v>12420</v>
      </c>
      <c r="B140" s="24" t="s">
        <v>7376</v>
      </c>
      <c r="C140" s="24" t="s">
        <v>9614</v>
      </c>
      <c r="D140" s="24" t="s">
        <v>7138</v>
      </c>
      <c r="E140" s="24" t="s">
        <v>7379</v>
      </c>
      <c r="F140" s="24" t="s">
        <v>7147</v>
      </c>
      <c r="G140" s="24" t="b">
        <v>1</v>
      </c>
    </row>
    <row r="141" spans="1:7" ht="12.5" customHeight="1">
      <c r="A141" s="27">
        <v>12420</v>
      </c>
      <c r="B141" s="24" t="s">
        <v>7376</v>
      </c>
      <c r="C141" s="24" t="s">
        <v>9614</v>
      </c>
      <c r="D141" s="24" t="s">
        <v>7138</v>
      </c>
      <c r="E141" s="24" t="s">
        <v>7380</v>
      </c>
      <c r="F141" s="24" t="s">
        <v>7147</v>
      </c>
      <c r="G141" s="24" t="b">
        <v>1</v>
      </c>
    </row>
    <row r="142" spans="1:7" ht="12.5" customHeight="1">
      <c r="A142" s="27">
        <v>12420</v>
      </c>
      <c r="B142" s="24" t="s">
        <v>7376</v>
      </c>
      <c r="C142" s="24" t="s">
        <v>9614</v>
      </c>
      <c r="D142" s="24" t="s">
        <v>7138</v>
      </c>
      <c r="E142" s="24" t="s">
        <v>7381</v>
      </c>
      <c r="F142" s="24" t="s">
        <v>7147</v>
      </c>
      <c r="G142" s="24" t="b">
        <v>1</v>
      </c>
    </row>
    <row r="143" spans="1:7" ht="12.5" customHeight="1">
      <c r="A143" s="27">
        <v>12460</v>
      </c>
      <c r="B143" s="24" t="s">
        <v>7382</v>
      </c>
      <c r="C143" s="24" t="s">
        <v>9615</v>
      </c>
      <c r="D143" s="24" t="s">
        <v>7138</v>
      </c>
      <c r="E143" s="24" t="s">
        <v>7383</v>
      </c>
      <c r="F143" s="24" t="s">
        <v>7178</v>
      </c>
      <c r="G143" s="24" t="b">
        <v>1</v>
      </c>
    </row>
    <row r="144" spans="1:7" ht="12.5" customHeight="1">
      <c r="A144" s="27">
        <v>12540</v>
      </c>
      <c r="B144" s="24" t="s">
        <v>7384</v>
      </c>
      <c r="C144" s="24" t="s">
        <v>9614</v>
      </c>
      <c r="D144" s="24" t="s">
        <v>7138</v>
      </c>
      <c r="E144" s="24" t="s">
        <v>7385</v>
      </c>
      <c r="F144" s="24" t="s">
        <v>7386</v>
      </c>
      <c r="G144" s="24" t="b">
        <v>1</v>
      </c>
    </row>
    <row r="145" spans="1:7" ht="12.5" customHeight="1">
      <c r="A145" s="27">
        <v>12580</v>
      </c>
      <c r="B145" s="24" t="s">
        <v>7387</v>
      </c>
      <c r="C145" s="24" t="s">
        <v>9614</v>
      </c>
      <c r="D145" s="24" t="s">
        <v>7388</v>
      </c>
      <c r="E145" s="24" t="s">
        <v>7389</v>
      </c>
      <c r="F145" s="24" t="s">
        <v>7390</v>
      </c>
      <c r="G145" s="24" t="b">
        <v>1</v>
      </c>
    </row>
    <row r="146" spans="1:7" ht="12.5" customHeight="1">
      <c r="A146" s="27">
        <v>12580</v>
      </c>
      <c r="B146" s="24" t="s">
        <v>7387</v>
      </c>
      <c r="C146" s="24" t="s">
        <v>9614</v>
      </c>
      <c r="D146" s="24" t="s">
        <v>7388</v>
      </c>
      <c r="E146" s="24" t="s">
        <v>7391</v>
      </c>
      <c r="F146" s="24" t="s">
        <v>7390</v>
      </c>
      <c r="G146" s="24" t="b">
        <v>1</v>
      </c>
    </row>
    <row r="147" spans="1:7" ht="12.5" customHeight="1">
      <c r="A147" s="27">
        <v>12580</v>
      </c>
      <c r="B147" s="24" t="s">
        <v>7387</v>
      </c>
      <c r="C147" s="24" t="s">
        <v>9614</v>
      </c>
      <c r="D147" s="24" t="s">
        <v>7388</v>
      </c>
      <c r="E147" s="24" t="s">
        <v>7324</v>
      </c>
      <c r="F147" s="24" t="s">
        <v>7390</v>
      </c>
      <c r="G147" s="24" t="b">
        <v>0</v>
      </c>
    </row>
    <row r="148" spans="1:7" ht="12.5" customHeight="1">
      <c r="A148" s="27">
        <v>12580</v>
      </c>
      <c r="B148" s="24" t="s">
        <v>7387</v>
      </c>
      <c r="C148" s="24" t="s">
        <v>9614</v>
      </c>
      <c r="D148" s="24" t="s">
        <v>7388</v>
      </c>
      <c r="E148" s="24" t="s">
        <v>7392</v>
      </c>
      <c r="F148" s="24" t="s">
        <v>7390</v>
      </c>
      <c r="G148" s="24" t="b">
        <v>0</v>
      </c>
    </row>
    <row r="149" spans="1:7" ht="12.5" customHeight="1">
      <c r="A149" s="27">
        <v>12580</v>
      </c>
      <c r="B149" s="24" t="s">
        <v>7387</v>
      </c>
      <c r="C149" s="24" t="s">
        <v>9614</v>
      </c>
      <c r="D149" s="24" t="s">
        <v>7388</v>
      </c>
      <c r="E149" s="24" t="s">
        <v>7393</v>
      </c>
      <c r="F149" s="24" t="s">
        <v>7390</v>
      </c>
      <c r="G149" s="24" t="b">
        <v>1</v>
      </c>
    </row>
    <row r="150" spans="1:7" ht="12.5" customHeight="1">
      <c r="A150" s="27">
        <v>12580</v>
      </c>
      <c r="B150" s="24" t="s">
        <v>7387</v>
      </c>
      <c r="C150" s="24" t="s">
        <v>9614</v>
      </c>
      <c r="D150" s="24" t="s">
        <v>7388</v>
      </c>
      <c r="E150" s="24" t="s">
        <v>7394</v>
      </c>
      <c r="F150" s="24" t="s">
        <v>7390</v>
      </c>
      <c r="G150" s="24" t="b">
        <v>1</v>
      </c>
    </row>
    <row r="151" spans="1:7" ht="12.5" customHeight="1">
      <c r="A151" s="27">
        <v>12580</v>
      </c>
      <c r="B151" s="24" t="s">
        <v>7387</v>
      </c>
      <c r="C151" s="24" t="s">
        <v>9614</v>
      </c>
      <c r="D151" s="24" t="s">
        <v>7388</v>
      </c>
      <c r="E151" s="24" t="s">
        <v>7395</v>
      </c>
      <c r="F151" s="24" t="s">
        <v>7390</v>
      </c>
      <c r="G151" s="24" t="b">
        <v>1</v>
      </c>
    </row>
    <row r="152" spans="1:7" ht="12.5" customHeight="1">
      <c r="A152" s="27">
        <v>12620</v>
      </c>
      <c r="B152" s="24" t="s">
        <v>7396</v>
      </c>
      <c r="C152" s="24" t="s">
        <v>9614</v>
      </c>
      <c r="D152" s="24" t="s">
        <v>7138</v>
      </c>
      <c r="E152" s="24" t="s">
        <v>7397</v>
      </c>
      <c r="F152" s="24" t="s">
        <v>7372</v>
      </c>
      <c r="G152" s="24" t="b">
        <v>1</v>
      </c>
    </row>
    <row r="153" spans="1:7" ht="12.5" customHeight="1">
      <c r="A153" s="27">
        <v>12660</v>
      </c>
      <c r="B153" s="24" t="s">
        <v>7398</v>
      </c>
      <c r="C153" s="24" t="s">
        <v>9615</v>
      </c>
      <c r="D153" s="24" t="s">
        <v>7399</v>
      </c>
      <c r="E153" s="24" t="s">
        <v>7400</v>
      </c>
      <c r="F153" s="24" t="s">
        <v>7272</v>
      </c>
      <c r="G153" s="24" t="b">
        <v>1</v>
      </c>
    </row>
    <row r="154" spans="1:7" ht="12.5" customHeight="1">
      <c r="A154" s="27">
        <v>12680</v>
      </c>
      <c r="B154" s="24" t="s">
        <v>7401</v>
      </c>
      <c r="C154" s="24" t="s">
        <v>9615</v>
      </c>
      <c r="D154" s="24" t="s">
        <v>7402</v>
      </c>
      <c r="E154" s="24" t="s">
        <v>7403</v>
      </c>
      <c r="F154" s="24" t="s">
        <v>7404</v>
      </c>
      <c r="G154" s="24" t="b">
        <v>1</v>
      </c>
    </row>
    <row r="155" spans="1:7" ht="12.5" customHeight="1">
      <c r="A155" s="27">
        <v>12700</v>
      </c>
      <c r="B155" s="24" t="s">
        <v>7405</v>
      </c>
      <c r="C155" s="24" t="s">
        <v>9614</v>
      </c>
      <c r="D155" s="24" t="s">
        <v>7406</v>
      </c>
      <c r="E155" s="24" t="s">
        <v>7407</v>
      </c>
      <c r="F155" s="24" t="s">
        <v>7408</v>
      </c>
      <c r="G155" s="24" t="b">
        <v>1</v>
      </c>
    </row>
    <row r="156" spans="1:7" ht="12.5" customHeight="1">
      <c r="A156" s="27">
        <v>12740</v>
      </c>
      <c r="B156" s="24" t="s">
        <v>7409</v>
      </c>
      <c r="C156" s="24" t="s">
        <v>9615</v>
      </c>
      <c r="D156" s="24" t="s">
        <v>7410</v>
      </c>
      <c r="E156" s="24" t="s">
        <v>7411</v>
      </c>
      <c r="F156" s="24" t="s">
        <v>7412</v>
      </c>
      <c r="G156" s="24" t="b">
        <v>1</v>
      </c>
    </row>
    <row r="157" spans="1:7" ht="12.5" customHeight="1">
      <c r="A157" s="27">
        <v>12780</v>
      </c>
      <c r="B157" s="24" t="s">
        <v>7413</v>
      </c>
      <c r="C157" s="24" t="s">
        <v>9615</v>
      </c>
      <c r="D157" s="24" t="s">
        <v>7414</v>
      </c>
      <c r="E157" s="24" t="s">
        <v>7411</v>
      </c>
      <c r="F157" s="24" t="s">
        <v>7152</v>
      </c>
      <c r="G157" s="24" t="b">
        <v>1</v>
      </c>
    </row>
    <row r="158" spans="1:7" ht="12.5" customHeight="1">
      <c r="A158" s="27">
        <v>12860</v>
      </c>
      <c r="B158" s="24" t="s">
        <v>7415</v>
      </c>
      <c r="C158" s="24" t="s">
        <v>9615</v>
      </c>
      <c r="D158" s="24" t="s">
        <v>7416</v>
      </c>
      <c r="E158" s="24" t="s">
        <v>7417</v>
      </c>
      <c r="F158" s="24" t="s">
        <v>3775</v>
      </c>
      <c r="G158" s="24" t="b">
        <v>1</v>
      </c>
    </row>
    <row r="159" spans="1:7" ht="12.5" customHeight="1">
      <c r="A159" s="27">
        <v>12900</v>
      </c>
      <c r="B159" s="24" t="s">
        <v>7418</v>
      </c>
      <c r="C159" s="24" t="s">
        <v>9615</v>
      </c>
      <c r="D159" s="24" t="s">
        <v>7138</v>
      </c>
      <c r="E159" s="24" t="s">
        <v>7419</v>
      </c>
      <c r="F159" s="24" t="s">
        <v>7289</v>
      </c>
      <c r="G159" s="24" t="b">
        <v>1</v>
      </c>
    </row>
    <row r="160" spans="1:7" ht="12.5" customHeight="1">
      <c r="A160" s="27">
        <v>12900</v>
      </c>
      <c r="B160" s="24" t="s">
        <v>7418</v>
      </c>
      <c r="C160" s="24" t="s">
        <v>9615</v>
      </c>
      <c r="D160" s="24" t="s">
        <v>7138</v>
      </c>
      <c r="E160" s="24" t="s">
        <v>7420</v>
      </c>
      <c r="F160" s="24" t="s">
        <v>7289</v>
      </c>
      <c r="G160" s="24" t="b">
        <v>0</v>
      </c>
    </row>
    <row r="161" spans="1:7" ht="12.5" customHeight="1">
      <c r="A161" s="27">
        <v>12940</v>
      </c>
      <c r="B161" s="24" t="s">
        <v>7421</v>
      </c>
      <c r="C161" s="24" t="s">
        <v>9614</v>
      </c>
      <c r="D161" s="24" t="s">
        <v>7138</v>
      </c>
      <c r="E161" s="24" t="s">
        <v>7422</v>
      </c>
      <c r="F161" s="24" t="s">
        <v>7214</v>
      </c>
      <c r="G161" s="24" t="b">
        <v>1</v>
      </c>
    </row>
    <row r="162" spans="1:7" ht="12.5" customHeight="1">
      <c r="A162" s="27">
        <v>12940</v>
      </c>
      <c r="B162" s="24" t="s">
        <v>7421</v>
      </c>
      <c r="C162" s="24" t="s">
        <v>9614</v>
      </c>
      <c r="D162" s="24" t="s">
        <v>7138</v>
      </c>
      <c r="E162" s="24" t="s">
        <v>7423</v>
      </c>
      <c r="F162" s="24" t="s">
        <v>7214</v>
      </c>
      <c r="G162" s="24" t="b">
        <v>0</v>
      </c>
    </row>
    <row r="163" spans="1:7" ht="12.5" customHeight="1">
      <c r="A163" s="27">
        <v>12940</v>
      </c>
      <c r="B163" s="24" t="s">
        <v>7421</v>
      </c>
      <c r="C163" s="24" t="s">
        <v>9614</v>
      </c>
      <c r="D163" s="24" t="s">
        <v>7138</v>
      </c>
      <c r="E163" s="24" t="s">
        <v>7424</v>
      </c>
      <c r="F163" s="24" t="s">
        <v>7214</v>
      </c>
      <c r="G163" s="24" t="b">
        <v>1</v>
      </c>
    </row>
    <row r="164" spans="1:7" ht="12.5" customHeight="1">
      <c r="A164" s="27">
        <v>12940</v>
      </c>
      <c r="B164" s="24" t="s">
        <v>7421</v>
      </c>
      <c r="C164" s="24" t="s">
        <v>9614</v>
      </c>
      <c r="D164" s="24" t="s">
        <v>7138</v>
      </c>
      <c r="E164" s="24" t="s">
        <v>7425</v>
      </c>
      <c r="F164" s="24" t="s">
        <v>7214</v>
      </c>
      <c r="G164" s="24" t="b">
        <v>0</v>
      </c>
    </row>
    <row r="165" spans="1:7" ht="12.5" customHeight="1">
      <c r="A165" s="27">
        <v>12940</v>
      </c>
      <c r="B165" s="24" t="s">
        <v>7421</v>
      </c>
      <c r="C165" s="24" t="s">
        <v>9614</v>
      </c>
      <c r="D165" s="24" t="s">
        <v>7138</v>
      </c>
      <c r="E165" s="24" t="s">
        <v>7426</v>
      </c>
      <c r="F165" s="24" t="s">
        <v>7214</v>
      </c>
      <c r="G165" s="24" t="b">
        <v>1</v>
      </c>
    </row>
    <row r="166" spans="1:7" ht="12.5" customHeight="1">
      <c r="A166" s="27">
        <v>12940</v>
      </c>
      <c r="B166" s="24" t="s">
        <v>7421</v>
      </c>
      <c r="C166" s="24" t="s">
        <v>9614</v>
      </c>
      <c r="D166" s="24" t="s">
        <v>7138</v>
      </c>
      <c r="E166" s="24" t="s">
        <v>7427</v>
      </c>
      <c r="F166" s="24" t="s">
        <v>7214</v>
      </c>
      <c r="G166" s="24" t="b">
        <v>1</v>
      </c>
    </row>
    <row r="167" spans="1:7" ht="12.5" customHeight="1">
      <c r="A167" s="27">
        <v>12940</v>
      </c>
      <c r="B167" s="24" t="s">
        <v>7421</v>
      </c>
      <c r="C167" s="24" t="s">
        <v>9614</v>
      </c>
      <c r="D167" s="24" t="s">
        <v>7138</v>
      </c>
      <c r="E167" s="24" t="s">
        <v>7428</v>
      </c>
      <c r="F167" s="24" t="s">
        <v>7214</v>
      </c>
      <c r="G167" s="24" t="b">
        <v>0</v>
      </c>
    </row>
    <row r="168" spans="1:7" ht="12.5" customHeight="1">
      <c r="A168" s="27">
        <v>12940</v>
      </c>
      <c r="B168" s="24" t="s">
        <v>7421</v>
      </c>
      <c r="C168" s="24" t="s">
        <v>9614</v>
      </c>
      <c r="D168" s="24" t="s">
        <v>7138</v>
      </c>
      <c r="E168" s="24" t="s">
        <v>7429</v>
      </c>
      <c r="F168" s="24" t="s">
        <v>7214</v>
      </c>
      <c r="G168" s="24" t="b">
        <v>0</v>
      </c>
    </row>
    <row r="169" spans="1:7" ht="12.5" customHeight="1">
      <c r="A169" s="27">
        <v>12940</v>
      </c>
      <c r="B169" s="24" t="s">
        <v>7421</v>
      </c>
      <c r="C169" s="24" t="s">
        <v>9614</v>
      </c>
      <c r="D169" s="24" t="s">
        <v>7138</v>
      </c>
      <c r="E169" s="24" t="s">
        <v>7430</v>
      </c>
      <c r="F169" s="24" t="s">
        <v>7214</v>
      </c>
      <c r="G169" s="24" t="b">
        <v>1</v>
      </c>
    </row>
    <row r="170" spans="1:7" ht="12.5" customHeight="1">
      <c r="A170" s="27">
        <v>12940</v>
      </c>
      <c r="B170" s="24" t="s">
        <v>7421</v>
      </c>
      <c r="C170" s="24" t="s">
        <v>9614</v>
      </c>
      <c r="D170" s="24" t="s">
        <v>7138</v>
      </c>
      <c r="E170" s="24" t="s">
        <v>7431</v>
      </c>
      <c r="F170" s="24" t="s">
        <v>7214</v>
      </c>
      <c r="G170" s="24" t="b">
        <v>0</v>
      </c>
    </row>
    <row r="171" spans="1:7" ht="12.5" customHeight="1">
      <c r="A171" s="27">
        <v>12980</v>
      </c>
      <c r="B171" s="24" t="s">
        <v>7432</v>
      </c>
      <c r="C171" s="24" t="s">
        <v>9614</v>
      </c>
      <c r="D171" s="24" t="s">
        <v>7433</v>
      </c>
      <c r="E171" s="24" t="s">
        <v>7268</v>
      </c>
      <c r="F171" s="24" t="s">
        <v>7156</v>
      </c>
      <c r="G171" s="24" t="b">
        <v>1</v>
      </c>
    </row>
    <row r="172" spans="1:7" ht="12.5" customHeight="1">
      <c r="A172" s="27">
        <v>13020</v>
      </c>
      <c r="B172" s="24" t="s">
        <v>7434</v>
      </c>
      <c r="C172" s="24" t="s">
        <v>9614</v>
      </c>
      <c r="D172" s="24" t="s">
        <v>7435</v>
      </c>
      <c r="E172" s="24" t="s">
        <v>7436</v>
      </c>
      <c r="F172" s="24" t="s">
        <v>7156</v>
      </c>
      <c r="G172" s="24" t="b">
        <v>1</v>
      </c>
    </row>
    <row r="173" spans="1:7" ht="12.5" customHeight="1">
      <c r="A173" s="27">
        <v>13060</v>
      </c>
      <c r="B173" s="24" t="s">
        <v>7437</v>
      </c>
      <c r="C173" s="24" t="s">
        <v>9615</v>
      </c>
      <c r="D173" s="24" t="s">
        <v>7438</v>
      </c>
      <c r="E173" s="24" t="s">
        <v>7439</v>
      </c>
      <c r="F173" s="24" t="s">
        <v>7147</v>
      </c>
      <c r="G173" s="24" t="b">
        <v>1</v>
      </c>
    </row>
    <row r="174" spans="1:7" ht="12.5" customHeight="1">
      <c r="A174" s="27">
        <v>13100</v>
      </c>
      <c r="B174" s="24" t="s">
        <v>7440</v>
      </c>
      <c r="C174" s="24" t="s">
        <v>9615</v>
      </c>
      <c r="D174" s="24" t="s">
        <v>7441</v>
      </c>
      <c r="E174" s="24" t="s">
        <v>7442</v>
      </c>
      <c r="F174" s="24" t="s">
        <v>7443</v>
      </c>
      <c r="G174" s="24" t="b">
        <v>1</v>
      </c>
    </row>
    <row r="175" spans="1:7" ht="12.5" customHeight="1">
      <c r="A175" s="27">
        <v>13140</v>
      </c>
      <c r="B175" s="24" t="s">
        <v>7444</v>
      </c>
      <c r="C175" s="24" t="s">
        <v>9614</v>
      </c>
      <c r="D175" s="24" t="s">
        <v>7138</v>
      </c>
      <c r="E175" s="24" t="s">
        <v>7445</v>
      </c>
      <c r="F175" s="24" t="s">
        <v>7147</v>
      </c>
      <c r="G175" s="24" t="b">
        <v>0</v>
      </c>
    </row>
    <row r="176" spans="1:7" ht="12.5" customHeight="1">
      <c r="A176" s="27">
        <v>13140</v>
      </c>
      <c r="B176" s="24" t="s">
        <v>7444</v>
      </c>
      <c r="C176" s="24" t="s">
        <v>9614</v>
      </c>
      <c r="D176" s="24" t="s">
        <v>7138</v>
      </c>
      <c r="E176" s="24" t="s">
        <v>7446</v>
      </c>
      <c r="F176" s="24" t="s">
        <v>7147</v>
      </c>
      <c r="G176" s="24" t="b">
        <v>1</v>
      </c>
    </row>
    <row r="177" spans="1:7" ht="12.5" customHeight="1">
      <c r="A177" s="27">
        <v>13140</v>
      </c>
      <c r="B177" s="24" t="s">
        <v>7444</v>
      </c>
      <c r="C177" s="24" t="s">
        <v>9614</v>
      </c>
      <c r="D177" s="24" t="s">
        <v>7138</v>
      </c>
      <c r="E177" s="24" t="s">
        <v>7447</v>
      </c>
      <c r="F177" s="24" t="s">
        <v>7147</v>
      </c>
      <c r="G177" s="24" t="b">
        <v>1</v>
      </c>
    </row>
    <row r="178" spans="1:7" ht="12.5" customHeight="1">
      <c r="A178" s="27">
        <v>13180</v>
      </c>
      <c r="B178" s="24" t="s">
        <v>7448</v>
      </c>
      <c r="C178" s="24" t="s">
        <v>9615</v>
      </c>
      <c r="D178" s="24" t="s">
        <v>7449</v>
      </c>
      <c r="E178" s="24" t="s">
        <v>7450</v>
      </c>
      <c r="F178" s="24" t="s">
        <v>7272</v>
      </c>
      <c r="G178" s="24" t="b">
        <v>1</v>
      </c>
    </row>
    <row r="179" spans="1:7" ht="12.5" customHeight="1">
      <c r="A179" s="27">
        <v>13220</v>
      </c>
      <c r="B179" s="24" t="s">
        <v>7451</v>
      </c>
      <c r="C179" s="24" t="s">
        <v>9614</v>
      </c>
      <c r="D179" s="24" t="s">
        <v>7138</v>
      </c>
      <c r="E179" s="24" t="s">
        <v>7331</v>
      </c>
      <c r="F179" s="24" t="s">
        <v>7452</v>
      </c>
      <c r="G179" s="24" t="b">
        <v>1</v>
      </c>
    </row>
    <row r="180" spans="1:7" ht="12.5" customHeight="1">
      <c r="A180" s="27">
        <v>13220</v>
      </c>
      <c r="B180" s="24" t="s">
        <v>7451</v>
      </c>
      <c r="C180" s="24" t="s">
        <v>9614</v>
      </c>
      <c r="D180" s="24" t="s">
        <v>7138</v>
      </c>
      <c r="E180" s="24" t="s">
        <v>7453</v>
      </c>
      <c r="F180" s="24" t="s">
        <v>7452</v>
      </c>
      <c r="G180" s="24" t="b">
        <v>1</v>
      </c>
    </row>
    <row r="181" spans="1:7" ht="12.5" customHeight="1">
      <c r="A181" s="27">
        <v>13260</v>
      </c>
      <c r="B181" s="24" t="s">
        <v>7454</v>
      </c>
      <c r="C181" s="24" t="s">
        <v>9615</v>
      </c>
      <c r="D181" s="24" t="s">
        <v>7455</v>
      </c>
      <c r="E181" s="24" t="s">
        <v>7456</v>
      </c>
      <c r="F181" s="24" t="s">
        <v>4460</v>
      </c>
      <c r="G181" s="24" t="b">
        <v>1</v>
      </c>
    </row>
    <row r="182" spans="1:7" ht="12.5" customHeight="1">
      <c r="A182" s="27">
        <v>13300</v>
      </c>
      <c r="B182" s="24" t="s">
        <v>7457</v>
      </c>
      <c r="C182" s="24" t="s">
        <v>9615</v>
      </c>
      <c r="D182" s="24" t="s">
        <v>7138</v>
      </c>
      <c r="E182" s="24" t="s">
        <v>7458</v>
      </c>
      <c r="F182" s="24" t="s">
        <v>7147</v>
      </c>
      <c r="G182" s="24" t="b">
        <v>1</v>
      </c>
    </row>
    <row r="183" spans="1:7" ht="12.5" customHeight="1">
      <c r="A183" s="27">
        <v>13340</v>
      </c>
      <c r="B183" s="24" t="s">
        <v>7459</v>
      </c>
      <c r="C183" s="24" t="s">
        <v>9615</v>
      </c>
      <c r="D183" s="24" t="s">
        <v>7460</v>
      </c>
      <c r="E183" s="24" t="s">
        <v>7461</v>
      </c>
      <c r="F183" s="24" t="s">
        <v>7171</v>
      </c>
      <c r="G183" s="24" t="b">
        <v>1</v>
      </c>
    </row>
    <row r="184" spans="1:7" ht="12.5" customHeight="1">
      <c r="A184" s="27">
        <v>13380</v>
      </c>
      <c r="B184" s="24" t="s">
        <v>7462</v>
      </c>
      <c r="C184" s="24" t="s">
        <v>9614</v>
      </c>
      <c r="D184" s="24" t="s">
        <v>7138</v>
      </c>
      <c r="E184" s="24" t="s">
        <v>7463</v>
      </c>
      <c r="F184" s="24" t="s">
        <v>1134</v>
      </c>
      <c r="G184" s="24" t="b">
        <v>1</v>
      </c>
    </row>
    <row r="185" spans="1:7" ht="12.5" customHeight="1">
      <c r="A185" s="27">
        <v>13420</v>
      </c>
      <c r="B185" s="24" t="s">
        <v>7464</v>
      </c>
      <c r="C185" s="24" t="s">
        <v>9615</v>
      </c>
      <c r="D185" s="24" t="s">
        <v>7138</v>
      </c>
      <c r="E185" s="24" t="s">
        <v>7465</v>
      </c>
      <c r="F185" s="24" t="s">
        <v>7198</v>
      </c>
      <c r="G185" s="24" t="b">
        <v>1</v>
      </c>
    </row>
    <row r="186" spans="1:7" ht="12.5" customHeight="1">
      <c r="A186" s="27">
        <v>13460</v>
      </c>
      <c r="B186" s="24" t="s">
        <v>7466</v>
      </c>
      <c r="C186" s="24" t="s">
        <v>9614</v>
      </c>
      <c r="D186" s="24" t="s">
        <v>7467</v>
      </c>
      <c r="E186" s="24" t="s">
        <v>7468</v>
      </c>
      <c r="F186" s="24" t="s">
        <v>4053</v>
      </c>
      <c r="G186" s="24" t="b">
        <v>1</v>
      </c>
    </row>
    <row r="187" spans="1:7" ht="12.5" customHeight="1">
      <c r="A187" s="27">
        <v>13500</v>
      </c>
      <c r="B187" s="24" t="s">
        <v>7469</v>
      </c>
      <c r="C187" s="24" t="s">
        <v>9615</v>
      </c>
      <c r="D187" s="24" t="s">
        <v>7138</v>
      </c>
      <c r="E187" s="24" t="s">
        <v>7470</v>
      </c>
      <c r="F187" s="24" t="s">
        <v>7368</v>
      </c>
      <c r="G187" s="24" t="b">
        <v>1</v>
      </c>
    </row>
    <row r="188" spans="1:7" ht="12.5" customHeight="1">
      <c r="A188" s="27">
        <v>13540</v>
      </c>
      <c r="B188" s="24" t="s">
        <v>7471</v>
      </c>
      <c r="C188" s="24" t="s">
        <v>9615</v>
      </c>
      <c r="D188" s="24" t="s">
        <v>7138</v>
      </c>
      <c r="E188" s="24" t="s">
        <v>7472</v>
      </c>
      <c r="F188" s="24" t="s">
        <v>7412</v>
      </c>
      <c r="G188" s="24" t="b">
        <v>1</v>
      </c>
    </row>
    <row r="189" spans="1:7" ht="12.5" customHeight="1">
      <c r="A189" s="27">
        <v>13620</v>
      </c>
      <c r="B189" s="24" t="s">
        <v>7473</v>
      </c>
      <c r="C189" s="24" t="s">
        <v>9615</v>
      </c>
      <c r="D189" s="24" t="s">
        <v>7138</v>
      </c>
      <c r="E189" s="24" t="s">
        <v>7474</v>
      </c>
      <c r="F189" s="24" t="s">
        <v>7475</v>
      </c>
      <c r="G189" s="24" t="b">
        <v>1</v>
      </c>
    </row>
    <row r="190" spans="1:7" ht="12.5" customHeight="1">
      <c r="A190" s="27">
        <v>13660</v>
      </c>
      <c r="B190" s="24" t="s">
        <v>7476</v>
      </c>
      <c r="C190" s="24" t="s">
        <v>9615</v>
      </c>
      <c r="D190" s="24" t="s">
        <v>7477</v>
      </c>
      <c r="E190" s="24" t="s">
        <v>7478</v>
      </c>
      <c r="F190" s="24" t="s">
        <v>7156</v>
      </c>
      <c r="G190" s="24" t="b">
        <v>1</v>
      </c>
    </row>
    <row r="191" spans="1:7" ht="12.5" customHeight="1">
      <c r="A191" s="27">
        <v>13700</v>
      </c>
      <c r="B191" s="24" t="s">
        <v>7479</v>
      </c>
      <c r="C191" s="24" t="s">
        <v>9615</v>
      </c>
      <c r="D191" s="24" t="s">
        <v>7138</v>
      </c>
      <c r="E191" s="24" t="s">
        <v>7393</v>
      </c>
      <c r="F191" s="24" t="s">
        <v>7147</v>
      </c>
      <c r="G191" s="24" t="b">
        <v>1</v>
      </c>
    </row>
    <row r="192" spans="1:7" ht="12.5" customHeight="1">
      <c r="A192" s="27">
        <v>13720</v>
      </c>
      <c r="B192" s="24" t="s">
        <v>7480</v>
      </c>
      <c r="C192" s="24" t="s">
        <v>9615</v>
      </c>
      <c r="D192" s="24" t="s">
        <v>7138</v>
      </c>
      <c r="E192" s="24" t="s">
        <v>7481</v>
      </c>
      <c r="F192" s="24" t="s">
        <v>2920</v>
      </c>
      <c r="G192" s="24" t="b">
        <v>1</v>
      </c>
    </row>
    <row r="193" spans="1:7" ht="12.5" customHeight="1">
      <c r="A193" s="27">
        <v>13720</v>
      </c>
      <c r="B193" s="24" t="s">
        <v>7480</v>
      </c>
      <c r="C193" s="24" t="s">
        <v>9615</v>
      </c>
      <c r="D193" s="24" t="s">
        <v>7138</v>
      </c>
      <c r="E193" s="24" t="s">
        <v>7482</v>
      </c>
      <c r="F193" s="24" t="s">
        <v>2920</v>
      </c>
      <c r="G193" s="24" t="b">
        <v>1</v>
      </c>
    </row>
    <row r="194" spans="1:7" ht="12.5" customHeight="1">
      <c r="A194" s="27">
        <v>13740</v>
      </c>
      <c r="B194" s="24" t="s">
        <v>7483</v>
      </c>
      <c r="C194" s="24" t="s">
        <v>9614</v>
      </c>
      <c r="D194" s="24" t="s">
        <v>7138</v>
      </c>
      <c r="E194" s="24" t="s">
        <v>7225</v>
      </c>
      <c r="F194" s="24" t="s">
        <v>7484</v>
      </c>
      <c r="G194" s="24" t="b">
        <v>0</v>
      </c>
    </row>
    <row r="195" spans="1:7" ht="12.5" customHeight="1">
      <c r="A195" s="27">
        <v>13740</v>
      </c>
      <c r="B195" s="24" t="s">
        <v>7483</v>
      </c>
      <c r="C195" s="24" t="s">
        <v>9614</v>
      </c>
      <c r="D195" s="24" t="s">
        <v>7138</v>
      </c>
      <c r="E195" s="24" t="s">
        <v>7485</v>
      </c>
      <c r="F195" s="24" t="s">
        <v>7484</v>
      </c>
      <c r="G195" s="24" t="b">
        <v>0</v>
      </c>
    </row>
    <row r="196" spans="1:7" ht="12.5" customHeight="1">
      <c r="A196" s="27">
        <v>13740</v>
      </c>
      <c r="B196" s="24" t="s">
        <v>7483</v>
      </c>
      <c r="C196" s="24" t="s">
        <v>9614</v>
      </c>
      <c r="D196" s="24" t="s">
        <v>7138</v>
      </c>
      <c r="E196" s="24" t="s">
        <v>7486</v>
      </c>
      <c r="F196" s="24" t="s">
        <v>7484</v>
      </c>
      <c r="G196" s="24" t="b">
        <v>1</v>
      </c>
    </row>
    <row r="197" spans="1:7" ht="12.5" customHeight="1">
      <c r="A197" s="27">
        <v>13780</v>
      </c>
      <c r="B197" s="24" t="s">
        <v>7487</v>
      </c>
      <c r="C197" s="24" t="s">
        <v>9614</v>
      </c>
      <c r="D197" s="24" t="s">
        <v>7138</v>
      </c>
      <c r="E197" s="24" t="s">
        <v>7488</v>
      </c>
      <c r="F197" s="24" t="s">
        <v>3775</v>
      </c>
      <c r="G197" s="24" t="b">
        <v>1</v>
      </c>
    </row>
    <row r="198" spans="1:7" ht="12.5" customHeight="1">
      <c r="A198" s="27">
        <v>13780</v>
      </c>
      <c r="B198" s="24" t="s">
        <v>7487</v>
      </c>
      <c r="C198" s="24" t="s">
        <v>9614</v>
      </c>
      <c r="D198" s="24" t="s">
        <v>7138</v>
      </c>
      <c r="E198" s="24" t="s">
        <v>7489</v>
      </c>
      <c r="F198" s="24" t="s">
        <v>3775</v>
      </c>
      <c r="G198" s="24" t="b">
        <v>1</v>
      </c>
    </row>
    <row r="199" spans="1:7" ht="12.5" customHeight="1">
      <c r="A199" s="27">
        <v>13820</v>
      </c>
      <c r="B199" s="24" t="s">
        <v>7490</v>
      </c>
      <c r="C199" s="24" t="s">
        <v>9614</v>
      </c>
      <c r="D199" s="24" t="s">
        <v>7491</v>
      </c>
      <c r="E199" s="24" t="s">
        <v>7492</v>
      </c>
      <c r="F199" s="24" t="s">
        <v>7201</v>
      </c>
      <c r="G199" s="24" t="b">
        <v>0</v>
      </c>
    </row>
    <row r="200" spans="1:7" ht="12.5" customHeight="1">
      <c r="A200" s="27">
        <v>13820</v>
      </c>
      <c r="B200" s="24" t="s">
        <v>7490</v>
      </c>
      <c r="C200" s="24" t="s">
        <v>9614</v>
      </c>
      <c r="D200" s="24" t="s">
        <v>7491</v>
      </c>
      <c r="E200" s="24" t="s">
        <v>7493</v>
      </c>
      <c r="F200" s="24" t="s">
        <v>7201</v>
      </c>
      <c r="G200" s="24" t="b">
        <v>0</v>
      </c>
    </row>
    <row r="201" spans="1:7" ht="12.5" customHeight="1">
      <c r="A201" s="27">
        <v>13820</v>
      </c>
      <c r="B201" s="24" t="s">
        <v>7490</v>
      </c>
      <c r="C201" s="24" t="s">
        <v>9614</v>
      </c>
      <c r="D201" s="24" t="s">
        <v>7491</v>
      </c>
      <c r="E201" s="24" t="s">
        <v>7494</v>
      </c>
      <c r="F201" s="24" t="s">
        <v>7201</v>
      </c>
      <c r="G201" s="24" t="b">
        <v>0</v>
      </c>
    </row>
    <row r="202" spans="1:7" ht="12.5" customHeight="1">
      <c r="A202" s="27">
        <v>13820</v>
      </c>
      <c r="B202" s="24" t="s">
        <v>7490</v>
      </c>
      <c r="C202" s="24" t="s">
        <v>9614</v>
      </c>
      <c r="D202" s="24" t="s">
        <v>7491</v>
      </c>
      <c r="E202" s="24" t="s">
        <v>7446</v>
      </c>
      <c r="F202" s="24" t="s">
        <v>7201</v>
      </c>
      <c r="G202" s="24" t="b">
        <v>1</v>
      </c>
    </row>
    <row r="203" spans="1:7" ht="12.5" customHeight="1">
      <c r="A203" s="27">
        <v>13820</v>
      </c>
      <c r="B203" s="24" t="s">
        <v>7490</v>
      </c>
      <c r="C203" s="24" t="s">
        <v>9614</v>
      </c>
      <c r="D203" s="24" t="s">
        <v>7491</v>
      </c>
      <c r="E203" s="24" t="s">
        <v>7495</v>
      </c>
      <c r="F203" s="24" t="s">
        <v>7201</v>
      </c>
      <c r="G203" s="24" t="b">
        <v>0</v>
      </c>
    </row>
    <row r="204" spans="1:7" ht="12.5" customHeight="1">
      <c r="A204" s="27">
        <v>13820</v>
      </c>
      <c r="B204" s="24" t="s">
        <v>7490</v>
      </c>
      <c r="C204" s="24" t="s">
        <v>9614</v>
      </c>
      <c r="D204" s="24" t="s">
        <v>7491</v>
      </c>
      <c r="E204" s="24" t="s">
        <v>7496</v>
      </c>
      <c r="F204" s="24" t="s">
        <v>7201</v>
      </c>
      <c r="G204" s="24" t="b">
        <v>1</v>
      </c>
    </row>
    <row r="205" spans="1:7" ht="12.5" customHeight="1">
      <c r="A205" s="27">
        <v>13900</v>
      </c>
      <c r="B205" s="24" t="s">
        <v>7497</v>
      </c>
      <c r="C205" s="24" t="s">
        <v>9614</v>
      </c>
      <c r="D205" s="24" t="s">
        <v>7138</v>
      </c>
      <c r="E205" s="24" t="s">
        <v>7498</v>
      </c>
      <c r="F205" s="24" t="s">
        <v>7499</v>
      </c>
      <c r="G205" s="24" t="b">
        <v>1</v>
      </c>
    </row>
    <row r="206" spans="1:7" ht="12.5" customHeight="1">
      <c r="A206" s="27">
        <v>13900</v>
      </c>
      <c r="B206" s="24" t="s">
        <v>7497</v>
      </c>
      <c r="C206" s="24" t="s">
        <v>9614</v>
      </c>
      <c r="D206" s="24" t="s">
        <v>7138</v>
      </c>
      <c r="E206" s="24" t="s">
        <v>7500</v>
      </c>
      <c r="F206" s="24" t="s">
        <v>7499</v>
      </c>
      <c r="G206" s="24" t="b">
        <v>1</v>
      </c>
    </row>
    <row r="207" spans="1:7" ht="12.5" customHeight="1">
      <c r="A207" s="27">
        <v>13900</v>
      </c>
      <c r="B207" s="24" t="s">
        <v>7497</v>
      </c>
      <c r="C207" s="24" t="s">
        <v>9614</v>
      </c>
      <c r="D207" s="24" t="s">
        <v>7138</v>
      </c>
      <c r="E207" s="24" t="s">
        <v>7501</v>
      </c>
      <c r="F207" s="24" t="s">
        <v>7499</v>
      </c>
      <c r="G207" s="24" t="b">
        <v>0</v>
      </c>
    </row>
    <row r="208" spans="1:7" ht="12.5" customHeight="1">
      <c r="A208" s="27">
        <v>13940</v>
      </c>
      <c r="B208" s="24" t="s">
        <v>7502</v>
      </c>
      <c r="C208" s="24" t="s">
        <v>9615</v>
      </c>
      <c r="D208" s="24" t="s">
        <v>7503</v>
      </c>
      <c r="E208" s="24" t="s">
        <v>7504</v>
      </c>
      <c r="F208" s="24" t="s">
        <v>7505</v>
      </c>
      <c r="G208" s="24" t="b">
        <v>1</v>
      </c>
    </row>
    <row r="209" spans="1:7" ht="12.5" customHeight="1">
      <c r="A209" s="27">
        <v>13980</v>
      </c>
      <c r="B209" s="24" t="s">
        <v>7506</v>
      </c>
      <c r="C209" s="24" t="s">
        <v>9614</v>
      </c>
      <c r="D209" s="24" t="s">
        <v>7138</v>
      </c>
      <c r="E209" s="24" t="s">
        <v>7507</v>
      </c>
      <c r="F209" s="24" t="s">
        <v>2920</v>
      </c>
      <c r="G209" s="24" t="b">
        <v>0</v>
      </c>
    </row>
    <row r="210" spans="1:7" ht="12.5" customHeight="1">
      <c r="A210" s="27">
        <v>13980</v>
      </c>
      <c r="B210" s="24" t="s">
        <v>7506</v>
      </c>
      <c r="C210" s="24" t="s">
        <v>9614</v>
      </c>
      <c r="D210" s="24" t="s">
        <v>7138</v>
      </c>
      <c r="E210" s="24" t="s">
        <v>7255</v>
      </c>
      <c r="F210" s="24" t="s">
        <v>2920</v>
      </c>
      <c r="G210" s="24" t="b">
        <v>1</v>
      </c>
    </row>
    <row r="211" spans="1:7" ht="12.5" customHeight="1">
      <c r="A211" s="27">
        <v>13980</v>
      </c>
      <c r="B211" s="24" t="s">
        <v>7506</v>
      </c>
      <c r="C211" s="24" t="s">
        <v>9614</v>
      </c>
      <c r="D211" s="24" t="s">
        <v>7138</v>
      </c>
      <c r="E211" s="24" t="s">
        <v>7508</v>
      </c>
      <c r="F211" s="24" t="s">
        <v>2920</v>
      </c>
      <c r="G211" s="24" t="b">
        <v>0</v>
      </c>
    </row>
    <row r="212" spans="1:7" ht="12.5" customHeight="1">
      <c r="A212" s="27">
        <v>13980</v>
      </c>
      <c r="B212" s="24" t="s">
        <v>7506</v>
      </c>
      <c r="C212" s="24" t="s">
        <v>9614</v>
      </c>
      <c r="D212" s="24" t="s">
        <v>7138</v>
      </c>
      <c r="E212" s="24" t="s">
        <v>7509</v>
      </c>
      <c r="F212" s="24" t="s">
        <v>2920</v>
      </c>
      <c r="G212" s="24" t="b">
        <v>1</v>
      </c>
    </row>
    <row r="213" spans="1:7" ht="12.5" customHeight="1">
      <c r="A213" s="27">
        <v>14010</v>
      </c>
      <c r="B213" s="24" t="s">
        <v>7510</v>
      </c>
      <c r="C213" s="24" t="s">
        <v>9614</v>
      </c>
      <c r="D213" s="24" t="s">
        <v>7511</v>
      </c>
      <c r="E213" s="24" t="s">
        <v>7512</v>
      </c>
      <c r="F213" s="24" t="s">
        <v>7513</v>
      </c>
      <c r="G213" s="24" t="b">
        <v>1</v>
      </c>
    </row>
    <row r="214" spans="1:7" ht="12.5" customHeight="1">
      <c r="A214" s="27">
        <v>14020</v>
      </c>
      <c r="B214" s="24" t="s">
        <v>7514</v>
      </c>
      <c r="C214" s="24" t="s">
        <v>9614</v>
      </c>
      <c r="D214" s="24" t="s">
        <v>7455</v>
      </c>
      <c r="E214" s="24" t="s">
        <v>7515</v>
      </c>
      <c r="F214" s="24" t="s">
        <v>4460</v>
      </c>
      <c r="G214" s="24" t="b">
        <v>1</v>
      </c>
    </row>
    <row r="215" spans="1:7" ht="12.5" customHeight="1">
      <c r="A215" s="27">
        <v>14020</v>
      </c>
      <c r="B215" s="24" t="s">
        <v>7514</v>
      </c>
      <c r="C215" s="24" t="s">
        <v>9614</v>
      </c>
      <c r="D215" s="24" t="s">
        <v>7455</v>
      </c>
      <c r="E215" s="24" t="s">
        <v>7516</v>
      </c>
      <c r="F215" s="24" t="s">
        <v>4460</v>
      </c>
      <c r="G215" s="24" t="b">
        <v>0</v>
      </c>
    </row>
    <row r="216" spans="1:7" ht="12.5" customHeight="1">
      <c r="A216" s="27">
        <v>14100</v>
      </c>
      <c r="B216" s="24" t="s">
        <v>7517</v>
      </c>
      <c r="C216" s="24" t="s">
        <v>9614</v>
      </c>
      <c r="D216" s="24" t="s">
        <v>7518</v>
      </c>
      <c r="E216" s="24" t="s">
        <v>7363</v>
      </c>
      <c r="F216" s="24" t="s">
        <v>7226</v>
      </c>
      <c r="G216" s="24" t="b">
        <v>1</v>
      </c>
    </row>
    <row r="217" spans="1:7" ht="12.5" customHeight="1">
      <c r="A217" s="27">
        <v>14100</v>
      </c>
      <c r="B217" s="24" t="s">
        <v>7517</v>
      </c>
      <c r="C217" s="24" t="s">
        <v>9614</v>
      </c>
      <c r="D217" s="24" t="s">
        <v>7518</v>
      </c>
      <c r="E217" s="24" t="s">
        <v>7519</v>
      </c>
      <c r="F217" s="24" t="s">
        <v>7226</v>
      </c>
      <c r="G217" s="24" t="b">
        <v>1</v>
      </c>
    </row>
    <row r="218" spans="1:7" ht="12.5" customHeight="1">
      <c r="A218" s="27">
        <v>14140</v>
      </c>
      <c r="B218" s="24" t="s">
        <v>7520</v>
      </c>
      <c r="C218" s="24" t="s">
        <v>9615</v>
      </c>
      <c r="D218" s="24" t="s">
        <v>7138</v>
      </c>
      <c r="E218" s="24" t="s">
        <v>7521</v>
      </c>
      <c r="F218" s="24" t="s">
        <v>2920</v>
      </c>
      <c r="G218" s="24" t="b">
        <v>0</v>
      </c>
    </row>
    <row r="219" spans="1:7" ht="12.5" customHeight="1">
      <c r="A219" s="27">
        <v>14140</v>
      </c>
      <c r="B219" s="24" t="s">
        <v>7520</v>
      </c>
      <c r="C219" s="24" t="s">
        <v>9615</v>
      </c>
      <c r="D219" s="24" t="s">
        <v>7138</v>
      </c>
      <c r="E219" s="24" t="s">
        <v>7522</v>
      </c>
      <c r="F219" s="24" t="s">
        <v>2920</v>
      </c>
      <c r="G219" s="24" t="b">
        <v>1</v>
      </c>
    </row>
    <row r="220" spans="1:7" ht="12.5" customHeight="1">
      <c r="A220" s="27">
        <v>14140</v>
      </c>
      <c r="B220" s="24" t="s">
        <v>7520</v>
      </c>
      <c r="C220" s="24" t="s">
        <v>9615</v>
      </c>
      <c r="D220" s="24" t="s">
        <v>7138</v>
      </c>
      <c r="E220" s="24" t="s">
        <v>7523</v>
      </c>
      <c r="F220" s="24" t="s">
        <v>7452</v>
      </c>
      <c r="G220" s="24" t="b">
        <v>1</v>
      </c>
    </row>
    <row r="221" spans="1:7" ht="12.5" customHeight="1">
      <c r="A221" s="27">
        <v>14160</v>
      </c>
      <c r="B221" s="24" t="s">
        <v>7524</v>
      </c>
      <c r="C221" s="24" t="s">
        <v>9615</v>
      </c>
      <c r="D221" s="24" t="s">
        <v>7263</v>
      </c>
      <c r="E221" s="24" t="s">
        <v>7525</v>
      </c>
      <c r="F221" s="24" t="s">
        <v>4460</v>
      </c>
      <c r="G221" s="24" t="b">
        <v>1</v>
      </c>
    </row>
    <row r="222" spans="1:7" ht="12.5" customHeight="1">
      <c r="A222" s="27">
        <v>14180</v>
      </c>
      <c r="B222" s="24" t="s">
        <v>7526</v>
      </c>
      <c r="C222" s="24" t="s">
        <v>9615</v>
      </c>
      <c r="D222" s="24" t="s">
        <v>7138</v>
      </c>
      <c r="E222" s="24" t="s">
        <v>7527</v>
      </c>
      <c r="F222" s="24" t="s">
        <v>7289</v>
      </c>
      <c r="G222" s="24" t="b">
        <v>1</v>
      </c>
    </row>
    <row r="223" spans="1:7" ht="12.5" customHeight="1">
      <c r="A223" s="27">
        <v>14220</v>
      </c>
      <c r="B223" s="24" t="s">
        <v>7528</v>
      </c>
      <c r="C223" s="24" t="s">
        <v>9615</v>
      </c>
      <c r="D223" s="24" t="s">
        <v>7529</v>
      </c>
      <c r="E223" s="24" t="s">
        <v>7530</v>
      </c>
      <c r="F223" s="24" t="s">
        <v>7214</v>
      </c>
      <c r="G223" s="24" t="b">
        <v>1</v>
      </c>
    </row>
    <row r="224" spans="1:7" ht="12.5" customHeight="1">
      <c r="A224" s="27">
        <v>14260</v>
      </c>
      <c r="B224" s="24" t="s">
        <v>7531</v>
      </c>
      <c r="C224" s="24" t="s">
        <v>9614</v>
      </c>
      <c r="D224" s="24" t="s">
        <v>7532</v>
      </c>
      <c r="E224" s="24" t="s">
        <v>7533</v>
      </c>
      <c r="F224" s="24" t="s">
        <v>7505</v>
      </c>
      <c r="G224" s="24" t="b">
        <v>1</v>
      </c>
    </row>
    <row r="225" spans="1:7" ht="12.5" customHeight="1">
      <c r="A225" s="27">
        <v>14260</v>
      </c>
      <c r="B225" s="24" t="s">
        <v>7531</v>
      </c>
      <c r="C225" s="24" t="s">
        <v>9614</v>
      </c>
      <c r="D225" s="24" t="s">
        <v>7532</v>
      </c>
      <c r="E225" s="24" t="s">
        <v>7534</v>
      </c>
      <c r="F225" s="24" t="s">
        <v>7505</v>
      </c>
      <c r="G225" s="24" t="b">
        <v>0</v>
      </c>
    </row>
    <row r="226" spans="1:7" ht="12.5" customHeight="1">
      <c r="A226" s="27">
        <v>14260</v>
      </c>
      <c r="B226" s="24" t="s">
        <v>7531</v>
      </c>
      <c r="C226" s="24" t="s">
        <v>9614</v>
      </c>
      <c r="D226" s="24" t="s">
        <v>7532</v>
      </c>
      <c r="E226" s="24" t="s">
        <v>7535</v>
      </c>
      <c r="F226" s="24" t="s">
        <v>7505</v>
      </c>
      <c r="G226" s="24" t="b">
        <v>0</v>
      </c>
    </row>
    <row r="227" spans="1:7" ht="12.5" customHeight="1">
      <c r="A227" s="27">
        <v>14260</v>
      </c>
      <c r="B227" s="24" t="s">
        <v>7531</v>
      </c>
      <c r="C227" s="24" t="s">
        <v>9614</v>
      </c>
      <c r="D227" s="24" t="s">
        <v>7532</v>
      </c>
      <c r="E227" s="24" t="s">
        <v>7536</v>
      </c>
      <c r="F227" s="24" t="s">
        <v>7505</v>
      </c>
      <c r="G227" s="24" t="b">
        <v>0</v>
      </c>
    </row>
    <row r="228" spans="1:7" ht="12.5" customHeight="1">
      <c r="A228" s="27">
        <v>14260</v>
      </c>
      <c r="B228" s="24" t="s">
        <v>7531</v>
      </c>
      <c r="C228" s="24" t="s">
        <v>9614</v>
      </c>
      <c r="D228" s="24" t="s">
        <v>7532</v>
      </c>
      <c r="E228" s="24" t="s">
        <v>7537</v>
      </c>
      <c r="F228" s="24" t="s">
        <v>7505</v>
      </c>
      <c r="G228" s="24" t="b">
        <v>0</v>
      </c>
    </row>
    <row r="229" spans="1:7" ht="12.5" customHeight="1">
      <c r="A229" s="27">
        <v>14300</v>
      </c>
      <c r="B229" s="24" t="s">
        <v>7538</v>
      </c>
      <c r="C229" s="24" t="s">
        <v>9615</v>
      </c>
      <c r="D229" s="24" t="s">
        <v>7314</v>
      </c>
      <c r="E229" s="24" t="s">
        <v>7539</v>
      </c>
      <c r="F229" s="24" t="s">
        <v>7147</v>
      </c>
      <c r="G229" s="24" t="b">
        <v>1</v>
      </c>
    </row>
    <row r="230" spans="1:7" ht="12.5" customHeight="1">
      <c r="A230" s="27">
        <v>14380</v>
      </c>
      <c r="B230" s="24" t="s">
        <v>7540</v>
      </c>
      <c r="C230" s="24" t="s">
        <v>9615</v>
      </c>
      <c r="D230" s="24" t="s">
        <v>7138</v>
      </c>
      <c r="E230" s="24" t="s">
        <v>7541</v>
      </c>
      <c r="F230" s="24" t="s">
        <v>7195</v>
      </c>
      <c r="G230" s="24" t="b">
        <v>1</v>
      </c>
    </row>
    <row r="231" spans="1:7" ht="12.5" customHeight="1">
      <c r="A231" s="27">
        <v>14420</v>
      </c>
      <c r="B231" s="24" t="s">
        <v>7542</v>
      </c>
      <c r="C231" s="24" t="s">
        <v>9615</v>
      </c>
      <c r="D231" s="24" t="s">
        <v>7240</v>
      </c>
      <c r="E231" s="24" t="s">
        <v>7543</v>
      </c>
      <c r="F231" s="24" t="s">
        <v>7147</v>
      </c>
      <c r="G231" s="24" t="b">
        <v>1</v>
      </c>
    </row>
    <row r="232" spans="1:7" ht="12.5" customHeight="1">
      <c r="A232" s="27">
        <v>14460</v>
      </c>
      <c r="B232" s="24" t="s">
        <v>7544</v>
      </c>
      <c r="C232" s="24" t="s">
        <v>9614</v>
      </c>
      <c r="D232" s="24" t="s">
        <v>7406</v>
      </c>
      <c r="E232" s="24" t="s">
        <v>7545</v>
      </c>
      <c r="F232" s="24" t="s">
        <v>7408</v>
      </c>
      <c r="G232" s="24" t="b">
        <v>1</v>
      </c>
    </row>
    <row r="233" spans="1:7" ht="12.5" customHeight="1">
      <c r="A233" s="27">
        <v>14460</v>
      </c>
      <c r="B233" s="24" t="s">
        <v>7544</v>
      </c>
      <c r="C233" s="24" t="s">
        <v>9614</v>
      </c>
      <c r="D233" s="24" t="s">
        <v>7406</v>
      </c>
      <c r="E233" s="24" t="s">
        <v>7546</v>
      </c>
      <c r="F233" s="24" t="s">
        <v>7408</v>
      </c>
      <c r="G233" s="24" t="b">
        <v>1</v>
      </c>
    </row>
    <row r="234" spans="1:7" ht="12.5" customHeight="1">
      <c r="A234" s="27">
        <v>14460</v>
      </c>
      <c r="B234" s="24" t="s">
        <v>7544</v>
      </c>
      <c r="C234" s="24" t="s">
        <v>9614</v>
      </c>
      <c r="D234" s="24" t="s">
        <v>7406</v>
      </c>
      <c r="E234" s="24" t="s">
        <v>7547</v>
      </c>
      <c r="F234" s="24" t="s">
        <v>7408</v>
      </c>
      <c r="G234" s="24" t="b">
        <v>1</v>
      </c>
    </row>
    <row r="235" spans="1:7" ht="12.5" customHeight="1">
      <c r="A235" s="27">
        <v>14460</v>
      </c>
      <c r="B235" s="24" t="s">
        <v>7544</v>
      </c>
      <c r="C235" s="24" t="s">
        <v>9614</v>
      </c>
      <c r="D235" s="24" t="s">
        <v>7406</v>
      </c>
      <c r="E235" s="24" t="s">
        <v>7548</v>
      </c>
      <c r="F235" s="24" t="s">
        <v>7408</v>
      </c>
      <c r="G235" s="24" t="b">
        <v>1</v>
      </c>
    </row>
    <row r="236" spans="1:7" ht="12.5" customHeight="1">
      <c r="A236" s="27">
        <v>14460</v>
      </c>
      <c r="B236" s="24" t="s">
        <v>7544</v>
      </c>
      <c r="C236" s="24" t="s">
        <v>9614</v>
      </c>
      <c r="D236" s="24" t="s">
        <v>7406</v>
      </c>
      <c r="E236" s="24" t="s">
        <v>7549</v>
      </c>
      <c r="F236" s="24" t="s">
        <v>7408</v>
      </c>
      <c r="G236" s="24" t="b">
        <v>1</v>
      </c>
    </row>
    <row r="237" spans="1:7" ht="12.5" customHeight="1">
      <c r="A237" s="27">
        <v>14460</v>
      </c>
      <c r="B237" s="24" t="s">
        <v>7544</v>
      </c>
      <c r="C237" s="24" t="s">
        <v>9614</v>
      </c>
      <c r="D237" s="24" t="s">
        <v>7406</v>
      </c>
      <c r="E237" s="24" t="s">
        <v>7550</v>
      </c>
      <c r="F237" s="24" t="s">
        <v>7475</v>
      </c>
      <c r="G237" s="24" t="b">
        <v>1</v>
      </c>
    </row>
    <row r="238" spans="1:7" ht="12.5" customHeight="1">
      <c r="A238" s="27">
        <v>14460</v>
      </c>
      <c r="B238" s="24" t="s">
        <v>7544</v>
      </c>
      <c r="C238" s="24" t="s">
        <v>9614</v>
      </c>
      <c r="D238" s="24" t="s">
        <v>7406</v>
      </c>
      <c r="E238" s="24" t="s">
        <v>7551</v>
      </c>
      <c r="F238" s="24" t="s">
        <v>7475</v>
      </c>
      <c r="G238" s="24" t="b">
        <v>0</v>
      </c>
    </row>
    <row r="239" spans="1:7" ht="12.5" customHeight="1">
      <c r="A239" s="27">
        <v>14500</v>
      </c>
      <c r="B239" s="24" t="s">
        <v>7552</v>
      </c>
      <c r="C239" s="24" t="s">
        <v>9614</v>
      </c>
      <c r="D239" s="24" t="s">
        <v>7553</v>
      </c>
      <c r="E239" s="24" t="s">
        <v>7554</v>
      </c>
      <c r="F239" s="24" t="s">
        <v>7555</v>
      </c>
      <c r="G239" s="24" t="b">
        <v>1</v>
      </c>
    </row>
    <row r="240" spans="1:7" ht="12.5" customHeight="1">
      <c r="A240" s="27">
        <v>14540</v>
      </c>
      <c r="B240" s="24" t="s">
        <v>7556</v>
      </c>
      <c r="C240" s="24" t="s">
        <v>9614</v>
      </c>
      <c r="D240" s="24" t="s">
        <v>7557</v>
      </c>
      <c r="E240" s="24" t="s">
        <v>7558</v>
      </c>
      <c r="F240" s="24" t="s">
        <v>7404</v>
      </c>
      <c r="G240" s="24" t="b">
        <v>0</v>
      </c>
    </row>
    <row r="241" spans="1:7" ht="12.5" customHeight="1">
      <c r="A241" s="27">
        <v>14540</v>
      </c>
      <c r="B241" s="24" t="s">
        <v>7556</v>
      </c>
      <c r="C241" s="24" t="s">
        <v>9614</v>
      </c>
      <c r="D241" s="24" t="s">
        <v>7557</v>
      </c>
      <c r="E241" s="24" t="s">
        <v>7559</v>
      </c>
      <c r="F241" s="24" t="s">
        <v>7404</v>
      </c>
      <c r="G241" s="24" t="b">
        <v>0</v>
      </c>
    </row>
    <row r="242" spans="1:7" ht="12.5" customHeight="1">
      <c r="A242" s="27">
        <v>14540</v>
      </c>
      <c r="B242" s="24" t="s">
        <v>7556</v>
      </c>
      <c r="C242" s="24" t="s">
        <v>9614</v>
      </c>
      <c r="D242" s="24" t="s">
        <v>7557</v>
      </c>
      <c r="E242" s="24" t="s">
        <v>7560</v>
      </c>
      <c r="F242" s="24" t="s">
        <v>7404</v>
      </c>
      <c r="G242" s="24" t="b">
        <v>0</v>
      </c>
    </row>
    <row r="243" spans="1:7" ht="12.5" customHeight="1">
      <c r="A243" s="27">
        <v>14540</v>
      </c>
      <c r="B243" s="24" t="s">
        <v>7556</v>
      </c>
      <c r="C243" s="24" t="s">
        <v>9614</v>
      </c>
      <c r="D243" s="24" t="s">
        <v>7557</v>
      </c>
      <c r="E243" s="24" t="s">
        <v>7223</v>
      </c>
      <c r="F243" s="24" t="s">
        <v>7404</v>
      </c>
      <c r="G243" s="24" t="b">
        <v>1</v>
      </c>
    </row>
    <row r="244" spans="1:7" ht="12.5" customHeight="1">
      <c r="A244" s="27">
        <v>14580</v>
      </c>
      <c r="B244" s="24" t="s">
        <v>7561</v>
      </c>
      <c r="C244" s="24" t="s">
        <v>9615</v>
      </c>
      <c r="D244" s="24" t="s">
        <v>7138</v>
      </c>
      <c r="E244" s="24" t="s">
        <v>7562</v>
      </c>
      <c r="F244" s="24" t="s">
        <v>7484</v>
      </c>
      <c r="G244" s="24" t="b">
        <v>1</v>
      </c>
    </row>
    <row r="245" spans="1:7" ht="12.5" customHeight="1">
      <c r="A245" s="27">
        <v>14620</v>
      </c>
      <c r="B245" s="24" t="s">
        <v>7563</v>
      </c>
      <c r="C245" s="24" t="s">
        <v>9615</v>
      </c>
      <c r="D245" s="24" t="s">
        <v>7138</v>
      </c>
      <c r="E245" s="24" t="s">
        <v>7564</v>
      </c>
      <c r="F245" s="24" t="s">
        <v>7226</v>
      </c>
      <c r="G245" s="24" t="b">
        <v>1</v>
      </c>
    </row>
    <row r="246" spans="1:7" ht="12.5" customHeight="1">
      <c r="A246" s="27">
        <v>14660</v>
      </c>
      <c r="B246" s="24" t="s">
        <v>7565</v>
      </c>
      <c r="C246" s="24" t="s">
        <v>9615</v>
      </c>
      <c r="D246" s="24" t="s">
        <v>7138</v>
      </c>
      <c r="E246" s="24" t="s">
        <v>7566</v>
      </c>
      <c r="F246" s="24" t="s">
        <v>7198</v>
      </c>
      <c r="G246" s="24" t="b">
        <v>0</v>
      </c>
    </row>
    <row r="247" spans="1:7" ht="12.5" customHeight="1">
      <c r="A247" s="27">
        <v>14660</v>
      </c>
      <c r="B247" s="24" t="s">
        <v>7565</v>
      </c>
      <c r="C247" s="24" t="s">
        <v>9615</v>
      </c>
      <c r="D247" s="24" t="s">
        <v>7138</v>
      </c>
      <c r="E247" s="24" t="s">
        <v>7567</v>
      </c>
      <c r="F247" s="24" t="s">
        <v>7198</v>
      </c>
      <c r="G247" s="24" t="b">
        <v>1</v>
      </c>
    </row>
    <row r="248" spans="1:7" ht="12.5" customHeight="1">
      <c r="A248" s="27">
        <v>14700</v>
      </c>
      <c r="B248" s="24" t="s">
        <v>7568</v>
      </c>
      <c r="C248" s="24" t="s">
        <v>9615</v>
      </c>
      <c r="D248" s="24" t="s">
        <v>7138</v>
      </c>
      <c r="E248" s="24" t="s">
        <v>7569</v>
      </c>
      <c r="F248" s="24" t="s">
        <v>7570</v>
      </c>
      <c r="G248" s="24" t="b">
        <v>1</v>
      </c>
    </row>
    <row r="249" spans="1:7" ht="12.5" customHeight="1">
      <c r="A249" s="27">
        <v>14720</v>
      </c>
      <c r="B249" s="24" t="s">
        <v>7571</v>
      </c>
      <c r="C249" s="24" t="s">
        <v>9615</v>
      </c>
      <c r="D249" s="24" t="s">
        <v>7138</v>
      </c>
      <c r="E249" s="24" t="s">
        <v>7172</v>
      </c>
      <c r="F249" s="24" t="s">
        <v>7555</v>
      </c>
      <c r="G249" s="24" t="b">
        <v>1</v>
      </c>
    </row>
    <row r="250" spans="1:7" ht="12.5" customHeight="1">
      <c r="A250" s="27">
        <v>14740</v>
      </c>
      <c r="B250" s="24" t="s">
        <v>7572</v>
      </c>
      <c r="C250" s="24" t="s">
        <v>9614</v>
      </c>
      <c r="D250" s="24" t="s">
        <v>7573</v>
      </c>
      <c r="E250" s="24" t="s">
        <v>7574</v>
      </c>
      <c r="F250" s="24" t="s">
        <v>1134</v>
      </c>
      <c r="G250" s="24" t="b">
        <v>1</v>
      </c>
    </row>
    <row r="251" spans="1:7" ht="12.5" customHeight="1">
      <c r="A251" s="27">
        <v>14780</v>
      </c>
      <c r="B251" s="24" t="s">
        <v>7575</v>
      </c>
      <c r="C251" s="24" t="s">
        <v>9615</v>
      </c>
      <c r="D251" s="24" t="s">
        <v>7438</v>
      </c>
      <c r="E251" s="24" t="s">
        <v>7411</v>
      </c>
      <c r="F251" s="24" t="s">
        <v>7147</v>
      </c>
      <c r="G251" s="24" t="b">
        <v>1</v>
      </c>
    </row>
    <row r="252" spans="1:7" ht="12.5" customHeight="1">
      <c r="A252" s="27">
        <v>14820</v>
      </c>
      <c r="B252" s="24" t="s">
        <v>7576</v>
      </c>
      <c r="C252" s="24" t="s">
        <v>9615</v>
      </c>
      <c r="D252" s="24" t="s">
        <v>7291</v>
      </c>
      <c r="E252" s="24" t="s">
        <v>7577</v>
      </c>
      <c r="F252" s="24" t="s">
        <v>7195</v>
      </c>
      <c r="G252" s="24" t="b">
        <v>1</v>
      </c>
    </row>
    <row r="253" spans="1:7" ht="12.5" customHeight="1">
      <c r="A253" s="27">
        <v>14860</v>
      </c>
      <c r="B253" s="24" t="s">
        <v>7578</v>
      </c>
      <c r="C253" s="24" t="s">
        <v>9614</v>
      </c>
      <c r="D253" s="24" t="s">
        <v>7579</v>
      </c>
      <c r="E253" s="24" t="s">
        <v>7580</v>
      </c>
      <c r="F253" s="24" t="s">
        <v>7581</v>
      </c>
      <c r="G253" s="24" t="b">
        <v>1</v>
      </c>
    </row>
    <row r="254" spans="1:7" ht="12.5" customHeight="1">
      <c r="A254" s="27">
        <v>15020</v>
      </c>
      <c r="B254" s="24" t="s">
        <v>7582</v>
      </c>
      <c r="C254" s="24" t="s">
        <v>9615</v>
      </c>
      <c r="D254" s="24" t="s">
        <v>7583</v>
      </c>
      <c r="E254" s="24" t="s">
        <v>7364</v>
      </c>
      <c r="F254" s="24" t="s">
        <v>7584</v>
      </c>
      <c r="G254" s="24" t="b">
        <v>1</v>
      </c>
    </row>
    <row r="255" spans="1:7" ht="12.5" customHeight="1">
      <c r="A255" s="27">
        <v>15060</v>
      </c>
      <c r="B255" s="24" t="s">
        <v>7585</v>
      </c>
      <c r="C255" s="24" t="s">
        <v>9615</v>
      </c>
      <c r="D255" s="24" t="s">
        <v>7138</v>
      </c>
      <c r="E255" s="24" t="s">
        <v>7586</v>
      </c>
      <c r="F255" s="24" t="s">
        <v>4053</v>
      </c>
      <c r="G255" s="24" t="b">
        <v>1</v>
      </c>
    </row>
    <row r="256" spans="1:7" ht="12.5" customHeight="1">
      <c r="A256" s="27">
        <v>15100</v>
      </c>
      <c r="B256" s="24" t="s">
        <v>7587</v>
      </c>
      <c r="C256" s="24" t="s">
        <v>9615</v>
      </c>
      <c r="D256" s="24" t="s">
        <v>7138</v>
      </c>
      <c r="E256" s="24" t="s">
        <v>7588</v>
      </c>
      <c r="F256" s="24" t="s">
        <v>7141</v>
      </c>
      <c r="G256" s="24" t="b">
        <v>1</v>
      </c>
    </row>
    <row r="257" spans="1:7" ht="12.5" customHeight="1">
      <c r="A257" s="27">
        <v>15140</v>
      </c>
      <c r="B257" s="24" t="s">
        <v>7589</v>
      </c>
      <c r="C257" s="24" t="s">
        <v>9615</v>
      </c>
      <c r="D257" s="24" t="s">
        <v>7590</v>
      </c>
      <c r="E257" s="24" t="s">
        <v>7293</v>
      </c>
      <c r="F257" s="24" t="s">
        <v>7312</v>
      </c>
      <c r="G257" s="24" t="b">
        <v>1</v>
      </c>
    </row>
    <row r="258" spans="1:7" ht="12.5" customHeight="1">
      <c r="A258" s="27">
        <v>15180</v>
      </c>
      <c r="B258" s="24" t="s">
        <v>7591</v>
      </c>
      <c r="C258" s="24" t="s">
        <v>9614</v>
      </c>
      <c r="D258" s="24" t="s">
        <v>7592</v>
      </c>
      <c r="E258" s="24" t="s">
        <v>7593</v>
      </c>
      <c r="F258" s="24" t="s">
        <v>7147</v>
      </c>
      <c r="G258" s="24" t="b">
        <v>1</v>
      </c>
    </row>
    <row r="259" spans="1:7" ht="12.5" customHeight="1">
      <c r="A259" s="27">
        <v>15220</v>
      </c>
      <c r="B259" s="24" t="s">
        <v>7594</v>
      </c>
      <c r="C259" s="24" t="s">
        <v>9615</v>
      </c>
      <c r="D259" s="24" t="s">
        <v>7138</v>
      </c>
      <c r="E259" s="24" t="s">
        <v>7140</v>
      </c>
      <c r="F259" s="24" t="s">
        <v>7147</v>
      </c>
      <c r="G259" s="24" t="b">
        <v>1</v>
      </c>
    </row>
    <row r="260" spans="1:7" ht="12.5" customHeight="1">
      <c r="A260" s="27">
        <v>15260</v>
      </c>
      <c r="B260" s="24" t="s">
        <v>7595</v>
      </c>
      <c r="C260" s="24" t="s">
        <v>9614</v>
      </c>
      <c r="D260" s="24" t="s">
        <v>7138</v>
      </c>
      <c r="E260" s="24" t="s">
        <v>7596</v>
      </c>
      <c r="F260" s="24" t="s">
        <v>7178</v>
      </c>
      <c r="G260" s="24" t="b">
        <v>0</v>
      </c>
    </row>
    <row r="261" spans="1:7" ht="12.5" customHeight="1">
      <c r="A261" s="27">
        <v>15260</v>
      </c>
      <c r="B261" s="24" t="s">
        <v>7595</v>
      </c>
      <c r="C261" s="24" t="s">
        <v>9614</v>
      </c>
      <c r="D261" s="24" t="s">
        <v>7138</v>
      </c>
      <c r="E261" s="24" t="s">
        <v>7597</v>
      </c>
      <c r="F261" s="24" t="s">
        <v>7178</v>
      </c>
      <c r="G261" s="24" t="b">
        <v>1</v>
      </c>
    </row>
    <row r="262" spans="1:7" ht="12.5" customHeight="1">
      <c r="A262" s="27">
        <v>15260</v>
      </c>
      <c r="B262" s="24" t="s">
        <v>7595</v>
      </c>
      <c r="C262" s="24" t="s">
        <v>9614</v>
      </c>
      <c r="D262" s="24" t="s">
        <v>7138</v>
      </c>
      <c r="E262" s="24" t="s">
        <v>7598</v>
      </c>
      <c r="F262" s="24" t="s">
        <v>7178</v>
      </c>
      <c r="G262" s="24" t="b">
        <v>0</v>
      </c>
    </row>
    <row r="263" spans="1:7" ht="12.5" customHeight="1">
      <c r="A263" s="27">
        <v>15340</v>
      </c>
      <c r="B263" s="24" t="s">
        <v>7599</v>
      </c>
      <c r="C263" s="24" t="s">
        <v>9615</v>
      </c>
      <c r="D263" s="24" t="s">
        <v>7297</v>
      </c>
      <c r="E263" s="24" t="s">
        <v>7600</v>
      </c>
      <c r="F263" s="24" t="s">
        <v>7171</v>
      </c>
      <c r="G263" s="24" t="b">
        <v>1</v>
      </c>
    </row>
    <row r="264" spans="1:7" ht="12.5" customHeight="1">
      <c r="A264" s="27">
        <v>15380</v>
      </c>
      <c r="B264" s="24" t="s">
        <v>7601</v>
      </c>
      <c r="C264" s="24" t="s">
        <v>9614</v>
      </c>
      <c r="D264" s="24" t="s">
        <v>7602</v>
      </c>
      <c r="E264" s="24" t="s">
        <v>7603</v>
      </c>
      <c r="F264" s="24" t="s">
        <v>3775</v>
      </c>
      <c r="G264" s="24" t="b">
        <v>1</v>
      </c>
    </row>
    <row r="265" spans="1:7" ht="12.5" customHeight="1">
      <c r="A265" s="27">
        <v>15380</v>
      </c>
      <c r="B265" s="24" t="s">
        <v>7601</v>
      </c>
      <c r="C265" s="24" t="s">
        <v>9614</v>
      </c>
      <c r="D265" s="24" t="s">
        <v>7602</v>
      </c>
      <c r="E265" s="24" t="s">
        <v>7604</v>
      </c>
      <c r="F265" s="24" t="s">
        <v>3775</v>
      </c>
      <c r="G265" s="24" t="b">
        <v>1</v>
      </c>
    </row>
    <row r="266" spans="1:7" ht="12.5" customHeight="1">
      <c r="A266" s="27">
        <v>15420</v>
      </c>
      <c r="B266" s="24" t="s">
        <v>7605</v>
      </c>
      <c r="C266" s="24" t="s">
        <v>9615</v>
      </c>
      <c r="D266" s="24" t="s">
        <v>7138</v>
      </c>
      <c r="E266" s="24" t="s">
        <v>7606</v>
      </c>
      <c r="F266" s="24" t="s">
        <v>7505</v>
      </c>
      <c r="G266" s="24" t="b">
        <v>1</v>
      </c>
    </row>
    <row r="267" spans="1:7" ht="12.5" customHeight="1">
      <c r="A267" s="27">
        <v>15420</v>
      </c>
      <c r="B267" s="24" t="s">
        <v>7605</v>
      </c>
      <c r="C267" s="24" t="s">
        <v>9615</v>
      </c>
      <c r="D267" s="24" t="s">
        <v>7138</v>
      </c>
      <c r="E267" s="24" t="s">
        <v>7607</v>
      </c>
      <c r="F267" s="24" t="s">
        <v>7505</v>
      </c>
      <c r="G267" s="24" t="b">
        <v>0</v>
      </c>
    </row>
    <row r="268" spans="1:7" ht="12.5" customHeight="1">
      <c r="A268" s="27">
        <v>15460</v>
      </c>
      <c r="B268" s="24" t="s">
        <v>7608</v>
      </c>
      <c r="C268" s="24" t="s">
        <v>9615</v>
      </c>
      <c r="D268" s="24" t="s">
        <v>7609</v>
      </c>
      <c r="E268" s="24" t="s">
        <v>7294</v>
      </c>
      <c r="F268" s="24" t="s">
        <v>7513</v>
      </c>
      <c r="G268" s="24" t="b">
        <v>0</v>
      </c>
    </row>
    <row r="269" spans="1:7" ht="12.5" customHeight="1">
      <c r="A269" s="27">
        <v>15460</v>
      </c>
      <c r="B269" s="24" t="s">
        <v>7608</v>
      </c>
      <c r="C269" s="24" t="s">
        <v>9615</v>
      </c>
      <c r="D269" s="24" t="s">
        <v>7609</v>
      </c>
      <c r="E269" s="24" t="s">
        <v>7610</v>
      </c>
      <c r="F269" s="24" t="s">
        <v>7252</v>
      </c>
      <c r="G269" s="24" t="b">
        <v>1</v>
      </c>
    </row>
    <row r="270" spans="1:7" ht="12.5" customHeight="1">
      <c r="A270" s="27">
        <v>15500</v>
      </c>
      <c r="B270" s="24" t="s">
        <v>7611</v>
      </c>
      <c r="C270" s="24" t="s">
        <v>9614</v>
      </c>
      <c r="D270" s="24" t="s">
        <v>7612</v>
      </c>
      <c r="E270" s="24" t="s">
        <v>7613</v>
      </c>
      <c r="F270" s="24" t="s">
        <v>7195</v>
      </c>
      <c r="G270" s="24" t="b">
        <v>1</v>
      </c>
    </row>
    <row r="271" spans="1:7" ht="12.5" customHeight="1">
      <c r="A271" s="27">
        <v>15540</v>
      </c>
      <c r="B271" s="24" t="s">
        <v>7614</v>
      </c>
      <c r="C271" s="24" t="s">
        <v>9614</v>
      </c>
      <c r="D271" s="24" t="s">
        <v>7410</v>
      </c>
      <c r="E271" s="24" t="s">
        <v>7615</v>
      </c>
      <c r="F271" s="24" t="s">
        <v>7412</v>
      </c>
      <c r="G271" s="24" t="b">
        <v>1</v>
      </c>
    </row>
    <row r="272" spans="1:7" ht="12.5" customHeight="1">
      <c r="A272" s="27">
        <v>15540</v>
      </c>
      <c r="B272" s="24" t="s">
        <v>7614</v>
      </c>
      <c r="C272" s="24" t="s">
        <v>9614</v>
      </c>
      <c r="D272" s="24" t="s">
        <v>7410</v>
      </c>
      <c r="E272" s="24" t="s">
        <v>7616</v>
      </c>
      <c r="F272" s="24" t="s">
        <v>7412</v>
      </c>
      <c r="G272" s="24" t="b">
        <v>0</v>
      </c>
    </row>
    <row r="273" spans="1:7" ht="12.5" customHeight="1">
      <c r="A273" s="27">
        <v>15540</v>
      </c>
      <c r="B273" s="24" t="s">
        <v>7614</v>
      </c>
      <c r="C273" s="24" t="s">
        <v>9614</v>
      </c>
      <c r="D273" s="24" t="s">
        <v>7410</v>
      </c>
      <c r="E273" s="24" t="s">
        <v>7617</v>
      </c>
      <c r="F273" s="24" t="s">
        <v>7412</v>
      </c>
      <c r="G273" s="24" t="b">
        <v>0</v>
      </c>
    </row>
    <row r="274" spans="1:7" ht="12.5" customHeight="1">
      <c r="A274" s="27">
        <v>15580</v>
      </c>
      <c r="B274" s="24" t="s">
        <v>7618</v>
      </c>
      <c r="C274" s="24" t="s">
        <v>9615</v>
      </c>
      <c r="D274" s="24" t="s">
        <v>7138</v>
      </c>
      <c r="E274" s="24" t="s">
        <v>7619</v>
      </c>
      <c r="F274" s="24" t="s">
        <v>7484</v>
      </c>
      <c r="G274" s="24" t="b">
        <v>1</v>
      </c>
    </row>
    <row r="275" spans="1:7" ht="12.5" customHeight="1">
      <c r="A275" s="27">
        <v>15620</v>
      </c>
      <c r="B275" s="24" t="s">
        <v>7620</v>
      </c>
      <c r="C275" s="24" t="s">
        <v>9615</v>
      </c>
      <c r="D275" s="24" t="s">
        <v>7138</v>
      </c>
      <c r="E275" s="24" t="s">
        <v>7621</v>
      </c>
      <c r="F275" s="24" t="s">
        <v>7156</v>
      </c>
      <c r="G275" s="24" t="b">
        <v>0</v>
      </c>
    </row>
    <row r="276" spans="1:7" ht="12.5" customHeight="1">
      <c r="A276" s="27">
        <v>15620</v>
      </c>
      <c r="B276" s="24" t="s">
        <v>7620</v>
      </c>
      <c r="C276" s="24" t="s">
        <v>9615</v>
      </c>
      <c r="D276" s="24" t="s">
        <v>7138</v>
      </c>
      <c r="E276" s="24" t="s">
        <v>7622</v>
      </c>
      <c r="F276" s="24" t="s">
        <v>7156</v>
      </c>
      <c r="G276" s="24" t="b">
        <v>1</v>
      </c>
    </row>
    <row r="277" spans="1:7" ht="12.5" customHeight="1">
      <c r="A277" s="27">
        <v>15660</v>
      </c>
      <c r="B277" s="24" t="s">
        <v>7623</v>
      </c>
      <c r="C277" s="24" t="s">
        <v>9615</v>
      </c>
      <c r="D277" s="24" t="s">
        <v>7310</v>
      </c>
      <c r="E277" s="24" t="s">
        <v>7624</v>
      </c>
      <c r="F277" s="24" t="s">
        <v>7178</v>
      </c>
      <c r="G277" s="24" t="b">
        <v>1</v>
      </c>
    </row>
    <row r="278" spans="1:7" ht="12.5" customHeight="1">
      <c r="A278" s="27">
        <v>15680</v>
      </c>
      <c r="B278" s="24" t="s">
        <v>7625</v>
      </c>
      <c r="C278" s="24" t="s">
        <v>9614</v>
      </c>
      <c r="D278" s="24" t="s">
        <v>7388</v>
      </c>
      <c r="E278" s="24" t="s">
        <v>7626</v>
      </c>
      <c r="F278" s="24" t="s">
        <v>7390</v>
      </c>
      <c r="G278" s="24" t="b">
        <v>1</v>
      </c>
    </row>
    <row r="279" spans="1:7" ht="12.5" customHeight="1">
      <c r="A279" s="27">
        <v>15700</v>
      </c>
      <c r="B279" s="24" t="s">
        <v>7627</v>
      </c>
      <c r="C279" s="24" t="s">
        <v>9615</v>
      </c>
      <c r="D279" s="24" t="s">
        <v>7628</v>
      </c>
      <c r="E279" s="24" t="s">
        <v>7629</v>
      </c>
      <c r="F279" s="24" t="s">
        <v>7390</v>
      </c>
      <c r="G279" s="24" t="b">
        <v>1</v>
      </c>
    </row>
    <row r="280" spans="1:7" ht="12.5" customHeight="1">
      <c r="A280" s="27">
        <v>15740</v>
      </c>
      <c r="B280" s="24" t="s">
        <v>7630</v>
      </c>
      <c r="C280" s="24" t="s">
        <v>9615</v>
      </c>
      <c r="D280" s="24" t="s">
        <v>7460</v>
      </c>
      <c r="E280" s="24" t="s">
        <v>7631</v>
      </c>
      <c r="F280" s="24" t="s">
        <v>7171</v>
      </c>
      <c r="G280" s="24" t="b">
        <v>1</v>
      </c>
    </row>
    <row r="281" spans="1:7" ht="12.5" customHeight="1">
      <c r="A281" s="27">
        <v>15780</v>
      </c>
      <c r="B281" s="24" t="s">
        <v>7632</v>
      </c>
      <c r="C281" s="24" t="s">
        <v>9615</v>
      </c>
      <c r="D281" s="24" t="s">
        <v>7138</v>
      </c>
      <c r="E281" s="24" t="s">
        <v>7268</v>
      </c>
      <c r="F281" s="24" t="s">
        <v>7289</v>
      </c>
      <c r="G281" s="24" t="b">
        <v>0</v>
      </c>
    </row>
    <row r="282" spans="1:7" ht="12.5" customHeight="1">
      <c r="A282" s="27">
        <v>15780</v>
      </c>
      <c r="B282" s="24" t="s">
        <v>7632</v>
      </c>
      <c r="C282" s="24" t="s">
        <v>9615</v>
      </c>
      <c r="D282" s="24" t="s">
        <v>7138</v>
      </c>
      <c r="E282" s="24" t="s">
        <v>7633</v>
      </c>
      <c r="F282" s="24" t="s">
        <v>7289</v>
      </c>
      <c r="G282" s="24" t="b">
        <v>1</v>
      </c>
    </row>
    <row r="283" spans="1:7" ht="12.5" customHeight="1">
      <c r="A283" s="27">
        <v>15820</v>
      </c>
      <c r="B283" s="24" t="s">
        <v>7634</v>
      </c>
      <c r="C283" s="24" t="s">
        <v>9615</v>
      </c>
      <c r="D283" s="24" t="s">
        <v>7138</v>
      </c>
      <c r="E283" s="24" t="s">
        <v>7635</v>
      </c>
      <c r="F283" s="24" t="s">
        <v>7404</v>
      </c>
      <c r="G283" s="24" t="b">
        <v>0</v>
      </c>
    </row>
    <row r="284" spans="1:7" ht="12.5" customHeight="1">
      <c r="A284" s="27">
        <v>15820</v>
      </c>
      <c r="B284" s="24" t="s">
        <v>7634</v>
      </c>
      <c r="C284" s="24" t="s">
        <v>9615</v>
      </c>
      <c r="D284" s="24" t="s">
        <v>7138</v>
      </c>
      <c r="E284" s="24" t="s">
        <v>7149</v>
      </c>
      <c r="F284" s="24" t="s">
        <v>7404</v>
      </c>
      <c r="G284" s="24" t="b">
        <v>1</v>
      </c>
    </row>
    <row r="285" spans="1:7" ht="12.5" customHeight="1">
      <c r="A285" s="27">
        <v>15860</v>
      </c>
      <c r="B285" s="24" t="s">
        <v>7636</v>
      </c>
      <c r="C285" s="24" t="s">
        <v>9615</v>
      </c>
      <c r="D285" s="24" t="s">
        <v>7637</v>
      </c>
      <c r="E285" s="24" t="s">
        <v>7638</v>
      </c>
      <c r="F285" s="24" t="s">
        <v>7555</v>
      </c>
      <c r="G285" s="24" t="b">
        <v>1</v>
      </c>
    </row>
    <row r="286" spans="1:7" ht="12.5" customHeight="1">
      <c r="A286" s="27">
        <v>15940</v>
      </c>
      <c r="B286" s="24" t="s">
        <v>7639</v>
      </c>
      <c r="C286" s="24" t="s">
        <v>9614</v>
      </c>
      <c r="D286" s="24" t="s">
        <v>7169</v>
      </c>
      <c r="E286" s="24" t="s">
        <v>7324</v>
      </c>
      <c r="F286" s="24" t="s">
        <v>7171</v>
      </c>
      <c r="G286" s="24" t="b">
        <v>0</v>
      </c>
    </row>
    <row r="287" spans="1:7" ht="12.5" customHeight="1">
      <c r="A287" s="27">
        <v>15940</v>
      </c>
      <c r="B287" s="24" t="s">
        <v>7639</v>
      </c>
      <c r="C287" s="24" t="s">
        <v>9614</v>
      </c>
      <c r="D287" s="24" t="s">
        <v>7169</v>
      </c>
      <c r="E287" s="24" t="s">
        <v>7640</v>
      </c>
      <c r="F287" s="24" t="s">
        <v>7171</v>
      </c>
      <c r="G287" s="24" t="b">
        <v>1</v>
      </c>
    </row>
    <row r="288" spans="1:7" ht="12.5" customHeight="1">
      <c r="A288" s="27">
        <v>15980</v>
      </c>
      <c r="B288" s="24" t="s">
        <v>7641</v>
      </c>
      <c r="C288" s="24" t="s">
        <v>9614</v>
      </c>
      <c r="D288" s="24" t="s">
        <v>7642</v>
      </c>
      <c r="E288" s="24" t="s">
        <v>7179</v>
      </c>
      <c r="F288" s="24" t="s">
        <v>7277</v>
      </c>
      <c r="G288" s="24" t="b">
        <v>1</v>
      </c>
    </row>
    <row r="289" spans="1:7" ht="12.5" customHeight="1">
      <c r="A289" s="27">
        <v>16020</v>
      </c>
      <c r="B289" s="24" t="s">
        <v>7643</v>
      </c>
      <c r="C289" s="24" t="s">
        <v>9614</v>
      </c>
      <c r="D289" s="24" t="s">
        <v>7644</v>
      </c>
      <c r="E289" s="24" t="s">
        <v>7645</v>
      </c>
      <c r="F289" s="24" t="s">
        <v>7513</v>
      </c>
      <c r="G289" s="24" t="b">
        <v>0</v>
      </c>
    </row>
    <row r="290" spans="1:7" ht="12.5" customHeight="1">
      <c r="A290" s="27">
        <v>16020</v>
      </c>
      <c r="B290" s="24" t="s">
        <v>7643</v>
      </c>
      <c r="C290" s="24" t="s">
        <v>9614</v>
      </c>
      <c r="D290" s="24" t="s">
        <v>7644</v>
      </c>
      <c r="E290" s="24" t="s">
        <v>7646</v>
      </c>
      <c r="F290" s="24" t="s">
        <v>7570</v>
      </c>
      <c r="G290" s="24" t="b">
        <v>0</v>
      </c>
    </row>
    <row r="291" spans="1:7" ht="12.5" customHeight="1">
      <c r="A291" s="27">
        <v>16020</v>
      </c>
      <c r="B291" s="24" t="s">
        <v>7643</v>
      </c>
      <c r="C291" s="24" t="s">
        <v>9614</v>
      </c>
      <c r="D291" s="24" t="s">
        <v>7644</v>
      </c>
      <c r="E291" s="24" t="s">
        <v>7647</v>
      </c>
      <c r="F291" s="24" t="s">
        <v>7570</v>
      </c>
      <c r="G291" s="24" t="b">
        <v>1</v>
      </c>
    </row>
    <row r="292" spans="1:7" ht="12.5" customHeight="1">
      <c r="A292" s="27">
        <v>16060</v>
      </c>
      <c r="B292" s="24" t="s">
        <v>7648</v>
      </c>
      <c r="C292" s="24" t="s">
        <v>9614</v>
      </c>
      <c r="D292" s="24" t="s">
        <v>7138</v>
      </c>
      <c r="E292" s="24" t="s">
        <v>7238</v>
      </c>
      <c r="F292" s="24" t="s">
        <v>7513</v>
      </c>
      <c r="G292" s="24" t="b">
        <v>1</v>
      </c>
    </row>
    <row r="293" spans="1:7" ht="12.5" customHeight="1">
      <c r="A293" s="27">
        <v>16060</v>
      </c>
      <c r="B293" s="24" t="s">
        <v>7648</v>
      </c>
      <c r="C293" s="24" t="s">
        <v>9614</v>
      </c>
      <c r="D293" s="24" t="s">
        <v>7138</v>
      </c>
      <c r="E293" s="24" t="s">
        <v>7649</v>
      </c>
      <c r="F293" s="24" t="s">
        <v>7513</v>
      </c>
      <c r="G293" s="24" t="b">
        <v>0</v>
      </c>
    </row>
    <row r="294" spans="1:7" ht="12.5" customHeight="1">
      <c r="A294" s="27">
        <v>16060</v>
      </c>
      <c r="B294" s="24" t="s">
        <v>7648</v>
      </c>
      <c r="C294" s="24" t="s">
        <v>9614</v>
      </c>
      <c r="D294" s="24" t="s">
        <v>7138</v>
      </c>
      <c r="E294" s="24" t="s">
        <v>7381</v>
      </c>
      <c r="F294" s="24" t="s">
        <v>7513</v>
      </c>
      <c r="G294" s="24" t="b">
        <v>1</v>
      </c>
    </row>
    <row r="295" spans="1:7" ht="12.5" customHeight="1">
      <c r="A295" s="27">
        <v>16100</v>
      </c>
      <c r="B295" s="24" t="s">
        <v>7650</v>
      </c>
      <c r="C295" s="24" t="s">
        <v>9615</v>
      </c>
      <c r="D295" s="24" t="s">
        <v>7138</v>
      </c>
      <c r="E295" s="24" t="s">
        <v>7651</v>
      </c>
      <c r="F295" s="24" t="s">
        <v>7175</v>
      </c>
      <c r="G295" s="24" t="b">
        <v>1</v>
      </c>
    </row>
    <row r="296" spans="1:7" ht="12.5" customHeight="1">
      <c r="A296" s="27">
        <v>16140</v>
      </c>
      <c r="B296" s="24" t="s">
        <v>7652</v>
      </c>
      <c r="C296" s="24" t="s">
        <v>9615</v>
      </c>
      <c r="D296" s="24" t="s">
        <v>7138</v>
      </c>
      <c r="E296" s="24" t="s">
        <v>7324</v>
      </c>
      <c r="F296" s="24" t="s">
        <v>7252</v>
      </c>
      <c r="G296" s="24" t="b">
        <v>1</v>
      </c>
    </row>
    <row r="297" spans="1:7" ht="12.5" customHeight="1">
      <c r="A297" s="27">
        <v>16180</v>
      </c>
      <c r="B297" s="24" t="s">
        <v>7653</v>
      </c>
      <c r="C297" s="24" t="s">
        <v>9614</v>
      </c>
      <c r="D297" s="24" t="s">
        <v>7654</v>
      </c>
      <c r="E297" s="24" t="s">
        <v>2881</v>
      </c>
      <c r="F297" s="24" t="s">
        <v>3060</v>
      </c>
      <c r="G297" s="24" t="b">
        <v>1</v>
      </c>
    </row>
    <row r="298" spans="1:7" ht="12.5" customHeight="1">
      <c r="A298" s="27">
        <v>16220</v>
      </c>
      <c r="B298" s="24" t="s">
        <v>7655</v>
      </c>
      <c r="C298" s="24" t="s">
        <v>9614</v>
      </c>
      <c r="D298" s="24" t="s">
        <v>7138</v>
      </c>
      <c r="E298" s="24" t="s">
        <v>7656</v>
      </c>
      <c r="F298" s="24" t="s">
        <v>2842</v>
      </c>
      <c r="G298" s="24" t="b">
        <v>1</v>
      </c>
    </row>
    <row r="299" spans="1:7" ht="12.5" customHeight="1">
      <c r="A299" s="27">
        <v>16260</v>
      </c>
      <c r="B299" s="24" t="s">
        <v>7657</v>
      </c>
      <c r="C299" s="24" t="s">
        <v>9615</v>
      </c>
      <c r="D299" s="24" t="s">
        <v>7138</v>
      </c>
      <c r="E299" s="24" t="s">
        <v>7658</v>
      </c>
      <c r="F299" s="24" t="s">
        <v>7659</v>
      </c>
      <c r="G299" s="24" t="b">
        <v>1</v>
      </c>
    </row>
    <row r="300" spans="1:7" ht="12.5" customHeight="1">
      <c r="A300" s="27">
        <v>16300</v>
      </c>
      <c r="B300" s="24" t="s">
        <v>7660</v>
      </c>
      <c r="C300" s="24" t="s">
        <v>9614</v>
      </c>
      <c r="D300" s="24" t="s">
        <v>7661</v>
      </c>
      <c r="E300" s="24" t="s">
        <v>7662</v>
      </c>
      <c r="F300" s="24" t="s">
        <v>7252</v>
      </c>
      <c r="G300" s="24" t="b">
        <v>0</v>
      </c>
    </row>
    <row r="301" spans="1:7" ht="12.5" customHeight="1">
      <c r="A301" s="27">
        <v>16300</v>
      </c>
      <c r="B301" s="24" t="s">
        <v>7660</v>
      </c>
      <c r="C301" s="24" t="s">
        <v>9614</v>
      </c>
      <c r="D301" s="24" t="s">
        <v>7661</v>
      </c>
      <c r="E301" s="24" t="s">
        <v>7148</v>
      </c>
      <c r="F301" s="24" t="s">
        <v>7252</v>
      </c>
      <c r="G301" s="24" t="b">
        <v>0</v>
      </c>
    </row>
    <row r="302" spans="1:7" ht="12.5" customHeight="1">
      <c r="A302" s="27">
        <v>16300</v>
      </c>
      <c r="B302" s="24" t="s">
        <v>7660</v>
      </c>
      <c r="C302" s="24" t="s">
        <v>9614</v>
      </c>
      <c r="D302" s="24" t="s">
        <v>7661</v>
      </c>
      <c r="E302" s="24" t="s">
        <v>7184</v>
      </c>
      <c r="F302" s="24" t="s">
        <v>7252</v>
      </c>
      <c r="G302" s="24" t="b">
        <v>1</v>
      </c>
    </row>
    <row r="303" spans="1:7" ht="12.5" customHeight="1">
      <c r="A303" s="27">
        <v>16340</v>
      </c>
      <c r="B303" s="24" t="s">
        <v>7663</v>
      </c>
      <c r="C303" s="24" t="s">
        <v>9615</v>
      </c>
      <c r="D303" s="24" t="s">
        <v>7316</v>
      </c>
      <c r="E303" s="24" t="s">
        <v>7664</v>
      </c>
      <c r="F303" s="24" t="s">
        <v>7178</v>
      </c>
      <c r="G303" s="24" t="b">
        <v>1</v>
      </c>
    </row>
    <row r="304" spans="1:7" ht="12.5" customHeight="1">
      <c r="A304" s="27">
        <v>16380</v>
      </c>
      <c r="B304" s="24" t="s">
        <v>7665</v>
      </c>
      <c r="C304" s="24" t="s">
        <v>9615</v>
      </c>
      <c r="D304" s="24" t="s">
        <v>7666</v>
      </c>
      <c r="E304" s="24" t="s">
        <v>7523</v>
      </c>
      <c r="F304" s="24" t="s">
        <v>7171</v>
      </c>
      <c r="G304" s="24" t="b">
        <v>1</v>
      </c>
    </row>
    <row r="305" spans="1:7" ht="12.5" customHeight="1">
      <c r="A305" s="27">
        <v>16420</v>
      </c>
      <c r="B305" s="24" t="s">
        <v>7667</v>
      </c>
      <c r="C305" s="24" t="s">
        <v>9615</v>
      </c>
      <c r="D305" s="24" t="s">
        <v>7138</v>
      </c>
      <c r="E305" s="24" t="s">
        <v>7668</v>
      </c>
      <c r="F305" s="24" t="s">
        <v>7404</v>
      </c>
      <c r="G305" s="24" t="b">
        <v>1</v>
      </c>
    </row>
    <row r="306" spans="1:7" ht="12.5" customHeight="1">
      <c r="A306" s="27">
        <v>16460</v>
      </c>
      <c r="B306" s="24" t="s">
        <v>7669</v>
      </c>
      <c r="C306" s="24" t="s">
        <v>9615</v>
      </c>
      <c r="D306" s="24" t="s">
        <v>7670</v>
      </c>
      <c r="E306" s="24" t="s">
        <v>7671</v>
      </c>
      <c r="F306" s="24" t="s">
        <v>7513</v>
      </c>
      <c r="G306" s="24" t="b">
        <v>1</v>
      </c>
    </row>
    <row r="307" spans="1:7" ht="12.5" customHeight="1">
      <c r="A307" s="27">
        <v>16500</v>
      </c>
      <c r="B307" s="24" t="s">
        <v>7672</v>
      </c>
      <c r="C307" s="24" t="s">
        <v>9615</v>
      </c>
      <c r="D307" s="24" t="s">
        <v>7573</v>
      </c>
      <c r="E307" s="24" t="s">
        <v>7673</v>
      </c>
      <c r="F307" s="24" t="s">
        <v>1134</v>
      </c>
      <c r="G307" s="24" t="b">
        <v>1</v>
      </c>
    </row>
    <row r="308" spans="1:7" ht="12.5" customHeight="1">
      <c r="A308" s="27">
        <v>16540</v>
      </c>
      <c r="B308" s="24" t="s">
        <v>7674</v>
      </c>
      <c r="C308" s="24" t="s">
        <v>9614</v>
      </c>
      <c r="D308" s="24" t="s">
        <v>7388</v>
      </c>
      <c r="E308" s="24" t="s">
        <v>7616</v>
      </c>
      <c r="F308" s="24" t="s">
        <v>7226</v>
      </c>
      <c r="G308" s="24" t="b">
        <v>1</v>
      </c>
    </row>
    <row r="309" spans="1:7" ht="12.5" customHeight="1">
      <c r="A309" s="27">
        <v>16580</v>
      </c>
      <c r="B309" s="24" t="s">
        <v>7675</v>
      </c>
      <c r="C309" s="24" t="s">
        <v>9614</v>
      </c>
      <c r="D309" s="24" t="s">
        <v>7138</v>
      </c>
      <c r="E309" s="24" t="s">
        <v>7676</v>
      </c>
      <c r="F309" s="24" t="s">
        <v>7513</v>
      </c>
      <c r="G309" s="24" t="b">
        <v>1</v>
      </c>
    </row>
    <row r="310" spans="1:7" ht="12.5" customHeight="1">
      <c r="A310" s="27">
        <v>16580</v>
      </c>
      <c r="B310" s="24" t="s">
        <v>7675</v>
      </c>
      <c r="C310" s="24" t="s">
        <v>9614</v>
      </c>
      <c r="D310" s="24" t="s">
        <v>7138</v>
      </c>
      <c r="E310" s="24" t="s">
        <v>7677</v>
      </c>
      <c r="F310" s="24" t="s">
        <v>7513</v>
      </c>
      <c r="G310" s="24" t="b">
        <v>0</v>
      </c>
    </row>
    <row r="311" spans="1:7" ht="12.5" customHeight="1">
      <c r="A311" s="27">
        <v>16620</v>
      </c>
      <c r="B311" s="24" t="s">
        <v>7678</v>
      </c>
      <c r="C311" s="24" t="s">
        <v>9614</v>
      </c>
      <c r="D311" s="24" t="s">
        <v>7679</v>
      </c>
      <c r="E311" s="24" t="s">
        <v>7251</v>
      </c>
      <c r="F311" s="24" t="s">
        <v>7452</v>
      </c>
      <c r="G311" s="24" t="b">
        <v>0</v>
      </c>
    </row>
    <row r="312" spans="1:7" ht="12.5" customHeight="1">
      <c r="A312" s="27">
        <v>16620</v>
      </c>
      <c r="B312" s="24" t="s">
        <v>7678</v>
      </c>
      <c r="C312" s="24" t="s">
        <v>9614</v>
      </c>
      <c r="D312" s="24" t="s">
        <v>7679</v>
      </c>
      <c r="E312" s="24" t="s">
        <v>7680</v>
      </c>
      <c r="F312" s="24" t="s">
        <v>7452</v>
      </c>
      <c r="G312" s="24" t="b">
        <v>0</v>
      </c>
    </row>
    <row r="313" spans="1:7" ht="12.5" customHeight="1">
      <c r="A313" s="27">
        <v>16620</v>
      </c>
      <c r="B313" s="24" t="s">
        <v>7678</v>
      </c>
      <c r="C313" s="24" t="s">
        <v>9614</v>
      </c>
      <c r="D313" s="24" t="s">
        <v>7679</v>
      </c>
      <c r="E313" s="24" t="s">
        <v>7238</v>
      </c>
      <c r="F313" s="24" t="s">
        <v>7452</v>
      </c>
      <c r="G313" s="24" t="b">
        <v>0</v>
      </c>
    </row>
    <row r="314" spans="1:7" ht="12.5" customHeight="1">
      <c r="A314" s="27">
        <v>16620</v>
      </c>
      <c r="B314" s="24" t="s">
        <v>7678</v>
      </c>
      <c r="C314" s="24" t="s">
        <v>9614</v>
      </c>
      <c r="D314" s="24" t="s">
        <v>7679</v>
      </c>
      <c r="E314" s="24" t="s">
        <v>7681</v>
      </c>
      <c r="F314" s="24" t="s">
        <v>7452</v>
      </c>
      <c r="G314" s="24" t="b">
        <v>1</v>
      </c>
    </row>
    <row r="315" spans="1:7" ht="12.5" customHeight="1">
      <c r="A315" s="27">
        <v>16620</v>
      </c>
      <c r="B315" s="24" t="s">
        <v>7678</v>
      </c>
      <c r="C315" s="24" t="s">
        <v>9614</v>
      </c>
      <c r="D315" s="24" t="s">
        <v>7679</v>
      </c>
      <c r="E315" s="24" t="s">
        <v>7364</v>
      </c>
      <c r="F315" s="24" t="s">
        <v>7452</v>
      </c>
      <c r="G315" s="24" t="b">
        <v>0</v>
      </c>
    </row>
    <row r="316" spans="1:7" ht="12.5" customHeight="1">
      <c r="A316" s="27">
        <v>16660</v>
      </c>
      <c r="B316" s="24" t="s">
        <v>7682</v>
      </c>
      <c r="C316" s="24" t="s">
        <v>9615</v>
      </c>
      <c r="D316" s="24" t="s">
        <v>7138</v>
      </c>
      <c r="E316" s="24" t="s">
        <v>7683</v>
      </c>
      <c r="F316" s="24" t="s">
        <v>7513</v>
      </c>
      <c r="G316" s="24" t="b">
        <v>1</v>
      </c>
    </row>
    <row r="317" spans="1:7" ht="12.5" customHeight="1">
      <c r="A317" s="27">
        <v>16660</v>
      </c>
      <c r="B317" s="24" t="s">
        <v>7682</v>
      </c>
      <c r="C317" s="24" t="s">
        <v>9615</v>
      </c>
      <c r="D317" s="24" t="s">
        <v>7138</v>
      </c>
      <c r="E317" s="24" t="s">
        <v>7684</v>
      </c>
      <c r="F317" s="24" t="s">
        <v>7513</v>
      </c>
      <c r="G317" s="24" t="b">
        <v>0</v>
      </c>
    </row>
    <row r="318" spans="1:7" ht="12.5" customHeight="1">
      <c r="A318" s="27">
        <v>16700</v>
      </c>
      <c r="B318" s="24" t="s">
        <v>7685</v>
      </c>
      <c r="C318" s="24" t="s">
        <v>9614</v>
      </c>
      <c r="D318" s="24" t="s">
        <v>7138</v>
      </c>
      <c r="E318" s="24" t="s">
        <v>7686</v>
      </c>
      <c r="F318" s="24" t="s">
        <v>7368</v>
      </c>
      <c r="G318" s="24" t="b">
        <v>1</v>
      </c>
    </row>
    <row r="319" spans="1:7" ht="12.5" customHeight="1">
      <c r="A319" s="27">
        <v>16700</v>
      </c>
      <c r="B319" s="24" t="s">
        <v>7685</v>
      </c>
      <c r="C319" s="24" t="s">
        <v>9614</v>
      </c>
      <c r="D319" s="24" t="s">
        <v>7138</v>
      </c>
      <c r="E319" s="24" t="s">
        <v>7687</v>
      </c>
      <c r="F319" s="24" t="s">
        <v>7368</v>
      </c>
      <c r="G319" s="24" t="b">
        <v>1</v>
      </c>
    </row>
    <row r="320" spans="1:7" ht="12.5" customHeight="1">
      <c r="A320" s="27">
        <v>16700</v>
      </c>
      <c r="B320" s="24" t="s">
        <v>7685</v>
      </c>
      <c r="C320" s="24" t="s">
        <v>9614</v>
      </c>
      <c r="D320" s="24" t="s">
        <v>7138</v>
      </c>
      <c r="E320" s="24" t="s">
        <v>7629</v>
      </c>
      <c r="F320" s="24" t="s">
        <v>7368</v>
      </c>
      <c r="G320" s="24" t="b">
        <v>1</v>
      </c>
    </row>
    <row r="321" spans="1:7" ht="12.5" customHeight="1">
      <c r="A321" s="27">
        <v>16740</v>
      </c>
      <c r="B321" s="24" t="s">
        <v>7688</v>
      </c>
      <c r="C321" s="24" t="s">
        <v>9614</v>
      </c>
      <c r="D321" s="24" t="s">
        <v>7193</v>
      </c>
      <c r="E321" s="24" t="s">
        <v>7689</v>
      </c>
      <c r="F321" s="24" t="s">
        <v>7195</v>
      </c>
      <c r="G321" s="24" t="b">
        <v>0</v>
      </c>
    </row>
    <row r="322" spans="1:7" ht="12.5" customHeight="1">
      <c r="A322" s="27">
        <v>16740</v>
      </c>
      <c r="B322" s="24" t="s">
        <v>7688</v>
      </c>
      <c r="C322" s="24" t="s">
        <v>9614</v>
      </c>
      <c r="D322" s="24" t="s">
        <v>7193</v>
      </c>
      <c r="E322" s="24" t="s">
        <v>7690</v>
      </c>
      <c r="F322" s="24" t="s">
        <v>7195</v>
      </c>
      <c r="G322" s="24" t="b">
        <v>0</v>
      </c>
    </row>
    <row r="323" spans="1:7" ht="12.5" customHeight="1">
      <c r="A323" s="27">
        <v>16740</v>
      </c>
      <c r="B323" s="24" t="s">
        <v>7688</v>
      </c>
      <c r="C323" s="24" t="s">
        <v>9614</v>
      </c>
      <c r="D323" s="24" t="s">
        <v>7193</v>
      </c>
      <c r="E323" s="24" t="s">
        <v>7691</v>
      </c>
      <c r="F323" s="24" t="s">
        <v>7195</v>
      </c>
      <c r="G323" s="24" t="b">
        <v>0</v>
      </c>
    </row>
    <row r="324" spans="1:7" ht="12.5" customHeight="1">
      <c r="A324" s="27">
        <v>16740</v>
      </c>
      <c r="B324" s="24" t="s">
        <v>7688</v>
      </c>
      <c r="C324" s="24" t="s">
        <v>9614</v>
      </c>
      <c r="D324" s="24" t="s">
        <v>7193</v>
      </c>
      <c r="E324" s="24" t="s">
        <v>7692</v>
      </c>
      <c r="F324" s="24" t="s">
        <v>7195</v>
      </c>
      <c r="G324" s="24" t="b">
        <v>1</v>
      </c>
    </row>
    <row r="325" spans="1:7" ht="12.5" customHeight="1">
      <c r="A325" s="27">
        <v>16740</v>
      </c>
      <c r="B325" s="24" t="s">
        <v>7688</v>
      </c>
      <c r="C325" s="24" t="s">
        <v>9614</v>
      </c>
      <c r="D325" s="24" t="s">
        <v>7193</v>
      </c>
      <c r="E325" s="24" t="s">
        <v>7364</v>
      </c>
      <c r="F325" s="24" t="s">
        <v>7195</v>
      </c>
      <c r="G325" s="24" t="b">
        <v>0</v>
      </c>
    </row>
    <row r="326" spans="1:7" ht="12.5" customHeight="1">
      <c r="A326" s="27">
        <v>16740</v>
      </c>
      <c r="B326" s="24" t="s">
        <v>7688</v>
      </c>
      <c r="C326" s="24" t="s">
        <v>9614</v>
      </c>
      <c r="D326" s="24" t="s">
        <v>7193</v>
      </c>
      <c r="E326" s="24" t="s">
        <v>7693</v>
      </c>
      <c r="F326" s="24" t="s">
        <v>7195</v>
      </c>
      <c r="G326" s="24" t="b">
        <v>1</v>
      </c>
    </row>
    <row r="327" spans="1:7" ht="12.5" customHeight="1">
      <c r="A327" s="27">
        <v>16740</v>
      </c>
      <c r="B327" s="24" t="s">
        <v>7688</v>
      </c>
      <c r="C327" s="24" t="s">
        <v>9614</v>
      </c>
      <c r="D327" s="24" t="s">
        <v>7193</v>
      </c>
      <c r="E327" s="24" t="s">
        <v>7694</v>
      </c>
      <c r="F327" s="24" t="s">
        <v>7195</v>
      </c>
      <c r="G327" s="24" t="b">
        <v>0</v>
      </c>
    </row>
    <row r="328" spans="1:7" ht="12.5" customHeight="1">
      <c r="A328" s="27">
        <v>16740</v>
      </c>
      <c r="B328" s="24" t="s">
        <v>7688</v>
      </c>
      <c r="C328" s="24" t="s">
        <v>9614</v>
      </c>
      <c r="D328" s="24" t="s">
        <v>7193</v>
      </c>
      <c r="E328" s="24" t="s">
        <v>7695</v>
      </c>
      <c r="F328" s="24" t="s">
        <v>7195</v>
      </c>
      <c r="G328" s="24" t="b">
        <v>1</v>
      </c>
    </row>
    <row r="329" spans="1:7" ht="12.5" customHeight="1">
      <c r="A329" s="27">
        <v>16740</v>
      </c>
      <c r="B329" s="24" t="s">
        <v>7688</v>
      </c>
      <c r="C329" s="24" t="s">
        <v>9614</v>
      </c>
      <c r="D329" s="24" t="s">
        <v>7193</v>
      </c>
      <c r="E329" s="24" t="s">
        <v>7696</v>
      </c>
      <c r="F329" s="24" t="s">
        <v>7368</v>
      </c>
      <c r="G329" s="24" t="b">
        <v>0</v>
      </c>
    </row>
    <row r="330" spans="1:7" ht="12.5" customHeight="1">
      <c r="A330" s="27">
        <v>16740</v>
      </c>
      <c r="B330" s="24" t="s">
        <v>7688</v>
      </c>
      <c r="C330" s="24" t="s">
        <v>9614</v>
      </c>
      <c r="D330" s="24" t="s">
        <v>7193</v>
      </c>
      <c r="E330" s="24" t="s">
        <v>7697</v>
      </c>
      <c r="F330" s="24" t="s">
        <v>7368</v>
      </c>
      <c r="G330" s="24" t="b">
        <v>0</v>
      </c>
    </row>
    <row r="331" spans="1:7" ht="12.5" customHeight="1">
      <c r="A331" s="27">
        <v>16740</v>
      </c>
      <c r="B331" s="24" t="s">
        <v>7688</v>
      </c>
      <c r="C331" s="24" t="s">
        <v>9614</v>
      </c>
      <c r="D331" s="24" t="s">
        <v>7193</v>
      </c>
      <c r="E331" s="24" t="s">
        <v>7698</v>
      </c>
      <c r="F331" s="24" t="s">
        <v>7368</v>
      </c>
      <c r="G331" s="24" t="b">
        <v>0</v>
      </c>
    </row>
    <row r="332" spans="1:7" ht="12.5" customHeight="1">
      <c r="A332" s="27">
        <v>16820</v>
      </c>
      <c r="B332" s="24" t="s">
        <v>7699</v>
      </c>
      <c r="C332" s="24" t="s">
        <v>9614</v>
      </c>
      <c r="D332" s="24" t="s">
        <v>7138</v>
      </c>
      <c r="E332" s="24" t="s">
        <v>7700</v>
      </c>
      <c r="F332" s="24" t="s">
        <v>2920</v>
      </c>
      <c r="G332" s="24" t="b">
        <v>1</v>
      </c>
    </row>
    <row r="333" spans="1:7" ht="12.5" customHeight="1">
      <c r="A333" s="27">
        <v>16820</v>
      </c>
      <c r="B333" s="24" t="s">
        <v>7699</v>
      </c>
      <c r="C333" s="24" t="s">
        <v>9614</v>
      </c>
      <c r="D333" s="24" t="s">
        <v>7138</v>
      </c>
      <c r="E333" s="24" t="s">
        <v>7701</v>
      </c>
      <c r="F333" s="24" t="s">
        <v>2920</v>
      </c>
      <c r="G333" s="24" t="b">
        <v>0</v>
      </c>
    </row>
    <row r="334" spans="1:7" ht="12.5" customHeight="1">
      <c r="A334" s="27">
        <v>16820</v>
      </c>
      <c r="B334" s="24" t="s">
        <v>7699</v>
      </c>
      <c r="C334" s="24" t="s">
        <v>9614</v>
      </c>
      <c r="D334" s="24" t="s">
        <v>7138</v>
      </c>
      <c r="E334" s="24" t="s">
        <v>7702</v>
      </c>
      <c r="F334" s="24" t="s">
        <v>2920</v>
      </c>
      <c r="G334" s="24" t="b">
        <v>0</v>
      </c>
    </row>
    <row r="335" spans="1:7" ht="12.5" customHeight="1">
      <c r="A335" s="27">
        <v>16820</v>
      </c>
      <c r="B335" s="24" t="s">
        <v>7699</v>
      </c>
      <c r="C335" s="24" t="s">
        <v>9614</v>
      </c>
      <c r="D335" s="24" t="s">
        <v>7138</v>
      </c>
      <c r="E335" s="24" t="s">
        <v>7403</v>
      </c>
      <c r="F335" s="24" t="s">
        <v>2920</v>
      </c>
      <c r="G335" s="24" t="b">
        <v>0</v>
      </c>
    </row>
    <row r="336" spans="1:7" ht="12.5" customHeight="1">
      <c r="A336" s="27">
        <v>16820</v>
      </c>
      <c r="B336" s="24" t="s">
        <v>7699</v>
      </c>
      <c r="C336" s="24" t="s">
        <v>9614</v>
      </c>
      <c r="D336" s="24" t="s">
        <v>7138</v>
      </c>
      <c r="E336" s="24" t="s">
        <v>7703</v>
      </c>
      <c r="F336" s="24" t="s">
        <v>2920</v>
      </c>
      <c r="G336" s="24" t="b">
        <v>1</v>
      </c>
    </row>
    <row r="337" spans="1:7" ht="12.5" customHeight="1">
      <c r="A337" s="27">
        <v>16860</v>
      </c>
      <c r="B337" s="24" t="s">
        <v>7704</v>
      </c>
      <c r="C337" s="24" t="s">
        <v>9614</v>
      </c>
      <c r="D337" s="24" t="s">
        <v>7310</v>
      </c>
      <c r="E337" s="24" t="s">
        <v>7705</v>
      </c>
      <c r="F337" s="24" t="s">
        <v>7178</v>
      </c>
      <c r="G337" s="24" t="b">
        <v>1</v>
      </c>
    </row>
    <row r="338" spans="1:7" ht="12.5" customHeight="1">
      <c r="A338" s="27">
        <v>16860</v>
      </c>
      <c r="B338" s="24" t="s">
        <v>7704</v>
      </c>
      <c r="C338" s="24" t="s">
        <v>9614</v>
      </c>
      <c r="D338" s="24" t="s">
        <v>7310</v>
      </c>
      <c r="E338" s="24" t="s">
        <v>7706</v>
      </c>
      <c r="F338" s="24" t="s">
        <v>7178</v>
      </c>
      <c r="G338" s="24" t="b">
        <v>0</v>
      </c>
    </row>
    <row r="339" spans="1:7" ht="12.5" customHeight="1">
      <c r="A339" s="27">
        <v>16860</v>
      </c>
      <c r="B339" s="24" t="s">
        <v>7704</v>
      </c>
      <c r="C339" s="24" t="s">
        <v>9614</v>
      </c>
      <c r="D339" s="24" t="s">
        <v>7310</v>
      </c>
      <c r="E339" s="24" t="s">
        <v>7707</v>
      </c>
      <c r="F339" s="24" t="s">
        <v>7178</v>
      </c>
      <c r="G339" s="24" t="b">
        <v>1</v>
      </c>
    </row>
    <row r="340" spans="1:7" ht="12.5" customHeight="1">
      <c r="A340" s="27">
        <v>16860</v>
      </c>
      <c r="B340" s="24" t="s">
        <v>7704</v>
      </c>
      <c r="C340" s="24" t="s">
        <v>9614</v>
      </c>
      <c r="D340" s="24" t="s">
        <v>7310</v>
      </c>
      <c r="E340" s="24" t="s">
        <v>7708</v>
      </c>
      <c r="F340" s="24" t="s">
        <v>7312</v>
      </c>
      <c r="G340" s="24" t="b">
        <v>1</v>
      </c>
    </row>
    <row r="341" spans="1:7" ht="12.5" customHeight="1">
      <c r="A341" s="27">
        <v>16860</v>
      </c>
      <c r="B341" s="24" t="s">
        <v>7704</v>
      </c>
      <c r="C341" s="24" t="s">
        <v>9614</v>
      </c>
      <c r="D341" s="24" t="s">
        <v>7310</v>
      </c>
      <c r="E341" s="24" t="s">
        <v>7671</v>
      </c>
      <c r="F341" s="24" t="s">
        <v>7312</v>
      </c>
      <c r="G341" s="24" t="b">
        <v>0</v>
      </c>
    </row>
    <row r="342" spans="1:7" ht="12.5" customHeight="1">
      <c r="A342" s="27">
        <v>16860</v>
      </c>
      <c r="B342" s="24" t="s">
        <v>7704</v>
      </c>
      <c r="C342" s="24" t="s">
        <v>9614</v>
      </c>
      <c r="D342" s="24" t="s">
        <v>7310</v>
      </c>
      <c r="E342" s="24" t="s">
        <v>7709</v>
      </c>
      <c r="F342" s="24" t="s">
        <v>7312</v>
      </c>
      <c r="G342" s="24" t="b">
        <v>0</v>
      </c>
    </row>
    <row r="343" spans="1:7" ht="12.5" customHeight="1">
      <c r="A343" s="27">
        <v>16940</v>
      </c>
      <c r="B343" s="24" t="s">
        <v>7710</v>
      </c>
      <c r="C343" s="24" t="s">
        <v>9614</v>
      </c>
      <c r="D343" s="24" t="s">
        <v>7138</v>
      </c>
      <c r="E343" s="24" t="s">
        <v>7711</v>
      </c>
      <c r="F343" s="24" t="s">
        <v>2842</v>
      </c>
      <c r="G343" s="24" t="b">
        <v>1</v>
      </c>
    </row>
    <row r="344" spans="1:7" ht="12.5" customHeight="1">
      <c r="A344" s="27">
        <v>16980</v>
      </c>
      <c r="B344" s="24" t="s">
        <v>7712</v>
      </c>
      <c r="C344" s="24" t="s">
        <v>9614</v>
      </c>
      <c r="D344" s="24" t="s">
        <v>7713</v>
      </c>
      <c r="E344" s="24" t="s">
        <v>7714</v>
      </c>
      <c r="F344" s="24" t="s">
        <v>7513</v>
      </c>
      <c r="G344" s="24" t="b">
        <v>1</v>
      </c>
    </row>
    <row r="345" spans="1:7" ht="12.5" customHeight="1">
      <c r="A345" s="27">
        <v>16980</v>
      </c>
      <c r="B345" s="24" t="s">
        <v>7712</v>
      </c>
      <c r="C345" s="24" t="s">
        <v>9614</v>
      </c>
      <c r="D345" s="24" t="s">
        <v>7713</v>
      </c>
      <c r="E345" s="24" t="s">
        <v>7715</v>
      </c>
      <c r="F345" s="24" t="s">
        <v>7513</v>
      </c>
      <c r="G345" s="24" t="b">
        <v>1</v>
      </c>
    </row>
    <row r="346" spans="1:7" ht="12.5" customHeight="1">
      <c r="A346" s="27">
        <v>16980</v>
      </c>
      <c r="B346" s="24" t="s">
        <v>7712</v>
      </c>
      <c r="C346" s="24" t="s">
        <v>9614</v>
      </c>
      <c r="D346" s="24" t="s">
        <v>7713</v>
      </c>
      <c r="E346" s="24" t="s">
        <v>7716</v>
      </c>
      <c r="F346" s="24" t="s">
        <v>7513</v>
      </c>
      <c r="G346" s="24" t="b">
        <v>0</v>
      </c>
    </row>
    <row r="347" spans="1:7" ht="12.5" customHeight="1">
      <c r="A347" s="27">
        <v>16980</v>
      </c>
      <c r="B347" s="24" t="s">
        <v>7712</v>
      </c>
      <c r="C347" s="24" t="s">
        <v>9614</v>
      </c>
      <c r="D347" s="24" t="s">
        <v>7713</v>
      </c>
      <c r="E347" s="24" t="s">
        <v>7717</v>
      </c>
      <c r="F347" s="24" t="s">
        <v>7513</v>
      </c>
      <c r="G347" s="24" t="b">
        <v>1</v>
      </c>
    </row>
    <row r="348" spans="1:7" ht="12.5" customHeight="1">
      <c r="A348" s="27">
        <v>16980</v>
      </c>
      <c r="B348" s="24" t="s">
        <v>7712</v>
      </c>
      <c r="C348" s="24" t="s">
        <v>9614</v>
      </c>
      <c r="D348" s="24" t="s">
        <v>7713</v>
      </c>
      <c r="E348" s="24" t="s">
        <v>7718</v>
      </c>
      <c r="F348" s="24" t="s">
        <v>7513</v>
      </c>
      <c r="G348" s="24" t="b">
        <v>1</v>
      </c>
    </row>
    <row r="349" spans="1:7" ht="12.5" customHeight="1">
      <c r="A349" s="27">
        <v>16980</v>
      </c>
      <c r="B349" s="24" t="s">
        <v>7712</v>
      </c>
      <c r="C349" s="24" t="s">
        <v>9614</v>
      </c>
      <c r="D349" s="24" t="s">
        <v>7713</v>
      </c>
      <c r="E349" s="24" t="s">
        <v>7330</v>
      </c>
      <c r="F349" s="24" t="s">
        <v>7513</v>
      </c>
      <c r="G349" s="24" t="b">
        <v>0</v>
      </c>
    </row>
    <row r="350" spans="1:7" ht="12.5" customHeight="1">
      <c r="A350" s="27">
        <v>16980</v>
      </c>
      <c r="B350" s="24" t="s">
        <v>7712</v>
      </c>
      <c r="C350" s="24" t="s">
        <v>9614</v>
      </c>
      <c r="D350" s="24" t="s">
        <v>7713</v>
      </c>
      <c r="E350" s="24" t="s">
        <v>7719</v>
      </c>
      <c r="F350" s="24" t="s">
        <v>7513</v>
      </c>
      <c r="G350" s="24" t="b">
        <v>1</v>
      </c>
    </row>
    <row r="351" spans="1:7" ht="12.5" customHeight="1">
      <c r="A351" s="27">
        <v>16980</v>
      </c>
      <c r="B351" s="24" t="s">
        <v>7712</v>
      </c>
      <c r="C351" s="24" t="s">
        <v>9614</v>
      </c>
      <c r="D351" s="24" t="s">
        <v>7713</v>
      </c>
      <c r="E351" s="24" t="s">
        <v>7720</v>
      </c>
      <c r="F351" s="24" t="s">
        <v>7513</v>
      </c>
      <c r="G351" s="24" t="b">
        <v>1</v>
      </c>
    </row>
    <row r="352" spans="1:7" ht="12.5" customHeight="1">
      <c r="A352" s="27">
        <v>16980</v>
      </c>
      <c r="B352" s="24" t="s">
        <v>7712</v>
      </c>
      <c r="C352" s="24" t="s">
        <v>9614</v>
      </c>
      <c r="D352" s="24" t="s">
        <v>7713</v>
      </c>
      <c r="E352" s="24" t="s">
        <v>7338</v>
      </c>
      <c r="F352" s="24" t="s">
        <v>4460</v>
      </c>
      <c r="G352" s="24" t="b">
        <v>0</v>
      </c>
    </row>
    <row r="353" spans="1:7" ht="12.5" customHeight="1">
      <c r="A353" s="27">
        <v>16980</v>
      </c>
      <c r="B353" s="24" t="s">
        <v>7712</v>
      </c>
      <c r="C353" s="24" t="s">
        <v>9614</v>
      </c>
      <c r="D353" s="24" t="s">
        <v>7713</v>
      </c>
      <c r="E353" s="24" t="s">
        <v>7721</v>
      </c>
      <c r="F353" s="24" t="s">
        <v>4460</v>
      </c>
      <c r="G353" s="24" t="b">
        <v>1</v>
      </c>
    </row>
    <row r="354" spans="1:7" ht="12.5" customHeight="1">
      <c r="A354" s="27">
        <v>16980</v>
      </c>
      <c r="B354" s="24" t="s">
        <v>7712</v>
      </c>
      <c r="C354" s="24" t="s">
        <v>9614</v>
      </c>
      <c r="D354" s="24" t="s">
        <v>7713</v>
      </c>
      <c r="E354" s="24" t="s">
        <v>7342</v>
      </c>
      <c r="F354" s="24" t="s">
        <v>4460</v>
      </c>
      <c r="G354" s="24" t="b">
        <v>0</v>
      </c>
    </row>
    <row r="355" spans="1:7" ht="12.5" customHeight="1">
      <c r="A355" s="27">
        <v>16980</v>
      </c>
      <c r="B355" s="24" t="s">
        <v>7712</v>
      </c>
      <c r="C355" s="24" t="s">
        <v>9614</v>
      </c>
      <c r="D355" s="24" t="s">
        <v>7713</v>
      </c>
      <c r="E355" s="24" t="s">
        <v>7722</v>
      </c>
      <c r="F355" s="24" t="s">
        <v>4460</v>
      </c>
      <c r="G355" s="24" t="b">
        <v>1</v>
      </c>
    </row>
    <row r="356" spans="1:7" ht="12.5" customHeight="1">
      <c r="A356" s="27">
        <v>16980</v>
      </c>
      <c r="B356" s="24" t="s">
        <v>7712</v>
      </c>
      <c r="C356" s="24" t="s">
        <v>9614</v>
      </c>
      <c r="D356" s="24" t="s">
        <v>7713</v>
      </c>
      <c r="E356" s="24" t="s">
        <v>7721</v>
      </c>
      <c r="F356" s="24" t="s">
        <v>7513</v>
      </c>
      <c r="G356" s="24" t="b">
        <v>1</v>
      </c>
    </row>
    <row r="357" spans="1:7" ht="12.5" customHeight="1">
      <c r="A357" s="27">
        <v>16980</v>
      </c>
      <c r="B357" s="24" t="s">
        <v>7712</v>
      </c>
      <c r="C357" s="24" t="s">
        <v>9614</v>
      </c>
      <c r="D357" s="24" t="s">
        <v>7713</v>
      </c>
      <c r="E357" s="24" t="s">
        <v>7723</v>
      </c>
      <c r="F357" s="24" t="s">
        <v>7272</v>
      </c>
      <c r="G357" s="24" t="b">
        <v>0</v>
      </c>
    </row>
    <row r="358" spans="1:7" ht="12.5" customHeight="1">
      <c r="A358" s="27">
        <v>17020</v>
      </c>
      <c r="B358" s="24" t="s">
        <v>7724</v>
      </c>
      <c r="C358" s="24" t="s">
        <v>9614</v>
      </c>
      <c r="D358" s="24" t="s">
        <v>7138</v>
      </c>
      <c r="E358" s="24" t="s">
        <v>7725</v>
      </c>
      <c r="F358" s="24" t="s">
        <v>7386</v>
      </c>
      <c r="G358" s="24" t="b">
        <v>1</v>
      </c>
    </row>
    <row r="359" spans="1:7" ht="12.5" customHeight="1">
      <c r="A359" s="27">
        <v>17060</v>
      </c>
      <c r="B359" s="24" t="s">
        <v>7726</v>
      </c>
      <c r="C359" s="24" t="s">
        <v>9615</v>
      </c>
      <c r="D359" s="24" t="s">
        <v>7460</v>
      </c>
      <c r="E359" s="24" t="s">
        <v>7727</v>
      </c>
      <c r="F359" s="24" t="s">
        <v>7171</v>
      </c>
      <c r="G359" s="24" t="b">
        <v>1</v>
      </c>
    </row>
    <row r="360" spans="1:7" ht="12.5" customHeight="1">
      <c r="A360" s="27">
        <v>17140</v>
      </c>
      <c r="B360" s="24" t="s">
        <v>7728</v>
      </c>
      <c r="C360" s="24" t="s">
        <v>9614</v>
      </c>
      <c r="D360" s="24" t="s">
        <v>7729</v>
      </c>
      <c r="E360" s="24" t="s">
        <v>7730</v>
      </c>
      <c r="F360" s="24" t="s">
        <v>4460</v>
      </c>
      <c r="G360" s="24" t="b">
        <v>0</v>
      </c>
    </row>
    <row r="361" spans="1:7" ht="12.5" customHeight="1">
      <c r="A361" s="27">
        <v>17140</v>
      </c>
      <c r="B361" s="24" t="s">
        <v>7728</v>
      </c>
      <c r="C361" s="24" t="s">
        <v>9614</v>
      </c>
      <c r="D361" s="24" t="s">
        <v>7729</v>
      </c>
      <c r="E361" s="24" t="s">
        <v>7616</v>
      </c>
      <c r="F361" s="24" t="s">
        <v>4460</v>
      </c>
      <c r="G361" s="24" t="b">
        <v>0</v>
      </c>
    </row>
    <row r="362" spans="1:7" ht="12.5" customHeight="1">
      <c r="A362" s="27">
        <v>17140</v>
      </c>
      <c r="B362" s="24" t="s">
        <v>7728</v>
      </c>
      <c r="C362" s="24" t="s">
        <v>9614</v>
      </c>
      <c r="D362" s="24" t="s">
        <v>7729</v>
      </c>
      <c r="E362" s="24" t="s">
        <v>7731</v>
      </c>
      <c r="F362" s="24" t="s">
        <v>4460</v>
      </c>
      <c r="G362" s="24" t="b">
        <v>0</v>
      </c>
    </row>
    <row r="363" spans="1:7" ht="12.5" customHeight="1">
      <c r="A363" s="27">
        <v>17140</v>
      </c>
      <c r="B363" s="24" t="s">
        <v>7728</v>
      </c>
      <c r="C363" s="24" t="s">
        <v>9614</v>
      </c>
      <c r="D363" s="24" t="s">
        <v>7729</v>
      </c>
      <c r="E363" s="24" t="s">
        <v>7695</v>
      </c>
      <c r="F363" s="24" t="s">
        <v>4460</v>
      </c>
      <c r="G363" s="24" t="b">
        <v>0</v>
      </c>
    </row>
    <row r="364" spans="1:7" ht="12.5" customHeight="1">
      <c r="A364" s="27">
        <v>17140</v>
      </c>
      <c r="B364" s="24" t="s">
        <v>7728</v>
      </c>
      <c r="C364" s="24" t="s">
        <v>9614</v>
      </c>
      <c r="D364" s="24" t="s">
        <v>7729</v>
      </c>
      <c r="E364" s="24" t="s">
        <v>7251</v>
      </c>
      <c r="F364" s="24" t="s">
        <v>7404</v>
      </c>
      <c r="G364" s="24" t="b">
        <v>1</v>
      </c>
    </row>
    <row r="365" spans="1:7" ht="12.5" customHeight="1">
      <c r="A365" s="27">
        <v>17140</v>
      </c>
      <c r="B365" s="24" t="s">
        <v>7728</v>
      </c>
      <c r="C365" s="24" t="s">
        <v>9614</v>
      </c>
      <c r="D365" s="24" t="s">
        <v>7729</v>
      </c>
      <c r="E365" s="24" t="s">
        <v>7732</v>
      </c>
      <c r="F365" s="24" t="s">
        <v>7404</v>
      </c>
      <c r="G365" s="24" t="b">
        <v>0</v>
      </c>
    </row>
    <row r="366" spans="1:7" ht="12.5" customHeight="1">
      <c r="A366" s="27">
        <v>17140</v>
      </c>
      <c r="B366" s="24" t="s">
        <v>7728</v>
      </c>
      <c r="C366" s="24" t="s">
        <v>9614</v>
      </c>
      <c r="D366" s="24" t="s">
        <v>7729</v>
      </c>
      <c r="E366" s="24" t="s">
        <v>7733</v>
      </c>
      <c r="F366" s="24" t="s">
        <v>7404</v>
      </c>
      <c r="G366" s="24" t="b">
        <v>1</v>
      </c>
    </row>
    <row r="367" spans="1:7" ht="12.5" customHeight="1">
      <c r="A367" s="27">
        <v>17140</v>
      </c>
      <c r="B367" s="24" t="s">
        <v>7728</v>
      </c>
      <c r="C367" s="24" t="s">
        <v>9614</v>
      </c>
      <c r="D367" s="24" t="s">
        <v>7729</v>
      </c>
      <c r="E367" s="24" t="s">
        <v>7562</v>
      </c>
      <c r="F367" s="24" t="s">
        <v>7404</v>
      </c>
      <c r="G367" s="24" t="b">
        <v>0</v>
      </c>
    </row>
    <row r="368" spans="1:7" ht="12.5" customHeight="1">
      <c r="A368" s="27">
        <v>17140</v>
      </c>
      <c r="B368" s="24" t="s">
        <v>7728</v>
      </c>
      <c r="C368" s="24" t="s">
        <v>9614</v>
      </c>
      <c r="D368" s="24" t="s">
        <v>7729</v>
      </c>
      <c r="E368" s="24" t="s">
        <v>7734</v>
      </c>
      <c r="F368" s="24" t="s">
        <v>7404</v>
      </c>
      <c r="G368" s="24" t="b">
        <v>0</v>
      </c>
    </row>
    <row r="369" spans="1:7" ht="12.5" customHeight="1">
      <c r="A369" s="27">
        <v>17140</v>
      </c>
      <c r="B369" s="24" t="s">
        <v>7728</v>
      </c>
      <c r="C369" s="24" t="s">
        <v>9614</v>
      </c>
      <c r="D369" s="24" t="s">
        <v>7729</v>
      </c>
      <c r="E369" s="24" t="s">
        <v>7735</v>
      </c>
      <c r="F369" s="24" t="s">
        <v>7404</v>
      </c>
      <c r="G369" s="24" t="b">
        <v>1</v>
      </c>
    </row>
    <row r="370" spans="1:7" ht="12.5" customHeight="1">
      <c r="A370" s="27">
        <v>17140</v>
      </c>
      <c r="B370" s="24" t="s">
        <v>7728</v>
      </c>
      <c r="C370" s="24" t="s">
        <v>9614</v>
      </c>
      <c r="D370" s="24" t="s">
        <v>7729</v>
      </c>
      <c r="E370" s="24" t="s">
        <v>7736</v>
      </c>
      <c r="F370" s="24" t="s">
        <v>7404</v>
      </c>
      <c r="G370" s="24" t="b">
        <v>0</v>
      </c>
    </row>
    <row r="371" spans="1:7" ht="12.5" customHeight="1">
      <c r="A371" s="27">
        <v>17140</v>
      </c>
      <c r="B371" s="24" t="s">
        <v>7728</v>
      </c>
      <c r="C371" s="24" t="s">
        <v>9614</v>
      </c>
      <c r="D371" s="24" t="s">
        <v>7729</v>
      </c>
      <c r="E371" s="24" t="s">
        <v>7140</v>
      </c>
      <c r="F371" s="24" t="s">
        <v>7171</v>
      </c>
      <c r="G371" s="24" t="b">
        <v>0</v>
      </c>
    </row>
    <row r="372" spans="1:7" ht="12.5" customHeight="1">
      <c r="A372" s="27">
        <v>17140</v>
      </c>
      <c r="B372" s="24" t="s">
        <v>7728</v>
      </c>
      <c r="C372" s="24" t="s">
        <v>9614</v>
      </c>
      <c r="D372" s="24" t="s">
        <v>7729</v>
      </c>
      <c r="E372" s="24" t="s">
        <v>7559</v>
      </c>
      <c r="F372" s="24" t="s">
        <v>7171</v>
      </c>
      <c r="G372" s="24" t="b">
        <v>1</v>
      </c>
    </row>
    <row r="373" spans="1:7" ht="12.5" customHeight="1">
      <c r="A373" s="27">
        <v>17140</v>
      </c>
      <c r="B373" s="24" t="s">
        <v>7728</v>
      </c>
      <c r="C373" s="24" t="s">
        <v>9614</v>
      </c>
      <c r="D373" s="24" t="s">
        <v>7729</v>
      </c>
      <c r="E373" s="24" t="s">
        <v>7737</v>
      </c>
      <c r="F373" s="24" t="s">
        <v>7171</v>
      </c>
      <c r="G373" s="24" t="b">
        <v>1</v>
      </c>
    </row>
    <row r="374" spans="1:7" ht="12.5" customHeight="1">
      <c r="A374" s="27">
        <v>17140</v>
      </c>
      <c r="B374" s="24" t="s">
        <v>7728</v>
      </c>
      <c r="C374" s="24" t="s">
        <v>9614</v>
      </c>
      <c r="D374" s="24" t="s">
        <v>7729</v>
      </c>
      <c r="E374" s="24" t="s">
        <v>7708</v>
      </c>
      <c r="F374" s="24" t="s">
        <v>7171</v>
      </c>
      <c r="G374" s="24" t="b">
        <v>1</v>
      </c>
    </row>
    <row r="375" spans="1:7" ht="12.5" customHeight="1">
      <c r="A375" s="27">
        <v>17140</v>
      </c>
      <c r="B375" s="24" t="s">
        <v>7728</v>
      </c>
      <c r="C375" s="24" t="s">
        <v>9614</v>
      </c>
      <c r="D375" s="24" t="s">
        <v>7729</v>
      </c>
      <c r="E375" s="24" t="s">
        <v>7223</v>
      </c>
      <c r="F375" s="24" t="s">
        <v>7171</v>
      </c>
      <c r="G375" s="24" t="b">
        <v>1</v>
      </c>
    </row>
    <row r="376" spans="1:7" ht="12.5" customHeight="1">
      <c r="A376" s="27">
        <v>17220</v>
      </c>
      <c r="B376" s="24" t="s">
        <v>7738</v>
      </c>
      <c r="C376" s="24" t="s">
        <v>9615</v>
      </c>
      <c r="D376" s="24" t="s">
        <v>7138</v>
      </c>
      <c r="E376" s="24" t="s">
        <v>7739</v>
      </c>
      <c r="F376" s="24" t="s">
        <v>7452</v>
      </c>
      <c r="G376" s="24" t="b">
        <v>0</v>
      </c>
    </row>
    <row r="377" spans="1:7" ht="12.5" customHeight="1">
      <c r="A377" s="27">
        <v>17220</v>
      </c>
      <c r="B377" s="24" t="s">
        <v>7738</v>
      </c>
      <c r="C377" s="24" t="s">
        <v>9615</v>
      </c>
      <c r="D377" s="24" t="s">
        <v>7138</v>
      </c>
      <c r="E377" s="24" t="s">
        <v>7740</v>
      </c>
      <c r="F377" s="24" t="s">
        <v>7452</v>
      </c>
      <c r="G377" s="24" t="b">
        <v>1</v>
      </c>
    </row>
    <row r="378" spans="1:7" ht="12.5" customHeight="1">
      <c r="A378" s="27">
        <v>17220</v>
      </c>
      <c r="B378" s="24" t="s">
        <v>7738</v>
      </c>
      <c r="C378" s="24" t="s">
        <v>9615</v>
      </c>
      <c r="D378" s="24" t="s">
        <v>7138</v>
      </c>
      <c r="E378" s="24" t="s">
        <v>7149</v>
      </c>
      <c r="F378" s="24" t="s">
        <v>7452</v>
      </c>
      <c r="G378" s="24" t="b">
        <v>0</v>
      </c>
    </row>
    <row r="379" spans="1:7" ht="12.5" customHeight="1">
      <c r="A379" s="27">
        <v>17260</v>
      </c>
      <c r="B379" s="24" t="s">
        <v>7741</v>
      </c>
      <c r="C379" s="24" t="s">
        <v>9615</v>
      </c>
      <c r="D379" s="24" t="s">
        <v>7138</v>
      </c>
      <c r="E379" s="24" t="s">
        <v>7742</v>
      </c>
      <c r="F379" s="24" t="s">
        <v>7584</v>
      </c>
      <c r="G379" s="24" t="b">
        <v>1</v>
      </c>
    </row>
    <row r="380" spans="1:7" ht="12.5" customHeight="1">
      <c r="A380" s="27">
        <v>17300</v>
      </c>
      <c r="B380" s="24" t="s">
        <v>7743</v>
      </c>
      <c r="C380" s="24" t="s">
        <v>9614</v>
      </c>
      <c r="D380" s="24" t="s">
        <v>7138</v>
      </c>
      <c r="E380" s="24" t="s">
        <v>7744</v>
      </c>
      <c r="F380" s="24" t="s">
        <v>7404</v>
      </c>
      <c r="G380" s="24" t="b">
        <v>0</v>
      </c>
    </row>
    <row r="381" spans="1:7" ht="12.5" customHeight="1">
      <c r="A381" s="27">
        <v>17300</v>
      </c>
      <c r="B381" s="24" t="s">
        <v>7743</v>
      </c>
      <c r="C381" s="24" t="s">
        <v>9614</v>
      </c>
      <c r="D381" s="24" t="s">
        <v>7138</v>
      </c>
      <c r="E381" s="24" t="s">
        <v>7745</v>
      </c>
      <c r="F381" s="24" t="s">
        <v>7404</v>
      </c>
      <c r="G381" s="24" t="b">
        <v>0</v>
      </c>
    </row>
    <row r="382" spans="1:7" ht="12.5" customHeight="1">
      <c r="A382" s="27">
        <v>17300</v>
      </c>
      <c r="B382" s="24" t="s">
        <v>7743</v>
      </c>
      <c r="C382" s="24" t="s">
        <v>9614</v>
      </c>
      <c r="D382" s="24" t="s">
        <v>7138</v>
      </c>
      <c r="E382" s="24" t="s">
        <v>7255</v>
      </c>
      <c r="F382" s="24" t="s">
        <v>7312</v>
      </c>
      <c r="G382" s="24" t="b">
        <v>1</v>
      </c>
    </row>
    <row r="383" spans="1:7" ht="12.5" customHeight="1">
      <c r="A383" s="27">
        <v>17300</v>
      </c>
      <c r="B383" s="24" t="s">
        <v>7743</v>
      </c>
      <c r="C383" s="24" t="s">
        <v>9614</v>
      </c>
      <c r="D383" s="24" t="s">
        <v>7138</v>
      </c>
      <c r="E383" s="24" t="s">
        <v>7746</v>
      </c>
      <c r="F383" s="24" t="s">
        <v>7312</v>
      </c>
      <c r="G383" s="24" t="b">
        <v>0</v>
      </c>
    </row>
    <row r="384" spans="1:7" ht="12.5" customHeight="1">
      <c r="A384" s="27">
        <v>17340</v>
      </c>
      <c r="B384" s="24" t="s">
        <v>7747</v>
      </c>
      <c r="C384" s="24" t="s">
        <v>9615</v>
      </c>
      <c r="D384" s="24" t="s">
        <v>7138</v>
      </c>
      <c r="E384" s="24" t="s">
        <v>7721</v>
      </c>
      <c r="F384" s="24" t="s">
        <v>7386</v>
      </c>
      <c r="G384" s="24" t="b">
        <v>1</v>
      </c>
    </row>
    <row r="385" spans="1:7" ht="12.5" customHeight="1">
      <c r="A385" s="27">
        <v>17380</v>
      </c>
      <c r="B385" s="24" t="s">
        <v>7748</v>
      </c>
      <c r="C385" s="24" t="s">
        <v>9615</v>
      </c>
      <c r="D385" s="24" t="s">
        <v>7749</v>
      </c>
      <c r="E385" s="24" t="s">
        <v>7750</v>
      </c>
      <c r="F385" s="24" t="s">
        <v>7584</v>
      </c>
      <c r="G385" s="24" t="b">
        <v>1</v>
      </c>
    </row>
    <row r="386" spans="1:7" ht="12.5" customHeight="1">
      <c r="A386" s="27">
        <v>17420</v>
      </c>
      <c r="B386" s="24" t="s">
        <v>7751</v>
      </c>
      <c r="C386" s="24" t="s">
        <v>9614</v>
      </c>
      <c r="D386" s="24" t="s">
        <v>7310</v>
      </c>
      <c r="E386" s="24" t="s">
        <v>7752</v>
      </c>
      <c r="F386" s="24" t="s">
        <v>7312</v>
      </c>
      <c r="G386" s="24" t="b">
        <v>1</v>
      </c>
    </row>
    <row r="387" spans="1:7" ht="12.5" customHeight="1">
      <c r="A387" s="27">
        <v>17420</v>
      </c>
      <c r="B387" s="24" t="s">
        <v>7751</v>
      </c>
      <c r="C387" s="24" t="s">
        <v>9614</v>
      </c>
      <c r="D387" s="24" t="s">
        <v>7310</v>
      </c>
      <c r="E387" s="24" t="s">
        <v>7664</v>
      </c>
      <c r="F387" s="24" t="s">
        <v>7312</v>
      </c>
      <c r="G387" s="24" t="b">
        <v>0</v>
      </c>
    </row>
    <row r="388" spans="1:7" ht="12.5" customHeight="1">
      <c r="A388" s="27">
        <v>17460</v>
      </c>
      <c r="B388" s="24" t="s">
        <v>7753</v>
      </c>
      <c r="C388" s="24" t="s">
        <v>9614</v>
      </c>
      <c r="D388" s="24" t="s">
        <v>7169</v>
      </c>
      <c r="E388" s="24" t="s">
        <v>7754</v>
      </c>
      <c r="F388" s="24" t="s">
        <v>7171</v>
      </c>
      <c r="G388" s="24" t="b">
        <v>1</v>
      </c>
    </row>
    <row r="389" spans="1:7" ht="12.5" customHeight="1">
      <c r="A389" s="27">
        <v>17460</v>
      </c>
      <c r="B389" s="24" t="s">
        <v>7753</v>
      </c>
      <c r="C389" s="24" t="s">
        <v>9614</v>
      </c>
      <c r="D389" s="24" t="s">
        <v>7169</v>
      </c>
      <c r="E389" s="24" t="s">
        <v>7755</v>
      </c>
      <c r="F389" s="24" t="s">
        <v>7171</v>
      </c>
      <c r="G389" s="24" t="b">
        <v>1</v>
      </c>
    </row>
    <row r="390" spans="1:7" ht="12.5" customHeight="1">
      <c r="A390" s="27">
        <v>17460</v>
      </c>
      <c r="B390" s="24" t="s">
        <v>7753</v>
      </c>
      <c r="C390" s="24" t="s">
        <v>9614</v>
      </c>
      <c r="D390" s="24" t="s">
        <v>7169</v>
      </c>
      <c r="E390" s="24" t="s">
        <v>7721</v>
      </c>
      <c r="F390" s="24" t="s">
        <v>7171</v>
      </c>
      <c r="G390" s="24" t="b">
        <v>1</v>
      </c>
    </row>
    <row r="391" spans="1:7" ht="12.5" customHeight="1">
      <c r="A391" s="27">
        <v>17460</v>
      </c>
      <c r="B391" s="24" t="s">
        <v>7753</v>
      </c>
      <c r="C391" s="24" t="s">
        <v>9614</v>
      </c>
      <c r="D391" s="24" t="s">
        <v>7169</v>
      </c>
      <c r="E391" s="24" t="s">
        <v>7756</v>
      </c>
      <c r="F391" s="24" t="s">
        <v>7171</v>
      </c>
      <c r="G391" s="24" t="b">
        <v>0</v>
      </c>
    </row>
    <row r="392" spans="1:7" ht="12.5" customHeight="1">
      <c r="A392" s="27">
        <v>17460</v>
      </c>
      <c r="B392" s="24" t="s">
        <v>7753</v>
      </c>
      <c r="C392" s="24" t="s">
        <v>9614</v>
      </c>
      <c r="D392" s="24" t="s">
        <v>7169</v>
      </c>
      <c r="E392" s="24" t="s">
        <v>7757</v>
      </c>
      <c r="F392" s="24" t="s">
        <v>7171</v>
      </c>
      <c r="G392" s="24" t="b">
        <v>1</v>
      </c>
    </row>
    <row r="393" spans="1:7" ht="12.5" customHeight="1">
      <c r="A393" s="27">
        <v>17500</v>
      </c>
      <c r="B393" s="24" t="s">
        <v>7758</v>
      </c>
      <c r="C393" s="24" t="s">
        <v>9615</v>
      </c>
      <c r="D393" s="24" t="s">
        <v>7642</v>
      </c>
      <c r="E393" s="24" t="s">
        <v>7759</v>
      </c>
      <c r="F393" s="24" t="s">
        <v>7277</v>
      </c>
      <c r="G393" s="24" t="b">
        <v>1</v>
      </c>
    </row>
    <row r="394" spans="1:7" ht="12.5" customHeight="1">
      <c r="A394" s="27">
        <v>17540</v>
      </c>
      <c r="B394" s="24" t="s">
        <v>7760</v>
      </c>
      <c r="C394" s="24" t="s">
        <v>9615</v>
      </c>
      <c r="D394" s="24" t="s">
        <v>7761</v>
      </c>
      <c r="E394" s="24" t="s">
        <v>7762</v>
      </c>
      <c r="F394" s="24" t="s">
        <v>7252</v>
      </c>
      <c r="G394" s="24" t="b">
        <v>1</v>
      </c>
    </row>
    <row r="395" spans="1:7" ht="12.5" customHeight="1">
      <c r="A395" s="27">
        <v>17580</v>
      </c>
      <c r="B395" s="24" t="s">
        <v>7763</v>
      </c>
      <c r="C395" s="24" t="s">
        <v>9615</v>
      </c>
      <c r="D395" s="24" t="s">
        <v>7764</v>
      </c>
      <c r="E395" s="24" t="s">
        <v>7586</v>
      </c>
      <c r="F395" s="24" t="s">
        <v>7175</v>
      </c>
      <c r="G395" s="24" t="b">
        <v>1</v>
      </c>
    </row>
    <row r="396" spans="1:7" ht="12.5" customHeight="1">
      <c r="A396" s="27">
        <v>17620</v>
      </c>
      <c r="B396" s="24" t="s">
        <v>7765</v>
      </c>
      <c r="C396" s="24" t="s">
        <v>9615</v>
      </c>
      <c r="D396" s="24" t="s">
        <v>7766</v>
      </c>
      <c r="E396" s="24" t="s">
        <v>7767</v>
      </c>
      <c r="F396" s="24" t="s">
        <v>7159</v>
      </c>
      <c r="G396" s="24" t="b">
        <v>1</v>
      </c>
    </row>
    <row r="397" spans="1:7" ht="12.5" customHeight="1">
      <c r="A397" s="27">
        <v>17640</v>
      </c>
      <c r="B397" s="24" t="s">
        <v>7768</v>
      </c>
      <c r="C397" s="24" t="s">
        <v>9615</v>
      </c>
      <c r="D397" s="24" t="s">
        <v>7282</v>
      </c>
      <c r="E397" s="24" t="s">
        <v>7769</v>
      </c>
      <c r="F397" s="24" t="s">
        <v>7159</v>
      </c>
      <c r="G397" s="24" t="b">
        <v>1</v>
      </c>
    </row>
    <row r="398" spans="1:7" ht="12.5" customHeight="1">
      <c r="A398" s="27">
        <v>17660</v>
      </c>
      <c r="B398" s="24" t="s">
        <v>7770</v>
      </c>
      <c r="C398" s="24" t="s">
        <v>9614</v>
      </c>
      <c r="D398" s="24" t="s">
        <v>7771</v>
      </c>
      <c r="E398" s="24" t="s">
        <v>7772</v>
      </c>
      <c r="F398" s="24" t="s">
        <v>7505</v>
      </c>
      <c r="G398" s="24" t="b">
        <v>1</v>
      </c>
    </row>
    <row r="399" spans="1:7" ht="12.5" customHeight="1">
      <c r="A399" s="27">
        <v>17700</v>
      </c>
      <c r="B399" s="24" t="s">
        <v>7773</v>
      </c>
      <c r="C399" s="24" t="s">
        <v>9615</v>
      </c>
      <c r="D399" s="24" t="s">
        <v>7138</v>
      </c>
      <c r="E399" s="24" t="s">
        <v>7255</v>
      </c>
      <c r="F399" s="24" t="s">
        <v>7306</v>
      </c>
      <c r="G399" s="24" t="b">
        <v>1</v>
      </c>
    </row>
    <row r="400" spans="1:7" ht="12.5" customHeight="1">
      <c r="A400" s="27">
        <v>17740</v>
      </c>
      <c r="B400" s="24" t="s">
        <v>7774</v>
      </c>
      <c r="C400" s="24" t="s">
        <v>9615</v>
      </c>
      <c r="D400" s="24" t="s">
        <v>7433</v>
      </c>
      <c r="E400" s="24" t="s">
        <v>7775</v>
      </c>
      <c r="F400" s="24" t="s">
        <v>7156</v>
      </c>
      <c r="G400" s="24" t="b">
        <v>1</v>
      </c>
    </row>
    <row r="401" spans="1:7" ht="12.5" customHeight="1">
      <c r="A401" s="27">
        <v>17780</v>
      </c>
      <c r="B401" s="24" t="s">
        <v>7776</v>
      </c>
      <c r="C401" s="24" t="s">
        <v>9614</v>
      </c>
      <c r="D401" s="24" t="s">
        <v>7138</v>
      </c>
      <c r="E401" s="24" t="s">
        <v>7777</v>
      </c>
      <c r="F401" s="24" t="s">
        <v>7147</v>
      </c>
      <c r="G401" s="24" t="b">
        <v>1</v>
      </c>
    </row>
    <row r="402" spans="1:7" ht="12.5" customHeight="1">
      <c r="A402" s="27">
        <v>17780</v>
      </c>
      <c r="B402" s="24" t="s">
        <v>7776</v>
      </c>
      <c r="C402" s="24" t="s">
        <v>9614</v>
      </c>
      <c r="D402" s="24" t="s">
        <v>7138</v>
      </c>
      <c r="E402" s="24" t="s">
        <v>7778</v>
      </c>
      <c r="F402" s="24" t="s">
        <v>7147</v>
      </c>
      <c r="G402" s="24" t="b">
        <v>0</v>
      </c>
    </row>
    <row r="403" spans="1:7" ht="12.5" customHeight="1">
      <c r="A403" s="27">
        <v>17780</v>
      </c>
      <c r="B403" s="24" t="s">
        <v>7776</v>
      </c>
      <c r="C403" s="24" t="s">
        <v>9614</v>
      </c>
      <c r="D403" s="24" t="s">
        <v>7138</v>
      </c>
      <c r="E403" s="24" t="s">
        <v>7779</v>
      </c>
      <c r="F403" s="24" t="s">
        <v>7147</v>
      </c>
      <c r="G403" s="24" t="b">
        <v>0</v>
      </c>
    </row>
    <row r="404" spans="1:7" ht="12.5" customHeight="1">
      <c r="A404" s="27">
        <v>17820</v>
      </c>
      <c r="B404" s="24" t="s">
        <v>7780</v>
      </c>
      <c r="C404" s="24" t="s">
        <v>9614</v>
      </c>
      <c r="D404" s="24" t="s">
        <v>7138</v>
      </c>
      <c r="E404" s="24" t="s">
        <v>7781</v>
      </c>
      <c r="F404" s="24" t="s">
        <v>7555</v>
      </c>
      <c r="G404" s="24" t="b">
        <v>1</v>
      </c>
    </row>
    <row r="405" spans="1:7" ht="12.5" customHeight="1">
      <c r="A405" s="27">
        <v>17820</v>
      </c>
      <c r="B405" s="24" t="s">
        <v>7780</v>
      </c>
      <c r="C405" s="24" t="s">
        <v>9614</v>
      </c>
      <c r="D405" s="24" t="s">
        <v>7138</v>
      </c>
      <c r="E405" s="24" t="s">
        <v>7782</v>
      </c>
      <c r="F405" s="24" t="s">
        <v>7555</v>
      </c>
      <c r="G405" s="24" t="b">
        <v>0</v>
      </c>
    </row>
    <row r="406" spans="1:7" ht="12.5" customHeight="1">
      <c r="A406" s="27">
        <v>17860</v>
      </c>
      <c r="B406" s="24" t="s">
        <v>7783</v>
      </c>
      <c r="C406" s="24" t="s">
        <v>9614</v>
      </c>
      <c r="D406" s="24" t="s">
        <v>7784</v>
      </c>
      <c r="E406" s="24" t="s">
        <v>7251</v>
      </c>
      <c r="F406" s="24" t="s">
        <v>7570</v>
      </c>
      <c r="G406" s="24" t="b">
        <v>1</v>
      </c>
    </row>
    <row r="407" spans="1:7" ht="12.5" customHeight="1">
      <c r="A407" s="27">
        <v>17860</v>
      </c>
      <c r="B407" s="24" t="s">
        <v>7783</v>
      </c>
      <c r="C407" s="24" t="s">
        <v>9614</v>
      </c>
      <c r="D407" s="24" t="s">
        <v>7784</v>
      </c>
      <c r="E407" s="24" t="s">
        <v>7785</v>
      </c>
      <c r="F407" s="24" t="s">
        <v>7570</v>
      </c>
      <c r="G407" s="24" t="b">
        <v>0</v>
      </c>
    </row>
    <row r="408" spans="1:7" ht="12.5" customHeight="1">
      <c r="A408" s="27">
        <v>17860</v>
      </c>
      <c r="B408" s="24" t="s">
        <v>7783</v>
      </c>
      <c r="C408" s="24" t="s">
        <v>9614</v>
      </c>
      <c r="D408" s="24" t="s">
        <v>7784</v>
      </c>
      <c r="E408" s="24" t="s">
        <v>7393</v>
      </c>
      <c r="F408" s="24" t="s">
        <v>7570</v>
      </c>
      <c r="G408" s="24" t="b">
        <v>0</v>
      </c>
    </row>
    <row r="409" spans="1:7" ht="12.5" customHeight="1">
      <c r="A409" s="27">
        <v>17900</v>
      </c>
      <c r="B409" s="24" t="s">
        <v>7786</v>
      </c>
      <c r="C409" s="24" t="s">
        <v>9614</v>
      </c>
      <c r="D409" s="24" t="s">
        <v>7787</v>
      </c>
      <c r="E409" s="24" t="s">
        <v>7268</v>
      </c>
      <c r="F409" s="24" t="s">
        <v>7368</v>
      </c>
      <c r="G409" s="24" t="b">
        <v>0</v>
      </c>
    </row>
    <row r="410" spans="1:7" ht="12.5" customHeight="1">
      <c r="A410" s="27">
        <v>17900</v>
      </c>
      <c r="B410" s="24" t="s">
        <v>7786</v>
      </c>
      <c r="C410" s="24" t="s">
        <v>9614</v>
      </c>
      <c r="D410" s="24" t="s">
        <v>7787</v>
      </c>
      <c r="E410" s="24" t="s">
        <v>7580</v>
      </c>
      <c r="F410" s="24" t="s">
        <v>7368</v>
      </c>
      <c r="G410" s="24" t="b">
        <v>0</v>
      </c>
    </row>
    <row r="411" spans="1:7" ht="12.5" customHeight="1">
      <c r="A411" s="27">
        <v>17900</v>
      </c>
      <c r="B411" s="24" t="s">
        <v>7786</v>
      </c>
      <c r="C411" s="24" t="s">
        <v>9614</v>
      </c>
      <c r="D411" s="24" t="s">
        <v>7787</v>
      </c>
      <c r="E411" s="24" t="s">
        <v>7788</v>
      </c>
      <c r="F411" s="24" t="s">
        <v>7368</v>
      </c>
      <c r="G411" s="24" t="b">
        <v>0</v>
      </c>
    </row>
    <row r="412" spans="1:7" ht="12.5" customHeight="1">
      <c r="A412" s="27">
        <v>17900</v>
      </c>
      <c r="B412" s="24" t="s">
        <v>7786</v>
      </c>
      <c r="C412" s="24" t="s">
        <v>9614</v>
      </c>
      <c r="D412" s="24" t="s">
        <v>7787</v>
      </c>
      <c r="E412" s="24" t="s">
        <v>7789</v>
      </c>
      <c r="F412" s="24" t="s">
        <v>7368</v>
      </c>
      <c r="G412" s="24" t="b">
        <v>1</v>
      </c>
    </row>
    <row r="413" spans="1:7" ht="12.5" customHeight="1">
      <c r="A413" s="27">
        <v>17900</v>
      </c>
      <c r="B413" s="24" t="s">
        <v>7786</v>
      </c>
      <c r="C413" s="24" t="s">
        <v>9614</v>
      </c>
      <c r="D413" s="24" t="s">
        <v>7787</v>
      </c>
      <c r="E413" s="24" t="s">
        <v>7790</v>
      </c>
      <c r="F413" s="24" t="s">
        <v>7368</v>
      </c>
      <c r="G413" s="24" t="b">
        <v>1</v>
      </c>
    </row>
    <row r="414" spans="1:7" ht="12.5" customHeight="1">
      <c r="A414" s="27">
        <v>17900</v>
      </c>
      <c r="B414" s="24" t="s">
        <v>7786</v>
      </c>
      <c r="C414" s="24" t="s">
        <v>9614</v>
      </c>
      <c r="D414" s="24" t="s">
        <v>7787</v>
      </c>
      <c r="E414" s="24" t="s">
        <v>7791</v>
      </c>
      <c r="F414" s="24" t="s">
        <v>7368</v>
      </c>
      <c r="G414" s="24" t="b">
        <v>0</v>
      </c>
    </row>
    <row r="415" spans="1:7" ht="12.5" customHeight="1">
      <c r="A415" s="27">
        <v>17980</v>
      </c>
      <c r="B415" s="24" t="s">
        <v>7792</v>
      </c>
      <c r="C415" s="24" t="s">
        <v>9614</v>
      </c>
      <c r="D415" s="24" t="s">
        <v>7360</v>
      </c>
      <c r="E415" s="24" t="s">
        <v>7793</v>
      </c>
      <c r="F415" s="24" t="s">
        <v>7201</v>
      </c>
      <c r="G415" s="24" t="b">
        <v>1</v>
      </c>
    </row>
    <row r="416" spans="1:7" ht="12.5" customHeight="1">
      <c r="A416" s="27">
        <v>17980</v>
      </c>
      <c r="B416" s="24" t="s">
        <v>7792</v>
      </c>
      <c r="C416" s="24" t="s">
        <v>9614</v>
      </c>
      <c r="D416" s="24" t="s">
        <v>7360</v>
      </c>
      <c r="E416" s="24" t="s">
        <v>7794</v>
      </c>
      <c r="F416" s="24" t="s">
        <v>7178</v>
      </c>
      <c r="G416" s="24" t="b">
        <v>1</v>
      </c>
    </row>
    <row r="417" spans="1:7" ht="12.5" customHeight="1">
      <c r="A417" s="27">
        <v>17980</v>
      </c>
      <c r="B417" s="24" t="s">
        <v>7792</v>
      </c>
      <c r="C417" s="24" t="s">
        <v>9614</v>
      </c>
      <c r="D417" s="24" t="s">
        <v>7360</v>
      </c>
      <c r="E417" s="24" t="s">
        <v>7795</v>
      </c>
      <c r="F417" s="24" t="s">
        <v>7178</v>
      </c>
      <c r="G417" s="24" t="b">
        <v>0</v>
      </c>
    </row>
    <row r="418" spans="1:7" ht="12.5" customHeight="1">
      <c r="A418" s="27">
        <v>17980</v>
      </c>
      <c r="B418" s="24" t="s">
        <v>7792</v>
      </c>
      <c r="C418" s="24" t="s">
        <v>9614</v>
      </c>
      <c r="D418" s="24" t="s">
        <v>7360</v>
      </c>
      <c r="E418" s="24" t="s">
        <v>7671</v>
      </c>
      <c r="F418" s="24" t="s">
        <v>7178</v>
      </c>
      <c r="G418" s="24" t="b">
        <v>0</v>
      </c>
    </row>
    <row r="419" spans="1:7" ht="12.5" customHeight="1">
      <c r="A419" s="27">
        <v>17980</v>
      </c>
      <c r="B419" s="24" t="s">
        <v>7792</v>
      </c>
      <c r="C419" s="24" t="s">
        <v>9614</v>
      </c>
      <c r="D419" s="24" t="s">
        <v>7360</v>
      </c>
      <c r="E419" s="24" t="s">
        <v>7796</v>
      </c>
      <c r="F419" s="24" t="s">
        <v>7178</v>
      </c>
      <c r="G419" s="24" t="b">
        <v>1</v>
      </c>
    </row>
    <row r="420" spans="1:7" ht="12.5" customHeight="1">
      <c r="A420" s="27">
        <v>17980</v>
      </c>
      <c r="B420" s="24" t="s">
        <v>7792</v>
      </c>
      <c r="C420" s="24" t="s">
        <v>9614</v>
      </c>
      <c r="D420" s="24" t="s">
        <v>7360</v>
      </c>
      <c r="E420" s="24" t="s">
        <v>7746</v>
      </c>
      <c r="F420" s="24" t="s">
        <v>7178</v>
      </c>
      <c r="G420" s="24" t="b">
        <v>0</v>
      </c>
    </row>
    <row r="421" spans="1:7" ht="12.5" customHeight="1">
      <c r="A421" s="27">
        <v>17980</v>
      </c>
      <c r="B421" s="24" t="s">
        <v>7792</v>
      </c>
      <c r="C421" s="24" t="s">
        <v>9614</v>
      </c>
      <c r="D421" s="24" t="s">
        <v>7360</v>
      </c>
      <c r="E421" s="24" t="s">
        <v>7797</v>
      </c>
      <c r="F421" s="24" t="s">
        <v>7178</v>
      </c>
      <c r="G421" s="24" t="b">
        <v>0</v>
      </c>
    </row>
    <row r="422" spans="1:7" ht="12.5" customHeight="1">
      <c r="A422" s="27">
        <v>18020</v>
      </c>
      <c r="B422" s="24" t="s">
        <v>7798</v>
      </c>
      <c r="C422" s="24" t="s">
        <v>9614</v>
      </c>
      <c r="D422" s="24" t="s">
        <v>7799</v>
      </c>
      <c r="E422" s="24" t="s">
        <v>7800</v>
      </c>
      <c r="F422" s="24" t="s">
        <v>4460</v>
      </c>
      <c r="G422" s="24" t="b">
        <v>1</v>
      </c>
    </row>
    <row r="423" spans="1:7" ht="12.5" customHeight="1">
      <c r="A423" s="27">
        <v>18060</v>
      </c>
      <c r="B423" s="24" t="s">
        <v>7801</v>
      </c>
      <c r="C423" s="24" t="s">
        <v>9615</v>
      </c>
      <c r="D423" s="24" t="s">
        <v>7802</v>
      </c>
      <c r="E423" s="24" t="s">
        <v>7803</v>
      </c>
      <c r="F423" s="24" t="s">
        <v>7584</v>
      </c>
      <c r="G423" s="24" t="b">
        <v>1</v>
      </c>
    </row>
    <row r="424" spans="1:7" ht="12.5" customHeight="1">
      <c r="A424" s="27">
        <v>18100</v>
      </c>
      <c r="B424" s="24" t="s">
        <v>7804</v>
      </c>
      <c r="C424" s="24" t="s">
        <v>9615</v>
      </c>
      <c r="D424" s="24" t="s">
        <v>7138</v>
      </c>
      <c r="E424" s="24" t="s">
        <v>7805</v>
      </c>
      <c r="F424" s="24" t="s">
        <v>7443</v>
      </c>
      <c r="G424" s="24" t="b">
        <v>1</v>
      </c>
    </row>
    <row r="425" spans="1:7" ht="12.5" customHeight="1">
      <c r="A425" s="27">
        <v>18140</v>
      </c>
      <c r="B425" s="24" t="s">
        <v>7806</v>
      </c>
      <c r="C425" s="24" t="s">
        <v>9614</v>
      </c>
      <c r="D425" s="24" t="s">
        <v>7460</v>
      </c>
      <c r="E425" s="24" t="s">
        <v>7807</v>
      </c>
      <c r="F425" s="24" t="s">
        <v>7171</v>
      </c>
      <c r="G425" s="24" t="b">
        <v>1</v>
      </c>
    </row>
    <row r="426" spans="1:7" ht="12.5" customHeight="1">
      <c r="A426" s="27">
        <v>18140</v>
      </c>
      <c r="B426" s="24" t="s">
        <v>7806</v>
      </c>
      <c r="C426" s="24" t="s">
        <v>9614</v>
      </c>
      <c r="D426" s="24" t="s">
        <v>7460</v>
      </c>
      <c r="E426" s="24" t="s">
        <v>7580</v>
      </c>
      <c r="F426" s="24" t="s">
        <v>7171</v>
      </c>
      <c r="G426" s="24" t="b">
        <v>1</v>
      </c>
    </row>
    <row r="427" spans="1:7" ht="12.5" customHeight="1">
      <c r="A427" s="27">
        <v>18140</v>
      </c>
      <c r="B427" s="24" t="s">
        <v>7806</v>
      </c>
      <c r="C427" s="24" t="s">
        <v>9614</v>
      </c>
      <c r="D427" s="24" t="s">
        <v>7460</v>
      </c>
      <c r="E427" s="24" t="s">
        <v>7616</v>
      </c>
      <c r="F427" s="24" t="s">
        <v>7171</v>
      </c>
      <c r="G427" s="24" t="b">
        <v>1</v>
      </c>
    </row>
    <row r="428" spans="1:7" ht="12.5" customHeight="1">
      <c r="A428" s="27">
        <v>18140</v>
      </c>
      <c r="B428" s="24" t="s">
        <v>7806</v>
      </c>
      <c r="C428" s="24" t="s">
        <v>9614</v>
      </c>
      <c r="D428" s="24" t="s">
        <v>7460</v>
      </c>
      <c r="E428" s="24" t="s">
        <v>7808</v>
      </c>
      <c r="F428" s="24" t="s">
        <v>7171</v>
      </c>
      <c r="G428" s="24" t="b">
        <v>0</v>
      </c>
    </row>
    <row r="429" spans="1:7" ht="12.5" customHeight="1">
      <c r="A429" s="27">
        <v>18140</v>
      </c>
      <c r="B429" s="24" t="s">
        <v>7806</v>
      </c>
      <c r="C429" s="24" t="s">
        <v>9614</v>
      </c>
      <c r="D429" s="24" t="s">
        <v>7460</v>
      </c>
      <c r="E429" s="24" t="s">
        <v>7809</v>
      </c>
      <c r="F429" s="24" t="s">
        <v>7171</v>
      </c>
      <c r="G429" s="24" t="b">
        <v>0</v>
      </c>
    </row>
    <row r="430" spans="1:7" ht="12.5" customHeight="1">
      <c r="A430" s="27">
        <v>18140</v>
      </c>
      <c r="B430" s="24" t="s">
        <v>7806</v>
      </c>
      <c r="C430" s="24" t="s">
        <v>9614</v>
      </c>
      <c r="D430" s="24" t="s">
        <v>7460</v>
      </c>
      <c r="E430" s="24" t="s">
        <v>7295</v>
      </c>
      <c r="F430" s="24" t="s">
        <v>7171</v>
      </c>
      <c r="G430" s="24" t="b">
        <v>0</v>
      </c>
    </row>
    <row r="431" spans="1:7" ht="12.5" customHeight="1">
      <c r="A431" s="27">
        <v>18140</v>
      </c>
      <c r="B431" s="24" t="s">
        <v>7806</v>
      </c>
      <c r="C431" s="24" t="s">
        <v>9614</v>
      </c>
      <c r="D431" s="24" t="s">
        <v>7460</v>
      </c>
      <c r="E431" s="24" t="s">
        <v>7810</v>
      </c>
      <c r="F431" s="24" t="s">
        <v>7171</v>
      </c>
      <c r="G431" s="24" t="b">
        <v>0</v>
      </c>
    </row>
    <row r="432" spans="1:7" ht="12.5" customHeight="1">
      <c r="A432" s="27">
        <v>18140</v>
      </c>
      <c r="B432" s="24" t="s">
        <v>7806</v>
      </c>
      <c r="C432" s="24" t="s">
        <v>9614</v>
      </c>
      <c r="D432" s="24" t="s">
        <v>7460</v>
      </c>
      <c r="E432" s="24" t="s">
        <v>7811</v>
      </c>
      <c r="F432" s="24" t="s">
        <v>7171</v>
      </c>
      <c r="G432" s="24" t="b">
        <v>0</v>
      </c>
    </row>
    <row r="433" spans="1:7" ht="12.5" customHeight="1">
      <c r="A433" s="27">
        <v>18140</v>
      </c>
      <c r="B433" s="24" t="s">
        <v>7806</v>
      </c>
      <c r="C433" s="24" t="s">
        <v>9614</v>
      </c>
      <c r="D433" s="24" t="s">
        <v>7460</v>
      </c>
      <c r="E433" s="24" t="s">
        <v>7812</v>
      </c>
      <c r="F433" s="24" t="s">
        <v>7171</v>
      </c>
      <c r="G433" s="24" t="b">
        <v>0</v>
      </c>
    </row>
    <row r="434" spans="1:7" ht="12.5" customHeight="1">
      <c r="A434" s="27">
        <v>18140</v>
      </c>
      <c r="B434" s="24" t="s">
        <v>7806</v>
      </c>
      <c r="C434" s="24" t="s">
        <v>9614</v>
      </c>
      <c r="D434" s="24" t="s">
        <v>7460</v>
      </c>
      <c r="E434" s="24" t="s">
        <v>7695</v>
      </c>
      <c r="F434" s="24" t="s">
        <v>7171</v>
      </c>
      <c r="G434" s="24" t="b">
        <v>0</v>
      </c>
    </row>
    <row r="435" spans="1:7" ht="12.5" customHeight="1">
      <c r="A435" s="27">
        <v>18180</v>
      </c>
      <c r="B435" s="24" t="s">
        <v>7813</v>
      </c>
      <c r="C435" s="24" t="s">
        <v>9615</v>
      </c>
      <c r="D435" s="24" t="s">
        <v>7406</v>
      </c>
      <c r="E435" s="24" t="s">
        <v>7814</v>
      </c>
      <c r="F435" s="24" t="s">
        <v>7475</v>
      </c>
      <c r="G435" s="24" t="b">
        <v>1</v>
      </c>
    </row>
    <row r="436" spans="1:7" ht="12.5" customHeight="1">
      <c r="A436" s="27">
        <v>18220</v>
      </c>
      <c r="B436" s="24" t="s">
        <v>7815</v>
      </c>
      <c r="C436" s="24" t="s">
        <v>9615</v>
      </c>
      <c r="D436" s="24" t="s">
        <v>7816</v>
      </c>
      <c r="E436" s="24" t="s">
        <v>7331</v>
      </c>
      <c r="F436" s="24" t="s">
        <v>4460</v>
      </c>
      <c r="G436" s="24" t="b">
        <v>1</v>
      </c>
    </row>
    <row r="437" spans="1:7" ht="12.5" customHeight="1">
      <c r="A437" s="27">
        <v>18260</v>
      </c>
      <c r="B437" s="24" t="s">
        <v>7817</v>
      </c>
      <c r="C437" s="24" t="s">
        <v>9615</v>
      </c>
      <c r="D437" s="24" t="s">
        <v>7138</v>
      </c>
      <c r="E437" s="24" t="s">
        <v>7238</v>
      </c>
      <c r="F437" s="24" t="s">
        <v>7312</v>
      </c>
      <c r="G437" s="24" t="b">
        <v>0</v>
      </c>
    </row>
    <row r="438" spans="1:7" ht="12.5" customHeight="1">
      <c r="A438" s="27">
        <v>18260</v>
      </c>
      <c r="B438" s="24" t="s">
        <v>7817</v>
      </c>
      <c r="C438" s="24" t="s">
        <v>9615</v>
      </c>
      <c r="D438" s="24" t="s">
        <v>7138</v>
      </c>
      <c r="E438" s="24" t="s">
        <v>7818</v>
      </c>
      <c r="F438" s="24" t="s">
        <v>7312</v>
      </c>
      <c r="G438" s="24" t="b">
        <v>0</v>
      </c>
    </row>
    <row r="439" spans="1:7" ht="12.5" customHeight="1">
      <c r="A439" s="27">
        <v>18260</v>
      </c>
      <c r="B439" s="24" t="s">
        <v>7817</v>
      </c>
      <c r="C439" s="24" t="s">
        <v>9615</v>
      </c>
      <c r="D439" s="24" t="s">
        <v>7138</v>
      </c>
      <c r="E439" s="24" t="s">
        <v>7819</v>
      </c>
      <c r="F439" s="24" t="s">
        <v>7312</v>
      </c>
      <c r="G439" s="24" t="b">
        <v>1</v>
      </c>
    </row>
    <row r="440" spans="1:7" ht="12.5" customHeight="1">
      <c r="A440" s="27">
        <v>18300</v>
      </c>
      <c r="B440" s="24" t="s">
        <v>7820</v>
      </c>
      <c r="C440" s="24" t="s">
        <v>9615</v>
      </c>
      <c r="D440" s="24" t="s">
        <v>7138</v>
      </c>
      <c r="E440" s="24" t="s">
        <v>7474</v>
      </c>
      <c r="F440" s="24" t="s">
        <v>4053</v>
      </c>
      <c r="G440" s="24" t="b">
        <v>1</v>
      </c>
    </row>
    <row r="441" spans="1:7" ht="12.5" customHeight="1">
      <c r="A441" s="27">
        <v>18380</v>
      </c>
      <c r="B441" s="24" t="s">
        <v>7821</v>
      </c>
      <c r="C441" s="24" t="s">
        <v>9615</v>
      </c>
      <c r="D441" s="24" t="s">
        <v>7138</v>
      </c>
      <c r="E441" s="24" t="s">
        <v>7822</v>
      </c>
      <c r="F441" s="24" t="s">
        <v>7178</v>
      </c>
      <c r="G441" s="24" t="b">
        <v>1</v>
      </c>
    </row>
    <row r="442" spans="1:7" ht="12.5" customHeight="1">
      <c r="A442" s="27">
        <v>18420</v>
      </c>
      <c r="B442" s="24" t="s">
        <v>7823</v>
      </c>
      <c r="C442" s="24" t="s">
        <v>9615</v>
      </c>
      <c r="D442" s="24" t="s">
        <v>7824</v>
      </c>
      <c r="E442" s="24" t="s">
        <v>7825</v>
      </c>
      <c r="F442" s="24" t="s">
        <v>7584</v>
      </c>
      <c r="G442" s="24" t="b">
        <v>1</v>
      </c>
    </row>
    <row r="443" spans="1:7" ht="12.5" customHeight="1">
      <c r="A443" s="27">
        <v>18460</v>
      </c>
      <c r="B443" s="24" t="s">
        <v>7826</v>
      </c>
      <c r="C443" s="24" t="s">
        <v>9615</v>
      </c>
      <c r="D443" s="24" t="s">
        <v>7316</v>
      </c>
      <c r="E443" s="24" t="s">
        <v>7827</v>
      </c>
      <c r="F443" s="24" t="s">
        <v>7178</v>
      </c>
      <c r="G443" s="24" t="b">
        <v>1</v>
      </c>
    </row>
    <row r="444" spans="1:7" ht="12.5" customHeight="1">
      <c r="A444" s="27">
        <v>18500</v>
      </c>
      <c r="B444" s="24" t="s">
        <v>7828</v>
      </c>
      <c r="C444" s="24" t="s">
        <v>9615</v>
      </c>
      <c r="D444" s="24" t="s">
        <v>7829</v>
      </c>
      <c r="E444" s="24" t="s">
        <v>7264</v>
      </c>
      <c r="F444" s="24" t="s">
        <v>3775</v>
      </c>
      <c r="G444" s="24" t="b">
        <v>1</v>
      </c>
    </row>
    <row r="445" spans="1:7" ht="12.5" customHeight="1">
      <c r="A445" s="27">
        <v>18580</v>
      </c>
      <c r="B445" s="24" t="s">
        <v>7830</v>
      </c>
      <c r="C445" s="24" t="s">
        <v>9614</v>
      </c>
      <c r="D445" s="24" t="s">
        <v>7219</v>
      </c>
      <c r="E445" s="24" t="s">
        <v>7831</v>
      </c>
      <c r="F445" s="24" t="s">
        <v>7147</v>
      </c>
      <c r="G445" s="24" t="b">
        <v>1</v>
      </c>
    </row>
    <row r="446" spans="1:7" ht="12.5" customHeight="1">
      <c r="A446" s="27">
        <v>18580</v>
      </c>
      <c r="B446" s="24" t="s">
        <v>7830</v>
      </c>
      <c r="C446" s="24" t="s">
        <v>9614</v>
      </c>
      <c r="D446" s="24" t="s">
        <v>7219</v>
      </c>
      <c r="E446" s="24" t="s">
        <v>7832</v>
      </c>
      <c r="F446" s="24" t="s">
        <v>7147</v>
      </c>
      <c r="G446" s="24" t="b">
        <v>1</v>
      </c>
    </row>
    <row r="447" spans="1:7" ht="12.5" customHeight="1">
      <c r="A447" s="27">
        <v>18620</v>
      </c>
      <c r="B447" s="24" t="s">
        <v>7833</v>
      </c>
      <c r="C447" s="24" t="s">
        <v>9615</v>
      </c>
      <c r="D447" s="24" t="s">
        <v>7314</v>
      </c>
      <c r="E447" s="24" t="s">
        <v>7834</v>
      </c>
      <c r="F447" s="24" t="s">
        <v>7147</v>
      </c>
      <c r="G447" s="24" t="b">
        <v>1</v>
      </c>
    </row>
    <row r="448" spans="1:7" ht="12.5" customHeight="1">
      <c r="A448" s="27">
        <v>18660</v>
      </c>
      <c r="B448" s="24" t="s">
        <v>7835</v>
      </c>
      <c r="C448" s="24" t="s">
        <v>9615</v>
      </c>
      <c r="D448" s="24" t="s">
        <v>7836</v>
      </c>
      <c r="E448" s="24" t="s">
        <v>7837</v>
      </c>
      <c r="F448" s="24" t="s">
        <v>3775</v>
      </c>
      <c r="G448" s="24" t="b">
        <v>1</v>
      </c>
    </row>
    <row r="449" spans="1:7" ht="12.5" customHeight="1">
      <c r="A449" s="27">
        <v>18700</v>
      </c>
      <c r="B449" s="24" t="s">
        <v>7838</v>
      </c>
      <c r="C449" s="24" t="s">
        <v>9614</v>
      </c>
      <c r="D449" s="24" t="s">
        <v>7183</v>
      </c>
      <c r="E449" s="24" t="s">
        <v>7662</v>
      </c>
      <c r="F449" s="24" t="s">
        <v>4053</v>
      </c>
      <c r="G449" s="24" t="b">
        <v>1</v>
      </c>
    </row>
    <row r="450" spans="1:7" ht="12.5" customHeight="1">
      <c r="A450" s="27">
        <v>18740</v>
      </c>
      <c r="B450" s="24" t="s">
        <v>7839</v>
      </c>
      <c r="C450" s="24" t="s">
        <v>9615</v>
      </c>
      <c r="D450" s="24" t="s">
        <v>7138</v>
      </c>
      <c r="E450" s="24" t="s">
        <v>7840</v>
      </c>
      <c r="F450" s="24" t="s">
        <v>7171</v>
      </c>
      <c r="G450" s="24" t="b">
        <v>1</v>
      </c>
    </row>
    <row r="451" spans="1:7" ht="12.5" customHeight="1">
      <c r="A451" s="27">
        <v>18780</v>
      </c>
      <c r="B451" s="24" t="s">
        <v>7841</v>
      </c>
      <c r="C451" s="24" t="s">
        <v>9615</v>
      </c>
      <c r="D451" s="24" t="s">
        <v>7842</v>
      </c>
      <c r="E451" s="24" t="s">
        <v>7843</v>
      </c>
      <c r="F451" s="24" t="s">
        <v>7555</v>
      </c>
      <c r="G451" s="24" t="b">
        <v>1</v>
      </c>
    </row>
    <row r="452" spans="1:7" ht="12.5" customHeight="1">
      <c r="A452" s="27">
        <v>18820</v>
      </c>
      <c r="B452" s="24" t="s">
        <v>7844</v>
      </c>
      <c r="C452" s="24" t="s">
        <v>9615</v>
      </c>
      <c r="D452" s="24" t="s">
        <v>7799</v>
      </c>
      <c r="E452" s="24" t="s">
        <v>7255</v>
      </c>
      <c r="F452" s="24" t="s">
        <v>4460</v>
      </c>
      <c r="G452" s="24" t="b">
        <v>1</v>
      </c>
    </row>
    <row r="453" spans="1:7" ht="12.5" customHeight="1">
      <c r="A453" s="27">
        <v>18860</v>
      </c>
      <c r="B453" s="24" t="s">
        <v>7845</v>
      </c>
      <c r="C453" s="24" t="s">
        <v>9615</v>
      </c>
      <c r="D453" s="24" t="s">
        <v>7138</v>
      </c>
      <c r="E453" s="24" t="s">
        <v>7846</v>
      </c>
      <c r="F453" s="24" t="s">
        <v>7386</v>
      </c>
      <c r="G453" s="24" t="b">
        <v>1</v>
      </c>
    </row>
    <row r="454" spans="1:7" ht="12.5" customHeight="1">
      <c r="A454" s="27">
        <v>18880</v>
      </c>
      <c r="B454" s="24" t="s">
        <v>7847</v>
      </c>
      <c r="C454" s="24" t="s">
        <v>9614</v>
      </c>
      <c r="D454" s="24" t="s">
        <v>7138</v>
      </c>
      <c r="E454" s="24" t="s">
        <v>7848</v>
      </c>
      <c r="F454" s="24" t="s">
        <v>7277</v>
      </c>
      <c r="G454" s="24" t="b">
        <v>1</v>
      </c>
    </row>
    <row r="455" spans="1:7" ht="12.5" customHeight="1">
      <c r="A455" s="27">
        <v>18880</v>
      </c>
      <c r="B455" s="24" t="s">
        <v>7847</v>
      </c>
      <c r="C455" s="24" t="s">
        <v>9614</v>
      </c>
      <c r="D455" s="24" t="s">
        <v>7138</v>
      </c>
      <c r="E455" s="24" t="s">
        <v>7348</v>
      </c>
      <c r="F455" s="24" t="s">
        <v>7277</v>
      </c>
      <c r="G455" s="24" t="b">
        <v>1</v>
      </c>
    </row>
    <row r="456" spans="1:7" ht="12.5" customHeight="1">
      <c r="A456" s="27">
        <v>18900</v>
      </c>
      <c r="B456" s="24" t="s">
        <v>7849</v>
      </c>
      <c r="C456" s="24" t="s">
        <v>9615</v>
      </c>
      <c r="D456" s="24" t="s">
        <v>7138</v>
      </c>
      <c r="E456" s="24" t="s">
        <v>7684</v>
      </c>
      <c r="F456" s="24" t="s">
        <v>7312</v>
      </c>
      <c r="G456" s="24" t="b">
        <v>1</v>
      </c>
    </row>
    <row r="457" spans="1:7" ht="12.5" customHeight="1">
      <c r="A457" s="27">
        <v>18980</v>
      </c>
      <c r="B457" s="24" t="s">
        <v>7850</v>
      </c>
      <c r="C457" s="24" t="s">
        <v>9615</v>
      </c>
      <c r="D457" s="24" t="s">
        <v>7491</v>
      </c>
      <c r="E457" s="24" t="s">
        <v>7851</v>
      </c>
      <c r="F457" s="24" t="s">
        <v>7201</v>
      </c>
      <c r="G457" s="24" t="b">
        <v>1</v>
      </c>
    </row>
    <row r="458" spans="1:7" ht="12.5" customHeight="1">
      <c r="A458" s="27">
        <v>19000</v>
      </c>
      <c r="B458" s="24" t="s">
        <v>7852</v>
      </c>
      <c r="C458" s="24" t="s">
        <v>9615</v>
      </c>
      <c r="D458" s="24" t="s">
        <v>7138</v>
      </c>
      <c r="E458" s="24" t="s">
        <v>7238</v>
      </c>
      <c r="F458" s="24" t="s">
        <v>7195</v>
      </c>
      <c r="G458" s="24" t="b">
        <v>1</v>
      </c>
    </row>
    <row r="459" spans="1:7" ht="12.5" customHeight="1">
      <c r="A459" s="27">
        <v>19000</v>
      </c>
      <c r="B459" s="24" t="s">
        <v>7852</v>
      </c>
      <c r="C459" s="24" t="s">
        <v>9615</v>
      </c>
      <c r="D459" s="24" t="s">
        <v>7138</v>
      </c>
      <c r="E459" s="24" t="s">
        <v>7853</v>
      </c>
      <c r="F459" s="24" t="s">
        <v>7195</v>
      </c>
      <c r="G459" s="24" t="b">
        <v>0</v>
      </c>
    </row>
    <row r="460" spans="1:7" ht="12.5" customHeight="1">
      <c r="A460" s="27">
        <v>19060</v>
      </c>
      <c r="B460" s="24" t="s">
        <v>7854</v>
      </c>
      <c r="C460" s="24" t="s">
        <v>9614</v>
      </c>
      <c r="D460" s="24" t="s">
        <v>7138</v>
      </c>
      <c r="E460" s="24" t="s">
        <v>7855</v>
      </c>
      <c r="F460" s="24" t="s">
        <v>7390</v>
      </c>
      <c r="G460" s="24" t="b">
        <v>1</v>
      </c>
    </row>
    <row r="461" spans="1:7" ht="12.5" customHeight="1">
      <c r="A461" s="27">
        <v>19060</v>
      </c>
      <c r="B461" s="24" t="s">
        <v>7854</v>
      </c>
      <c r="C461" s="24" t="s">
        <v>9614</v>
      </c>
      <c r="D461" s="24" t="s">
        <v>7138</v>
      </c>
      <c r="E461" s="24" t="s">
        <v>7856</v>
      </c>
      <c r="F461" s="24" t="s">
        <v>7452</v>
      </c>
      <c r="G461" s="24" t="b">
        <v>0</v>
      </c>
    </row>
    <row r="462" spans="1:7" ht="12.5" customHeight="1">
      <c r="A462" s="27">
        <v>19100</v>
      </c>
      <c r="B462" s="24" t="s">
        <v>7857</v>
      </c>
      <c r="C462" s="24" t="s">
        <v>9614</v>
      </c>
      <c r="D462" s="24" t="s">
        <v>7314</v>
      </c>
      <c r="E462" s="24" t="s">
        <v>7858</v>
      </c>
      <c r="F462" s="24" t="s">
        <v>7147</v>
      </c>
      <c r="G462" s="24" t="b">
        <v>1</v>
      </c>
    </row>
    <row r="463" spans="1:7" ht="12.5" customHeight="1">
      <c r="A463" s="27">
        <v>19100</v>
      </c>
      <c r="B463" s="24" t="s">
        <v>7857</v>
      </c>
      <c r="C463" s="24" t="s">
        <v>9614</v>
      </c>
      <c r="D463" s="24" t="s">
        <v>7314</v>
      </c>
      <c r="E463" s="24" t="s">
        <v>7859</v>
      </c>
      <c r="F463" s="24" t="s">
        <v>7147</v>
      </c>
      <c r="G463" s="24" t="b">
        <v>1</v>
      </c>
    </row>
    <row r="464" spans="1:7" ht="12.5" customHeight="1">
      <c r="A464" s="27">
        <v>19100</v>
      </c>
      <c r="B464" s="24" t="s">
        <v>7857</v>
      </c>
      <c r="C464" s="24" t="s">
        <v>9614</v>
      </c>
      <c r="D464" s="24" t="s">
        <v>7314</v>
      </c>
      <c r="E464" s="24" t="s">
        <v>7860</v>
      </c>
      <c r="F464" s="24" t="s">
        <v>7147</v>
      </c>
      <c r="G464" s="24" t="b">
        <v>0</v>
      </c>
    </row>
    <row r="465" spans="1:7" ht="12.5" customHeight="1">
      <c r="A465" s="27">
        <v>19100</v>
      </c>
      <c r="B465" s="24" t="s">
        <v>7857</v>
      </c>
      <c r="C465" s="24" t="s">
        <v>9614</v>
      </c>
      <c r="D465" s="24" t="s">
        <v>7314</v>
      </c>
      <c r="E465" s="24" t="s">
        <v>7861</v>
      </c>
      <c r="F465" s="24" t="s">
        <v>7147</v>
      </c>
      <c r="G465" s="24" t="b">
        <v>1</v>
      </c>
    </row>
    <row r="466" spans="1:7" ht="12.5" customHeight="1">
      <c r="A466" s="27">
        <v>19100</v>
      </c>
      <c r="B466" s="24" t="s">
        <v>7857</v>
      </c>
      <c r="C466" s="24" t="s">
        <v>9614</v>
      </c>
      <c r="D466" s="24" t="s">
        <v>7314</v>
      </c>
      <c r="E466" s="24" t="s">
        <v>7862</v>
      </c>
      <c r="F466" s="24" t="s">
        <v>7147</v>
      </c>
      <c r="G466" s="24" t="b">
        <v>0</v>
      </c>
    </row>
    <row r="467" spans="1:7" ht="12.5" customHeight="1">
      <c r="A467" s="27">
        <v>19100</v>
      </c>
      <c r="B467" s="24" t="s">
        <v>7857</v>
      </c>
      <c r="C467" s="24" t="s">
        <v>9614</v>
      </c>
      <c r="D467" s="24" t="s">
        <v>7314</v>
      </c>
      <c r="E467" s="24" t="s">
        <v>7863</v>
      </c>
      <c r="F467" s="24" t="s">
        <v>7147</v>
      </c>
      <c r="G467" s="24" t="b">
        <v>0</v>
      </c>
    </row>
    <row r="468" spans="1:7" ht="12.5" customHeight="1">
      <c r="A468" s="27">
        <v>19100</v>
      </c>
      <c r="B468" s="24" t="s">
        <v>7857</v>
      </c>
      <c r="C468" s="24" t="s">
        <v>9614</v>
      </c>
      <c r="D468" s="24" t="s">
        <v>7314</v>
      </c>
      <c r="E468" s="24" t="s">
        <v>7864</v>
      </c>
      <c r="F468" s="24" t="s">
        <v>7147</v>
      </c>
      <c r="G468" s="24" t="b">
        <v>1</v>
      </c>
    </row>
    <row r="469" spans="1:7" ht="12.5" customHeight="1">
      <c r="A469" s="27">
        <v>19100</v>
      </c>
      <c r="B469" s="24" t="s">
        <v>7857</v>
      </c>
      <c r="C469" s="24" t="s">
        <v>9614</v>
      </c>
      <c r="D469" s="24" t="s">
        <v>7314</v>
      </c>
      <c r="E469" s="24" t="s">
        <v>7649</v>
      </c>
      <c r="F469" s="24" t="s">
        <v>7147</v>
      </c>
      <c r="G469" s="24" t="b">
        <v>1</v>
      </c>
    </row>
    <row r="470" spans="1:7" ht="12.5" customHeight="1">
      <c r="A470" s="27">
        <v>19100</v>
      </c>
      <c r="B470" s="24" t="s">
        <v>7857</v>
      </c>
      <c r="C470" s="24" t="s">
        <v>9614</v>
      </c>
      <c r="D470" s="24" t="s">
        <v>7314</v>
      </c>
      <c r="E470" s="24" t="s">
        <v>7865</v>
      </c>
      <c r="F470" s="24" t="s">
        <v>7147</v>
      </c>
      <c r="G470" s="24" t="b">
        <v>0</v>
      </c>
    </row>
    <row r="471" spans="1:7" ht="12.5" customHeight="1">
      <c r="A471" s="27">
        <v>19100</v>
      </c>
      <c r="B471" s="24" t="s">
        <v>7857</v>
      </c>
      <c r="C471" s="24" t="s">
        <v>9614</v>
      </c>
      <c r="D471" s="24" t="s">
        <v>7314</v>
      </c>
      <c r="E471" s="24" t="s">
        <v>7866</v>
      </c>
      <c r="F471" s="24" t="s">
        <v>7147</v>
      </c>
      <c r="G471" s="24" t="b">
        <v>1</v>
      </c>
    </row>
    <row r="472" spans="1:7" ht="12.5" customHeight="1">
      <c r="A472" s="27">
        <v>19100</v>
      </c>
      <c r="B472" s="24" t="s">
        <v>7857</v>
      </c>
      <c r="C472" s="24" t="s">
        <v>9614</v>
      </c>
      <c r="D472" s="24" t="s">
        <v>7314</v>
      </c>
      <c r="E472" s="24" t="s">
        <v>7481</v>
      </c>
      <c r="F472" s="24" t="s">
        <v>7147</v>
      </c>
      <c r="G472" s="24" t="b">
        <v>0</v>
      </c>
    </row>
    <row r="473" spans="1:7" ht="12.5" customHeight="1">
      <c r="A473" s="27">
        <v>19140</v>
      </c>
      <c r="B473" s="24" t="s">
        <v>7867</v>
      </c>
      <c r="C473" s="24" t="s">
        <v>9614</v>
      </c>
      <c r="D473" s="24" t="s">
        <v>7310</v>
      </c>
      <c r="E473" s="24" t="s">
        <v>7868</v>
      </c>
      <c r="F473" s="24" t="s">
        <v>7178</v>
      </c>
      <c r="G473" s="24" t="b">
        <v>1</v>
      </c>
    </row>
    <row r="474" spans="1:7" ht="12.5" customHeight="1">
      <c r="A474" s="27">
        <v>19140</v>
      </c>
      <c r="B474" s="24" t="s">
        <v>7867</v>
      </c>
      <c r="C474" s="24" t="s">
        <v>9614</v>
      </c>
      <c r="D474" s="24" t="s">
        <v>7310</v>
      </c>
      <c r="E474" s="24" t="s">
        <v>7869</v>
      </c>
      <c r="F474" s="24" t="s">
        <v>7178</v>
      </c>
      <c r="G474" s="24" t="b">
        <v>1</v>
      </c>
    </row>
    <row r="475" spans="1:7" ht="12.5" customHeight="1">
      <c r="A475" s="27">
        <v>19180</v>
      </c>
      <c r="B475" s="24" t="s">
        <v>7870</v>
      </c>
      <c r="C475" s="24" t="s">
        <v>9614</v>
      </c>
      <c r="D475" s="24" t="s">
        <v>7138</v>
      </c>
      <c r="E475" s="24" t="s">
        <v>7871</v>
      </c>
      <c r="F475" s="24" t="s">
        <v>7513</v>
      </c>
      <c r="G475" s="24" t="b">
        <v>1</v>
      </c>
    </row>
    <row r="476" spans="1:7" ht="12.5" customHeight="1">
      <c r="A476" s="27">
        <v>19220</v>
      </c>
      <c r="B476" s="24" t="s">
        <v>7872</v>
      </c>
      <c r="C476" s="24" t="s">
        <v>9615</v>
      </c>
      <c r="D476" s="24" t="s">
        <v>7138</v>
      </c>
      <c r="E476" s="24" t="s">
        <v>7873</v>
      </c>
      <c r="F476" s="24" t="s">
        <v>7404</v>
      </c>
      <c r="G476" s="24" t="b">
        <v>1</v>
      </c>
    </row>
    <row r="477" spans="1:7" ht="12.5" customHeight="1">
      <c r="A477" s="27">
        <v>19220</v>
      </c>
      <c r="B477" s="24" t="s">
        <v>7872</v>
      </c>
      <c r="C477" s="24" t="s">
        <v>9615</v>
      </c>
      <c r="D477" s="24" t="s">
        <v>7138</v>
      </c>
      <c r="E477" s="24" t="s">
        <v>7364</v>
      </c>
      <c r="F477" s="24" t="s">
        <v>7404</v>
      </c>
      <c r="G477" s="24" t="b">
        <v>0</v>
      </c>
    </row>
    <row r="478" spans="1:7" ht="12.5" customHeight="1">
      <c r="A478" s="27">
        <v>19260</v>
      </c>
      <c r="B478" s="24" t="s">
        <v>7874</v>
      </c>
      <c r="C478" s="24" t="s">
        <v>9615</v>
      </c>
      <c r="D478" s="24" t="s">
        <v>7138</v>
      </c>
      <c r="E478" s="24" t="s">
        <v>7875</v>
      </c>
      <c r="F478" s="24" t="s">
        <v>2920</v>
      </c>
      <c r="G478" s="24" t="b">
        <v>1</v>
      </c>
    </row>
    <row r="479" spans="1:7" ht="12.5" customHeight="1">
      <c r="A479" s="27">
        <v>19260</v>
      </c>
      <c r="B479" s="24" t="s">
        <v>7874</v>
      </c>
      <c r="C479" s="24" t="s">
        <v>9615</v>
      </c>
      <c r="D479" s="24" t="s">
        <v>7138</v>
      </c>
      <c r="E479" s="24" t="s">
        <v>7876</v>
      </c>
      <c r="F479" s="24" t="s">
        <v>2920</v>
      </c>
      <c r="G479" s="24" t="b">
        <v>1</v>
      </c>
    </row>
    <row r="480" spans="1:7" ht="12.5" customHeight="1">
      <c r="A480" s="27">
        <v>19300</v>
      </c>
      <c r="B480" s="24" t="s">
        <v>7877</v>
      </c>
      <c r="C480" s="24" t="s">
        <v>9614</v>
      </c>
      <c r="D480" s="24" t="s">
        <v>7878</v>
      </c>
      <c r="E480" s="24" t="s">
        <v>7879</v>
      </c>
      <c r="F480" s="24" t="s">
        <v>7201</v>
      </c>
      <c r="G480" s="24" t="b">
        <v>1</v>
      </c>
    </row>
    <row r="481" spans="1:7" ht="12.5" customHeight="1">
      <c r="A481" s="27">
        <v>19340</v>
      </c>
      <c r="B481" s="24" t="s">
        <v>7880</v>
      </c>
      <c r="C481" s="24" t="s">
        <v>9614</v>
      </c>
      <c r="D481" s="24" t="s">
        <v>7761</v>
      </c>
      <c r="E481" s="24" t="s">
        <v>7337</v>
      </c>
      <c r="F481" s="24" t="s">
        <v>7513</v>
      </c>
      <c r="G481" s="24" t="b">
        <v>0</v>
      </c>
    </row>
    <row r="482" spans="1:7" ht="12.5" customHeight="1">
      <c r="A482" s="27">
        <v>19340</v>
      </c>
      <c r="B482" s="24" t="s">
        <v>7880</v>
      </c>
      <c r="C482" s="24" t="s">
        <v>9614</v>
      </c>
      <c r="D482" s="24" t="s">
        <v>7761</v>
      </c>
      <c r="E482" s="24" t="s">
        <v>7523</v>
      </c>
      <c r="F482" s="24" t="s">
        <v>7513</v>
      </c>
      <c r="G482" s="24" t="b">
        <v>0</v>
      </c>
    </row>
    <row r="483" spans="1:7" ht="12.5" customHeight="1">
      <c r="A483" s="27">
        <v>19340</v>
      </c>
      <c r="B483" s="24" t="s">
        <v>7880</v>
      </c>
      <c r="C483" s="24" t="s">
        <v>9614</v>
      </c>
      <c r="D483" s="24" t="s">
        <v>7761</v>
      </c>
      <c r="E483" s="24" t="s">
        <v>7881</v>
      </c>
      <c r="F483" s="24" t="s">
        <v>7513</v>
      </c>
      <c r="G483" s="24" t="b">
        <v>1</v>
      </c>
    </row>
    <row r="484" spans="1:7" ht="12.5" customHeight="1">
      <c r="A484" s="27">
        <v>19340</v>
      </c>
      <c r="B484" s="24" t="s">
        <v>7880</v>
      </c>
      <c r="C484" s="24" t="s">
        <v>9614</v>
      </c>
      <c r="D484" s="24" t="s">
        <v>7761</v>
      </c>
      <c r="E484" s="24" t="s">
        <v>7882</v>
      </c>
      <c r="F484" s="24" t="s">
        <v>7252</v>
      </c>
      <c r="G484" s="24" t="b">
        <v>1</v>
      </c>
    </row>
    <row r="485" spans="1:7" ht="12.5" customHeight="1">
      <c r="A485" s="27">
        <v>19420</v>
      </c>
      <c r="B485" s="24" t="s">
        <v>7883</v>
      </c>
      <c r="C485" s="24" t="s">
        <v>9615</v>
      </c>
      <c r="D485" s="24" t="s">
        <v>7310</v>
      </c>
      <c r="E485" s="24" t="s">
        <v>7884</v>
      </c>
      <c r="F485" s="24" t="s">
        <v>7312</v>
      </c>
      <c r="G485" s="24" t="b">
        <v>1</v>
      </c>
    </row>
    <row r="486" spans="1:7" ht="12.5" customHeight="1">
      <c r="A486" s="27">
        <v>19430</v>
      </c>
      <c r="B486" s="24" t="s">
        <v>7885</v>
      </c>
      <c r="C486" s="24" t="s">
        <v>9614</v>
      </c>
      <c r="D486" s="24" t="s">
        <v>7886</v>
      </c>
      <c r="E486" s="24" t="s">
        <v>7702</v>
      </c>
      <c r="F486" s="24" t="s">
        <v>7171</v>
      </c>
      <c r="G486" s="24" t="b">
        <v>1</v>
      </c>
    </row>
    <row r="487" spans="1:7" ht="12.5" customHeight="1">
      <c r="A487" s="27">
        <v>19430</v>
      </c>
      <c r="B487" s="24" t="s">
        <v>7885</v>
      </c>
      <c r="C487" s="24" t="s">
        <v>9614</v>
      </c>
      <c r="D487" s="24" t="s">
        <v>7886</v>
      </c>
      <c r="E487" s="24" t="s">
        <v>7887</v>
      </c>
      <c r="F487" s="24" t="s">
        <v>7171</v>
      </c>
      <c r="G487" s="24" t="b">
        <v>1</v>
      </c>
    </row>
    <row r="488" spans="1:7" ht="12.5" customHeight="1">
      <c r="A488" s="27">
        <v>19430</v>
      </c>
      <c r="B488" s="24" t="s">
        <v>7885</v>
      </c>
      <c r="C488" s="24" t="s">
        <v>9614</v>
      </c>
      <c r="D488" s="24" t="s">
        <v>7886</v>
      </c>
      <c r="E488" s="24" t="s">
        <v>7255</v>
      </c>
      <c r="F488" s="24" t="s">
        <v>7171</v>
      </c>
      <c r="G488" s="24" t="b">
        <v>1</v>
      </c>
    </row>
    <row r="489" spans="1:7" ht="12.5" customHeight="1">
      <c r="A489" s="27">
        <v>19460</v>
      </c>
      <c r="B489" s="24" t="s">
        <v>7888</v>
      </c>
      <c r="C489" s="24" t="s">
        <v>9614</v>
      </c>
      <c r="D489" s="24" t="s">
        <v>7889</v>
      </c>
      <c r="E489" s="24" t="s">
        <v>7456</v>
      </c>
      <c r="F489" s="24" t="s">
        <v>7201</v>
      </c>
      <c r="G489" s="24" t="b">
        <v>0</v>
      </c>
    </row>
    <row r="490" spans="1:7" ht="12.5" customHeight="1">
      <c r="A490" s="27">
        <v>19460</v>
      </c>
      <c r="B490" s="24" t="s">
        <v>7888</v>
      </c>
      <c r="C490" s="24" t="s">
        <v>9614</v>
      </c>
      <c r="D490" s="24" t="s">
        <v>7889</v>
      </c>
      <c r="E490" s="24" t="s">
        <v>7341</v>
      </c>
      <c r="F490" s="24" t="s">
        <v>7201</v>
      </c>
      <c r="G490" s="24" t="b">
        <v>1</v>
      </c>
    </row>
    <row r="491" spans="1:7" ht="12.5" customHeight="1">
      <c r="A491" s="27">
        <v>19500</v>
      </c>
      <c r="B491" s="24" t="s">
        <v>7890</v>
      </c>
      <c r="C491" s="24" t="s">
        <v>9614</v>
      </c>
      <c r="D491" s="24" t="s">
        <v>7138</v>
      </c>
      <c r="E491" s="24" t="s">
        <v>7891</v>
      </c>
      <c r="F491" s="24" t="s">
        <v>7513</v>
      </c>
      <c r="G491" s="24" t="b">
        <v>1</v>
      </c>
    </row>
    <row r="492" spans="1:7" ht="12.5" customHeight="1">
      <c r="A492" s="27">
        <v>19540</v>
      </c>
      <c r="B492" s="24" t="s">
        <v>7892</v>
      </c>
      <c r="C492" s="24" t="s">
        <v>9615</v>
      </c>
      <c r="D492" s="24" t="s">
        <v>7263</v>
      </c>
      <c r="E492" s="24" t="s">
        <v>7893</v>
      </c>
      <c r="F492" s="24" t="s">
        <v>4460</v>
      </c>
      <c r="G492" s="24" t="b">
        <v>1</v>
      </c>
    </row>
    <row r="493" spans="1:7" ht="12.5" customHeight="1">
      <c r="A493" s="27">
        <v>19580</v>
      </c>
      <c r="B493" s="24" t="s">
        <v>7894</v>
      </c>
      <c r="C493" s="24" t="s">
        <v>9615</v>
      </c>
      <c r="D493" s="24" t="s">
        <v>7138</v>
      </c>
      <c r="E493" s="24" t="s">
        <v>7895</v>
      </c>
      <c r="F493" s="24" t="s">
        <v>7171</v>
      </c>
      <c r="G493" s="24" t="b">
        <v>1</v>
      </c>
    </row>
    <row r="494" spans="1:7" ht="12.5" customHeight="1">
      <c r="A494" s="27">
        <v>19620</v>
      </c>
      <c r="B494" s="24" t="s">
        <v>7896</v>
      </c>
      <c r="C494" s="24" t="s">
        <v>9615</v>
      </c>
      <c r="D494" s="24" t="s">
        <v>7138</v>
      </c>
      <c r="E494" s="24" t="s">
        <v>7897</v>
      </c>
      <c r="F494" s="24" t="s">
        <v>7147</v>
      </c>
      <c r="G494" s="24" t="b">
        <v>1</v>
      </c>
    </row>
    <row r="495" spans="1:7" ht="12.5" customHeight="1">
      <c r="A495" s="27">
        <v>19660</v>
      </c>
      <c r="B495" s="24" t="s">
        <v>7898</v>
      </c>
      <c r="C495" s="24" t="s">
        <v>9614</v>
      </c>
      <c r="D495" s="24" t="s">
        <v>7899</v>
      </c>
      <c r="E495" s="24" t="s">
        <v>7900</v>
      </c>
      <c r="F495" s="24" t="s">
        <v>7277</v>
      </c>
      <c r="G495" s="24" t="b">
        <v>1</v>
      </c>
    </row>
    <row r="496" spans="1:7" ht="12.5" customHeight="1">
      <c r="A496" s="27">
        <v>19660</v>
      </c>
      <c r="B496" s="24" t="s">
        <v>7898</v>
      </c>
      <c r="C496" s="24" t="s">
        <v>9614</v>
      </c>
      <c r="D496" s="24" t="s">
        <v>7899</v>
      </c>
      <c r="E496" s="24" t="s">
        <v>7901</v>
      </c>
      <c r="F496" s="24" t="s">
        <v>7277</v>
      </c>
      <c r="G496" s="24" t="b">
        <v>1</v>
      </c>
    </row>
    <row r="497" spans="1:7" ht="12.5" customHeight="1">
      <c r="A497" s="27">
        <v>19700</v>
      </c>
      <c r="B497" s="24" t="s">
        <v>7902</v>
      </c>
      <c r="C497" s="24" t="s">
        <v>9615</v>
      </c>
      <c r="D497" s="24" t="s">
        <v>7138</v>
      </c>
      <c r="E497" s="24" t="s">
        <v>7903</v>
      </c>
      <c r="F497" s="24" t="s">
        <v>7175</v>
      </c>
      <c r="G497" s="24" t="b">
        <v>1</v>
      </c>
    </row>
    <row r="498" spans="1:7" ht="12.5" customHeight="1">
      <c r="A498" s="27">
        <v>19740</v>
      </c>
      <c r="B498" s="24" t="s">
        <v>7904</v>
      </c>
      <c r="C498" s="24" t="s">
        <v>9614</v>
      </c>
      <c r="D498" s="24" t="s">
        <v>7553</v>
      </c>
      <c r="E498" s="24" t="s">
        <v>7893</v>
      </c>
      <c r="F498" s="24" t="s">
        <v>7555</v>
      </c>
      <c r="G498" s="24" t="b">
        <v>1</v>
      </c>
    </row>
    <row r="499" spans="1:7" ht="12.5" customHeight="1">
      <c r="A499" s="27">
        <v>19740</v>
      </c>
      <c r="B499" s="24" t="s">
        <v>7904</v>
      </c>
      <c r="C499" s="24" t="s">
        <v>9614</v>
      </c>
      <c r="D499" s="24" t="s">
        <v>7553</v>
      </c>
      <c r="E499" s="24" t="s">
        <v>7905</v>
      </c>
      <c r="F499" s="24" t="s">
        <v>7555</v>
      </c>
      <c r="G499" s="24" t="b">
        <v>1</v>
      </c>
    </row>
    <row r="500" spans="1:7" ht="12.5" customHeight="1">
      <c r="A500" s="27">
        <v>19740</v>
      </c>
      <c r="B500" s="24" t="s">
        <v>7904</v>
      </c>
      <c r="C500" s="24" t="s">
        <v>9614</v>
      </c>
      <c r="D500" s="24" t="s">
        <v>7553</v>
      </c>
      <c r="E500" s="24" t="s">
        <v>7906</v>
      </c>
      <c r="F500" s="24" t="s">
        <v>7555</v>
      </c>
      <c r="G500" s="24" t="b">
        <v>1</v>
      </c>
    </row>
    <row r="501" spans="1:7" ht="12.5" customHeight="1">
      <c r="A501" s="27">
        <v>19740</v>
      </c>
      <c r="B501" s="24" t="s">
        <v>7904</v>
      </c>
      <c r="C501" s="24" t="s">
        <v>9614</v>
      </c>
      <c r="D501" s="24" t="s">
        <v>7553</v>
      </c>
      <c r="E501" s="24" t="s">
        <v>7907</v>
      </c>
      <c r="F501" s="24" t="s">
        <v>7555</v>
      </c>
      <c r="G501" s="24" t="b">
        <v>0</v>
      </c>
    </row>
    <row r="502" spans="1:7" ht="12.5" customHeight="1">
      <c r="A502" s="27">
        <v>19740</v>
      </c>
      <c r="B502" s="24" t="s">
        <v>7904</v>
      </c>
      <c r="C502" s="24" t="s">
        <v>9614</v>
      </c>
      <c r="D502" s="24" t="s">
        <v>7553</v>
      </c>
      <c r="E502" s="24" t="s">
        <v>7908</v>
      </c>
      <c r="F502" s="24" t="s">
        <v>7555</v>
      </c>
      <c r="G502" s="24" t="b">
        <v>1</v>
      </c>
    </row>
    <row r="503" spans="1:7" ht="12.5" customHeight="1">
      <c r="A503" s="27">
        <v>19740</v>
      </c>
      <c r="B503" s="24" t="s">
        <v>7904</v>
      </c>
      <c r="C503" s="24" t="s">
        <v>9614</v>
      </c>
      <c r="D503" s="24" t="s">
        <v>7553</v>
      </c>
      <c r="E503" s="24" t="s">
        <v>7217</v>
      </c>
      <c r="F503" s="24" t="s">
        <v>7555</v>
      </c>
      <c r="G503" s="24" t="b">
        <v>1</v>
      </c>
    </row>
    <row r="504" spans="1:7" ht="12.5" customHeight="1">
      <c r="A504" s="27">
        <v>19740</v>
      </c>
      <c r="B504" s="24" t="s">
        <v>7904</v>
      </c>
      <c r="C504" s="24" t="s">
        <v>9614</v>
      </c>
      <c r="D504" s="24" t="s">
        <v>7553</v>
      </c>
      <c r="E504" s="24" t="s">
        <v>7909</v>
      </c>
      <c r="F504" s="24" t="s">
        <v>7555</v>
      </c>
      <c r="G504" s="24" t="b">
        <v>0</v>
      </c>
    </row>
    <row r="505" spans="1:7" ht="12.5" customHeight="1">
      <c r="A505" s="27">
        <v>19740</v>
      </c>
      <c r="B505" s="24" t="s">
        <v>7904</v>
      </c>
      <c r="C505" s="24" t="s">
        <v>9614</v>
      </c>
      <c r="D505" s="24" t="s">
        <v>7553</v>
      </c>
      <c r="E505" s="24" t="s">
        <v>7910</v>
      </c>
      <c r="F505" s="24" t="s">
        <v>7555</v>
      </c>
      <c r="G505" s="24" t="b">
        <v>0</v>
      </c>
    </row>
    <row r="506" spans="1:7" ht="12.5" customHeight="1">
      <c r="A506" s="27">
        <v>19740</v>
      </c>
      <c r="B506" s="24" t="s">
        <v>7904</v>
      </c>
      <c r="C506" s="24" t="s">
        <v>9614</v>
      </c>
      <c r="D506" s="24" t="s">
        <v>7553</v>
      </c>
      <c r="E506" s="24" t="s">
        <v>7446</v>
      </c>
      <c r="F506" s="24" t="s">
        <v>7555</v>
      </c>
      <c r="G506" s="24" t="b">
        <v>1</v>
      </c>
    </row>
    <row r="507" spans="1:7" ht="12.5" customHeight="1">
      <c r="A507" s="27">
        <v>19740</v>
      </c>
      <c r="B507" s="24" t="s">
        <v>7904</v>
      </c>
      <c r="C507" s="24" t="s">
        <v>9614</v>
      </c>
      <c r="D507" s="24" t="s">
        <v>7553</v>
      </c>
      <c r="E507" s="24" t="s">
        <v>7911</v>
      </c>
      <c r="F507" s="24" t="s">
        <v>7555</v>
      </c>
      <c r="G507" s="24" t="b">
        <v>0</v>
      </c>
    </row>
    <row r="508" spans="1:7" ht="12.5" customHeight="1">
      <c r="A508" s="27">
        <v>19760</v>
      </c>
      <c r="B508" s="24" t="s">
        <v>7912</v>
      </c>
      <c r="C508" s="24" t="s">
        <v>9615</v>
      </c>
      <c r="D508" s="24" t="s">
        <v>7913</v>
      </c>
      <c r="E508" s="24" t="s">
        <v>7914</v>
      </c>
      <c r="F508" s="24" t="s">
        <v>7214</v>
      </c>
      <c r="G508" s="24" t="b">
        <v>1</v>
      </c>
    </row>
    <row r="509" spans="1:7" ht="12.5" customHeight="1">
      <c r="A509" s="27">
        <v>19780</v>
      </c>
      <c r="B509" s="24" t="s">
        <v>7915</v>
      </c>
      <c r="C509" s="24" t="s">
        <v>9614</v>
      </c>
      <c r="D509" s="24" t="s">
        <v>7250</v>
      </c>
      <c r="E509" s="24" t="s">
        <v>7859</v>
      </c>
      <c r="F509" s="24" t="s">
        <v>7252</v>
      </c>
      <c r="G509" s="24" t="b">
        <v>1</v>
      </c>
    </row>
    <row r="510" spans="1:7" ht="12.5" customHeight="1">
      <c r="A510" s="27">
        <v>19780</v>
      </c>
      <c r="B510" s="24" t="s">
        <v>7915</v>
      </c>
      <c r="C510" s="24" t="s">
        <v>9614</v>
      </c>
      <c r="D510" s="24" t="s">
        <v>7250</v>
      </c>
      <c r="E510" s="24" t="s">
        <v>7916</v>
      </c>
      <c r="F510" s="24" t="s">
        <v>7252</v>
      </c>
      <c r="G510" s="24" t="b">
        <v>0</v>
      </c>
    </row>
    <row r="511" spans="1:7" ht="12.5" customHeight="1">
      <c r="A511" s="27">
        <v>19780</v>
      </c>
      <c r="B511" s="24" t="s">
        <v>7915</v>
      </c>
      <c r="C511" s="24" t="s">
        <v>9614</v>
      </c>
      <c r="D511" s="24" t="s">
        <v>7250</v>
      </c>
      <c r="E511" s="24" t="s">
        <v>7338</v>
      </c>
      <c r="F511" s="24" t="s">
        <v>7252</v>
      </c>
      <c r="G511" s="24" t="b">
        <v>0</v>
      </c>
    </row>
    <row r="512" spans="1:7" ht="12.5" customHeight="1">
      <c r="A512" s="27">
        <v>19780</v>
      </c>
      <c r="B512" s="24" t="s">
        <v>7915</v>
      </c>
      <c r="C512" s="24" t="s">
        <v>9614</v>
      </c>
      <c r="D512" s="24" t="s">
        <v>7250</v>
      </c>
      <c r="E512" s="24" t="s">
        <v>7295</v>
      </c>
      <c r="F512" s="24" t="s">
        <v>7252</v>
      </c>
      <c r="G512" s="24" t="b">
        <v>0</v>
      </c>
    </row>
    <row r="513" spans="1:7" ht="12.5" customHeight="1">
      <c r="A513" s="27">
        <v>19780</v>
      </c>
      <c r="B513" s="24" t="s">
        <v>7915</v>
      </c>
      <c r="C513" s="24" t="s">
        <v>9614</v>
      </c>
      <c r="D513" s="24" t="s">
        <v>7250</v>
      </c>
      <c r="E513" s="24" t="s">
        <v>7664</v>
      </c>
      <c r="F513" s="24" t="s">
        <v>7252</v>
      </c>
      <c r="G513" s="24" t="b">
        <v>1</v>
      </c>
    </row>
    <row r="514" spans="1:7" ht="12.5" customHeight="1">
      <c r="A514" s="27">
        <v>19780</v>
      </c>
      <c r="B514" s="24" t="s">
        <v>7915</v>
      </c>
      <c r="C514" s="24" t="s">
        <v>9614</v>
      </c>
      <c r="D514" s="24" t="s">
        <v>7250</v>
      </c>
      <c r="E514" s="24" t="s">
        <v>7223</v>
      </c>
      <c r="F514" s="24" t="s">
        <v>7252</v>
      </c>
      <c r="G514" s="24" t="b">
        <v>0</v>
      </c>
    </row>
    <row r="515" spans="1:7" ht="12.5" customHeight="1">
      <c r="A515" s="27">
        <v>19820</v>
      </c>
      <c r="B515" s="24" t="s">
        <v>7917</v>
      </c>
      <c r="C515" s="24" t="s">
        <v>9614</v>
      </c>
      <c r="D515" s="24" t="s">
        <v>7154</v>
      </c>
      <c r="E515" s="24" t="s">
        <v>7918</v>
      </c>
      <c r="F515" s="24" t="s">
        <v>7156</v>
      </c>
      <c r="G515" s="24" t="b">
        <v>1</v>
      </c>
    </row>
    <row r="516" spans="1:7" ht="12.5" customHeight="1">
      <c r="A516" s="27">
        <v>19820</v>
      </c>
      <c r="B516" s="24" t="s">
        <v>7917</v>
      </c>
      <c r="C516" s="24" t="s">
        <v>9614</v>
      </c>
      <c r="D516" s="24" t="s">
        <v>7154</v>
      </c>
      <c r="E516" s="24" t="s">
        <v>7919</v>
      </c>
      <c r="F516" s="24" t="s">
        <v>7156</v>
      </c>
      <c r="G516" s="24" t="b">
        <v>0</v>
      </c>
    </row>
    <row r="517" spans="1:7" ht="12.5" customHeight="1">
      <c r="A517" s="27">
        <v>19820</v>
      </c>
      <c r="B517" s="24" t="s">
        <v>7917</v>
      </c>
      <c r="C517" s="24" t="s">
        <v>9614</v>
      </c>
      <c r="D517" s="24" t="s">
        <v>7154</v>
      </c>
      <c r="E517" s="24" t="s">
        <v>7920</v>
      </c>
      <c r="F517" s="24" t="s">
        <v>7156</v>
      </c>
      <c r="G517" s="24" t="b">
        <v>0</v>
      </c>
    </row>
    <row r="518" spans="1:7" ht="12.5" customHeight="1">
      <c r="A518" s="27">
        <v>19820</v>
      </c>
      <c r="B518" s="24" t="s">
        <v>7917</v>
      </c>
      <c r="C518" s="24" t="s">
        <v>9614</v>
      </c>
      <c r="D518" s="24" t="s">
        <v>7154</v>
      </c>
      <c r="E518" s="24" t="s">
        <v>7921</v>
      </c>
      <c r="F518" s="24" t="s">
        <v>7156</v>
      </c>
      <c r="G518" s="24" t="b">
        <v>1</v>
      </c>
    </row>
    <row r="519" spans="1:7" ht="12.5" customHeight="1">
      <c r="A519" s="27">
        <v>19820</v>
      </c>
      <c r="B519" s="24" t="s">
        <v>7917</v>
      </c>
      <c r="C519" s="24" t="s">
        <v>9614</v>
      </c>
      <c r="D519" s="24" t="s">
        <v>7154</v>
      </c>
      <c r="E519" s="24" t="s">
        <v>7922</v>
      </c>
      <c r="F519" s="24" t="s">
        <v>7156</v>
      </c>
      <c r="G519" s="24" t="b">
        <v>1</v>
      </c>
    </row>
    <row r="520" spans="1:7" ht="12.5" customHeight="1">
      <c r="A520" s="27">
        <v>19820</v>
      </c>
      <c r="B520" s="24" t="s">
        <v>7917</v>
      </c>
      <c r="C520" s="24" t="s">
        <v>9614</v>
      </c>
      <c r="D520" s="24" t="s">
        <v>7154</v>
      </c>
      <c r="E520" s="24" t="s">
        <v>7495</v>
      </c>
      <c r="F520" s="24" t="s">
        <v>7156</v>
      </c>
      <c r="G520" s="24" t="b">
        <v>0</v>
      </c>
    </row>
    <row r="521" spans="1:7" ht="12.5" customHeight="1">
      <c r="A521" s="27">
        <v>19860</v>
      </c>
      <c r="B521" s="24" t="s">
        <v>7923</v>
      </c>
      <c r="C521" s="24" t="s">
        <v>9615</v>
      </c>
      <c r="D521" s="24" t="s">
        <v>7138</v>
      </c>
      <c r="E521" s="24" t="s">
        <v>7924</v>
      </c>
      <c r="F521" s="24" t="s">
        <v>7499</v>
      </c>
      <c r="G521" s="24" t="b">
        <v>0</v>
      </c>
    </row>
    <row r="522" spans="1:7" ht="12.5" customHeight="1">
      <c r="A522" s="27">
        <v>19860</v>
      </c>
      <c r="B522" s="24" t="s">
        <v>7923</v>
      </c>
      <c r="C522" s="24" t="s">
        <v>9615</v>
      </c>
      <c r="D522" s="24" t="s">
        <v>7138</v>
      </c>
      <c r="E522" s="24" t="s">
        <v>7640</v>
      </c>
      <c r="F522" s="24" t="s">
        <v>7499</v>
      </c>
      <c r="G522" s="24" t="b">
        <v>1</v>
      </c>
    </row>
    <row r="523" spans="1:7" ht="12.5" customHeight="1">
      <c r="A523" s="27">
        <v>19940</v>
      </c>
      <c r="B523" s="24" t="s">
        <v>7925</v>
      </c>
      <c r="C523" s="24" t="s">
        <v>9615</v>
      </c>
      <c r="D523" s="24" t="s">
        <v>7926</v>
      </c>
      <c r="E523" s="24" t="s">
        <v>7179</v>
      </c>
      <c r="F523" s="24" t="s">
        <v>7513</v>
      </c>
      <c r="G523" s="24" t="b">
        <v>1</v>
      </c>
    </row>
    <row r="524" spans="1:7" ht="12.5" customHeight="1">
      <c r="A524" s="27">
        <v>19980</v>
      </c>
      <c r="B524" s="24" t="s">
        <v>7927</v>
      </c>
      <c r="C524" s="24" t="s">
        <v>9615</v>
      </c>
      <c r="D524" s="24" t="s">
        <v>7138</v>
      </c>
      <c r="E524" s="24" t="s">
        <v>7928</v>
      </c>
      <c r="F524" s="24" t="s">
        <v>7306</v>
      </c>
      <c r="G524" s="24" t="b">
        <v>1</v>
      </c>
    </row>
    <row r="525" spans="1:7" ht="12.5" customHeight="1">
      <c r="A525" s="27">
        <v>20020</v>
      </c>
      <c r="B525" s="24" t="s">
        <v>7929</v>
      </c>
      <c r="C525" s="24" t="s">
        <v>9614</v>
      </c>
      <c r="D525" s="24" t="s">
        <v>7930</v>
      </c>
      <c r="E525" s="24" t="s">
        <v>7931</v>
      </c>
      <c r="F525" s="24" t="s">
        <v>7201</v>
      </c>
      <c r="G525" s="24" t="b">
        <v>0</v>
      </c>
    </row>
    <row r="526" spans="1:7" ht="12.5" customHeight="1">
      <c r="A526" s="27">
        <v>20020</v>
      </c>
      <c r="B526" s="24" t="s">
        <v>7929</v>
      </c>
      <c r="C526" s="24" t="s">
        <v>9614</v>
      </c>
      <c r="D526" s="24" t="s">
        <v>7930</v>
      </c>
      <c r="E526" s="24" t="s">
        <v>7337</v>
      </c>
      <c r="F526" s="24" t="s">
        <v>7201</v>
      </c>
      <c r="G526" s="24" t="b">
        <v>0</v>
      </c>
    </row>
    <row r="527" spans="1:7" ht="12.5" customHeight="1">
      <c r="A527" s="27">
        <v>20020</v>
      </c>
      <c r="B527" s="24" t="s">
        <v>7929</v>
      </c>
      <c r="C527" s="24" t="s">
        <v>9614</v>
      </c>
      <c r="D527" s="24" t="s">
        <v>7930</v>
      </c>
      <c r="E527" s="24" t="s">
        <v>7932</v>
      </c>
      <c r="F527" s="24" t="s">
        <v>7201</v>
      </c>
      <c r="G527" s="24" t="b">
        <v>1</v>
      </c>
    </row>
    <row r="528" spans="1:7" ht="12.5" customHeight="1">
      <c r="A528" s="27">
        <v>20060</v>
      </c>
      <c r="B528" s="24" t="s">
        <v>7933</v>
      </c>
      <c r="C528" s="24" t="s">
        <v>9615</v>
      </c>
      <c r="D528" s="24" t="s">
        <v>7138</v>
      </c>
      <c r="E528" s="24" t="s">
        <v>7934</v>
      </c>
      <c r="F528" s="24" t="s">
        <v>7178</v>
      </c>
      <c r="G528" s="24" t="b">
        <v>0</v>
      </c>
    </row>
    <row r="529" spans="1:7" ht="12.5" customHeight="1">
      <c r="A529" s="27">
        <v>20060</v>
      </c>
      <c r="B529" s="24" t="s">
        <v>7933</v>
      </c>
      <c r="C529" s="24" t="s">
        <v>9615</v>
      </c>
      <c r="D529" s="24" t="s">
        <v>7138</v>
      </c>
      <c r="E529" s="24" t="s">
        <v>7935</v>
      </c>
      <c r="F529" s="24" t="s">
        <v>7178</v>
      </c>
      <c r="G529" s="24" t="b">
        <v>1</v>
      </c>
    </row>
    <row r="530" spans="1:7" ht="12.5" customHeight="1">
      <c r="A530" s="27">
        <v>20100</v>
      </c>
      <c r="B530" s="24" t="s">
        <v>7936</v>
      </c>
      <c r="C530" s="24" t="s">
        <v>9614</v>
      </c>
      <c r="D530" s="24" t="s">
        <v>7350</v>
      </c>
      <c r="E530" s="24" t="s">
        <v>7937</v>
      </c>
      <c r="F530" s="24" t="s">
        <v>4088</v>
      </c>
      <c r="G530" s="24" t="b">
        <v>1</v>
      </c>
    </row>
    <row r="531" spans="1:7" ht="12.5" customHeight="1">
      <c r="A531" s="27">
        <v>20140</v>
      </c>
      <c r="B531" s="24" t="s">
        <v>7938</v>
      </c>
      <c r="C531" s="24" t="s">
        <v>9615</v>
      </c>
      <c r="D531" s="24" t="s">
        <v>7138</v>
      </c>
      <c r="E531" s="24" t="s">
        <v>7649</v>
      </c>
      <c r="F531" s="24" t="s">
        <v>7178</v>
      </c>
      <c r="G531" s="24" t="b">
        <v>0</v>
      </c>
    </row>
    <row r="532" spans="1:7" ht="12.5" customHeight="1">
      <c r="A532" s="27">
        <v>20140</v>
      </c>
      <c r="B532" s="24" t="s">
        <v>7938</v>
      </c>
      <c r="C532" s="24" t="s">
        <v>9615</v>
      </c>
      <c r="D532" s="24" t="s">
        <v>7138</v>
      </c>
      <c r="E532" s="24" t="s">
        <v>7939</v>
      </c>
      <c r="F532" s="24" t="s">
        <v>7178</v>
      </c>
      <c r="G532" s="24" t="b">
        <v>1</v>
      </c>
    </row>
    <row r="533" spans="1:7" ht="12.5" customHeight="1">
      <c r="A533" s="27">
        <v>20140</v>
      </c>
      <c r="B533" s="24" t="s">
        <v>7938</v>
      </c>
      <c r="C533" s="24" t="s">
        <v>9615</v>
      </c>
      <c r="D533" s="24" t="s">
        <v>7138</v>
      </c>
      <c r="E533" s="24" t="s">
        <v>7940</v>
      </c>
      <c r="F533" s="24" t="s">
        <v>7178</v>
      </c>
      <c r="G533" s="24" t="b">
        <v>0</v>
      </c>
    </row>
    <row r="534" spans="1:7" ht="12.5" customHeight="1">
      <c r="A534" s="27">
        <v>20180</v>
      </c>
      <c r="B534" s="24" t="s">
        <v>7941</v>
      </c>
      <c r="C534" s="24" t="s">
        <v>9615</v>
      </c>
      <c r="D534" s="24" t="s">
        <v>7942</v>
      </c>
      <c r="E534" s="24" t="s">
        <v>7943</v>
      </c>
      <c r="F534" s="24" t="s">
        <v>7226</v>
      </c>
      <c r="G534" s="24" t="b">
        <v>1</v>
      </c>
    </row>
    <row r="535" spans="1:7" ht="12.5" customHeight="1">
      <c r="A535" s="27">
        <v>20220</v>
      </c>
      <c r="B535" s="24" t="s">
        <v>7944</v>
      </c>
      <c r="C535" s="24" t="s">
        <v>9614</v>
      </c>
      <c r="D535" s="24" t="s">
        <v>7138</v>
      </c>
      <c r="E535" s="24" t="s">
        <v>7945</v>
      </c>
      <c r="F535" s="24" t="s">
        <v>7252</v>
      </c>
      <c r="G535" s="24" t="b">
        <v>1</v>
      </c>
    </row>
    <row r="536" spans="1:7" ht="12.5" customHeight="1">
      <c r="A536" s="27">
        <v>20260</v>
      </c>
      <c r="B536" s="24" t="s">
        <v>7946</v>
      </c>
      <c r="C536" s="24" t="s">
        <v>9614</v>
      </c>
      <c r="D536" s="24" t="s">
        <v>7138</v>
      </c>
      <c r="E536" s="24" t="s">
        <v>7947</v>
      </c>
      <c r="F536" s="24" t="s">
        <v>7198</v>
      </c>
      <c r="G536" s="24" t="b">
        <v>0</v>
      </c>
    </row>
    <row r="537" spans="1:7" ht="12.5" customHeight="1">
      <c r="A537" s="27">
        <v>20260</v>
      </c>
      <c r="B537" s="24" t="s">
        <v>7946</v>
      </c>
      <c r="C537" s="24" t="s">
        <v>9614</v>
      </c>
      <c r="D537" s="24" t="s">
        <v>7138</v>
      </c>
      <c r="E537" s="24" t="s">
        <v>7721</v>
      </c>
      <c r="F537" s="24" t="s">
        <v>7198</v>
      </c>
      <c r="G537" s="24" t="b">
        <v>0</v>
      </c>
    </row>
    <row r="538" spans="1:7" ht="12.5" customHeight="1">
      <c r="A538" s="27">
        <v>20260</v>
      </c>
      <c r="B538" s="24" t="s">
        <v>7946</v>
      </c>
      <c r="C538" s="24" t="s">
        <v>9614</v>
      </c>
      <c r="D538" s="24" t="s">
        <v>7138</v>
      </c>
      <c r="E538" s="24" t="s">
        <v>7948</v>
      </c>
      <c r="F538" s="24" t="s">
        <v>7198</v>
      </c>
      <c r="G538" s="24" t="b">
        <v>1</v>
      </c>
    </row>
    <row r="539" spans="1:7" ht="12.5" customHeight="1">
      <c r="A539" s="27">
        <v>20260</v>
      </c>
      <c r="B539" s="24" t="s">
        <v>7946</v>
      </c>
      <c r="C539" s="24" t="s">
        <v>9614</v>
      </c>
      <c r="D539" s="24" t="s">
        <v>7138</v>
      </c>
      <c r="E539" s="24" t="s">
        <v>7217</v>
      </c>
      <c r="F539" s="24" t="s">
        <v>7272</v>
      </c>
      <c r="G539" s="24" t="b">
        <v>1</v>
      </c>
    </row>
    <row r="540" spans="1:7" ht="12.5" customHeight="1">
      <c r="A540" s="27">
        <v>20300</v>
      </c>
      <c r="B540" s="24" t="s">
        <v>7949</v>
      </c>
      <c r="C540" s="24" t="s">
        <v>9615</v>
      </c>
      <c r="D540" s="24" t="s">
        <v>7138</v>
      </c>
      <c r="E540" s="24" t="s">
        <v>7950</v>
      </c>
      <c r="F540" s="24" t="s">
        <v>7147</v>
      </c>
      <c r="G540" s="24" t="b">
        <v>1</v>
      </c>
    </row>
    <row r="541" spans="1:7" ht="12.5" customHeight="1">
      <c r="A541" s="27">
        <v>20340</v>
      </c>
      <c r="B541" s="24" t="s">
        <v>7951</v>
      </c>
      <c r="C541" s="24" t="s">
        <v>9615</v>
      </c>
      <c r="D541" s="24" t="s">
        <v>7138</v>
      </c>
      <c r="E541" s="24" t="s">
        <v>7952</v>
      </c>
      <c r="F541" s="24" t="s">
        <v>7152</v>
      </c>
      <c r="G541" s="24" t="b">
        <v>1</v>
      </c>
    </row>
    <row r="542" spans="1:7" ht="12.5" customHeight="1">
      <c r="A542" s="27">
        <v>20420</v>
      </c>
      <c r="B542" s="24" t="s">
        <v>7953</v>
      </c>
      <c r="C542" s="24" t="s">
        <v>9615</v>
      </c>
      <c r="D542" s="24" t="s">
        <v>7138</v>
      </c>
      <c r="E542" s="24" t="s">
        <v>7954</v>
      </c>
      <c r="F542" s="24" t="s">
        <v>7555</v>
      </c>
      <c r="G542" s="24" t="b">
        <v>1</v>
      </c>
    </row>
    <row r="543" spans="1:7" ht="12.5" customHeight="1">
      <c r="A543" s="27">
        <v>20460</v>
      </c>
      <c r="B543" s="24" t="s">
        <v>7955</v>
      </c>
      <c r="C543" s="24" t="s">
        <v>9615</v>
      </c>
      <c r="D543" s="24" t="s">
        <v>7314</v>
      </c>
      <c r="E543" s="24" t="s">
        <v>7956</v>
      </c>
      <c r="F543" s="24" t="s">
        <v>7152</v>
      </c>
      <c r="G543" s="24" t="b">
        <v>1</v>
      </c>
    </row>
    <row r="544" spans="1:7" ht="12.5" customHeight="1">
      <c r="A544" s="27">
        <v>20500</v>
      </c>
      <c r="B544" s="24" t="s">
        <v>7957</v>
      </c>
      <c r="C544" s="24" t="s">
        <v>9614</v>
      </c>
      <c r="D544" s="24" t="s">
        <v>7958</v>
      </c>
      <c r="E544" s="24" t="s">
        <v>7959</v>
      </c>
      <c r="F544" s="24" t="s">
        <v>7195</v>
      </c>
      <c r="G544" s="24" t="b">
        <v>1</v>
      </c>
    </row>
    <row r="545" spans="1:7" ht="12.5" customHeight="1">
      <c r="A545" s="27">
        <v>20500</v>
      </c>
      <c r="B545" s="24" t="s">
        <v>7957</v>
      </c>
      <c r="C545" s="24" t="s">
        <v>9614</v>
      </c>
      <c r="D545" s="24" t="s">
        <v>7958</v>
      </c>
      <c r="E545" s="24" t="s">
        <v>7960</v>
      </c>
      <c r="F545" s="24" t="s">
        <v>7195</v>
      </c>
      <c r="G545" s="24" t="b">
        <v>1</v>
      </c>
    </row>
    <row r="546" spans="1:7" ht="12.5" customHeight="1">
      <c r="A546" s="27">
        <v>20500</v>
      </c>
      <c r="B546" s="24" t="s">
        <v>7957</v>
      </c>
      <c r="C546" s="24" t="s">
        <v>9614</v>
      </c>
      <c r="D546" s="24" t="s">
        <v>7958</v>
      </c>
      <c r="E546" s="24" t="s">
        <v>7961</v>
      </c>
      <c r="F546" s="24" t="s">
        <v>7195</v>
      </c>
      <c r="G546" s="24" t="b">
        <v>0</v>
      </c>
    </row>
    <row r="547" spans="1:7" ht="12.5" customHeight="1">
      <c r="A547" s="27">
        <v>20500</v>
      </c>
      <c r="B547" s="24" t="s">
        <v>7957</v>
      </c>
      <c r="C547" s="24" t="s">
        <v>9614</v>
      </c>
      <c r="D547" s="24" t="s">
        <v>7958</v>
      </c>
      <c r="E547" s="24" t="s">
        <v>7447</v>
      </c>
      <c r="F547" s="24" t="s">
        <v>7195</v>
      </c>
      <c r="G547" s="24" t="b">
        <v>1</v>
      </c>
    </row>
    <row r="548" spans="1:7" ht="12.5" customHeight="1">
      <c r="A548" s="27">
        <v>20500</v>
      </c>
      <c r="B548" s="24" t="s">
        <v>7957</v>
      </c>
      <c r="C548" s="24" t="s">
        <v>9614</v>
      </c>
      <c r="D548" s="24" t="s">
        <v>7958</v>
      </c>
      <c r="E548" s="24" t="s">
        <v>7962</v>
      </c>
      <c r="F548" s="24" t="s">
        <v>7195</v>
      </c>
      <c r="G548" s="24" t="b">
        <v>0</v>
      </c>
    </row>
    <row r="549" spans="1:7" ht="12.5" customHeight="1">
      <c r="A549" s="27">
        <v>20540</v>
      </c>
      <c r="B549" s="24" t="s">
        <v>7963</v>
      </c>
      <c r="C549" s="24" t="s">
        <v>9615</v>
      </c>
      <c r="D549" s="24" t="s">
        <v>7138</v>
      </c>
      <c r="E549" s="24" t="s">
        <v>7964</v>
      </c>
      <c r="F549" s="24" t="s">
        <v>7312</v>
      </c>
      <c r="G549" s="24" t="b">
        <v>1</v>
      </c>
    </row>
    <row r="550" spans="1:7" ht="12.5" customHeight="1">
      <c r="A550" s="27">
        <v>20580</v>
      </c>
      <c r="B550" s="24" t="s">
        <v>7965</v>
      </c>
      <c r="C550" s="24" t="s">
        <v>9615</v>
      </c>
      <c r="D550" s="24" t="s">
        <v>7138</v>
      </c>
      <c r="E550" s="24" t="s">
        <v>7966</v>
      </c>
      <c r="F550" s="24" t="s">
        <v>7147</v>
      </c>
      <c r="G550" s="24" t="b">
        <v>1</v>
      </c>
    </row>
    <row r="551" spans="1:7" ht="12.5" customHeight="1">
      <c r="A551" s="27">
        <v>20660</v>
      </c>
      <c r="B551" s="24" t="s">
        <v>7967</v>
      </c>
      <c r="C551" s="24" t="s">
        <v>9615</v>
      </c>
      <c r="D551" s="24" t="s">
        <v>7388</v>
      </c>
      <c r="E551" s="24" t="s">
        <v>7797</v>
      </c>
      <c r="F551" s="24" t="s">
        <v>7390</v>
      </c>
      <c r="G551" s="24" t="b">
        <v>1</v>
      </c>
    </row>
    <row r="552" spans="1:7" ht="12.5" customHeight="1">
      <c r="A552" s="27">
        <v>20700</v>
      </c>
      <c r="B552" s="24" t="s">
        <v>7968</v>
      </c>
      <c r="C552" s="24" t="s">
        <v>9614</v>
      </c>
      <c r="D552" s="24" t="s">
        <v>7579</v>
      </c>
      <c r="E552" s="24" t="s">
        <v>7515</v>
      </c>
      <c r="F552" s="24" t="s">
        <v>7226</v>
      </c>
      <c r="G552" s="24" t="b">
        <v>1</v>
      </c>
    </row>
    <row r="553" spans="1:7" ht="12.5" customHeight="1">
      <c r="A553" s="27">
        <v>20740</v>
      </c>
      <c r="B553" s="24" t="s">
        <v>7969</v>
      </c>
      <c r="C553" s="24" t="s">
        <v>9614</v>
      </c>
      <c r="D553" s="24" t="s">
        <v>7970</v>
      </c>
      <c r="E553" s="24" t="s">
        <v>7971</v>
      </c>
      <c r="F553" s="24" t="s">
        <v>7272</v>
      </c>
      <c r="G553" s="24" t="b">
        <v>1</v>
      </c>
    </row>
    <row r="554" spans="1:7" ht="12.5" customHeight="1">
      <c r="A554" s="27">
        <v>20740</v>
      </c>
      <c r="B554" s="24" t="s">
        <v>7969</v>
      </c>
      <c r="C554" s="24" t="s">
        <v>9614</v>
      </c>
      <c r="D554" s="24" t="s">
        <v>7970</v>
      </c>
      <c r="E554" s="24" t="s">
        <v>7972</v>
      </c>
      <c r="F554" s="24" t="s">
        <v>7272</v>
      </c>
      <c r="G554" s="24" t="b">
        <v>1</v>
      </c>
    </row>
    <row r="555" spans="1:7" ht="12.5" customHeight="1">
      <c r="A555" s="27">
        <v>20780</v>
      </c>
      <c r="B555" s="24" t="s">
        <v>7973</v>
      </c>
      <c r="C555" s="24" t="s">
        <v>9615</v>
      </c>
      <c r="D555" s="24" t="s">
        <v>7974</v>
      </c>
      <c r="E555" s="24" t="s">
        <v>7975</v>
      </c>
      <c r="F555" s="24" t="s">
        <v>7555</v>
      </c>
      <c r="G555" s="24" t="b">
        <v>1</v>
      </c>
    </row>
    <row r="556" spans="1:7" ht="12.5" customHeight="1">
      <c r="A556" s="27">
        <v>20820</v>
      </c>
      <c r="B556" s="24" t="s">
        <v>7976</v>
      </c>
      <c r="C556" s="24" t="s">
        <v>9615</v>
      </c>
      <c r="D556" s="24" t="s">
        <v>7138</v>
      </c>
      <c r="E556" s="24" t="s">
        <v>7977</v>
      </c>
      <c r="F556" s="24" t="s">
        <v>7513</v>
      </c>
      <c r="G556" s="24" t="b">
        <v>1</v>
      </c>
    </row>
    <row r="557" spans="1:7" ht="12.5" customHeight="1">
      <c r="A557" s="27">
        <v>20900</v>
      </c>
      <c r="B557" s="24" t="s">
        <v>7978</v>
      </c>
      <c r="C557" s="24" t="s">
        <v>9615</v>
      </c>
      <c r="D557" s="24" t="s">
        <v>7438</v>
      </c>
      <c r="E557" s="24" t="s">
        <v>7979</v>
      </c>
      <c r="F557" s="24" t="s">
        <v>7147</v>
      </c>
      <c r="G557" s="24" t="b">
        <v>1</v>
      </c>
    </row>
    <row r="558" spans="1:7" ht="12.5" customHeight="1">
      <c r="A558" s="27">
        <v>20940</v>
      </c>
      <c r="B558" s="24" t="s">
        <v>7980</v>
      </c>
      <c r="C558" s="24" t="s">
        <v>9614</v>
      </c>
      <c r="D558" s="24" t="s">
        <v>7138</v>
      </c>
      <c r="E558" s="24" t="s">
        <v>7981</v>
      </c>
      <c r="F558" s="24" t="s">
        <v>7386</v>
      </c>
      <c r="G558" s="24" t="b">
        <v>1</v>
      </c>
    </row>
    <row r="559" spans="1:7" ht="12.5" customHeight="1">
      <c r="A559" s="27">
        <v>20980</v>
      </c>
      <c r="B559" s="24" t="s">
        <v>7982</v>
      </c>
      <c r="C559" s="24" t="s">
        <v>9615</v>
      </c>
      <c r="D559" s="24" t="s">
        <v>7138</v>
      </c>
      <c r="E559" s="24" t="s">
        <v>7695</v>
      </c>
      <c r="F559" s="24" t="s">
        <v>7289</v>
      </c>
      <c r="G559" s="24" t="b">
        <v>1</v>
      </c>
    </row>
    <row r="560" spans="1:7" ht="12.5" customHeight="1">
      <c r="A560" s="27">
        <v>21020</v>
      </c>
      <c r="B560" s="24" t="s">
        <v>7983</v>
      </c>
      <c r="C560" s="24" t="s">
        <v>9615</v>
      </c>
      <c r="D560" s="24" t="s">
        <v>7984</v>
      </c>
      <c r="E560" s="24" t="s">
        <v>7985</v>
      </c>
      <c r="F560" s="24" t="s">
        <v>7195</v>
      </c>
      <c r="G560" s="24" t="b">
        <v>1</v>
      </c>
    </row>
    <row r="561" spans="1:7" ht="12.5" customHeight="1">
      <c r="A561" s="27">
        <v>21020</v>
      </c>
      <c r="B561" s="24" t="s">
        <v>7983</v>
      </c>
      <c r="C561" s="24" t="s">
        <v>9615</v>
      </c>
      <c r="D561" s="24" t="s">
        <v>7984</v>
      </c>
      <c r="E561" s="24" t="s">
        <v>7986</v>
      </c>
      <c r="F561" s="24" t="s">
        <v>7195</v>
      </c>
      <c r="G561" s="24" t="b">
        <v>0</v>
      </c>
    </row>
    <row r="562" spans="1:7" ht="12.5" customHeight="1">
      <c r="A562" s="27">
        <v>21060</v>
      </c>
      <c r="B562" s="24" t="s">
        <v>7987</v>
      </c>
      <c r="C562" s="24" t="s">
        <v>9614</v>
      </c>
      <c r="D562" s="24" t="s">
        <v>7402</v>
      </c>
      <c r="E562" s="24" t="s">
        <v>7445</v>
      </c>
      <c r="F562" s="24" t="s">
        <v>7404</v>
      </c>
      <c r="G562" s="24" t="b">
        <v>1</v>
      </c>
    </row>
    <row r="563" spans="1:7" ht="12.5" customHeight="1">
      <c r="A563" s="27">
        <v>21060</v>
      </c>
      <c r="B563" s="24" t="s">
        <v>7987</v>
      </c>
      <c r="C563" s="24" t="s">
        <v>9614</v>
      </c>
      <c r="D563" s="24" t="s">
        <v>7402</v>
      </c>
      <c r="E563" s="24" t="s">
        <v>7988</v>
      </c>
      <c r="F563" s="24" t="s">
        <v>7404</v>
      </c>
      <c r="G563" s="24" t="b">
        <v>0</v>
      </c>
    </row>
    <row r="564" spans="1:7" ht="12.5" customHeight="1">
      <c r="A564" s="27">
        <v>21060</v>
      </c>
      <c r="B564" s="24" t="s">
        <v>7987</v>
      </c>
      <c r="C564" s="24" t="s">
        <v>9614</v>
      </c>
      <c r="D564" s="24" t="s">
        <v>7402</v>
      </c>
      <c r="E564" s="24" t="s">
        <v>7989</v>
      </c>
      <c r="F564" s="24" t="s">
        <v>7404</v>
      </c>
      <c r="G564" s="24" t="b">
        <v>0</v>
      </c>
    </row>
    <row r="565" spans="1:7" ht="12.5" customHeight="1">
      <c r="A565" s="27">
        <v>21120</v>
      </c>
      <c r="B565" s="24" t="s">
        <v>7990</v>
      </c>
      <c r="C565" s="24" t="s">
        <v>9615</v>
      </c>
      <c r="D565" s="24" t="s">
        <v>7138</v>
      </c>
      <c r="E565" s="24" t="s">
        <v>7991</v>
      </c>
      <c r="F565" s="24" t="s">
        <v>7152</v>
      </c>
      <c r="G565" s="24" t="b">
        <v>1</v>
      </c>
    </row>
    <row r="566" spans="1:7" ht="12.5" customHeight="1">
      <c r="A566" s="27">
        <v>21140</v>
      </c>
      <c r="B566" s="24" t="s">
        <v>7992</v>
      </c>
      <c r="C566" s="24" t="s">
        <v>9614</v>
      </c>
      <c r="D566" s="24" t="s">
        <v>7993</v>
      </c>
      <c r="E566" s="24" t="s">
        <v>7994</v>
      </c>
      <c r="F566" s="24" t="s">
        <v>4460</v>
      </c>
      <c r="G566" s="24" t="b">
        <v>1</v>
      </c>
    </row>
    <row r="567" spans="1:7" ht="12.5" customHeight="1">
      <c r="A567" s="27">
        <v>21180</v>
      </c>
      <c r="B567" s="24" t="s">
        <v>7995</v>
      </c>
      <c r="C567" s="24" t="s">
        <v>9615</v>
      </c>
      <c r="D567" s="24" t="s">
        <v>7138</v>
      </c>
      <c r="E567" s="24" t="s">
        <v>7996</v>
      </c>
      <c r="F567" s="24" t="s">
        <v>7452</v>
      </c>
      <c r="G567" s="24" t="b">
        <v>1</v>
      </c>
    </row>
    <row r="568" spans="1:7" ht="12.5" customHeight="1">
      <c r="A568" s="27">
        <v>21220</v>
      </c>
      <c r="B568" s="24" t="s">
        <v>7997</v>
      </c>
      <c r="C568" s="24" t="s">
        <v>9615</v>
      </c>
      <c r="D568" s="24" t="s">
        <v>7138</v>
      </c>
      <c r="E568" s="24" t="s">
        <v>7998</v>
      </c>
      <c r="F568" s="24" t="s">
        <v>3060</v>
      </c>
      <c r="G568" s="24" t="b">
        <v>1</v>
      </c>
    </row>
    <row r="569" spans="1:7" ht="12.5" customHeight="1">
      <c r="A569" s="27">
        <v>21220</v>
      </c>
      <c r="B569" s="24" t="s">
        <v>7997</v>
      </c>
      <c r="C569" s="24" t="s">
        <v>9615</v>
      </c>
      <c r="D569" s="24" t="s">
        <v>7138</v>
      </c>
      <c r="E569" s="24" t="s">
        <v>7999</v>
      </c>
      <c r="F569" s="24" t="s">
        <v>3060</v>
      </c>
      <c r="G569" s="24" t="b">
        <v>0</v>
      </c>
    </row>
    <row r="570" spans="1:7" ht="12.5" customHeight="1">
      <c r="A570" s="27">
        <v>21260</v>
      </c>
      <c r="B570" s="24" t="s">
        <v>8000</v>
      </c>
      <c r="C570" s="24" t="s">
        <v>9615</v>
      </c>
      <c r="D570" s="24" t="s">
        <v>7138</v>
      </c>
      <c r="E570" s="24" t="s">
        <v>8001</v>
      </c>
      <c r="F570" s="24" t="s">
        <v>1134</v>
      </c>
      <c r="G570" s="24" t="b">
        <v>1</v>
      </c>
    </row>
    <row r="571" spans="1:7" ht="12.5" customHeight="1">
      <c r="A571" s="27">
        <v>21300</v>
      </c>
      <c r="B571" s="24" t="s">
        <v>8002</v>
      </c>
      <c r="C571" s="24" t="s">
        <v>9614</v>
      </c>
      <c r="D571" s="24" t="s">
        <v>7829</v>
      </c>
      <c r="E571" s="24" t="s">
        <v>8003</v>
      </c>
      <c r="F571" s="24" t="s">
        <v>3775</v>
      </c>
      <c r="G571" s="24" t="b">
        <v>1</v>
      </c>
    </row>
    <row r="572" spans="1:7" ht="12.5" customHeight="1">
      <c r="A572" s="27">
        <v>21340</v>
      </c>
      <c r="B572" s="24" t="s">
        <v>8004</v>
      </c>
      <c r="C572" s="24" t="s">
        <v>9614</v>
      </c>
      <c r="D572" s="24" t="s">
        <v>8005</v>
      </c>
      <c r="E572" s="24" t="s">
        <v>7781</v>
      </c>
      <c r="F572" s="24" t="s">
        <v>7147</v>
      </c>
      <c r="G572" s="24" t="b">
        <v>1</v>
      </c>
    </row>
    <row r="573" spans="1:7" ht="12.5" customHeight="1">
      <c r="A573" s="27">
        <v>21340</v>
      </c>
      <c r="B573" s="24" t="s">
        <v>8004</v>
      </c>
      <c r="C573" s="24" t="s">
        <v>9614</v>
      </c>
      <c r="D573" s="24" t="s">
        <v>8005</v>
      </c>
      <c r="E573" s="24" t="s">
        <v>8006</v>
      </c>
      <c r="F573" s="24" t="s">
        <v>7147</v>
      </c>
      <c r="G573" s="24" t="b">
        <v>0</v>
      </c>
    </row>
    <row r="574" spans="1:7" ht="12.5" customHeight="1">
      <c r="A574" s="27">
        <v>21380</v>
      </c>
      <c r="B574" s="24" t="s">
        <v>8007</v>
      </c>
      <c r="C574" s="24" t="s">
        <v>9615</v>
      </c>
      <c r="D574" s="24" t="s">
        <v>7138</v>
      </c>
      <c r="E574" s="24" t="s">
        <v>8008</v>
      </c>
      <c r="F574" s="24" t="s">
        <v>7306</v>
      </c>
      <c r="G574" s="24" t="b">
        <v>0</v>
      </c>
    </row>
    <row r="575" spans="1:7" ht="12.5" customHeight="1">
      <c r="A575" s="27">
        <v>21380</v>
      </c>
      <c r="B575" s="24" t="s">
        <v>8007</v>
      </c>
      <c r="C575" s="24" t="s">
        <v>9615</v>
      </c>
      <c r="D575" s="24" t="s">
        <v>7138</v>
      </c>
      <c r="E575" s="24" t="s">
        <v>8009</v>
      </c>
      <c r="F575" s="24" t="s">
        <v>7306</v>
      </c>
      <c r="G575" s="24" t="b">
        <v>1</v>
      </c>
    </row>
    <row r="576" spans="1:7" ht="12.5" customHeight="1">
      <c r="A576" s="27">
        <v>21420</v>
      </c>
      <c r="B576" s="24" t="s">
        <v>8010</v>
      </c>
      <c r="C576" s="24" t="s">
        <v>9614</v>
      </c>
      <c r="D576" s="24" t="s">
        <v>7138</v>
      </c>
      <c r="E576" s="24" t="s">
        <v>8011</v>
      </c>
      <c r="F576" s="24" t="s">
        <v>7152</v>
      </c>
      <c r="G576" s="24" t="b">
        <v>1</v>
      </c>
    </row>
    <row r="577" spans="1:7" ht="12.5" customHeight="1">
      <c r="A577" s="27">
        <v>21460</v>
      </c>
      <c r="B577" s="24" t="s">
        <v>8012</v>
      </c>
      <c r="C577" s="24" t="s">
        <v>9615</v>
      </c>
      <c r="D577" s="24" t="s">
        <v>7138</v>
      </c>
      <c r="E577" s="24" t="s">
        <v>7935</v>
      </c>
      <c r="F577" s="24" t="s">
        <v>7201</v>
      </c>
      <c r="G577" s="24" t="b">
        <v>1</v>
      </c>
    </row>
    <row r="578" spans="1:7" ht="12.5" customHeight="1">
      <c r="A578" s="27">
        <v>21500</v>
      </c>
      <c r="B578" s="24" t="s">
        <v>8013</v>
      </c>
      <c r="C578" s="24" t="s">
        <v>9614</v>
      </c>
      <c r="D578" s="24" t="s">
        <v>8014</v>
      </c>
      <c r="E578" s="24" t="s">
        <v>7603</v>
      </c>
      <c r="F578" s="24" t="s">
        <v>7226</v>
      </c>
      <c r="G578" s="24" t="b">
        <v>1</v>
      </c>
    </row>
    <row r="579" spans="1:7" ht="12.5" customHeight="1">
      <c r="A579" s="27">
        <v>21540</v>
      </c>
      <c r="B579" s="24" t="s">
        <v>8015</v>
      </c>
      <c r="C579" s="24" t="s">
        <v>9615</v>
      </c>
      <c r="D579" s="24" t="s">
        <v>7138</v>
      </c>
      <c r="E579" s="24" t="s">
        <v>8016</v>
      </c>
      <c r="F579" s="24" t="s">
        <v>7156</v>
      </c>
      <c r="G579" s="24" t="b">
        <v>1</v>
      </c>
    </row>
    <row r="580" spans="1:7" ht="12.5" customHeight="1">
      <c r="A580" s="27">
        <v>21580</v>
      </c>
      <c r="B580" s="24" t="s">
        <v>8017</v>
      </c>
      <c r="C580" s="24" t="s">
        <v>9615</v>
      </c>
      <c r="D580" s="24" t="s">
        <v>7203</v>
      </c>
      <c r="E580" s="24" t="s">
        <v>8018</v>
      </c>
      <c r="F580" s="24" t="s">
        <v>7175</v>
      </c>
      <c r="G580" s="24" t="b">
        <v>1</v>
      </c>
    </row>
    <row r="581" spans="1:7" ht="12.5" customHeight="1">
      <c r="A581" s="27">
        <v>21640</v>
      </c>
      <c r="B581" s="24" t="s">
        <v>8019</v>
      </c>
      <c r="C581" s="24" t="s">
        <v>9615</v>
      </c>
      <c r="D581" s="24" t="s">
        <v>7138</v>
      </c>
      <c r="E581" s="24" t="s">
        <v>8020</v>
      </c>
      <c r="F581" s="24" t="s">
        <v>7201</v>
      </c>
      <c r="G581" s="24" t="b">
        <v>1</v>
      </c>
    </row>
    <row r="582" spans="1:7" ht="12.5" customHeight="1">
      <c r="A582" s="27">
        <v>21640</v>
      </c>
      <c r="B582" s="24" t="s">
        <v>8019</v>
      </c>
      <c r="C582" s="24" t="s">
        <v>9615</v>
      </c>
      <c r="D582" s="24" t="s">
        <v>7138</v>
      </c>
      <c r="E582" s="24" t="s">
        <v>8021</v>
      </c>
      <c r="F582" s="24" t="s">
        <v>7178</v>
      </c>
      <c r="G582" s="24" t="b">
        <v>0</v>
      </c>
    </row>
    <row r="583" spans="1:7" ht="12.5" customHeight="1">
      <c r="A583" s="27">
        <v>21660</v>
      </c>
      <c r="B583" s="24" t="s">
        <v>8022</v>
      </c>
      <c r="C583" s="24" t="s">
        <v>9614</v>
      </c>
      <c r="D583" s="24" t="s">
        <v>7138</v>
      </c>
      <c r="E583" s="24" t="s">
        <v>8023</v>
      </c>
      <c r="F583" s="24" t="s">
        <v>4053</v>
      </c>
      <c r="G583" s="24" t="b">
        <v>1</v>
      </c>
    </row>
    <row r="584" spans="1:7" ht="12.5" customHeight="1">
      <c r="A584" s="27">
        <v>21700</v>
      </c>
      <c r="B584" s="24" t="s">
        <v>8024</v>
      </c>
      <c r="C584" s="24" t="s">
        <v>9615</v>
      </c>
      <c r="D584" s="24" t="s">
        <v>7138</v>
      </c>
      <c r="E584" s="24" t="s">
        <v>8025</v>
      </c>
      <c r="F584" s="24" t="s">
        <v>7386</v>
      </c>
      <c r="G584" s="24" t="b">
        <v>1</v>
      </c>
    </row>
    <row r="585" spans="1:7" ht="12.5" customHeight="1">
      <c r="A585" s="27">
        <v>21740</v>
      </c>
      <c r="B585" s="24" t="s">
        <v>8026</v>
      </c>
      <c r="C585" s="24" t="s">
        <v>9615</v>
      </c>
      <c r="D585" s="24" t="s">
        <v>7138</v>
      </c>
      <c r="E585" s="24" t="s">
        <v>8027</v>
      </c>
      <c r="F585" s="24" t="s">
        <v>2842</v>
      </c>
      <c r="G585" s="24" t="b">
        <v>1</v>
      </c>
    </row>
    <row r="586" spans="1:7" ht="12.5" customHeight="1">
      <c r="A586" s="27">
        <v>21780</v>
      </c>
      <c r="B586" s="24" t="s">
        <v>8028</v>
      </c>
      <c r="C586" s="24" t="s">
        <v>9614</v>
      </c>
      <c r="D586" s="24" t="s">
        <v>7138</v>
      </c>
      <c r="E586" s="24" t="s">
        <v>8029</v>
      </c>
      <c r="F586" s="24" t="s">
        <v>4460</v>
      </c>
      <c r="G586" s="24" t="b">
        <v>0</v>
      </c>
    </row>
    <row r="587" spans="1:7" ht="12.5" customHeight="1">
      <c r="A587" s="27">
        <v>21780</v>
      </c>
      <c r="B587" s="24" t="s">
        <v>8028</v>
      </c>
      <c r="C587" s="24" t="s">
        <v>9614</v>
      </c>
      <c r="D587" s="24" t="s">
        <v>7138</v>
      </c>
      <c r="E587" s="24" t="s">
        <v>8030</v>
      </c>
      <c r="F587" s="24" t="s">
        <v>4460</v>
      </c>
      <c r="G587" s="24" t="b">
        <v>1</v>
      </c>
    </row>
    <row r="588" spans="1:7" ht="12.5" customHeight="1">
      <c r="A588" s="27">
        <v>21780</v>
      </c>
      <c r="B588" s="24" t="s">
        <v>8028</v>
      </c>
      <c r="C588" s="24" t="s">
        <v>9614</v>
      </c>
      <c r="D588" s="24" t="s">
        <v>7138</v>
      </c>
      <c r="E588" s="24" t="s">
        <v>8031</v>
      </c>
      <c r="F588" s="24" t="s">
        <v>4460</v>
      </c>
      <c r="G588" s="24" t="b">
        <v>1</v>
      </c>
    </row>
    <row r="589" spans="1:7" ht="12.5" customHeight="1">
      <c r="A589" s="27">
        <v>21780</v>
      </c>
      <c r="B589" s="24" t="s">
        <v>8028</v>
      </c>
      <c r="C589" s="24" t="s">
        <v>9614</v>
      </c>
      <c r="D589" s="24" t="s">
        <v>7138</v>
      </c>
      <c r="E589" s="24" t="s">
        <v>7294</v>
      </c>
      <c r="F589" s="24" t="s">
        <v>7404</v>
      </c>
      <c r="G589" s="24" t="b">
        <v>1</v>
      </c>
    </row>
    <row r="590" spans="1:7" ht="12.5" customHeight="1">
      <c r="A590" s="27">
        <v>21820</v>
      </c>
      <c r="B590" s="24" t="s">
        <v>8032</v>
      </c>
      <c r="C590" s="24" t="s">
        <v>9614</v>
      </c>
      <c r="D590" s="24" t="s">
        <v>7138</v>
      </c>
      <c r="E590" s="24" t="s">
        <v>8033</v>
      </c>
      <c r="F590" s="24" t="s">
        <v>7258</v>
      </c>
      <c r="G590" s="24" t="b">
        <v>1</v>
      </c>
    </row>
    <row r="591" spans="1:7" ht="12.5" customHeight="1">
      <c r="A591" s="27">
        <v>21840</v>
      </c>
      <c r="B591" s="24" t="s">
        <v>8034</v>
      </c>
      <c r="C591" s="24" t="s">
        <v>9615</v>
      </c>
      <c r="D591" s="24" t="s">
        <v>7138</v>
      </c>
      <c r="E591" s="24" t="s">
        <v>7446</v>
      </c>
      <c r="F591" s="24" t="s">
        <v>7252</v>
      </c>
      <c r="G591" s="24" t="b">
        <v>1</v>
      </c>
    </row>
    <row r="592" spans="1:7" ht="12.5" customHeight="1">
      <c r="A592" s="27">
        <v>21860</v>
      </c>
      <c r="B592" s="24" t="s">
        <v>8035</v>
      </c>
      <c r="C592" s="24" t="s">
        <v>9615</v>
      </c>
      <c r="D592" s="24" t="s">
        <v>7138</v>
      </c>
      <c r="E592" s="24" t="s">
        <v>8036</v>
      </c>
      <c r="F592" s="24" t="s">
        <v>7198</v>
      </c>
      <c r="G592" s="24" t="b">
        <v>1</v>
      </c>
    </row>
    <row r="593" spans="1:7" ht="12.5" customHeight="1">
      <c r="A593" s="27">
        <v>21900</v>
      </c>
      <c r="B593" s="24" t="s">
        <v>8037</v>
      </c>
      <c r="C593" s="24" t="s">
        <v>9615</v>
      </c>
      <c r="D593" s="24" t="s">
        <v>8038</v>
      </c>
      <c r="E593" s="24" t="s">
        <v>7671</v>
      </c>
      <c r="F593" s="24" t="s">
        <v>7452</v>
      </c>
      <c r="G593" s="24" t="b">
        <v>1</v>
      </c>
    </row>
    <row r="594" spans="1:7" ht="12.5" customHeight="1">
      <c r="A594" s="27">
        <v>21980</v>
      </c>
      <c r="B594" s="24" t="s">
        <v>8039</v>
      </c>
      <c r="C594" s="24" t="s">
        <v>9615</v>
      </c>
      <c r="D594" s="24" t="s">
        <v>7138</v>
      </c>
      <c r="E594" s="24" t="s">
        <v>8040</v>
      </c>
      <c r="F594" s="24" t="s">
        <v>3060</v>
      </c>
      <c r="G594" s="24" t="b">
        <v>1</v>
      </c>
    </row>
    <row r="595" spans="1:7" ht="12.5" customHeight="1">
      <c r="A595" s="27">
        <v>22020</v>
      </c>
      <c r="B595" s="24" t="s">
        <v>8041</v>
      </c>
      <c r="C595" s="24" t="s">
        <v>9614</v>
      </c>
      <c r="D595" s="24" t="s">
        <v>8042</v>
      </c>
      <c r="E595" s="24" t="s">
        <v>7680</v>
      </c>
      <c r="F595" s="24" t="s">
        <v>7198</v>
      </c>
      <c r="G595" s="24" t="b">
        <v>1</v>
      </c>
    </row>
    <row r="596" spans="1:7" ht="12.5" customHeight="1">
      <c r="A596" s="27">
        <v>22020</v>
      </c>
      <c r="B596" s="24" t="s">
        <v>8041</v>
      </c>
      <c r="C596" s="24" t="s">
        <v>9614</v>
      </c>
      <c r="D596" s="24" t="s">
        <v>8042</v>
      </c>
      <c r="E596" s="24" t="s">
        <v>7566</v>
      </c>
      <c r="F596" s="24" t="s">
        <v>7499</v>
      </c>
      <c r="G596" s="24" t="b">
        <v>1</v>
      </c>
    </row>
    <row r="597" spans="1:7" ht="12.5" customHeight="1">
      <c r="A597" s="27">
        <v>22060</v>
      </c>
      <c r="B597" s="24" t="s">
        <v>8043</v>
      </c>
      <c r="C597" s="24" t="s">
        <v>9615</v>
      </c>
      <c r="D597" s="24" t="s">
        <v>8044</v>
      </c>
      <c r="E597" s="24" t="s">
        <v>8045</v>
      </c>
      <c r="F597" s="24" t="s">
        <v>7198</v>
      </c>
      <c r="G597" s="24" t="b">
        <v>1</v>
      </c>
    </row>
    <row r="598" spans="1:7" ht="12.5" customHeight="1">
      <c r="A598" s="27">
        <v>22100</v>
      </c>
      <c r="B598" s="24" t="s">
        <v>8046</v>
      </c>
      <c r="C598" s="24" t="s">
        <v>9615</v>
      </c>
      <c r="D598" s="24" t="s">
        <v>7670</v>
      </c>
      <c r="E598" s="24" t="s">
        <v>8047</v>
      </c>
      <c r="F598" s="24" t="s">
        <v>7570</v>
      </c>
      <c r="G598" s="24" t="b">
        <v>1</v>
      </c>
    </row>
    <row r="599" spans="1:7" ht="12.5" customHeight="1">
      <c r="A599" s="27">
        <v>22140</v>
      </c>
      <c r="B599" s="24" t="s">
        <v>8048</v>
      </c>
      <c r="C599" s="24" t="s">
        <v>9614</v>
      </c>
      <c r="D599" s="24" t="s">
        <v>7138</v>
      </c>
      <c r="E599" s="24" t="s">
        <v>8049</v>
      </c>
      <c r="F599" s="24" t="s">
        <v>7175</v>
      </c>
      <c r="G599" s="24" t="b">
        <v>1</v>
      </c>
    </row>
    <row r="600" spans="1:7" ht="12.5" customHeight="1">
      <c r="A600" s="27">
        <v>22180</v>
      </c>
      <c r="B600" s="24" t="s">
        <v>8050</v>
      </c>
      <c r="C600" s="24" t="s">
        <v>9614</v>
      </c>
      <c r="D600" s="24" t="s">
        <v>8051</v>
      </c>
      <c r="E600" s="24" t="s">
        <v>7684</v>
      </c>
      <c r="F600" s="24" t="s">
        <v>7195</v>
      </c>
      <c r="G600" s="24" t="b">
        <v>1</v>
      </c>
    </row>
    <row r="601" spans="1:7" ht="12.5" customHeight="1">
      <c r="A601" s="27">
        <v>22180</v>
      </c>
      <c r="B601" s="24" t="s">
        <v>8050</v>
      </c>
      <c r="C601" s="24" t="s">
        <v>9614</v>
      </c>
      <c r="D601" s="24" t="s">
        <v>8051</v>
      </c>
      <c r="E601" s="24" t="s">
        <v>8052</v>
      </c>
      <c r="F601" s="24" t="s">
        <v>7195</v>
      </c>
      <c r="G601" s="24" t="b">
        <v>0</v>
      </c>
    </row>
    <row r="602" spans="1:7" ht="12.5" customHeight="1">
      <c r="A602" s="27">
        <v>22180</v>
      </c>
      <c r="B602" s="24" t="s">
        <v>8050</v>
      </c>
      <c r="C602" s="24" t="s">
        <v>9614</v>
      </c>
      <c r="D602" s="24" t="s">
        <v>8051</v>
      </c>
      <c r="E602" s="24" t="s">
        <v>8053</v>
      </c>
      <c r="F602" s="24" t="s">
        <v>7195</v>
      </c>
      <c r="G602" s="24" t="b">
        <v>1</v>
      </c>
    </row>
    <row r="603" spans="1:7" ht="12.5" customHeight="1">
      <c r="A603" s="27">
        <v>22220</v>
      </c>
      <c r="B603" s="24" t="s">
        <v>8054</v>
      </c>
      <c r="C603" s="24" t="s">
        <v>9614</v>
      </c>
      <c r="D603" s="24" t="s">
        <v>7138</v>
      </c>
      <c r="E603" s="24" t="s">
        <v>7662</v>
      </c>
      <c r="F603" s="24" t="s">
        <v>7289</v>
      </c>
      <c r="G603" s="24" t="b">
        <v>1</v>
      </c>
    </row>
    <row r="604" spans="1:7" ht="12.5" customHeight="1">
      <c r="A604" s="27">
        <v>22220</v>
      </c>
      <c r="B604" s="24" t="s">
        <v>8054</v>
      </c>
      <c r="C604" s="24" t="s">
        <v>9614</v>
      </c>
      <c r="D604" s="24" t="s">
        <v>7138</v>
      </c>
      <c r="E604" s="24" t="s">
        <v>7295</v>
      </c>
      <c r="F604" s="24" t="s">
        <v>7289</v>
      </c>
      <c r="G604" s="24" t="b">
        <v>0</v>
      </c>
    </row>
    <row r="605" spans="1:7" ht="12.5" customHeight="1">
      <c r="A605" s="27">
        <v>22220</v>
      </c>
      <c r="B605" s="24" t="s">
        <v>8054</v>
      </c>
      <c r="C605" s="24" t="s">
        <v>9614</v>
      </c>
      <c r="D605" s="24" t="s">
        <v>7138</v>
      </c>
      <c r="E605" s="24" t="s">
        <v>7411</v>
      </c>
      <c r="F605" s="24" t="s">
        <v>7289</v>
      </c>
      <c r="G605" s="24" t="b">
        <v>1</v>
      </c>
    </row>
    <row r="606" spans="1:7" ht="12.5" customHeight="1">
      <c r="A606" s="27">
        <v>22260</v>
      </c>
      <c r="B606" s="24" t="s">
        <v>8055</v>
      </c>
      <c r="C606" s="24" t="s">
        <v>9615</v>
      </c>
      <c r="D606" s="24" t="s">
        <v>7138</v>
      </c>
      <c r="E606" s="24" t="s">
        <v>8056</v>
      </c>
      <c r="F606" s="24" t="s">
        <v>7198</v>
      </c>
      <c r="G606" s="24" t="b">
        <v>1</v>
      </c>
    </row>
    <row r="607" spans="1:7" ht="12.5" customHeight="1">
      <c r="A607" s="27">
        <v>22280</v>
      </c>
      <c r="B607" s="24" t="s">
        <v>8057</v>
      </c>
      <c r="C607" s="24" t="s">
        <v>9615</v>
      </c>
      <c r="D607" s="24" t="s">
        <v>7654</v>
      </c>
      <c r="E607" s="24" t="s">
        <v>8009</v>
      </c>
      <c r="F607" s="24" t="s">
        <v>3060</v>
      </c>
      <c r="G607" s="24" t="b">
        <v>1</v>
      </c>
    </row>
    <row r="608" spans="1:7" ht="12.5" customHeight="1">
      <c r="A608" s="27">
        <v>22300</v>
      </c>
      <c r="B608" s="24" t="s">
        <v>8058</v>
      </c>
      <c r="C608" s="24" t="s">
        <v>9615</v>
      </c>
      <c r="D608" s="24" t="s">
        <v>8059</v>
      </c>
      <c r="E608" s="24" t="s">
        <v>8060</v>
      </c>
      <c r="F608" s="24" t="s">
        <v>7171</v>
      </c>
      <c r="G608" s="24" t="b">
        <v>1</v>
      </c>
    </row>
    <row r="609" spans="1:7" ht="12.5" customHeight="1">
      <c r="A609" s="27">
        <v>22340</v>
      </c>
      <c r="B609" s="24" t="s">
        <v>8061</v>
      </c>
      <c r="C609" s="24" t="s">
        <v>9615</v>
      </c>
      <c r="D609" s="24" t="s">
        <v>7138</v>
      </c>
      <c r="E609" s="24" t="s">
        <v>8062</v>
      </c>
      <c r="F609" s="24" t="s">
        <v>7178</v>
      </c>
      <c r="G609" s="24" t="b">
        <v>1</v>
      </c>
    </row>
    <row r="610" spans="1:7" ht="12.5" customHeight="1">
      <c r="A610" s="27">
        <v>22380</v>
      </c>
      <c r="B610" s="24" t="s">
        <v>8063</v>
      </c>
      <c r="C610" s="24" t="s">
        <v>9614</v>
      </c>
      <c r="D610" s="24" t="s">
        <v>7138</v>
      </c>
      <c r="E610" s="24" t="s">
        <v>8064</v>
      </c>
      <c r="F610" s="24" t="s">
        <v>8065</v>
      </c>
      <c r="G610" s="24" t="b">
        <v>1</v>
      </c>
    </row>
    <row r="611" spans="1:7" ht="12.5" customHeight="1">
      <c r="A611" s="27">
        <v>22420</v>
      </c>
      <c r="B611" s="24" t="s">
        <v>8066</v>
      </c>
      <c r="C611" s="24" t="s">
        <v>9614</v>
      </c>
      <c r="D611" s="24" t="s">
        <v>7154</v>
      </c>
      <c r="E611" s="24" t="s">
        <v>7417</v>
      </c>
      <c r="F611" s="24" t="s">
        <v>7156</v>
      </c>
      <c r="G611" s="24" t="b">
        <v>1</v>
      </c>
    </row>
    <row r="612" spans="1:7" ht="12.5" customHeight="1">
      <c r="A612" s="27">
        <v>22500</v>
      </c>
      <c r="B612" s="24" t="s">
        <v>8067</v>
      </c>
      <c r="C612" s="24" t="s">
        <v>9614</v>
      </c>
      <c r="D612" s="24" t="s">
        <v>7138</v>
      </c>
      <c r="E612" s="24" t="s">
        <v>8068</v>
      </c>
      <c r="F612" s="24" t="s">
        <v>7368</v>
      </c>
      <c r="G612" s="24" t="b">
        <v>0</v>
      </c>
    </row>
    <row r="613" spans="1:7" ht="12.5" customHeight="1">
      <c r="A613" s="27">
        <v>22500</v>
      </c>
      <c r="B613" s="24" t="s">
        <v>8067</v>
      </c>
      <c r="C613" s="24" t="s">
        <v>9614</v>
      </c>
      <c r="D613" s="24" t="s">
        <v>7138</v>
      </c>
      <c r="E613" s="24" t="s">
        <v>8069</v>
      </c>
      <c r="F613" s="24" t="s">
        <v>7368</v>
      </c>
      <c r="G613" s="24" t="b">
        <v>1</v>
      </c>
    </row>
    <row r="614" spans="1:7" ht="12.5" customHeight="1">
      <c r="A614" s="27">
        <v>22520</v>
      </c>
      <c r="B614" s="24" t="s">
        <v>8070</v>
      </c>
      <c r="C614" s="24" t="s">
        <v>9614</v>
      </c>
      <c r="D614" s="24" t="s">
        <v>7138</v>
      </c>
      <c r="E614" s="24" t="s">
        <v>8071</v>
      </c>
      <c r="F614" s="24" t="s">
        <v>7201</v>
      </c>
      <c r="G614" s="24" t="b">
        <v>1</v>
      </c>
    </row>
    <row r="615" spans="1:7" ht="12.5" customHeight="1">
      <c r="A615" s="27">
        <v>22520</v>
      </c>
      <c r="B615" s="24" t="s">
        <v>8070</v>
      </c>
      <c r="C615" s="24" t="s">
        <v>9614</v>
      </c>
      <c r="D615" s="24" t="s">
        <v>7138</v>
      </c>
      <c r="E615" s="24" t="s">
        <v>8072</v>
      </c>
      <c r="F615" s="24" t="s">
        <v>7201</v>
      </c>
      <c r="G615" s="24" t="b">
        <v>1</v>
      </c>
    </row>
    <row r="616" spans="1:7" ht="12.5" customHeight="1">
      <c r="A616" s="27">
        <v>22540</v>
      </c>
      <c r="B616" s="24" t="s">
        <v>8073</v>
      </c>
      <c r="C616" s="24" t="s">
        <v>9614</v>
      </c>
      <c r="D616" s="24" t="s">
        <v>7138</v>
      </c>
      <c r="E616" s="24" t="s">
        <v>8074</v>
      </c>
      <c r="F616" s="24" t="s">
        <v>7272</v>
      </c>
      <c r="G616" s="24" t="b">
        <v>1</v>
      </c>
    </row>
    <row r="617" spans="1:7" ht="12.5" customHeight="1">
      <c r="A617" s="27">
        <v>22580</v>
      </c>
      <c r="B617" s="24" t="s">
        <v>8075</v>
      </c>
      <c r="C617" s="24" t="s">
        <v>9615</v>
      </c>
      <c r="D617" s="24" t="s">
        <v>7138</v>
      </c>
      <c r="E617" s="24" t="s">
        <v>8076</v>
      </c>
      <c r="F617" s="24" t="s">
        <v>7195</v>
      </c>
      <c r="G617" s="24" t="b">
        <v>1</v>
      </c>
    </row>
    <row r="618" spans="1:7" ht="12.5" customHeight="1">
      <c r="A618" s="27">
        <v>22620</v>
      </c>
      <c r="B618" s="24" t="s">
        <v>8077</v>
      </c>
      <c r="C618" s="24" t="s">
        <v>9615</v>
      </c>
      <c r="D618" s="24" t="s">
        <v>8078</v>
      </c>
      <c r="E618" s="24" t="s">
        <v>8079</v>
      </c>
      <c r="F618" s="24" t="s">
        <v>7289</v>
      </c>
      <c r="G618" s="24" t="b">
        <v>1</v>
      </c>
    </row>
    <row r="619" spans="1:7" ht="12.5" customHeight="1">
      <c r="A619" s="27">
        <v>22660</v>
      </c>
      <c r="B619" s="24" t="s">
        <v>8080</v>
      </c>
      <c r="C619" s="24" t="s">
        <v>9614</v>
      </c>
      <c r="D619" s="24" t="s">
        <v>7138</v>
      </c>
      <c r="E619" s="24" t="s">
        <v>8081</v>
      </c>
      <c r="F619" s="24" t="s">
        <v>7555</v>
      </c>
      <c r="G619" s="24" t="b">
        <v>1</v>
      </c>
    </row>
    <row r="620" spans="1:7" ht="12.5" customHeight="1">
      <c r="A620" s="27">
        <v>22700</v>
      </c>
      <c r="B620" s="24" t="s">
        <v>8082</v>
      </c>
      <c r="C620" s="24" t="s">
        <v>9615</v>
      </c>
      <c r="D620" s="24" t="s">
        <v>7138</v>
      </c>
      <c r="E620" s="24" t="s">
        <v>8083</v>
      </c>
      <c r="F620" s="24" t="s">
        <v>7252</v>
      </c>
      <c r="G620" s="24" t="b">
        <v>1</v>
      </c>
    </row>
    <row r="621" spans="1:7" ht="12.5" customHeight="1">
      <c r="A621" s="27">
        <v>22780</v>
      </c>
      <c r="B621" s="24" t="s">
        <v>8084</v>
      </c>
      <c r="C621" s="24" t="s">
        <v>9615</v>
      </c>
      <c r="D621" s="24" t="s">
        <v>7138</v>
      </c>
      <c r="E621" s="24" t="s">
        <v>7508</v>
      </c>
      <c r="F621" s="24" t="s">
        <v>7570</v>
      </c>
      <c r="G621" s="24" t="b">
        <v>1</v>
      </c>
    </row>
    <row r="622" spans="1:7" ht="12.5" customHeight="1">
      <c r="A622" s="27">
        <v>22800</v>
      </c>
      <c r="B622" s="24" t="s">
        <v>8085</v>
      </c>
      <c r="C622" s="24" t="s">
        <v>9615</v>
      </c>
      <c r="D622" s="24" t="s">
        <v>7609</v>
      </c>
      <c r="E622" s="24" t="s">
        <v>8060</v>
      </c>
      <c r="F622" s="24" t="s">
        <v>7513</v>
      </c>
      <c r="G622" s="24" t="b">
        <v>0</v>
      </c>
    </row>
    <row r="623" spans="1:7" ht="12.5" customHeight="1">
      <c r="A623" s="27">
        <v>22800</v>
      </c>
      <c r="B623" s="24" t="s">
        <v>8085</v>
      </c>
      <c r="C623" s="24" t="s">
        <v>9615</v>
      </c>
      <c r="D623" s="24" t="s">
        <v>7609</v>
      </c>
      <c r="E623" s="24" t="s">
        <v>7179</v>
      </c>
      <c r="F623" s="24" t="s">
        <v>7252</v>
      </c>
      <c r="G623" s="24" t="b">
        <v>1</v>
      </c>
    </row>
    <row r="624" spans="1:7" ht="12.5" customHeight="1">
      <c r="A624" s="27">
        <v>22800</v>
      </c>
      <c r="B624" s="24" t="s">
        <v>8085</v>
      </c>
      <c r="C624" s="24" t="s">
        <v>9615</v>
      </c>
      <c r="D624" s="24" t="s">
        <v>7609</v>
      </c>
      <c r="E624" s="24" t="s">
        <v>7288</v>
      </c>
      <c r="F624" s="24" t="s">
        <v>7570</v>
      </c>
      <c r="G624" s="24" t="b">
        <v>0</v>
      </c>
    </row>
    <row r="625" spans="1:7" ht="12.5" customHeight="1">
      <c r="A625" s="27">
        <v>22820</v>
      </c>
      <c r="B625" s="24" t="s">
        <v>8086</v>
      </c>
      <c r="C625" s="24" t="s">
        <v>9615</v>
      </c>
      <c r="D625" s="24" t="s">
        <v>7138</v>
      </c>
      <c r="E625" s="24" t="s">
        <v>7341</v>
      </c>
      <c r="F625" s="24" t="s">
        <v>7555</v>
      </c>
      <c r="G625" s="24" t="b">
        <v>1</v>
      </c>
    </row>
    <row r="626" spans="1:7" ht="12.5" customHeight="1">
      <c r="A626" s="27">
        <v>22840</v>
      </c>
      <c r="B626" s="24" t="s">
        <v>8087</v>
      </c>
      <c r="C626" s="24" t="s">
        <v>9615</v>
      </c>
      <c r="D626" s="24" t="s">
        <v>8088</v>
      </c>
      <c r="E626" s="24" t="s">
        <v>7330</v>
      </c>
      <c r="F626" s="24" t="s">
        <v>7201</v>
      </c>
      <c r="G626" s="24" t="b">
        <v>1</v>
      </c>
    </row>
    <row r="627" spans="1:7" ht="12.5" customHeight="1">
      <c r="A627" s="27">
        <v>22860</v>
      </c>
      <c r="B627" s="24" t="s">
        <v>8089</v>
      </c>
      <c r="C627" s="24" t="s">
        <v>9615</v>
      </c>
      <c r="D627" s="24" t="s">
        <v>7913</v>
      </c>
      <c r="E627" s="24" t="s">
        <v>8090</v>
      </c>
      <c r="F627" s="24" t="s">
        <v>7214</v>
      </c>
      <c r="G627" s="24" t="b">
        <v>1</v>
      </c>
    </row>
    <row r="628" spans="1:7" ht="12.5" customHeight="1">
      <c r="A628" s="27">
        <v>22900</v>
      </c>
      <c r="B628" s="24" t="s">
        <v>8091</v>
      </c>
      <c r="C628" s="24" t="s">
        <v>9614</v>
      </c>
      <c r="D628" s="24" t="s">
        <v>7138</v>
      </c>
      <c r="E628" s="24" t="s">
        <v>7600</v>
      </c>
      <c r="F628" s="24" t="s">
        <v>7289</v>
      </c>
      <c r="G628" s="24" t="b">
        <v>1</v>
      </c>
    </row>
    <row r="629" spans="1:7" ht="12.5" customHeight="1">
      <c r="A629" s="27">
        <v>22900</v>
      </c>
      <c r="B629" s="24" t="s">
        <v>8091</v>
      </c>
      <c r="C629" s="24" t="s">
        <v>9614</v>
      </c>
      <c r="D629" s="24" t="s">
        <v>7138</v>
      </c>
      <c r="E629" s="24" t="s">
        <v>7616</v>
      </c>
      <c r="F629" s="24" t="s">
        <v>7289</v>
      </c>
      <c r="G629" s="24" t="b">
        <v>0</v>
      </c>
    </row>
    <row r="630" spans="1:7" ht="12.5" customHeight="1">
      <c r="A630" s="27">
        <v>22900</v>
      </c>
      <c r="B630" s="24" t="s">
        <v>8091</v>
      </c>
      <c r="C630" s="24" t="s">
        <v>9614</v>
      </c>
      <c r="D630" s="24" t="s">
        <v>7138</v>
      </c>
      <c r="E630" s="24" t="s">
        <v>8092</v>
      </c>
      <c r="F630" s="24" t="s">
        <v>7289</v>
      </c>
      <c r="G630" s="24" t="b">
        <v>1</v>
      </c>
    </row>
    <row r="631" spans="1:7" ht="12.5" customHeight="1">
      <c r="A631" s="27">
        <v>22900</v>
      </c>
      <c r="B631" s="24" t="s">
        <v>8091</v>
      </c>
      <c r="C631" s="24" t="s">
        <v>9614</v>
      </c>
      <c r="D631" s="24" t="s">
        <v>7138</v>
      </c>
      <c r="E631" s="24" t="s">
        <v>8093</v>
      </c>
      <c r="F631" s="24" t="s">
        <v>7152</v>
      </c>
      <c r="G631" s="24" t="b">
        <v>0</v>
      </c>
    </row>
    <row r="632" spans="1:7" ht="12.5" customHeight="1">
      <c r="A632" s="27">
        <v>23060</v>
      </c>
      <c r="B632" s="24" t="s">
        <v>8094</v>
      </c>
      <c r="C632" s="24" t="s">
        <v>9614</v>
      </c>
      <c r="D632" s="24" t="s">
        <v>7263</v>
      </c>
      <c r="E632" s="24" t="s">
        <v>7558</v>
      </c>
      <c r="F632" s="24" t="s">
        <v>4460</v>
      </c>
      <c r="G632" s="24" t="b">
        <v>1</v>
      </c>
    </row>
    <row r="633" spans="1:7" ht="12.5" customHeight="1">
      <c r="A633" s="27">
        <v>23060</v>
      </c>
      <c r="B633" s="24" t="s">
        <v>8094</v>
      </c>
      <c r="C633" s="24" t="s">
        <v>9614</v>
      </c>
      <c r="D633" s="24" t="s">
        <v>7263</v>
      </c>
      <c r="E633" s="24" t="s">
        <v>8095</v>
      </c>
      <c r="F633" s="24" t="s">
        <v>4460</v>
      </c>
      <c r="G633" s="24" t="b">
        <v>0</v>
      </c>
    </row>
    <row r="634" spans="1:7" ht="12.5" customHeight="1">
      <c r="A634" s="27">
        <v>23140</v>
      </c>
      <c r="B634" s="24" t="s">
        <v>8096</v>
      </c>
      <c r="C634" s="24" t="s">
        <v>9615</v>
      </c>
      <c r="D634" s="24" t="s">
        <v>8097</v>
      </c>
      <c r="E634" s="24" t="s">
        <v>7762</v>
      </c>
      <c r="F634" s="24" t="s">
        <v>4460</v>
      </c>
      <c r="G634" s="24" t="b">
        <v>1</v>
      </c>
    </row>
    <row r="635" spans="1:7" ht="12.5" customHeight="1">
      <c r="A635" s="27">
        <v>23180</v>
      </c>
      <c r="B635" s="24" t="s">
        <v>8098</v>
      </c>
      <c r="C635" s="24" t="s">
        <v>9615</v>
      </c>
      <c r="D635" s="24" t="s">
        <v>8099</v>
      </c>
      <c r="E635" s="24" t="s">
        <v>8100</v>
      </c>
      <c r="F635" s="24" t="s">
        <v>7404</v>
      </c>
      <c r="G635" s="24" t="b">
        <v>0</v>
      </c>
    </row>
    <row r="636" spans="1:7" ht="12.5" customHeight="1">
      <c r="A636" s="27">
        <v>23180</v>
      </c>
      <c r="B636" s="24" t="s">
        <v>8098</v>
      </c>
      <c r="C636" s="24" t="s">
        <v>9615</v>
      </c>
      <c r="D636" s="24" t="s">
        <v>8099</v>
      </c>
      <c r="E636" s="24" t="s">
        <v>7616</v>
      </c>
      <c r="F636" s="24" t="s">
        <v>7404</v>
      </c>
      <c r="G636" s="24" t="b">
        <v>1</v>
      </c>
    </row>
    <row r="637" spans="1:7" ht="12.5" customHeight="1">
      <c r="A637" s="27">
        <v>23240</v>
      </c>
      <c r="B637" s="24" t="s">
        <v>8101</v>
      </c>
      <c r="C637" s="24" t="s">
        <v>9615</v>
      </c>
      <c r="D637" s="24" t="s">
        <v>8102</v>
      </c>
      <c r="E637" s="24" t="s">
        <v>8103</v>
      </c>
      <c r="F637" s="24" t="s">
        <v>7147</v>
      </c>
      <c r="G637" s="24" t="b">
        <v>1</v>
      </c>
    </row>
    <row r="638" spans="1:7" ht="12.5" customHeight="1">
      <c r="A638" s="27">
        <v>23300</v>
      </c>
      <c r="B638" s="24" t="s">
        <v>8104</v>
      </c>
      <c r="C638" s="24" t="s">
        <v>9615</v>
      </c>
      <c r="D638" s="24" t="s">
        <v>8105</v>
      </c>
      <c r="E638" s="24" t="s">
        <v>8106</v>
      </c>
      <c r="F638" s="24" t="s">
        <v>7513</v>
      </c>
      <c r="G638" s="24" t="b">
        <v>1</v>
      </c>
    </row>
    <row r="639" spans="1:7" ht="12.5" customHeight="1">
      <c r="A639" s="27">
        <v>23340</v>
      </c>
      <c r="B639" s="24" t="s">
        <v>8107</v>
      </c>
      <c r="C639" s="24" t="s">
        <v>9615</v>
      </c>
      <c r="D639" s="24" t="s">
        <v>8108</v>
      </c>
      <c r="E639" s="24" t="s">
        <v>7450</v>
      </c>
      <c r="F639" s="24" t="s">
        <v>7443</v>
      </c>
      <c r="G639" s="24" t="b">
        <v>1</v>
      </c>
    </row>
    <row r="640" spans="1:7" ht="12.5" customHeight="1">
      <c r="A640" s="27">
        <v>23380</v>
      </c>
      <c r="B640" s="24" t="s">
        <v>8109</v>
      </c>
      <c r="C640" s="24" t="s">
        <v>9615</v>
      </c>
      <c r="D640" s="24" t="s">
        <v>8059</v>
      </c>
      <c r="E640" s="24" t="s">
        <v>8110</v>
      </c>
      <c r="F640" s="24" t="s">
        <v>7171</v>
      </c>
      <c r="G640" s="24" t="b">
        <v>1</v>
      </c>
    </row>
    <row r="641" spans="1:7" ht="12.5" customHeight="1">
      <c r="A641" s="27">
        <v>23420</v>
      </c>
      <c r="B641" s="24" t="s">
        <v>8111</v>
      </c>
      <c r="C641" s="24" t="s">
        <v>9614</v>
      </c>
      <c r="D641" s="24" t="s">
        <v>8112</v>
      </c>
      <c r="E641" s="24" t="s">
        <v>8113</v>
      </c>
      <c r="F641" s="24" t="s">
        <v>7386</v>
      </c>
      <c r="G641" s="24" t="b">
        <v>1</v>
      </c>
    </row>
    <row r="642" spans="1:7" ht="12.5" customHeight="1">
      <c r="A642" s="27">
        <v>23460</v>
      </c>
      <c r="B642" s="24" t="s">
        <v>8114</v>
      </c>
      <c r="C642" s="24" t="s">
        <v>9614</v>
      </c>
      <c r="D642" s="24" t="s">
        <v>7138</v>
      </c>
      <c r="E642" s="24" t="s">
        <v>8115</v>
      </c>
      <c r="F642" s="24" t="s">
        <v>7201</v>
      </c>
      <c r="G642" s="24" t="b">
        <v>1</v>
      </c>
    </row>
    <row r="643" spans="1:7" ht="12.5" customHeight="1">
      <c r="A643" s="27">
        <v>23500</v>
      </c>
      <c r="B643" s="24" t="s">
        <v>8116</v>
      </c>
      <c r="C643" s="24" t="s">
        <v>9615</v>
      </c>
      <c r="D643" s="24" t="s">
        <v>8117</v>
      </c>
      <c r="E643" s="24" t="s">
        <v>7325</v>
      </c>
      <c r="F643" s="24" t="s">
        <v>7368</v>
      </c>
      <c r="G643" s="24" t="b">
        <v>1</v>
      </c>
    </row>
    <row r="644" spans="1:7" ht="12.5" customHeight="1">
      <c r="A644" s="27">
        <v>23540</v>
      </c>
      <c r="B644" s="24" t="s">
        <v>8118</v>
      </c>
      <c r="C644" s="24" t="s">
        <v>9614</v>
      </c>
      <c r="D644" s="24" t="s">
        <v>8119</v>
      </c>
      <c r="E644" s="24" t="s">
        <v>8120</v>
      </c>
      <c r="F644" s="24" t="s">
        <v>7277</v>
      </c>
      <c r="G644" s="24" t="b">
        <v>1</v>
      </c>
    </row>
    <row r="645" spans="1:7" ht="12.5" customHeight="1">
      <c r="A645" s="27">
        <v>23540</v>
      </c>
      <c r="B645" s="24" t="s">
        <v>8118</v>
      </c>
      <c r="C645" s="24" t="s">
        <v>9614</v>
      </c>
      <c r="D645" s="24" t="s">
        <v>8119</v>
      </c>
      <c r="E645" s="24" t="s">
        <v>8121</v>
      </c>
      <c r="F645" s="24" t="s">
        <v>7277</v>
      </c>
      <c r="G645" s="24" t="b">
        <v>0</v>
      </c>
    </row>
    <row r="646" spans="1:7" ht="12.5" customHeight="1">
      <c r="A646" s="27">
        <v>23540</v>
      </c>
      <c r="B646" s="24" t="s">
        <v>8118</v>
      </c>
      <c r="C646" s="24" t="s">
        <v>9614</v>
      </c>
      <c r="D646" s="24" t="s">
        <v>8119</v>
      </c>
      <c r="E646" s="24" t="s">
        <v>8122</v>
      </c>
      <c r="F646" s="24" t="s">
        <v>7277</v>
      </c>
      <c r="G646" s="24" t="b">
        <v>0</v>
      </c>
    </row>
    <row r="647" spans="1:7" ht="12.5" customHeight="1">
      <c r="A647" s="27">
        <v>23580</v>
      </c>
      <c r="B647" s="24" t="s">
        <v>8123</v>
      </c>
      <c r="C647" s="24" t="s">
        <v>9614</v>
      </c>
      <c r="D647" s="24" t="s">
        <v>7316</v>
      </c>
      <c r="E647" s="24" t="s">
        <v>8124</v>
      </c>
      <c r="F647" s="24" t="s">
        <v>7178</v>
      </c>
      <c r="G647" s="24" t="b">
        <v>1</v>
      </c>
    </row>
    <row r="648" spans="1:7" ht="12.5" customHeight="1">
      <c r="A648" s="27">
        <v>23620</v>
      </c>
      <c r="B648" s="24" t="s">
        <v>8125</v>
      </c>
      <c r="C648" s="24" t="s">
        <v>9615</v>
      </c>
      <c r="D648" s="24" t="s">
        <v>7314</v>
      </c>
      <c r="E648" s="24" t="s">
        <v>8126</v>
      </c>
      <c r="F648" s="24" t="s">
        <v>7147</v>
      </c>
      <c r="G648" s="24" t="b">
        <v>1</v>
      </c>
    </row>
    <row r="649" spans="1:7" ht="12.5" customHeight="1">
      <c r="A649" s="27">
        <v>23660</v>
      </c>
      <c r="B649" s="24" t="s">
        <v>8127</v>
      </c>
      <c r="C649" s="24" t="s">
        <v>9615</v>
      </c>
      <c r="D649" s="24" t="s">
        <v>7138</v>
      </c>
      <c r="E649" s="24" t="s">
        <v>8128</v>
      </c>
      <c r="F649" s="24" t="s">
        <v>7513</v>
      </c>
      <c r="G649" s="24" t="b">
        <v>1</v>
      </c>
    </row>
    <row r="650" spans="1:7" ht="12.5" customHeight="1">
      <c r="A650" s="27">
        <v>23700</v>
      </c>
      <c r="B650" s="24" t="s">
        <v>8129</v>
      </c>
      <c r="C650" s="24" t="s">
        <v>9615</v>
      </c>
      <c r="D650" s="24" t="s">
        <v>7138</v>
      </c>
      <c r="E650" s="24" t="s">
        <v>8130</v>
      </c>
      <c r="F650" s="24" t="s">
        <v>7175</v>
      </c>
      <c r="G650" s="24" t="b">
        <v>1</v>
      </c>
    </row>
    <row r="651" spans="1:7" ht="12.5" customHeight="1">
      <c r="A651" s="27">
        <v>23780</v>
      </c>
      <c r="B651" s="24" t="s">
        <v>8131</v>
      </c>
      <c r="C651" s="24" t="s">
        <v>9615</v>
      </c>
      <c r="D651" s="24" t="s">
        <v>7138</v>
      </c>
      <c r="E651" s="24" t="s">
        <v>8132</v>
      </c>
      <c r="F651" s="24" t="s">
        <v>7306</v>
      </c>
      <c r="G651" s="24" t="b">
        <v>1</v>
      </c>
    </row>
    <row r="652" spans="1:7" ht="12.5" customHeight="1">
      <c r="A652" s="27">
        <v>23780</v>
      </c>
      <c r="B652" s="24" t="s">
        <v>8131</v>
      </c>
      <c r="C652" s="24" t="s">
        <v>9615</v>
      </c>
      <c r="D652" s="24" t="s">
        <v>7138</v>
      </c>
      <c r="E652" s="24" t="s">
        <v>8133</v>
      </c>
      <c r="F652" s="24" t="s">
        <v>7306</v>
      </c>
      <c r="G652" s="24" t="b">
        <v>0</v>
      </c>
    </row>
    <row r="653" spans="1:7" ht="12.5" customHeight="1">
      <c r="A653" s="27">
        <v>23820</v>
      </c>
      <c r="B653" s="24" t="s">
        <v>8134</v>
      </c>
      <c r="C653" s="24" t="s">
        <v>9615</v>
      </c>
      <c r="D653" s="24" t="s">
        <v>7654</v>
      </c>
      <c r="E653" s="24" t="s">
        <v>7217</v>
      </c>
      <c r="F653" s="24" t="s">
        <v>3060</v>
      </c>
      <c r="G653" s="24" t="b">
        <v>1</v>
      </c>
    </row>
    <row r="654" spans="1:7" ht="12.5" customHeight="1">
      <c r="A654" s="27">
        <v>23860</v>
      </c>
      <c r="B654" s="24" t="s">
        <v>8135</v>
      </c>
      <c r="C654" s="24" t="s">
        <v>9615</v>
      </c>
      <c r="D654" s="24" t="s">
        <v>8136</v>
      </c>
      <c r="E654" s="24" t="s">
        <v>8137</v>
      </c>
      <c r="F654" s="24" t="s">
        <v>7368</v>
      </c>
      <c r="G654" s="24" t="b">
        <v>1</v>
      </c>
    </row>
    <row r="655" spans="1:7" ht="12.5" customHeight="1">
      <c r="A655" s="27">
        <v>23900</v>
      </c>
      <c r="B655" s="24" t="s">
        <v>8138</v>
      </c>
      <c r="C655" s="24" t="s">
        <v>9614</v>
      </c>
      <c r="D655" s="24" t="s">
        <v>8139</v>
      </c>
      <c r="E655" s="24" t="s">
        <v>7893</v>
      </c>
      <c r="F655" s="24" t="s">
        <v>7226</v>
      </c>
      <c r="G655" s="24" t="b">
        <v>1</v>
      </c>
    </row>
    <row r="656" spans="1:7" ht="12.5" customHeight="1">
      <c r="A656" s="27">
        <v>23940</v>
      </c>
      <c r="B656" s="24" t="s">
        <v>8140</v>
      </c>
      <c r="C656" s="24" t="s">
        <v>9615</v>
      </c>
      <c r="D656" s="24" t="s">
        <v>7138</v>
      </c>
      <c r="E656" s="24" t="s">
        <v>7733</v>
      </c>
      <c r="F656" s="24" t="s">
        <v>2842</v>
      </c>
      <c r="G656" s="24" t="b">
        <v>1</v>
      </c>
    </row>
    <row r="657" spans="1:7" ht="12.5" customHeight="1">
      <c r="A657" s="27">
        <v>23940</v>
      </c>
      <c r="B657" s="24" t="s">
        <v>8140</v>
      </c>
      <c r="C657" s="24" t="s">
        <v>9615</v>
      </c>
      <c r="D657" s="24" t="s">
        <v>7138</v>
      </c>
      <c r="E657" s="24" t="s">
        <v>8141</v>
      </c>
      <c r="F657" s="24" t="s">
        <v>2842</v>
      </c>
      <c r="G657" s="24" t="b">
        <v>0</v>
      </c>
    </row>
    <row r="658" spans="1:7" ht="12.5" customHeight="1">
      <c r="A658" s="27">
        <v>23940</v>
      </c>
      <c r="B658" s="24" t="s">
        <v>8140</v>
      </c>
      <c r="C658" s="24" t="s">
        <v>9615</v>
      </c>
      <c r="D658" s="24" t="s">
        <v>7138</v>
      </c>
      <c r="E658" s="24" t="s">
        <v>8142</v>
      </c>
      <c r="F658" s="24" t="s">
        <v>2842</v>
      </c>
      <c r="G658" s="24" t="b">
        <v>0</v>
      </c>
    </row>
    <row r="659" spans="1:7" ht="12.5" customHeight="1">
      <c r="A659" s="27">
        <v>23980</v>
      </c>
      <c r="B659" s="24" t="s">
        <v>8143</v>
      </c>
      <c r="C659" s="24" t="s">
        <v>9615</v>
      </c>
      <c r="D659" s="24" t="s">
        <v>7557</v>
      </c>
      <c r="E659" s="24" t="s">
        <v>8144</v>
      </c>
      <c r="F659" s="24" t="s">
        <v>7404</v>
      </c>
      <c r="G659" s="24" t="b">
        <v>1</v>
      </c>
    </row>
    <row r="660" spans="1:7" ht="12.5" customHeight="1">
      <c r="A660" s="27">
        <v>23980</v>
      </c>
      <c r="B660" s="24" t="s">
        <v>8143</v>
      </c>
      <c r="C660" s="24" t="s">
        <v>9615</v>
      </c>
      <c r="D660" s="24" t="s">
        <v>7557</v>
      </c>
      <c r="E660" s="24" t="s">
        <v>8145</v>
      </c>
      <c r="F660" s="24" t="s">
        <v>7404</v>
      </c>
      <c r="G660" s="24" t="b">
        <v>0</v>
      </c>
    </row>
    <row r="661" spans="1:7" ht="12.5" customHeight="1">
      <c r="A661" s="27">
        <v>24020</v>
      </c>
      <c r="B661" s="24" t="s">
        <v>8146</v>
      </c>
      <c r="C661" s="24" t="s">
        <v>9614</v>
      </c>
      <c r="D661" s="24" t="s">
        <v>7186</v>
      </c>
      <c r="E661" s="24" t="s">
        <v>7223</v>
      </c>
      <c r="F661" s="24" t="s">
        <v>3775</v>
      </c>
      <c r="G661" s="24" t="b">
        <v>1</v>
      </c>
    </row>
    <row r="662" spans="1:7" ht="12.5" customHeight="1">
      <c r="A662" s="27">
        <v>24020</v>
      </c>
      <c r="B662" s="24" t="s">
        <v>8146</v>
      </c>
      <c r="C662" s="24" t="s">
        <v>9614</v>
      </c>
      <c r="D662" s="24" t="s">
        <v>7186</v>
      </c>
      <c r="E662" s="24" t="s">
        <v>7411</v>
      </c>
      <c r="F662" s="24" t="s">
        <v>3775</v>
      </c>
      <c r="G662" s="24" t="b">
        <v>1</v>
      </c>
    </row>
    <row r="663" spans="1:7" ht="12.5" customHeight="1">
      <c r="A663" s="27">
        <v>24060</v>
      </c>
      <c r="B663" s="24" t="s">
        <v>8147</v>
      </c>
      <c r="C663" s="24" t="s">
        <v>9615</v>
      </c>
      <c r="D663" s="24" t="s">
        <v>7974</v>
      </c>
      <c r="E663" s="24" t="s">
        <v>8011</v>
      </c>
      <c r="F663" s="24" t="s">
        <v>7555</v>
      </c>
      <c r="G663" s="24" t="b">
        <v>1</v>
      </c>
    </row>
    <row r="664" spans="1:7" ht="12.5" customHeight="1">
      <c r="A664" s="27">
        <v>24060</v>
      </c>
      <c r="B664" s="24" t="s">
        <v>8147</v>
      </c>
      <c r="C664" s="24" t="s">
        <v>9615</v>
      </c>
      <c r="D664" s="24" t="s">
        <v>7974</v>
      </c>
      <c r="E664" s="24" t="s">
        <v>8148</v>
      </c>
      <c r="F664" s="24" t="s">
        <v>7555</v>
      </c>
      <c r="G664" s="24" t="b">
        <v>0</v>
      </c>
    </row>
    <row r="665" spans="1:7" ht="12.5" customHeight="1">
      <c r="A665" s="27">
        <v>24100</v>
      </c>
      <c r="B665" s="24" t="s">
        <v>8149</v>
      </c>
      <c r="C665" s="24" t="s">
        <v>9615</v>
      </c>
      <c r="D665" s="24" t="s">
        <v>7186</v>
      </c>
      <c r="E665" s="24" t="s">
        <v>7333</v>
      </c>
      <c r="F665" s="24" t="s">
        <v>3775</v>
      </c>
      <c r="G665" s="24" t="b">
        <v>1</v>
      </c>
    </row>
    <row r="666" spans="1:7" ht="12.5" customHeight="1">
      <c r="A666" s="27">
        <v>24140</v>
      </c>
      <c r="B666" s="24" t="s">
        <v>8150</v>
      </c>
      <c r="C666" s="24" t="s">
        <v>9614</v>
      </c>
      <c r="D666" s="24" t="s">
        <v>7138</v>
      </c>
      <c r="E666" s="24" t="s">
        <v>7918</v>
      </c>
      <c r="F666" s="24" t="s">
        <v>7195</v>
      </c>
      <c r="G666" s="24" t="b">
        <v>1</v>
      </c>
    </row>
    <row r="667" spans="1:7" ht="12.5" customHeight="1">
      <c r="A667" s="27">
        <v>24180</v>
      </c>
      <c r="B667" s="24" t="s">
        <v>8151</v>
      </c>
      <c r="C667" s="24" t="s">
        <v>9615</v>
      </c>
      <c r="D667" s="24" t="s">
        <v>7314</v>
      </c>
      <c r="E667" s="24" t="s">
        <v>8152</v>
      </c>
      <c r="F667" s="24" t="s">
        <v>7147</v>
      </c>
      <c r="G667" s="24" t="b">
        <v>1</v>
      </c>
    </row>
    <row r="668" spans="1:7" ht="12.5" customHeight="1">
      <c r="A668" s="27">
        <v>24220</v>
      </c>
      <c r="B668" s="24" t="s">
        <v>8153</v>
      </c>
      <c r="C668" s="24" t="s">
        <v>9614</v>
      </c>
      <c r="D668" s="24" t="s">
        <v>7138</v>
      </c>
      <c r="E668" s="24" t="s">
        <v>7664</v>
      </c>
      <c r="F668" s="24" t="s">
        <v>7198</v>
      </c>
      <c r="G668" s="24" t="b">
        <v>1</v>
      </c>
    </row>
    <row r="669" spans="1:7" ht="12.5" customHeight="1">
      <c r="A669" s="27">
        <v>24220</v>
      </c>
      <c r="B669" s="24" t="s">
        <v>8153</v>
      </c>
      <c r="C669" s="24" t="s">
        <v>9614</v>
      </c>
      <c r="D669" s="24" t="s">
        <v>7138</v>
      </c>
      <c r="E669" s="24" t="s">
        <v>8154</v>
      </c>
      <c r="F669" s="24" t="s">
        <v>7499</v>
      </c>
      <c r="G669" s="24" t="b">
        <v>1</v>
      </c>
    </row>
    <row r="670" spans="1:7" ht="12.5" customHeight="1">
      <c r="A670" s="27">
        <v>24260</v>
      </c>
      <c r="B670" s="24" t="s">
        <v>8155</v>
      </c>
      <c r="C670" s="24" t="s">
        <v>9614</v>
      </c>
      <c r="D670" s="24" t="s">
        <v>7138</v>
      </c>
      <c r="E670" s="24" t="s">
        <v>8124</v>
      </c>
      <c r="F670" s="24" t="s">
        <v>7443</v>
      </c>
      <c r="G670" s="24" t="b">
        <v>1</v>
      </c>
    </row>
    <row r="671" spans="1:7" ht="12.5" customHeight="1">
      <c r="A671" s="27">
        <v>24260</v>
      </c>
      <c r="B671" s="24" t="s">
        <v>8155</v>
      </c>
      <c r="C671" s="24" t="s">
        <v>9614</v>
      </c>
      <c r="D671" s="24" t="s">
        <v>7138</v>
      </c>
      <c r="E671" s="24" t="s">
        <v>7393</v>
      </c>
      <c r="F671" s="24" t="s">
        <v>7443</v>
      </c>
      <c r="G671" s="24" t="b">
        <v>0</v>
      </c>
    </row>
    <row r="672" spans="1:7" ht="12.5" customHeight="1">
      <c r="A672" s="27">
        <v>24260</v>
      </c>
      <c r="B672" s="24" t="s">
        <v>8155</v>
      </c>
      <c r="C672" s="24" t="s">
        <v>9614</v>
      </c>
      <c r="D672" s="24" t="s">
        <v>7138</v>
      </c>
      <c r="E672" s="24" t="s">
        <v>8156</v>
      </c>
      <c r="F672" s="24" t="s">
        <v>7443</v>
      </c>
      <c r="G672" s="24" t="b">
        <v>0</v>
      </c>
    </row>
    <row r="673" spans="1:7" ht="12.5" customHeight="1">
      <c r="A673" s="27">
        <v>24300</v>
      </c>
      <c r="B673" s="24" t="s">
        <v>8157</v>
      </c>
      <c r="C673" s="24" t="s">
        <v>9614</v>
      </c>
      <c r="D673" s="24" t="s">
        <v>7138</v>
      </c>
      <c r="E673" s="24" t="s">
        <v>8158</v>
      </c>
      <c r="F673" s="24" t="s">
        <v>7555</v>
      </c>
      <c r="G673" s="24" t="b">
        <v>1</v>
      </c>
    </row>
    <row r="674" spans="1:7" ht="12.5" customHeight="1">
      <c r="A674" s="27">
        <v>24330</v>
      </c>
      <c r="B674" s="24" t="s">
        <v>8159</v>
      </c>
      <c r="C674" s="24" t="s">
        <v>9615</v>
      </c>
      <c r="D674" s="24" t="s">
        <v>7138</v>
      </c>
      <c r="E674" s="24" t="s">
        <v>8160</v>
      </c>
      <c r="F674" s="24" t="s">
        <v>7198</v>
      </c>
      <c r="G674" s="24" t="b">
        <v>1</v>
      </c>
    </row>
    <row r="675" spans="1:7" ht="12.5" customHeight="1">
      <c r="A675" s="27">
        <v>24340</v>
      </c>
      <c r="B675" s="24" t="s">
        <v>8161</v>
      </c>
      <c r="C675" s="24" t="s">
        <v>9614</v>
      </c>
      <c r="D675" s="24" t="s">
        <v>7477</v>
      </c>
      <c r="E675" s="24" t="s">
        <v>8162</v>
      </c>
      <c r="F675" s="24" t="s">
        <v>7156</v>
      </c>
      <c r="G675" s="24" t="b">
        <v>0</v>
      </c>
    </row>
    <row r="676" spans="1:7" ht="12.5" customHeight="1">
      <c r="A676" s="27">
        <v>24340</v>
      </c>
      <c r="B676" s="24" t="s">
        <v>8161</v>
      </c>
      <c r="C676" s="24" t="s">
        <v>9614</v>
      </c>
      <c r="D676" s="24" t="s">
        <v>7477</v>
      </c>
      <c r="E676" s="24" t="s">
        <v>7937</v>
      </c>
      <c r="F676" s="24" t="s">
        <v>7156</v>
      </c>
      <c r="G676" s="24" t="b">
        <v>1</v>
      </c>
    </row>
    <row r="677" spans="1:7" ht="12.5" customHeight="1">
      <c r="A677" s="27">
        <v>24340</v>
      </c>
      <c r="B677" s="24" t="s">
        <v>8161</v>
      </c>
      <c r="C677" s="24" t="s">
        <v>9614</v>
      </c>
      <c r="D677" s="24" t="s">
        <v>7477</v>
      </c>
      <c r="E677" s="24" t="s">
        <v>8163</v>
      </c>
      <c r="F677" s="24" t="s">
        <v>7156</v>
      </c>
      <c r="G677" s="24" t="b">
        <v>0</v>
      </c>
    </row>
    <row r="678" spans="1:7" ht="12.5" customHeight="1">
      <c r="A678" s="27">
        <v>24340</v>
      </c>
      <c r="B678" s="24" t="s">
        <v>8161</v>
      </c>
      <c r="C678" s="24" t="s">
        <v>9614</v>
      </c>
      <c r="D678" s="24" t="s">
        <v>7477</v>
      </c>
      <c r="E678" s="24" t="s">
        <v>8164</v>
      </c>
      <c r="F678" s="24" t="s">
        <v>7156</v>
      </c>
      <c r="G678" s="24" t="b">
        <v>0</v>
      </c>
    </row>
    <row r="679" spans="1:7" ht="12.5" customHeight="1">
      <c r="A679" s="27">
        <v>24380</v>
      </c>
      <c r="B679" s="24" t="s">
        <v>8165</v>
      </c>
      <c r="C679" s="24" t="s">
        <v>9615</v>
      </c>
      <c r="D679" s="24" t="s">
        <v>7138</v>
      </c>
      <c r="E679" s="24" t="s">
        <v>8166</v>
      </c>
      <c r="F679" s="24" t="s">
        <v>7175</v>
      </c>
      <c r="G679" s="24" t="b">
        <v>1</v>
      </c>
    </row>
    <row r="680" spans="1:7" ht="12.5" customHeight="1">
      <c r="A680" s="27">
        <v>24420</v>
      </c>
      <c r="B680" s="24" t="s">
        <v>8167</v>
      </c>
      <c r="C680" s="24" t="s">
        <v>9614</v>
      </c>
      <c r="D680" s="24" t="s">
        <v>8168</v>
      </c>
      <c r="E680" s="24" t="s">
        <v>8169</v>
      </c>
      <c r="F680" s="24" t="s">
        <v>4053</v>
      </c>
      <c r="G680" s="24" t="b">
        <v>1</v>
      </c>
    </row>
    <row r="681" spans="1:7" ht="12.5" customHeight="1">
      <c r="A681" s="27">
        <v>24460</v>
      </c>
      <c r="B681" s="24" t="s">
        <v>8170</v>
      </c>
      <c r="C681" s="24" t="s">
        <v>9615</v>
      </c>
      <c r="D681" s="24" t="s">
        <v>7138</v>
      </c>
      <c r="E681" s="24" t="s">
        <v>8171</v>
      </c>
      <c r="F681" s="24" t="s">
        <v>7306</v>
      </c>
      <c r="G681" s="24" t="b">
        <v>1</v>
      </c>
    </row>
    <row r="682" spans="1:7" ht="12.5" customHeight="1">
      <c r="A682" s="27">
        <v>24500</v>
      </c>
      <c r="B682" s="24" t="s">
        <v>8172</v>
      </c>
      <c r="C682" s="24" t="s">
        <v>9614</v>
      </c>
      <c r="D682" s="24" t="s">
        <v>7138</v>
      </c>
      <c r="E682" s="24" t="s">
        <v>8173</v>
      </c>
      <c r="F682" s="24" t="s">
        <v>7484</v>
      </c>
      <c r="G682" s="24" t="b">
        <v>1</v>
      </c>
    </row>
    <row r="683" spans="1:7" ht="12.5" customHeight="1">
      <c r="A683" s="27">
        <v>24540</v>
      </c>
      <c r="B683" s="24" t="s">
        <v>8174</v>
      </c>
      <c r="C683" s="24" t="s">
        <v>9614</v>
      </c>
      <c r="D683" s="24" t="s">
        <v>7553</v>
      </c>
      <c r="E683" s="24" t="s">
        <v>8175</v>
      </c>
      <c r="F683" s="24" t="s">
        <v>7555</v>
      </c>
      <c r="G683" s="24" t="b">
        <v>1</v>
      </c>
    </row>
    <row r="684" spans="1:7" ht="12.5" customHeight="1">
      <c r="A684" s="27">
        <v>24580</v>
      </c>
      <c r="B684" s="24" t="s">
        <v>8176</v>
      </c>
      <c r="C684" s="24" t="s">
        <v>9614</v>
      </c>
      <c r="D684" s="24" t="s">
        <v>8177</v>
      </c>
      <c r="E684" s="24" t="s">
        <v>7140</v>
      </c>
      <c r="F684" s="24" t="s">
        <v>7272</v>
      </c>
      <c r="G684" s="24" t="b">
        <v>1</v>
      </c>
    </row>
    <row r="685" spans="1:7" ht="12.5" customHeight="1">
      <c r="A685" s="27">
        <v>24580</v>
      </c>
      <c r="B685" s="24" t="s">
        <v>8176</v>
      </c>
      <c r="C685" s="24" t="s">
        <v>9614</v>
      </c>
      <c r="D685" s="24" t="s">
        <v>8177</v>
      </c>
      <c r="E685" s="24" t="s">
        <v>8178</v>
      </c>
      <c r="F685" s="24" t="s">
        <v>7272</v>
      </c>
      <c r="G685" s="24" t="b">
        <v>0</v>
      </c>
    </row>
    <row r="686" spans="1:7" ht="12.5" customHeight="1">
      <c r="A686" s="27">
        <v>24580</v>
      </c>
      <c r="B686" s="24" t="s">
        <v>8176</v>
      </c>
      <c r="C686" s="24" t="s">
        <v>9614</v>
      </c>
      <c r="D686" s="24" t="s">
        <v>8177</v>
      </c>
      <c r="E686" s="24" t="s">
        <v>8179</v>
      </c>
      <c r="F686" s="24" t="s">
        <v>7272</v>
      </c>
      <c r="G686" s="24" t="b">
        <v>0</v>
      </c>
    </row>
    <row r="687" spans="1:7" ht="12.5" customHeight="1">
      <c r="A687" s="27">
        <v>24620</v>
      </c>
      <c r="B687" s="24" t="s">
        <v>8180</v>
      </c>
      <c r="C687" s="24" t="s">
        <v>9615</v>
      </c>
      <c r="D687" s="24" t="s">
        <v>7138</v>
      </c>
      <c r="E687" s="24" t="s">
        <v>7702</v>
      </c>
      <c r="F687" s="24" t="s">
        <v>7312</v>
      </c>
      <c r="G687" s="24" t="b">
        <v>1</v>
      </c>
    </row>
    <row r="688" spans="1:7" ht="12.5" customHeight="1">
      <c r="A688" s="27">
        <v>24660</v>
      </c>
      <c r="B688" s="24" t="s">
        <v>8181</v>
      </c>
      <c r="C688" s="24" t="s">
        <v>9614</v>
      </c>
      <c r="D688" s="24" t="s">
        <v>7612</v>
      </c>
      <c r="E688" s="24" t="s">
        <v>8182</v>
      </c>
      <c r="F688" s="24" t="s">
        <v>7195</v>
      </c>
      <c r="G688" s="24" t="b">
        <v>1</v>
      </c>
    </row>
    <row r="689" spans="1:7" ht="12.5" customHeight="1">
      <c r="A689" s="27">
        <v>24660</v>
      </c>
      <c r="B689" s="24" t="s">
        <v>8181</v>
      </c>
      <c r="C689" s="24" t="s">
        <v>9614</v>
      </c>
      <c r="D689" s="24" t="s">
        <v>7612</v>
      </c>
      <c r="E689" s="24" t="s">
        <v>7996</v>
      </c>
      <c r="F689" s="24" t="s">
        <v>7195</v>
      </c>
      <c r="G689" s="24" t="b">
        <v>0</v>
      </c>
    </row>
    <row r="690" spans="1:7" ht="12.5" customHeight="1">
      <c r="A690" s="27">
        <v>24660</v>
      </c>
      <c r="B690" s="24" t="s">
        <v>8181</v>
      </c>
      <c r="C690" s="24" t="s">
        <v>9614</v>
      </c>
      <c r="D690" s="24" t="s">
        <v>7612</v>
      </c>
      <c r="E690" s="24" t="s">
        <v>7550</v>
      </c>
      <c r="F690" s="24" t="s">
        <v>7195</v>
      </c>
      <c r="G690" s="24" t="b">
        <v>0</v>
      </c>
    </row>
    <row r="691" spans="1:7" ht="12.5" customHeight="1">
      <c r="A691" s="27">
        <v>24700</v>
      </c>
      <c r="B691" s="24" t="s">
        <v>8183</v>
      </c>
      <c r="C691" s="24" t="s">
        <v>9615</v>
      </c>
      <c r="D691" s="24" t="s">
        <v>7799</v>
      </c>
      <c r="E691" s="24" t="s">
        <v>7383</v>
      </c>
      <c r="F691" s="24" t="s">
        <v>4460</v>
      </c>
      <c r="G691" s="24" t="b">
        <v>1</v>
      </c>
    </row>
    <row r="692" spans="1:7" ht="12.5" customHeight="1">
      <c r="A692" s="27">
        <v>24740</v>
      </c>
      <c r="B692" s="24" t="s">
        <v>8184</v>
      </c>
      <c r="C692" s="24" t="s">
        <v>9615</v>
      </c>
      <c r="D692" s="24" t="s">
        <v>7138</v>
      </c>
      <c r="E692" s="24" t="s">
        <v>7411</v>
      </c>
      <c r="F692" s="24" t="s">
        <v>7584</v>
      </c>
      <c r="G692" s="24" t="b">
        <v>1</v>
      </c>
    </row>
    <row r="693" spans="1:7" ht="12.5" customHeight="1">
      <c r="A693" s="27">
        <v>24780</v>
      </c>
      <c r="B693" s="24" t="s">
        <v>8185</v>
      </c>
      <c r="C693" s="24" t="s">
        <v>9614</v>
      </c>
      <c r="D693" s="24" t="s">
        <v>8186</v>
      </c>
      <c r="E693" s="24" t="s">
        <v>8187</v>
      </c>
      <c r="F693" s="24" t="s">
        <v>7195</v>
      </c>
      <c r="G693" s="24" t="b">
        <v>1</v>
      </c>
    </row>
    <row r="694" spans="1:7" ht="12.5" customHeight="1">
      <c r="A694" s="27">
        <v>24820</v>
      </c>
      <c r="B694" s="24" t="s">
        <v>8188</v>
      </c>
      <c r="C694" s="24" t="s">
        <v>9615</v>
      </c>
      <c r="D694" s="24" t="s">
        <v>7886</v>
      </c>
      <c r="E694" s="24" t="s">
        <v>8189</v>
      </c>
      <c r="F694" s="24" t="s">
        <v>7171</v>
      </c>
      <c r="G694" s="24" t="b">
        <v>1</v>
      </c>
    </row>
    <row r="695" spans="1:7" ht="12.5" customHeight="1">
      <c r="A695" s="27">
        <v>24860</v>
      </c>
      <c r="B695" s="24" t="s">
        <v>8190</v>
      </c>
      <c r="C695" s="24" t="s">
        <v>9614</v>
      </c>
      <c r="D695" s="24" t="s">
        <v>8117</v>
      </c>
      <c r="E695" s="24" t="s">
        <v>8100</v>
      </c>
      <c r="F695" s="24" t="s">
        <v>7368</v>
      </c>
      <c r="G695" s="24" t="b">
        <v>0</v>
      </c>
    </row>
    <row r="696" spans="1:7" ht="12.5" customHeight="1">
      <c r="A696" s="27">
        <v>24860</v>
      </c>
      <c r="B696" s="24" t="s">
        <v>8190</v>
      </c>
      <c r="C696" s="24" t="s">
        <v>9614</v>
      </c>
      <c r="D696" s="24" t="s">
        <v>8117</v>
      </c>
      <c r="E696" s="24" t="s">
        <v>8191</v>
      </c>
      <c r="F696" s="24" t="s">
        <v>7368</v>
      </c>
      <c r="G696" s="24" t="b">
        <v>1</v>
      </c>
    </row>
    <row r="697" spans="1:7" ht="12.5" customHeight="1">
      <c r="A697" s="27">
        <v>24860</v>
      </c>
      <c r="B697" s="24" t="s">
        <v>8190</v>
      </c>
      <c r="C697" s="24" t="s">
        <v>9614</v>
      </c>
      <c r="D697" s="24" t="s">
        <v>8117</v>
      </c>
      <c r="E697" s="24" t="s">
        <v>7939</v>
      </c>
      <c r="F697" s="24" t="s">
        <v>7368</v>
      </c>
      <c r="G697" s="24" t="b">
        <v>0</v>
      </c>
    </row>
    <row r="698" spans="1:7" ht="12.5" customHeight="1">
      <c r="A698" s="27">
        <v>24860</v>
      </c>
      <c r="B698" s="24" t="s">
        <v>8190</v>
      </c>
      <c r="C698" s="24" t="s">
        <v>9614</v>
      </c>
      <c r="D698" s="24" t="s">
        <v>8117</v>
      </c>
      <c r="E698" s="24" t="s">
        <v>7344</v>
      </c>
      <c r="F698" s="24" t="s">
        <v>7368</v>
      </c>
      <c r="G698" s="24" t="b">
        <v>1</v>
      </c>
    </row>
    <row r="699" spans="1:7" ht="12.5" customHeight="1">
      <c r="A699" s="27">
        <v>24900</v>
      </c>
      <c r="B699" s="24" t="s">
        <v>8192</v>
      </c>
      <c r="C699" s="24" t="s">
        <v>9615</v>
      </c>
      <c r="D699" s="24" t="s">
        <v>7138</v>
      </c>
      <c r="E699" s="24" t="s">
        <v>7324</v>
      </c>
      <c r="F699" s="24" t="s">
        <v>7584</v>
      </c>
      <c r="G699" s="24" t="b">
        <v>0</v>
      </c>
    </row>
    <row r="700" spans="1:7" ht="12.5" customHeight="1">
      <c r="A700" s="27">
        <v>24900</v>
      </c>
      <c r="B700" s="24" t="s">
        <v>8192</v>
      </c>
      <c r="C700" s="24" t="s">
        <v>9615</v>
      </c>
      <c r="D700" s="24" t="s">
        <v>7138</v>
      </c>
      <c r="E700" s="24" t="s">
        <v>8193</v>
      </c>
      <c r="F700" s="24" t="s">
        <v>7584</v>
      </c>
      <c r="G700" s="24" t="b">
        <v>1</v>
      </c>
    </row>
    <row r="701" spans="1:7" ht="12.5" customHeight="1">
      <c r="A701" s="27">
        <v>24940</v>
      </c>
      <c r="B701" s="24" t="s">
        <v>8194</v>
      </c>
      <c r="C701" s="24" t="s">
        <v>9615</v>
      </c>
      <c r="D701" s="24" t="s">
        <v>8117</v>
      </c>
      <c r="E701" s="24" t="s">
        <v>8195</v>
      </c>
      <c r="F701" s="24" t="s">
        <v>7368</v>
      </c>
      <c r="G701" s="24" t="b">
        <v>1</v>
      </c>
    </row>
    <row r="702" spans="1:7" ht="12.5" customHeight="1">
      <c r="A702" s="27">
        <v>24980</v>
      </c>
      <c r="B702" s="24" t="s">
        <v>8196</v>
      </c>
      <c r="C702" s="24" t="s">
        <v>9615</v>
      </c>
      <c r="D702" s="24" t="s">
        <v>7138</v>
      </c>
      <c r="E702" s="24" t="s">
        <v>8197</v>
      </c>
      <c r="F702" s="24" t="s">
        <v>7584</v>
      </c>
      <c r="G702" s="24" t="b">
        <v>1</v>
      </c>
    </row>
    <row r="703" spans="1:7" ht="12.5" customHeight="1">
      <c r="A703" s="27">
        <v>25020</v>
      </c>
      <c r="B703" s="24" t="s">
        <v>8198</v>
      </c>
      <c r="C703" s="24" t="s">
        <v>9614</v>
      </c>
      <c r="D703" s="24" t="s">
        <v>7282</v>
      </c>
      <c r="E703" s="24" t="s">
        <v>8199</v>
      </c>
      <c r="F703" s="24" t="s">
        <v>7159</v>
      </c>
      <c r="G703" s="24" t="b">
        <v>1</v>
      </c>
    </row>
    <row r="704" spans="1:7" ht="12.5" customHeight="1">
      <c r="A704" s="27">
        <v>25020</v>
      </c>
      <c r="B704" s="24" t="s">
        <v>8198</v>
      </c>
      <c r="C704" s="24" t="s">
        <v>9614</v>
      </c>
      <c r="D704" s="24" t="s">
        <v>7282</v>
      </c>
      <c r="E704" s="24" t="s">
        <v>8200</v>
      </c>
      <c r="F704" s="24" t="s">
        <v>7159</v>
      </c>
      <c r="G704" s="24" t="b">
        <v>1</v>
      </c>
    </row>
    <row r="705" spans="1:7" ht="12.5" customHeight="1">
      <c r="A705" s="27">
        <v>25020</v>
      </c>
      <c r="B705" s="24" t="s">
        <v>8198</v>
      </c>
      <c r="C705" s="24" t="s">
        <v>9614</v>
      </c>
      <c r="D705" s="24" t="s">
        <v>7282</v>
      </c>
      <c r="E705" s="24" t="s">
        <v>8201</v>
      </c>
      <c r="F705" s="24" t="s">
        <v>7159</v>
      </c>
      <c r="G705" s="24" t="b">
        <v>1</v>
      </c>
    </row>
    <row r="706" spans="1:7" ht="12.5" customHeight="1">
      <c r="A706" s="27">
        <v>25060</v>
      </c>
      <c r="B706" s="24" t="s">
        <v>8202</v>
      </c>
      <c r="C706" s="24" t="s">
        <v>9614</v>
      </c>
      <c r="D706" s="24" t="s">
        <v>7138</v>
      </c>
      <c r="E706" s="24" t="s">
        <v>8060</v>
      </c>
      <c r="F706" s="24" t="s">
        <v>7584</v>
      </c>
      <c r="G706" s="24" t="b">
        <v>1</v>
      </c>
    </row>
    <row r="707" spans="1:7" ht="12.5" customHeight="1">
      <c r="A707" s="27">
        <v>25060</v>
      </c>
      <c r="B707" s="24" t="s">
        <v>8202</v>
      </c>
      <c r="C707" s="24" t="s">
        <v>9614</v>
      </c>
      <c r="D707" s="24" t="s">
        <v>7138</v>
      </c>
      <c r="E707" s="24" t="s">
        <v>7740</v>
      </c>
      <c r="F707" s="24" t="s">
        <v>7584</v>
      </c>
      <c r="G707" s="24" t="b">
        <v>1</v>
      </c>
    </row>
    <row r="708" spans="1:7" ht="12.5" customHeight="1">
      <c r="A708" s="27">
        <v>25060</v>
      </c>
      <c r="B708" s="24" t="s">
        <v>8202</v>
      </c>
      <c r="C708" s="24" t="s">
        <v>9614</v>
      </c>
      <c r="D708" s="24" t="s">
        <v>7138</v>
      </c>
      <c r="E708" s="24" t="s">
        <v>7238</v>
      </c>
      <c r="F708" s="24" t="s">
        <v>7584</v>
      </c>
      <c r="G708" s="24" t="b">
        <v>0</v>
      </c>
    </row>
    <row r="709" spans="1:7" ht="12.5" customHeight="1">
      <c r="A709" s="27">
        <v>25060</v>
      </c>
      <c r="B709" s="24" t="s">
        <v>8202</v>
      </c>
      <c r="C709" s="24" t="s">
        <v>9614</v>
      </c>
      <c r="D709" s="24" t="s">
        <v>7138</v>
      </c>
      <c r="E709" s="24" t="s">
        <v>8203</v>
      </c>
      <c r="F709" s="24" t="s">
        <v>7584</v>
      </c>
      <c r="G709" s="24" t="b">
        <v>0</v>
      </c>
    </row>
    <row r="710" spans="1:7" ht="12.5" customHeight="1">
      <c r="A710" s="27">
        <v>25100</v>
      </c>
      <c r="B710" s="24" t="s">
        <v>8204</v>
      </c>
      <c r="C710" s="24" t="s">
        <v>9615</v>
      </c>
      <c r="D710" s="24" t="s">
        <v>7138</v>
      </c>
      <c r="E710" s="24" t="s">
        <v>8205</v>
      </c>
      <c r="F710" s="24" t="s">
        <v>7152</v>
      </c>
      <c r="G710" s="24" t="b">
        <v>1</v>
      </c>
    </row>
    <row r="711" spans="1:7" ht="12.5" customHeight="1">
      <c r="A711" s="27">
        <v>25180</v>
      </c>
      <c r="B711" s="24" t="s">
        <v>8206</v>
      </c>
      <c r="C711" s="24" t="s">
        <v>9614</v>
      </c>
      <c r="D711" s="24" t="s">
        <v>7388</v>
      </c>
      <c r="E711" s="24" t="s">
        <v>7411</v>
      </c>
      <c r="F711" s="24" t="s">
        <v>7390</v>
      </c>
      <c r="G711" s="24" t="b">
        <v>1</v>
      </c>
    </row>
    <row r="712" spans="1:7" ht="12.5" customHeight="1">
      <c r="A712" s="27">
        <v>25180</v>
      </c>
      <c r="B712" s="24" t="s">
        <v>8206</v>
      </c>
      <c r="C712" s="24" t="s">
        <v>9614</v>
      </c>
      <c r="D712" s="24" t="s">
        <v>7388</v>
      </c>
      <c r="E712" s="24" t="s">
        <v>7686</v>
      </c>
      <c r="F712" s="24" t="s">
        <v>7452</v>
      </c>
      <c r="G712" s="24" t="b">
        <v>1</v>
      </c>
    </row>
    <row r="713" spans="1:7" ht="12.5" customHeight="1">
      <c r="A713" s="27">
        <v>25180</v>
      </c>
      <c r="B713" s="24" t="s">
        <v>8206</v>
      </c>
      <c r="C713" s="24" t="s">
        <v>9614</v>
      </c>
      <c r="D713" s="24" t="s">
        <v>7388</v>
      </c>
      <c r="E713" s="24" t="s">
        <v>7341</v>
      </c>
      <c r="F713" s="24" t="s">
        <v>7452</v>
      </c>
      <c r="G713" s="24" t="b">
        <v>0</v>
      </c>
    </row>
    <row r="714" spans="1:7" ht="12.5" customHeight="1">
      <c r="A714" s="27">
        <v>25200</v>
      </c>
      <c r="B714" s="24" t="s">
        <v>8207</v>
      </c>
      <c r="C714" s="24" t="s">
        <v>9615</v>
      </c>
      <c r="D714" s="24" t="s">
        <v>7138</v>
      </c>
      <c r="E714" s="24" t="s">
        <v>8208</v>
      </c>
      <c r="F714" s="24" t="s">
        <v>7505</v>
      </c>
      <c r="G714" s="24" t="b">
        <v>1</v>
      </c>
    </row>
    <row r="715" spans="1:7" ht="12.5" customHeight="1">
      <c r="A715" s="27">
        <v>25200</v>
      </c>
      <c r="B715" s="24" t="s">
        <v>8207</v>
      </c>
      <c r="C715" s="24" t="s">
        <v>9615</v>
      </c>
      <c r="D715" s="24" t="s">
        <v>7138</v>
      </c>
      <c r="E715" s="24" t="s">
        <v>8209</v>
      </c>
      <c r="F715" s="24" t="s">
        <v>7505</v>
      </c>
      <c r="G715" s="24" t="b">
        <v>0</v>
      </c>
    </row>
    <row r="716" spans="1:7" ht="12.5" customHeight="1">
      <c r="A716" s="27">
        <v>25220</v>
      </c>
      <c r="B716" s="24" t="s">
        <v>8210</v>
      </c>
      <c r="C716" s="24" t="s">
        <v>9614</v>
      </c>
      <c r="D716" s="24" t="s">
        <v>7529</v>
      </c>
      <c r="E716" s="24" t="s">
        <v>8211</v>
      </c>
      <c r="F716" s="24" t="s">
        <v>7214</v>
      </c>
      <c r="G716" s="24" t="b">
        <v>1</v>
      </c>
    </row>
    <row r="717" spans="1:7" ht="12.5" customHeight="1">
      <c r="A717" s="27">
        <v>25260</v>
      </c>
      <c r="B717" s="24" t="s">
        <v>8212</v>
      </c>
      <c r="C717" s="24" t="s">
        <v>9614</v>
      </c>
      <c r="D717" s="24" t="s">
        <v>8112</v>
      </c>
      <c r="E717" s="24" t="s">
        <v>8213</v>
      </c>
      <c r="F717" s="24" t="s">
        <v>7386</v>
      </c>
      <c r="G717" s="24" t="b">
        <v>1</v>
      </c>
    </row>
    <row r="718" spans="1:7" ht="12.5" customHeight="1">
      <c r="A718" s="27">
        <v>25300</v>
      </c>
      <c r="B718" s="24" t="s">
        <v>8214</v>
      </c>
      <c r="C718" s="24" t="s">
        <v>9615</v>
      </c>
      <c r="D718" s="24" t="s">
        <v>8215</v>
      </c>
      <c r="E718" s="24" t="s">
        <v>7671</v>
      </c>
      <c r="F718" s="24" t="s">
        <v>7570</v>
      </c>
      <c r="G718" s="24" t="b">
        <v>1</v>
      </c>
    </row>
    <row r="719" spans="1:7" ht="12.5" customHeight="1">
      <c r="A719" s="27">
        <v>25300</v>
      </c>
      <c r="B719" s="24" t="s">
        <v>8214</v>
      </c>
      <c r="C719" s="24" t="s">
        <v>9615</v>
      </c>
      <c r="D719" s="24" t="s">
        <v>8215</v>
      </c>
      <c r="E719" s="24" t="s">
        <v>8216</v>
      </c>
      <c r="F719" s="24" t="s">
        <v>7570</v>
      </c>
      <c r="G719" s="24" t="b">
        <v>0</v>
      </c>
    </row>
    <row r="720" spans="1:7" ht="12.5" customHeight="1">
      <c r="A720" s="27">
        <v>25420</v>
      </c>
      <c r="B720" s="24" t="s">
        <v>8217</v>
      </c>
      <c r="C720" s="24" t="s">
        <v>9614</v>
      </c>
      <c r="D720" s="24" t="s">
        <v>8139</v>
      </c>
      <c r="E720" s="24" t="s">
        <v>7684</v>
      </c>
      <c r="F720" s="24" t="s">
        <v>7226</v>
      </c>
      <c r="G720" s="24" t="b">
        <v>1</v>
      </c>
    </row>
    <row r="721" spans="1:7" ht="12.5" customHeight="1">
      <c r="A721" s="27">
        <v>25420</v>
      </c>
      <c r="B721" s="24" t="s">
        <v>8217</v>
      </c>
      <c r="C721" s="24" t="s">
        <v>9614</v>
      </c>
      <c r="D721" s="24" t="s">
        <v>8139</v>
      </c>
      <c r="E721" s="24" t="s">
        <v>8218</v>
      </c>
      <c r="F721" s="24" t="s">
        <v>7226</v>
      </c>
      <c r="G721" s="24" t="b">
        <v>1</v>
      </c>
    </row>
    <row r="722" spans="1:7" ht="12.5" customHeight="1">
      <c r="A722" s="27">
        <v>25420</v>
      </c>
      <c r="B722" s="24" t="s">
        <v>8217</v>
      </c>
      <c r="C722" s="24" t="s">
        <v>9614</v>
      </c>
      <c r="D722" s="24" t="s">
        <v>8139</v>
      </c>
      <c r="E722" s="24" t="s">
        <v>7811</v>
      </c>
      <c r="F722" s="24" t="s">
        <v>7226</v>
      </c>
      <c r="G722" s="24" t="b">
        <v>0</v>
      </c>
    </row>
    <row r="723" spans="1:7" ht="12.5" customHeight="1">
      <c r="A723" s="27">
        <v>25460</v>
      </c>
      <c r="B723" s="24" t="s">
        <v>8219</v>
      </c>
      <c r="C723" s="24" t="s">
        <v>9615</v>
      </c>
      <c r="D723" s="24" t="s">
        <v>7138</v>
      </c>
      <c r="E723" s="24" t="s">
        <v>7251</v>
      </c>
      <c r="F723" s="24" t="s">
        <v>7289</v>
      </c>
      <c r="G723" s="24" t="b">
        <v>1</v>
      </c>
    </row>
    <row r="724" spans="1:7" ht="12.5" customHeight="1">
      <c r="A724" s="27">
        <v>25460</v>
      </c>
      <c r="B724" s="24" t="s">
        <v>8219</v>
      </c>
      <c r="C724" s="24" t="s">
        <v>9615</v>
      </c>
      <c r="D724" s="24" t="s">
        <v>7138</v>
      </c>
      <c r="E724" s="24" t="s">
        <v>7342</v>
      </c>
      <c r="F724" s="24" t="s">
        <v>7289</v>
      </c>
      <c r="G724" s="24" t="b">
        <v>0</v>
      </c>
    </row>
    <row r="725" spans="1:7" ht="12.5" customHeight="1">
      <c r="A725" s="27">
        <v>25500</v>
      </c>
      <c r="B725" s="24" t="s">
        <v>8220</v>
      </c>
      <c r="C725" s="24" t="s">
        <v>9614</v>
      </c>
      <c r="D725" s="24" t="s">
        <v>8221</v>
      </c>
      <c r="E725" s="24" t="s">
        <v>7550</v>
      </c>
      <c r="F725" s="24" t="s">
        <v>2920</v>
      </c>
      <c r="G725" s="24" t="b">
        <v>1</v>
      </c>
    </row>
    <row r="726" spans="1:7" ht="12.5" customHeight="1">
      <c r="A726" s="27">
        <v>25500</v>
      </c>
      <c r="B726" s="24" t="s">
        <v>8220</v>
      </c>
      <c r="C726" s="24" t="s">
        <v>9614</v>
      </c>
      <c r="D726" s="24" t="s">
        <v>8221</v>
      </c>
      <c r="E726" s="24" t="s">
        <v>8222</v>
      </c>
      <c r="F726" s="24" t="s">
        <v>2920</v>
      </c>
      <c r="G726" s="24" t="b">
        <v>1</v>
      </c>
    </row>
    <row r="727" spans="1:7" ht="12.5" customHeight="1">
      <c r="A727" s="27">
        <v>25540</v>
      </c>
      <c r="B727" s="24" t="s">
        <v>8223</v>
      </c>
      <c r="C727" s="24" t="s">
        <v>9614</v>
      </c>
      <c r="D727" s="24" t="s">
        <v>8224</v>
      </c>
      <c r="E727" s="24" t="s">
        <v>8225</v>
      </c>
      <c r="F727" s="24" t="s">
        <v>7581</v>
      </c>
      <c r="G727" s="24" t="b">
        <v>1</v>
      </c>
    </row>
    <row r="728" spans="1:7" ht="12.5" customHeight="1">
      <c r="A728" s="27">
        <v>25540</v>
      </c>
      <c r="B728" s="24" t="s">
        <v>8223</v>
      </c>
      <c r="C728" s="24" t="s">
        <v>9614</v>
      </c>
      <c r="D728" s="24" t="s">
        <v>8224</v>
      </c>
      <c r="E728" s="24" t="s">
        <v>7549</v>
      </c>
      <c r="F728" s="24" t="s">
        <v>7581</v>
      </c>
      <c r="G728" s="24" t="b">
        <v>1</v>
      </c>
    </row>
    <row r="729" spans="1:7" ht="12.5" customHeight="1">
      <c r="A729" s="27">
        <v>25540</v>
      </c>
      <c r="B729" s="24" t="s">
        <v>8223</v>
      </c>
      <c r="C729" s="24" t="s">
        <v>9614</v>
      </c>
      <c r="D729" s="24" t="s">
        <v>8224</v>
      </c>
      <c r="E729" s="24" t="s">
        <v>8226</v>
      </c>
      <c r="F729" s="24" t="s">
        <v>7581</v>
      </c>
      <c r="G729" s="24" t="b">
        <v>1</v>
      </c>
    </row>
    <row r="730" spans="1:7" ht="12.5" customHeight="1">
      <c r="A730" s="27">
        <v>25580</v>
      </c>
      <c r="B730" s="24" t="s">
        <v>8227</v>
      </c>
      <c r="C730" s="24" t="s">
        <v>9615</v>
      </c>
      <c r="D730" s="24" t="s">
        <v>7138</v>
      </c>
      <c r="E730" s="24" t="s">
        <v>7893</v>
      </c>
      <c r="F730" s="24" t="s">
        <v>7443</v>
      </c>
      <c r="G730" s="24" t="b">
        <v>1</v>
      </c>
    </row>
    <row r="731" spans="1:7" ht="12.5" customHeight="1">
      <c r="A731" s="27">
        <v>25620</v>
      </c>
      <c r="B731" s="24" t="s">
        <v>8228</v>
      </c>
      <c r="C731" s="24" t="s">
        <v>9614</v>
      </c>
      <c r="D731" s="24" t="s">
        <v>8229</v>
      </c>
      <c r="E731" s="24" t="s">
        <v>8230</v>
      </c>
      <c r="F731" s="24" t="s">
        <v>7584</v>
      </c>
      <c r="G731" s="24" t="b">
        <v>0</v>
      </c>
    </row>
    <row r="732" spans="1:7" ht="12.5" customHeight="1">
      <c r="A732" s="27">
        <v>25620</v>
      </c>
      <c r="B732" s="24" t="s">
        <v>8228</v>
      </c>
      <c r="C732" s="24" t="s">
        <v>9614</v>
      </c>
      <c r="D732" s="24" t="s">
        <v>8229</v>
      </c>
      <c r="E732" s="24" t="s">
        <v>8231</v>
      </c>
      <c r="F732" s="24" t="s">
        <v>7584</v>
      </c>
      <c r="G732" s="24" t="b">
        <v>1</v>
      </c>
    </row>
    <row r="733" spans="1:7" ht="12.5" customHeight="1">
      <c r="A733" s="27">
        <v>25620</v>
      </c>
      <c r="B733" s="24" t="s">
        <v>8228</v>
      </c>
      <c r="C733" s="24" t="s">
        <v>9614</v>
      </c>
      <c r="D733" s="24" t="s">
        <v>8229</v>
      </c>
      <c r="E733" s="24" t="s">
        <v>7339</v>
      </c>
      <c r="F733" s="24" t="s">
        <v>7584</v>
      </c>
      <c r="G733" s="24" t="b">
        <v>1</v>
      </c>
    </row>
    <row r="734" spans="1:7" ht="12.5" customHeight="1">
      <c r="A734" s="27">
        <v>25620</v>
      </c>
      <c r="B734" s="24" t="s">
        <v>8228</v>
      </c>
      <c r="C734" s="24" t="s">
        <v>9614</v>
      </c>
      <c r="D734" s="24" t="s">
        <v>8229</v>
      </c>
      <c r="E734" s="24" t="s">
        <v>7811</v>
      </c>
      <c r="F734" s="24" t="s">
        <v>7584</v>
      </c>
      <c r="G734" s="24" t="b">
        <v>0</v>
      </c>
    </row>
    <row r="735" spans="1:7" ht="12.5" customHeight="1">
      <c r="A735" s="27">
        <v>25700</v>
      </c>
      <c r="B735" s="24" t="s">
        <v>8232</v>
      </c>
      <c r="C735" s="24" t="s">
        <v>9615</v>
      </c>
      <c r="D735" s="24" t="s">
        <v>7138</v>
      </c>
      <c r="E735" s="24" t="s">
        <v>7861</v>
      </c>
      <c r="F735" s="24" t="s">
        <v>7306</v>
      </c>
      <c r="G735" s="24" t="b">
        <v>1</v>
      </c>
    </row>
    <row r="736" spans="1:7" ht="12.5" customHeight="1">
      <c r="A736" s="27">
        <v>25720</v>
      </c>
      <c r="B736" s="24" t="s">
        <v>8233</v>
      </c>
      <c r="C736" s="24" t="s">
        <v>9615</v>
      </c>
      <c r="D736" s="24" t="s">
        <v>8234</v>
      </c>
      <c r="E736" s="24" t="s">
        <v>7172</v>
      </c>
      <c r="F736" s="24" t="s">
        <v>7659</v>
      </c>
      <c r="G736" s="24" t="b">
        <v>1</v>
      </c>
    </row>
    <row r="737" spans="1:7" ht="12.5" customHeight="1">
      <c r="A737" s="27">
        <v>25720</v>
      </c>
      <c r="B737" s="24" t="s">
        <v>8233</v>
      </c>
      <c r="C737" s="24" t="s">
        <v>9615</v>
      </c>
      <c r="D737" s="24" t="s">
        <v>8234</v>
      </c>
      <c r="E737" s="24" t="s">
        <v>8235</v>
      </c>
      <c r="F737" s="24" t="s">
        <v>7659</v>
      </c>
      <c r="G737" s="24" t="b">
        <v>0</v>
      </c>
    </row>
    <row r="738" spans="1:7" ht="12.5" customHeight="1">
      <c r="A738" s="27">
        <v>25740</v>
      </c>
      <c r="B738" s="24" t="s">
        <v>8236</v>
      </c>
      <c r="C738" s="24" t="s">
        <v>9615</v>
      </c>
      <c r="D738" s="24" t="s">
        <v>7138</v>
      </c>
      <c r="E738" s="24" t="s">
        <v>7446</v>
      </c>
      <c r="F738" s="24" t="s">
        <v>7484</v>
      </c>
      <c r="G738" s="24" t="b">
        <v>0</v>
      </c>
    </row>
    <row r="739" spans="1:7" ht="12.5" customHeight="1">
      <c r="A739" s="27">
        <v>25740</v>
      </c>
      <c r="B739" s="24" t="s">
        <v>8236</v>
      </c>
      <c r="C739" s="24" t="s">
        <v>9615</v>
      </c>
      <c r="D739" s="24" t="s">
        <v>7138</v>
      </c>
      <c r="E739" s="24" t="s">
        <v>8237</v>
      </c>
      <c r="F739" s="24" t="s">
        <v>7484</v>
      </c>
      <c r="G739" s="24" t="b">
        <v>1</v>
      </c>
    </row>
    <row r="740" spans="1:7" ht="12.5" customHeight="1">
      <c r="A740" s="27">
        <v>25760</v>
      </c>
      <c r="B740" s="24" t="s">
        <v>8238</v>
      </c>
      <c r="C740" s="24" t="s">
        <v>9615</v>
      </c>
      <c r="D740" s="24" t="s">
        <v>7138</v>
      </c>
      <c r="E740" s="24" t="s">
        <v>8239</v>
      </c>
      <c r="F740" s="24" t="s">
        <v>7289</v>
      </c>
      <c r="G740" s="24" t="b">
        <v>1</v>
      </c>
    </row>
    <row r="741" spans="1:7" ht="12.5" customHeight="1">
      <c r="A741" s="27">
        <v>25780</v>
      </c>
      <c r="B741" s="24" t="s">
        <v>8240</v>
      </c>
      <c r="C741" s="24" t="s">
        <v>9615</v>
      </c>
      <c r="D741" s="24" t="s">
        <v>7958</v>
      </c>
      <c r="E741" s="24" t="s">
        <v>8241</v>
      </c>
      <c r="F741" s="24" t="s">
        <v>7195</v>
      </c>
      <c r="G741" s="24" t="b">
        <v>1</v>
      </c>
    </row>
    <row r="742" spans="1:7" ht="12.5" customHeight="1">
      <c r="A742" s="27">
        <v>25820</v>
      </c>
      <c r="B742" s="24" t="s">
        <v>8242</v>
      </c>
      <c r="C742" s="24" t="s">
        <v>9615</v>
      </c>
      <c r="D742" s="24" t="s">
        <v>7138</v>
      </c>
      <c r="E742" s="24" t="s">
        <v>8243</v>
      </c>
      <c r="F742" s="24" t="s">
        <v>7147</v>
      </c>
      <c r="G742" s="24" t="b">
        <v>1</v>
      </c>
    </row>
    <row r="743" spans="1:7" ht="12.5" customHeight="1">
      <c r="A743" s="27">
        <v>25840</v>
      </c>
      <c r="B743" s="24" t="s">
        <v>8244</v>
      </c>
      <c r="C743" s="24" t="s">
        <v>9615</v>
      </c>
      <c r="D743" s="24" t="s">
        <v>7138</v>
      </c>
      <c r="E743" s="24" t="s">
        <v>7810</v>
      </c>
      <c r="F743" s="24" t="s">
        <v>4053</v>
      </c>
      <c r="G743" s="24" t="b">
        <v>0</v>
      </c>
    </row>
    <row r="744" spans="1:7" ht="12.5" customHeight="1">
      <c r="A744" s="27">
        <v>25840</v>
      </c>
      <c r="B744" s="24" t="s">
        <v>8244</v>
      </c>
      <c r="C744" s="24" t="s">
        <v>9615</v>
      </c>
      <c r="D744" s="24" t="s">
        <v>7138</v>
      </c>
      <c r="E744" s="24" t="s">
        <v>8245</v>
      </c>
      <c r="F744" s="24" t="s">
        <v>4053</v>
      </c>
      <c r="G744" s="24" t="b">
        <v>1</v>
      </c>
    </row>
    <row r="745" spans="1:7" ht="12.5" customHeight="1">
      <c r="A745" s="27">
        <v>25860</v>
      </c>
      <c r="B745" s="24" t="s">
        <v>8246</v>
      </c>
      <c r="C745" s="24" t="s">
        <v>9614</v>
      </c>
      <c r="D745" s="24" t="s">
        <v>7138</v>
      </c>
      <c r="E745" s="24" t="s">
        <v>7645</v>
      </c>
      <c r="F745" s="24" t="s">
        <v>7195</v>
      </c>
      <c r="G745" s="24" t="b">
        <v>0</v>
      </c>
    </row>
    <row r="746" spans="1:7" ht="12.5" customHeight="1">
      <c r="A746" s="27">
        <v>25860</v>
      </c>
      <c r="B746" s="24" t="s">
        <v>8246</v>
      </c>
      <c r="C746" s="24" t="s">
        <v>9614</v>
      </c>
      <c r="D746" s="24" t="s">
        <v>7138</v>
      </c>
      <c r="E746" s="24" t="s">
        <v>7362</v>
      </c>
      <c r="F746" s="24" t="s">
        <v>7195</v>
      </c>
      <c r="G746" s="24" t="b">
        <v>1</v>
      </c>
    </row>
    <row r="747" spans="1:7" ht="12.5" customHeight="1">
      <c r="A747" s="27">
        <v>25860</v>
      </c>
      <c r="B747" s="24" t="s">
        <v>8246</v>
      </c>
      <c r="C747" s="24" t="s">
        <v>9614</v>
      </c>
      <c r="D747" s="24" t="s">
        <v>7138</v>
      </c>
      <c r="E747" s="24" t="s">
        <v>7378</v>
      </c>
      <c r="F747" s="24" t="s">
        <v>7195</v>
      </c>
      <c r="G747" s="24" t="b">
        <v>1</v>
      </c>
    </row>
    <row r="748" spans="1:7" ht="12.5" customHeight="1">
      <c r="A748" s="27">
        <v>25860</v>
      </c>
      <c r="B748" s="24" t="s">
        <v>8246</v>
      </c>
      <c r="C748" s="24" t="s">
        <v>9614</v>
      </c>
      <c r="D748" s="24" t="s">
        <v>7138</v>
      </c>
      <c r="E748" s="24" t="s">
        <v>8247</v>
      </c>
      <c r="F748" s="24" t="s">
        <v>7195</v>
      </c>
      <c r="G748" s="24" t="b">
        <v>1</v>
      </c>
    </row>
    <row r="749" spans="1:7" ht="12.5" customHeight="1">
      <c r="A749" s="27">
        <v>25880</v>
      </c>
      <c r="B749" s="24" t="s">
        <v>8248</v>
      </c>
      <c r="C749" s="24" t="s">
        <v>9615</v>
      </c>
      <c r="D749" s="24" t="s">
        <v>7138</v>
      </c>
      <c r="E749" s="24" t="s">
        <v>8249</v>
      </c>
      <c r="F749" s="24" t="s">
        <v>7156</v>
      </c>
      <c r="G749" s="24" t="b">
        <v>1</v>
      </c>
    </row>
    <row r="750" spans="1:7" ht="12.5" customHeight="1">
      <c r="A750" s="27">
        <v>25900</v>
      </c>
      <c r="B750" s="24" t="s">
        <v>8250</v>
      </c>
      <c r="C750" s="24" t="s">
        <v>9615</v>
      </c>
      <c r="D750" s="24" t="s">
        <v>7138</v>
      </c>
      <c r="E750" s="24" t="s">
        <v>8251</v>
      </c>
      <c r="F750" s="24" t="s">
        <v>8252</v>
      </c>
      <c r="G750" s="24" t="b">
        <v>1</v>
      </c>
    </row>
    <row r="751" spans="1:7" ht="12.5" customHeight="1">
      <c r="A751" s="27">
        <v>25940</v>
      </c>
      <c r="B751" s="24" t="s">
        <v>8253</v>
      </c>
      <c r="C751" s="24" t="s">
        <v>9614</v>
      </c>
      <c r="D751" s="24" t="s">
        <v>7138</v>
      </c>
      <c r="E751" s="24" t="s">
        <v>8254</v>
      </c>
      <c r="F751" s="24" t="s">
        <v>7368</v>
      </c>
      <c r="G751" s="24" t="b">
        <v>1</v>
      </c>
    </row>
    <row r="752" spans="1:7" ht="12.5" customHeight="1">
      <c r="A752" s="27">
        <v>25940</v>
      </c>
      <c r="B752" s="24" t="s">
        <v>8253</v>
      </c>
      <c r="C752" s="24" t="s">
        <v>9614</v>
      </c>
      <c r="D752" s="24" t="s">
        <v>7138</v>
      </c>
      <c r="E752" s="24" t="s">
        <v>7338</v>
      </c>
      <c r="F752" s="24" t="s">
        <v>7368</v>
      </c>
      <c r="G752" s="24" t="b">
        <v>0</v>
      </c>
    </row>
    <row r="753" spans="1:7" ht="12.5" customHeight="1">
      <c r="A753" s="27">
        <v>25980</v>
      </c>
      <c r="B753" s="24" t="s">
        <v>8255</v>
      </c>
      <c r="C753" s="24" t="s">
        <v>9614</v>
      </c>
      <c r="D753" s="24" t="s">
        <v>8256</v>
      </c>
      <c r="E753" s="24" t="s">
        <v>8257</v>
      </c>
      <c r="F753" s="24" t="s">
        <v>7178</v>
      </c>
      <c r="G753" s="24" t="b">
        <v>1</v>
      </c>
    </row>
    <row r="754" spans="1:7" ht="12.5" customHeight="1">
      <c r="A754" s="27">
        <v>25980</v>
      </c>
      <c r="B754" s="24" t="s">
        <v>8255</v>
      </c>
      <c r="C754" s="24" t="s">
        <v>9614</v>
      </c>
      <c r="D754" s="24" t="s">
        <v>8256</v>
      </c>
      <c r="E754" s="24" t="s">
        <v>8258</v>
      </c>
      <c r="F754" s="24" t="s">
        <v>7178</v>
      </c>
      <c r="G754" s="24" t="b">
        <v>0</v>
      </c>
    </row>
    <row r="755" spans="1:7" ht="12.5" customHeight="1">
      <c r="A755" s="27">
        <v>26020</v>
      </c>
      <c r="B755" s="24" t="s">
        <v>8259</v>
      </c>
      <c r="C755" s="24" t="s">
        <v>9615</v>
      </c>
      <c r="D755" s="24" t="s">
        <v>7138</v>
      </c>
      <c r="E755" s="24" t="s">
        <v>8260</v>
      </c>
      <c r="F755" s="24" t="s">
        <v>7175</v>
      </c>
      <c r="G755" s="24" t="b">
        <v>1</v>
      </c>
    </row>
    <row r="756" spans="1:7" ht="12.5" customHeight="1">
      <c r="A756" s="27">
        <v>26090</v>
      </c>
      <c r="B756" s="24" t="s">
        <v>8261</v>
      </c>
      <c r="C756" s="24" t="s">
        <v>9615</v>
      </c>
      <c r="D756" s="24" t="s">
        <v>7477</v>
      </c>
      <c r="E756" s="24" t="s">
        <v>8262</v>
      </c>
      <c r="F756" s="24" t="s">
        <v>7156</v>
      </c>
      <c r="G756" s="24" t="b">
        <v>1</v>
      </c>
    </row>
    <row r="757" spans="1:7" ht="12.5" customHeight="1">
      <c r="A757" s="27">
        <v>26140</v>
      </c>
      <c r="B757" s="24" t="s">
        <v>8263</v>
      </c>
      <c r="C757" s="24" t="s">
        <v>9614</v>
      </c>
      <c r="D757" s="24" t="s">
        <v>7138</v>
      </c>
      <c r="E757" s="24" t="s">
        <v>8264</v>
      </c>
      <c r="F757" s="24" t="s">
        <v>7277</v>
      </c>
      <c r="G757" s="24" t="b">
        <v>1</v>
      </c>
    </row>
    <row r="758" spans="1:7" ht="12.5" customHeight="1">
      <c r="A758" s="27">
        <v>26220</v>
      </c>
      <c r="B758" s="24" t="s">
        <v>8265</v>
      </c>
      <c r="C758" s="24" t="s">
        <v>9615</v>
      </c>
      <c r="D758" s="24" t="s">
        <v>7138</v>
      </c>
      <c r="E758" s="24" t="s">
        <v>8266</v>
      </c>
      <c r="F758" s="24" t="s">
        <v>4053</v>
      </c>
      <c r="G758" s="24" t="b">
        <v>1</v>
      </c>
    </row>
    <row r="759" spans="1:7" ht="12.5" customHeight="1">
      <c r="A759" s="27">
        <v>26260</v>
      </c>
      <c r="B759" s="24" t="s">
        <v>8267</v>
      </c>
      <c r="C759" s="24" t="s">
        <v>9615</v>
      </c>
      <c r="D759" s="24" t="s">
        <v>7138</v>
      </c>
      <c r="E759" s="24" t="s">
        <v>8268</v>
      </c>
      <c r="F759" s="24" t="s">
        <v>7289</v>
      </c>
      <c r="G759" s="24" t="b">
        <v>1</v>
      </c>
    </row>
    <row r="760" spans="1:7" ht="12.5" customHeight="1">
      <c r="A760" s="27">
        <v>26260</v>
      </c>
      <c r="B760" s="24" t="s">
        <v>8267</v>
      </c>
      <c r="C760" s="24" t="s">
        <v>9615</v>
      </c>
      <c r="D760" s="24" t="s">
        <v>7138</v>
      </c>
      <c r="E760" s="24" t="s">
        <v>8269</v>
      </c>
      <c r="F760" s="24" t="s">
        <v>7289</v>
      </c>
      <c r="G760" s="24" t="b">
        <v>0</v>
      </c>
    </row>
    <row r="761" spans="1:7" ht="12.5" customHeight="1">
      <c r="A761" s="27">
        <v>26300</v>
      </c>
      <c r="B761" s="24" t="s">
        <v>8270</v>
      </c>
      <c r="C761" s="24" t="s">
        <v>9614</v>
      </c>
      <c r="D761" s="24" t="s">
        <v>8271</v>
      </c>
      <c r="E761" s="24" t="s">
        <v>8272</v>
      </c>
      <c r="F761" s="24" t="s">
        <v>7289</v>
      </c>
      <c r="G761" s="24" t="b">
        <v>1</v>
      </c>
    </row>
    <row r="762" spans="1:7" ht="12.5" customHeight="1">
      <c r="A762" s="27">
        <v>26340</v>
      </c>
      <c r="B762" s="24" t="s">
        <v>8273</v>
      </c>
      <c r="C762" s="24" t="s">
        <v>9615</v>
      </c>
      <c r="D762" s="24" t="s">
        <v>7138</v>
      </c>
      <c r="E762" s="24" t="s">
        <v>8274</v>
      </c>
      <c r="F762" s="24" t="s">
        <v>7156</v>
      </c>
      <c r="G762" s="24" t="b">
        <v>1</v>
      </c>
    </row>
    <row r="763" spans="1:7" ht="12.5" customHeight="1">
      <c r="A763" s="27">
        <v>26340</v>
      </c>
      <c r="B763" s="24" t="s">
        <v>8273</v>
      </c>
      <c r="C763" s="24" t="s">
        <v>9615</v>
      </c>
      <c r="D763" s="24" t="s">
        <v>7138</v>
      </c>
      <c r="E763" s="24" t="s">
        <v>8275</v>
      </c>
      <c r="F763" s="24" t="s">
        <v>7156</v>
      </c>
      <c r="G763" s="24" t="b">
        <v>0</v>
      </c>
    </row>
    <row r="764" spans="1:7" ht="12.5" customHeight="1">
      <c r="A764" s="27">
        <v>26380</v>
      </c>
      <c r="B764" s="24" t="s">
        <v>8276</v>
      </c>
      <c r="C764" s="24" t="s">
        <v>9614</v>
      </c>
      <c r="D764" s="24" t="s">
        <v>7138</v>
      </c>
      <c r="E764" s="24" t="s">
        <v>8277</v>
      </c>
      <c r="F764" s="24" t="s">
        <v>7214</v>
      </c>
      <c r="G764" s="24" t="b">
        <v>1</v>
      </c>
    </row>
    <row r="765" spans="1:7" ht="12.5" customHeight="1">
      <c r="A765" s="27">
        <v>26380</v>
      </c>
      <c r="B765" s="24" t="s">
        <v>8276</v>
      </c>
      <c r="C765" s="24" t="s">
        <v>9614</v>
      </c>
      <c r="D765" s="24" t="s">
        <v>7138</v>
      </c>
      <c r="E765" s="24" t="s">
        <v>8278</v>
      </c>
      <c r="F765" s="24" t="s">
        <v>7214</v>
      </c>
      <c r="G765" s="24" t="b">
        <v>1</v>
      </c>
    </row>
    <row r="766" spans="1:7" ht="12.5" customHeight="1">
      <c r="A766" s="27">
        <v>26420</v>
      </c>
      <c r="B766" s="24" t="s">
        <v>8279</v>
      </c>
      <c r="C766" s="24" t="s">
        <v>9614</v>
      </c>
      <c r="D766" s="24" t="s">
        <v>7438</v>
      </c>
      <c r="E766" s="24" t="s">
        <v>8280</v>
      </c>
      <c r="F766" s="24" t="s">
        <v>7147</v>
      </c>
      <c r="G766" s="24" t="b">
        <v>0</v>
      </c>
    </row>
    <row r="767" spans="1:7" ht="12.5" customHeight="1">
      <c r="A767" s="27">
        <v>26420</v>
      </c>
      <c r="B767" s="24" t="s">
        <v>8279</v>
      </c>
      <c r="C767" s="24" t="s">
        <v>9614</v>
      </c>
      <c r="D767" s="24" t="s">
        <v>7438</v>
      </c>
      <c r="E767" s="24" t="s">
        <v>8281</v>
      </c>
      <c r="F767" s="24" t="s">
        <v>7147</v>
      </c>
      <c r="G767" s="24" t="b">
        <v>1</v>
      </c>
    </row>
    <row r="768" spans="1:7" ht="12.5" customHeight="1">
      <c r="A768" s="27">
        <v>26420</v>
      </c>
      <c r="B768" s="24" t="s">
        <v>8279</v>
      </c>
      <c r="C768" s="24" t="s">
        <v>9614</v>
      </c>
      <c r="D768" s="24" t="s">
        <v>7438</v>
      </c>
      <c r="E768" s="24" t="s">
        <v>8282</v>
      </c>
      <c r="F768" s="24" t="s">
        <v>7147</v>
      </c>
      <c r="G768" s="24" t="b">
        <v>1</v>
      </c>
    </row>
    <row r="769" spans="1:7" ht="12.5" customHeight="1">
      <c r="A769" s="27">
        <v>26420</v>
      </c>
      <c r="B769" s="24" t="s">
        <v>8279</v>
      </c>
      <c r="C769" s="24" t="s">
        <v>9614</v>
      </c>
      <c r="D769" s="24" t="s">
        <v>7438</v>
      </c>
      <c r="E769" s="24" t="s">
        <v>8283</v>
      </c>
      <c r="F769" s="24" t="s">
        <v>7147</v>
      </c>
      <c r="G769" s="24" t="b">
        <v>1</v>
      </c>
    </row>
    <row r="770" spans="1:7" ht="12.5" customHeight="1">
      <c r="A770" s="27">
        <v>26420</v>
      </c>
      <c r="B770" s="24" t="s">
        <v>8279</v>
      </c>
      <c r="C770" s="24" t="s">
        <v>9614</v>
      </c>
      <c r="D770" s="24" t="s">
        <v>7438</v>
      </c>
      <c r="E770" s="24" t="s">
        <v>8284</v>
      </c>
      <c r="F770" s="24" t="s">
        <v>7147</v>
      </c>
      <c r="G770" s="24" t="b">
        <v>1</v>
      </c>
    </row>
    <row r="771" spans="1:7" ht="12.5" customHeight="1">
      <c r="A771" s="27">
        <v>26420</v>
      </c>
      <c r="B771" s="24" t="s">
        <v>8279</v>
      </c>
      <c r="C771" s="24" t="s">
        <v>9614</v>
      </c>
      <c r="D771" s="24" t="s">
        <v>7438</v>
      </c>
      <c r="E771" s="24" t="s">
        <v>7795</v>
      </c>
      <c r="F771" s="24" t="s">
        <v>7147</v>
      </c>
      <c r="G771" s="24" t="b">
        <v>1</v>
      </c>
    </row>
    <row r="772" spans="1:7" ht="12.5" customHeight="1">
      <c r="A772" s="27">
        <v>26420</v>
      </c>
      <c r="B772" s="24" t="s">
        <v>8279</v>
      </c>
      <c r="C772" s="24" t="s">
        <v>9614</v>
      </c>
      <c r="D772" s="24" t="s">
        <v>7438</v>
      </c>
      <c r="E772" s="24" t="s">
        <v>8257</v>
      </c>
      <c r="F772" s="24" t="s">
        <v>7147</v>
      </c>
      <c r="G772" s="24" t="b">
        <v>0</v>
      </c>
    </row>
    <row r="773" spans="1:7" ht="12.5" customHeight="1">
      <c r="A773" s="27">
        <v>26420</v>
      </c>
      <c r="B773" s="24" t="s">
        <v>8279</v>
      </c>
      <c r="C773" s="24" t="s">
        <v>9614</v>
      </c>
      <c r="D773" s="24" t="s">
        <v>7438</v>
      </c>
      <c r="E773" s="24" t="s">
        <v>7255</v>
      </c>
      <c r="F773" s="24" t="s">
        <v>7147</v>
      </c>
      <c r="G773" s="24" t="b">
        <v>0</v>
      </c>
    </row>
    <row r="774" spans="1:7" ht="12.5" customHeight="1">
      <c r="A774" s="27">
        <v>26420</v>
      </c>
      <c r="B774" s="24" t="s">
        <v>8279</v>
      </c>
      <c r="C774" s="24" t="s">
        <v>9614</v>
      </c>
      <c r="D774" s="24" t="s">
        <v>7438</v>
      </c>
      <c r="E774" s="24" t="s">
        <v>8285</v>
      </c>
      <c r="F774" s="24" t="s">
        <v>7147</v>
      </c>
      <c r="G774" s="24" t="b">
        <v>0</v>
      </c>
    </row>
    <row r="775" spans="1:7" ht="12.5" customHeight="1">
      <c r="A775" s="27">
        <v>26460</v>
      </c>
      <c r="B775" s="24" t="s">
        <v>8286</v>
      </c>
      <c r="C775" s="24" t="s">
        <v>9615</v>
      </c>
      <c r="D775" s="24" t="s">
        <v>7186</v>
      </c>
      <c r="E775" s="24" t="s">
        <v>7363</v>
      </c>
      <c r="F775" s="24" t="s">
        <v>3775</v>
      </c>
      <c r="G775" s="24" t="b">
        <v>1</v>
      </c>
    </row>
    <row r="776" spans="1:7" ht="12.5" customHeight="1">
      <c r="A776" s="27">
        <v>26500</v>
      </c>
      <c r="B776" s="24" t="s">
        <v>8287</v>
      </c>
      <c r="C776" s="24" t="s">
        <v>9615</v>
      </c>
      <c r="D776" s="24" t="s">
        <v>7235</v>
      </c>
      <c r="E776" s="24" t="s">
        <v>8288</v>
      </c>
      <c r="F776" s="24" t="s">
        <v>7226</v>
      </c>
      <c r="G776" s="24" t="b">
        <v>1</v>
      </c>
    </row>
    <row r="777" spans="1:7" ht="12.5" customHeight="1">
      <c r="A777" s="27">
        <v>26540</v>
      </c>
      <c r="B777" s="24" t="s">
        <v>8289</v>
      </c>
      <c r="C777" s="24" t="s">
        <v>9615</v>
      </c>
      <c r="D777" s="24" t="s">
        <v>7263</v>
      </c>
      <c r="E777" s="24" t="s">
        <v>8290</v>
      </c>
      <c r="F777" s="24" t="s">
        <v>4460</v>
      </c>
      <c r="G777" s="24" t="b">
        <v>1</v>
      </c>
    </row>
    <row r="778" spans="1:7" ht="12.5" customHeight="1">
      <c r="A778" s="27">
        <v>26580</v>
      </c>
      <c r="B778" s="24" t="s">
        <v>8291</v>
      </c>
      <c r="C778" s="24" t="s">
        <v>9614</v>
      </c>
      <c r="D778" s="24" t="s">
        <v>7679</v>
      </c>
      <c r="E778" s="24" t="s">
        <v>8292</v>
      </c>
      <c r="F778" s="24" t="s">
        <v>7404</v>
      </c>
      <c r="G778" s="24" t="b">
        <v>1</v>
      </c>
    </row>
    <row r="779" spans="1:7" ht="12.5" customHeight="1">
      <c r="A779" s="27">
        <v>26580</v>
      </c>
      <c r="B779" s="24" t="s">
        <v>8291</v>
      </c>
      <c r="C779" s="24" t="s">
        <v>9614</v>
      </c>
      <c r="D779" s="24" t="s">
        <v>7679</v>
      </c>
      <c r="E779" s="24" t="s">
        <v>7279</v>
      </c>
      <c r="F779" s="24" t="s">
        <v>7404</v>
      </c>
      <c r="G779" s="24" t="b">
        <v>0</v>
      </c>
    </row>
    <row r="780" spans="1:7" ht="12.5" customHeight="1">
      <c r="A780" s="27">
        <v>26580</v>
      </c>
      <c r="B780" s="24" t="s">
        <v>8291</v>
      </c>
      <c r="C780" s="24" t="s">
        <v>9614</v>
      </c>
      <c r="D780" s="24" t="s">
        <v>7679</v>
      </c>
      <c r="E780" s="24" t="s">
        <v>8293</v>
      </c>
      <c r="F780" s="24" t="s">
        <v>7404</v>
      </c>
      <c r="G780" s="24" t="b">
        <v>1</v>
      </c>
    </row>
    <row r="781" spans="1:7" ht="12.5" customHeight="1">
      <c r="A781" s="27">
        <v>26580</v>
      </c>
      <c r="B781" s="24" t="s">
        <v>8291</v>
      </c>
      <c r="C781" s="24" t="s">
        <v>9614</v>
      </c>
      <c r="D781" s="24" t="s">
        <v>7679</v>
      </c>
      <c r="E781" s="24" t="s">
        <v>7456</v>
      </c>
      <c r="F781" s="24" t="s">
        <v>7171</v>
      </c>
      <c r="G781" s="24" t="b">
        <v>1</v>
      </c>
    </row>
    <row r="782" spans="1:7" ht="12.5" customHeight="1">
      <c r="A782" s="27">
        <v>26580</v>
      </c>
      <c r="B782" s="24" t="s">
        <v>8291</v>
      </c>
      <c r="C782" s="24" t="s">
        <v>9614</v>
      </c>
      <c r="D782" s="24" t="s">
        <v>7679</v>
      </c>
      <c r="E782" s="24" t="s">
        <v>8294</v>
      </c>
      <c r="F782" s="24" t="s">
        <v>7452</v>
      </c>
      <c r="G782" s="24" t="b">
        <v>1</v>
      </c>
    </row>
    <row r="783" spans="1:7" ht="12.5" customHeight="1">
      <c r="A783" s="27">
        <v>26580</v>
      </c>
      <c r="B783" s="24" t="s">
        <v>8291</v>
      </c>
      <c r="C783" s="24" t="s">
        <v>9614</v>
      </c>
      <c r="D783" s="24" t="s">
        <v>7679</v>
      </c>
      <c r="E783" s="24" t="s">
        <v>7819</v>
      </c>
      <c r="F783" s="24" t="s">
        <v>7452</v>
      </c>
      <c r="G783" s="24" t="b">
        <v>1</v>
      </c>
    </row>
    <row r="784" spans="1:7" ht="12.5" customHeight="1">
      <c r="A784" s="27">
        <v>26580</v>
      </c>
      <c r="B784" s="24" t="s">
        <v>8291</v>
      </c>
      <c r="C784" s="24" t="s">
        <v>9614</v>
      </c>
      <c r="D784" s="24" t="s">
        <v>7679</v>
      </c>
      <c r="E784" s="24" t="s">
        <v>7918</v>
      </c>
      <c r="F784" s="24" t="s">
        <v>7452</v>
      </c>
      <c r="G784" s="24" t="b">
        <v>1</v>
      </c>
    </row>
    <row r="785" spans="1:7" ht="12.5" customHeight="1">
      <c r="A785" s="27">
        <v>26620</v>
      </c>
      <c r="B785" s="24" t="s">
        <v>8295</v>
      </c>
      <c r="C785" s="24" t="s">
        <v>9614</v>
      </c>
      <c r="D785" s="24" t="s">
        <v>7889</v>
      </c>
      <c r="E785" s="24" t="s">
        <v>8296</v>
      </c>
      <c r="F785" s="24" t="s">
        <v>7201</v>
      </c>
      <c r="G785" s="24" t="b">
        <v>0</v>
      </c>
    </row>
    <row r="786" spans="1:7" ht="12.5" customHeight="1">
      <c r="A786" s="27">
        <v>26620</v>
      </c>
      <c r="B786" s="24" t="s">
        <v>8295</v>
      </c>
      <c r="C786" s="24" t="s">
        <v>9614</v>
      </c>
      <c r="D786" s="24" t="s">
        <v>7889</v>
      </c>
      <c r="E786" s="24" t="s">
        <v>7295</v>
      </c>
      <c r="F786" s="24" t="s">
        <v>7201</v>
      </c>
      <c r="G786" s="24" t="b">
        <v>1</v>
      </c>
    </row>
    <row r="787" spans="1:7" ht="12.5" customHeight="1">
      <c r="A787" s="27">
        <v>26660</v>
      </c>
      <c r="B787" s="24" t="s">
        <v>8297</v>
      </c>
      <c r="C787" s="24" t="s">
        <v>9615</v>
      </c>
      <c r="D787" s="24" t="s">
        <v>7438</v>
      </c>
      <c r="E787" s="24" t="s">
        <v>7707</v>
      </c>
      <c r="F787" s="24" t="s">
        <v>7147</v>
      </c>
      <c r="G787" s="24" t="b">
        <v>1</v>
      </c>
    </row>
    <row r="788" spans="1:7" ht="12.5" customHeight="1">
      <c r="A788" s="27">
        <v>26700</v>
      </c>
      <c r="B788" s="24" t="s">
        <v>8298</v>
      </c>
      <c r="C788" s="24" t="s">
        <v>9615</v>
      </c>
      <c r="D788" s="24" t="s">
        <v>7138</v>
      </c>
      <c r="E788" s="24" t="s">
        <v>8299</v>
      </c>
      <c r="F788" s="24" t="s">
        <v>7141</v>
      </c>
      <c r="G788" s="24" t="b">
        <v>1</v>
      </c>
    </row>
    <row r="789" spans="1:7" ht="12.5" customHeight="1">
      <c r="A789" s="27">
        <v>26700</v>
      </c>
      <c r="B789" s="24" t="s">
        <v>8298</v>
      </c>
      <c r="C789" s="24" t="s">
        <v>9615</v>
      </c>
      <c r="D789" s="24" t="s">
        <v>7138</v>
      </c>
      <c r="E789" s="24" t="s">
        <v>8300</v>
      </c>
      <c r="F789" s="24" t="s">
        <v>7141</v>
      </c>
      <c r="G789" s="24" t="b">
        <v>0</v>
      </c>
    </row>
    <row r="790" spans="1:7" ht="12.5" customHeight="1">
      <c r="A790" s="27">
        <v>26740</v>
      </c>
      <c r="B790" s="24" t="s">
        <v>8301</v>
      </c>
      <c r="C790" s="24" t="s">
        <v>9615</v>
      </c>
      <c r="D790" s="24" t="s">
        <v>7138</v>
      </c>
      <c r="E790" s="24" t="s">
        <v>8302</v>
      </c>
      <c r="F790" s="24" t="s">
        <v>7306</v>
      </c>
      <c r="G790" s="24" t="b">
        <v>1</v>
      </c>
    </row>
    <row r="791" spans="1:7" ht="12.5" customHeight="1">
      <c r="A791" s="27">
        <v>26780</v>
      </c>
      <c r="B791" s="24" t="s">
        <v>8303</v>
      </c>
      <c r="C791" s="24" t="s">
        <v>9615</v>
      </c>
      <c r="D791" s="24" t="s">
        <v>8044</v>
      </c>
      <c r="E791" s="24" t="s">
        <v>8304</v>
      </c>
      <c r="F791" s="24" t="s">
        <v>7198</v>
      </c>
      <c r="G791" s="24" t="b">
        <v>1</v>
      </c>
    </row>
    <row r="792" spans="1:7" ht="12.5" customHeight="1">
      <c r="A792" s="27">
        <v>26820</v>
      </c>
      <c r="B792" s="24" t="s">
        <v>8305</v>
      </c>
      <c r="C792" s="24" t="s">
        <v>9614</v>
      </c>
      <c r="D792" s="24" t="s">
        <v>7503</v>
      </c>
      <c r="E792" s="24" t="s">
        <v>8306</v>
      </c>
      <c r="F792" s="24" t="s">
        <v>7505</v>
      </c>
      <c r="G792" s="24" t="b">
        <v>1</v>
      </c>
    </row>
    <row r="793" spans="1:7" ht="12.5" customHeight="1">
      <c r="A793" s="27">
        <v>26820</v>
      </c>
      <c r="B793" s="24" t="s">
        <v>8305</v>
      </c>
      <c r="C793" s="24" t="s">
        <v>9614</v>
      </c>
      <c r="D793" s="24" t="s">
        <v>7503</v>
      </c>
      <c r="E793" s="24" t="s">
        <v>7725</v>
      </c>
      <c r="F793" s="24" t="s">
        <v>7505</v>
      </c>
      <c r="G793" s="24" t="b">
        <v>0</v>
      </c>
    </row>
    <row r="794" spans="1:7" ht="12.5" customHeight="1">
      <c r="A794" s="27">
        <v>26820</v>
      </c>
      <c r="B794" s="24" t="s">
        <v>8305</v>
      </c>
      <c r="C794" s="24" t="s">
        <v>9614</v>
      </c>
      <c r="D794" s="24" t="s">
        <v>7503</v>
      </c>
      <c r="E794" s="24" t="s">
        <v>7446</v>
      </c>
      <c r="F794" s="24" t="s">
        <v>7505</v>
      </c>
      <c r="G794" s="24" t="b">
        <v>0</v>
      </c>
    </row>
    <row r="795" spans="1:7" ht="12.5" customHeight="1">
      <c r="A795" s="27">
        <v>26860</v>
      </c>
      <c r="B795" s="24" t="s">
        <v>8307</v>
      </c>
      <c r="C795" s="24" t="s">
        <v>9615</v>
      </c>
      <c r="D795" s="24" t="s">
        <v>8308</v>
      </c>
      <c r="E795" s="24" t="s">
        <v>8309</v>
      </c>
      <c r="F795" s="24" t="s">
        <v>7226</v>
      </c>
      <c r="G795" s="24" t="b">
        <v>1</v>
      </c>
    </row>
    <row r="796" spans="1:7" ht="12.5" customHeight="1">
      <c r="A796" s="27">
        <v>26900</v>
      </c>
      <c r="B796" s="24" t="s">
        <v>8310</v>
      </c>
      <c r="C796" s="24" t="s">
        <v>9614</v>
      </c>
      <c r="D796" s="24" t="s">
        <v>7799</v>
      </c>
      <c r="E796" s="24" t="s">
        <v>7251</v>
      </c>
      <c r="F796" s="24" t="s">
        <v>4460</v>
      </c>
      <c r="G796" s="24" t="b">
        <v>1</v>
      </c>
    </row>
    <row r="797" spans="1:7" ht="12.5" customHeight="1">
      <c r="A797" s="27">
        <v>26900</v>
      </c>
      <c r="B797" s="24" t="s">
        <v>8310</v>
      </c>
      <c r="C797" s="24" t="s">
        <v>9614</v>
      </c>
      <c r="D797" s="24" t="s">
        <v>7799</v>
      </c>
      <c r="E797" s="24" t="s">
        <v>7140</v>
      </c>
      <c r="F797" s="24" t="s">
        <v>4460</v>
      </c>
      <c r="G797" s="24" t="b">
        <v>0</v>
      </c>
    </row>
    <row r="798" spans="1:7" ht="12.5" customHeight="1">
      <c r="A798" s="27">
        <v>26900</v>
      </c>
      <c r="B798" s="24" t="s">
        <v>8310</v>
      </c>
      <c r="C798" s="24" t="s">
        <v>9614</v>
      </c>
      <c r="D798" s="24" t="s">
        <v>7799</v>
      </c>
      <c r="E798" s="24" t="s">
        <v>7708</v>
      </c>
      <c r="F798" s="24" t="s">
        <v>4460</v>
      </c>
      <c r="G798" s="24" t="b">
        <v>1</v>
      </c>
    </row>
    <row r="799" spans="1:7" ht="12.5" customHeight="1">
      <c r="A799" s="27">
        <v>26900</v>
      </c>
      <c r="B799" s="24" t="s">
        <v>8310</v>
      </c>
      <c r="C799" s="24" t="s">
        <v>9614</v>
      </c>
      <c r="D799" s="24" t="s">
        <v>7799</v>
      </c>
      <c r="E799" s="24" t="s">
        <v>8060</v>
      </c>
      <c r="F799" s="24" t="s">
        <v>4460</v>
      </c>
      <c r="G799" s="24" t="b">
        <v>1</v>
      </c>
    </row>
    <row r="800" spans="1:7" ht="12.5" customHeight="1">
      <c r="A800" s="27">
        <v>26900</v>
      </c>
      <c r="B800" s="24" t="s">
        <v>8310</v>
      </c>
      <c r="C800" s="24" t="s">
        <v>9614</v>
      </c>
      <c r="D800" s="24" t="s">
        <v>7799</v>
      </c>
      <c r="E800" s="24" t="s">
        <v>8311</v>
      </c>
      <c r="F800" s="24" t="s">
        <v>4460</v>
      </c>
      <c r="G800" s="24" t="b">
        <v>1</v>
      </c>
    </row>
    <row r="801" spans="1:7" ht="12.5" customHeight="1">
      <c r="A801" s="27">
        <v>26900</v>
      </c>
      <c r="B801" s="24" t="s">
        <v>8310</v>
      </c>
      <c r="C801" s="24" t="s">
        <v>9614</v>
      </c>
      <c r="D801" s="24" t="s">
        <v>7799</v>
      </c>
      <c r="E801" s="24" t="s">
        <v>7649</v>
      </c>
      <c r="F801" s="24" t="s">
        <v>4460</v>
      </c>
      <c r="G801" s="24" t="b">
        <v>1</v>
      </c>
    </row>
    <row r="802" spans="1:7" ht="12.5" customHeight="1">
      <c r="A802" s="27">
        <v>26900</v>
      </c>
      <c r="B802" s="24" t="s">
        <v>8310</v>
      </c>
      <c r="C802" s="24" t="s">
        <v>9614</v>
      </c>
      <c r="D802" s="24" t="s">
        <v>7799</v>
      </c>
      <c r="E802" s="24" t="s">
        <v>7295</v>
      </c>
      <c r="F802" s="24" t="s">
        <v>4460</v>
      </c>
      <c r="G802" s="24" t="b">
        <v>0</v>
      </c>
    </row>
    <row r="803" spans="1:7" ht="12.5" customHeight="1">
      <c r="A803" s="27">
        <v>26900</v>
      </c>
      <c r="B803" s="24" t="s">
        <v>8310</v>
      </c>
      <c r="C803" s="24" t="s">
        <v>9614</v>
      </c>
      <c r="D803" s="24" t="s">
        <v>7799</v>
      </c>
      <c r="E803" s="24" t="s">
        <v>7671</v>
      </c>
      <c r="F803" s="24" t="s">
        <v>4460</v>
      </c>
      <c r="G803" s="24" t="b">
        <v>1</v>
      </c>
    </row>
    <row r="804" spans="1:7" ht="12.5" customHeight="1">
      <c r="A804" s="27">
        <v>26900</v>
      </c>
      <c r="B804" s="24" t="s">
        <v>8310</v>
      </c>
      <c r="C804" s="24" t="s">
        <v>9614</v>
      </c>
      <c r="D804" s="24" t="s">
        <v>7799</v>
      </c>
      <c r="E804" s="24" t="s">
        <v>7341</v>
      </c>
      <c r="F804" s="24" t="s">
        <v>4460</v>
      </c>
      <c r="G804" s="24" t="b">
        <v>1</v>
      </c>
    </row>
    <row r="805" spans="1:7" ht="12.5" customHeight="1">
      <c r="A805" s="27">
        <v>26900</v>
      </c>
      <c r="B805" s="24" t="s">
        <v>8310</v>
      </c>
      <c r="C805" s="24" t="s">
        <v>9614</v>
      </c>
      <c r="D805" s="24" t="s">
        <v>7799</v>
      </c>
      <c r="E805" s="24" t="s">
        <v>7819</v>
      </c>
      <c r="F805" s="24" t="s">
        <v>4460</v>
      </c>
      <c r="G805" s="24" t="b">
        <v>0</v>
      </c>
    </row>
    <row r="806" spans="1:7" ht="12.5" customHeight="1">
      <c r="A806" s="27">
        <v>26900</v>
      </c>
      <c r="B806" s="24" t="s">
        <v>8310</v>
      </c>
      <c r="C806" s="24" t="s">
        <v>9614</v>
      </c>
      <c r="D806" s="24" t="s">
        <v>7799</v>
      </c>
      <c r="E806" s="24" t="s">
        <v>7496</v>
      </c>
      <c r="F806" s="24" t="s">
        <v>4460</v>
      </c>
      <c r="G806" s="24" t="b">
        <v>0</v>
      </c>
    </row>
    <row r="807" spans="1:7" ht="12.5" customHeight="1">
      <c r="A807" s="27">
        <v>26940</v>
      </c>
      <c r="B807" s="24" t="s">
        <v>8312</v>
      </c>
      <c r="C807" s="24" t="s">
        <v>9615</v>
      </c>
      <c r="D807" s="24" t="s">
        <v>7749</v>
      </c>
      <c r="E807" s="24" t="s">
        <v>8313</v>
      </c>
      <c r="F807" s="24" t="s">
        <v>7584</v>
      </c>
      <c r="G807" s="24" t="b">
        <v>1</v>
      </c>
    </row>
    <row r="808" spans="1:7" ht="12.5" customHeight="1">
      <c r="A808" s="27">
        <v>26980</v>
      </c>
      <c r="B808" s="24" t="s">
        <v>8314</v>
      </c>
      <c r="C808" s="24" t="s">
        <v>9614</v>
      </c>
      <c r="D808" s="24" t="s">
        <v>7661</v>
      </c>
      <c r="E808" s="24" t="s">
        <v>7649</v>
      </c>
      <c r="F808" s="24" t="s">
        <v>7252</v>
      </c>
      <c r="G808" s="24" t="b">
        <v>1</v>
      </c>
    </row>
    <row r="809" spans="1:7" ht="12.5" customHeight="1">
      <c r="A809" s="27">
        <v>26980</v>
      </c>
      <c r="B809" s="24" t="s">
        <v>8314</v>
      </c>
      <c r="C809" s="24" t="s">
        <v>9614</v>
      </c>
      <c r="D809" s="24" t="s">
        <v>7661</v>
      </c>
      <c r="E809" s="24" t="s">
        <v>7411</v>
      </c>
      <c r="F809" s="24" t="s">
        <v>7252</v>
      </c>
      <c r="G809" s="24" t="b">
        <v>0</v>
      </c>
    </row>
    <row r="810" spans="1:7" ht="12.5" customHeight="1">
      <c r="A810" s="27">
        <v>27020</v>
      </c>
      <c r="B810" s="24" t="s">
        <v>8315</v>
      </c>
      <c r="C810" s="24" t="s">
        <v>9615</v>
      </c>
      <c r="D810" s="24" t="s">
        <v>8316</v>
      </c>
      <c r="E810" s="24" t="s">
        <v>8317</v>
      </c>
      <c r="F810" s="24" t="s">
        <v>7156</v>
      </c>
      <c r="G810" s="24" t="b">
        <v>1</v>
      </c>
    </row>
    <row r="811" spans="1:7" ht="12.5" customHeight="1">
      <c r="A811" s="27">
        <v>27020</v>
      </c>
      <c r="B811" s="24" t="s">
        <v>8315</v>
      </c>
      <c r="C811" s="24" t="s">
        <v>9615</v>
      </c>
      <c r="D811" s="24" t="s">
        <v>8316</v>
      </c>
      <c r="E811" s="24" t="s">
        <v>8069</v>
      </c>
      <c r="F811" s="24" t="s">
        <v>7272</v>
      </c>
      <c r="G811" s="24" t="b">
        <v>0</v>
      </c>
    </row>
    <row r="812" spans="1:7" ht="12.5" customHeight="1">
      <c r="A812" s="27">
        <v>27060</v>
      </c>
      <c r="B812" s="24" t="s">
        <v>8318</v>
      </c>
      <c r="C812" s="24" t="s">
        <v>9614</v>
      </c>
      <c r="D812" s="24" t="s">
        <v>7836</v>
      </c>
      <c r="E812" s="24" t="s">
        <v>8319</v>
      </c>
      <c r="F812" s="24" t="s">
        <v>3775</v>
      </c>
      <c r="G812" s="24" t="b">
        <v>1</v>
      </c>
    </row>
    <row r="813" spans="1:7" ht="12.5" customHeight="1">
      <c r="A813" s="27">
        <v>27100</v>
      </c>
      <c r="B813" s="24" t="s">
        <v>8320</v>
      </c>
      <c r="C813" s="24" t="s">
        <v>9614</v>
      </c>
      <c r="D813" s="24" t="s">
        <v>7138</v>
      </c>
      <c r="E813" s="24" t="s">
        <v>7238</v>
      </c>
      <c r="F813" s="24" t="s">
        <v>7156</v>
      </c>
      <c r="G813" s="24" t="b">
        <v>1</v>
      </c>
    </row>
    <row r="814" spans="1:7" ht="12.5" customHeight="1">
      <c r="A814" s="27">
        <v>27140</v>
      </c>
      <c r="B814" s="24" t="s">
        <v>8321</v>
      </c>
      <c r="C814" s="24" t="s">
        <v>9614</v>
      </c>
      <c r="D814" s="24" t="s">
        <v>7583</v>
      </c>
      <c r="E814" s="24" t="s">
        <v>8322</v>
      </c>
      <c r="F814" s="24" t="s">
        <v>7584</v>
      </c>
      <c r="G814" s="24" t="b">
        <v>0</v>
      </c>
    </row>
    <row r="815" spans="1:7" ht="12.5" customHeight="1">
      <c r="A815" s="27">
        <v>27140</v>
      </c>
      <c r="B815" s="24" t="s">
        <v>8321</v>
      </c>
      <c r="C815" s="24" t="s">
        <v>9614</v>
      </c>
      <c r="D815" s="24" t="s">
        <v>7583</v>
      </c>
      <c r="E815" s="24" t="s">
        <v>8323</v>
      </c>
      <c r="F815" s="24" t="s">
        <v>7584</v>
      </c>
      <c r="G815" s="24" t="b">
        <v>1</v>
      </c>
    </row>
    <row r="816" spans="1:7" ht="12.5" customHeight="1">
      <c r="A816" s="27">
        <v>27140</v>
      </c>
      <c r="B816" s="24" t="s">
        <v>8321</v>
      </c>
      <c r="C816" s="24" t="s">
        <v>9614</v>
      </c>
      <c r="D816" s="24" t="s">
        <v>7583</v>
      </c>
      <c r="E816" s="24" t="s">
        <v>8324</v>
      </c>
      <c r="F816" s="24" t="s">
        <v>7584</v>
      </c>
      <c r="G816" s="24" t="b">
        <v>0</v>
      </c>
    </row>
    <row r="817" spans="1:7" ht="12.5" customHeight="1">
      <c r="A817" s="27">
        <v>27140</v>
      </c>
      <c r="B817" s="24" t="s">
        <v>8321</v>
      </c>
      <c r="C817" s="24" t="s">
        <v>9614</v>
      </c>
      <c r="D817" s="24" t="s">
        <v>7583</v>
      </c>
      <c r="E817" s="24" t="s">
        <v>7295</v>
      </c>
      <c r="F817" s="24" t="s">
        <v>7584</v>
      </c>
      <c r="G817" s="24" t="b">
        <v>1</v>
      </c>
    </row>
    <row r="818" spans="1:7" ht="12.5" customHeight="1">
      <c r="A818" s="27">
        <v>27140</v>
      </c>
      <c r="B818" s="24" t="s">
        <v>8321</v>
      </c>
      <c r="C818" s="24" t="s">
        <v>9614</v>
      </c>
      <c r="D818" s="24" t="s">
        <v>7583</v>
      </c>
      <c r="E818" s="24" t="s">
        <v>8325</v>
      </c>
      <c r="F818" s="24" t="s">
        <v>7584</v>
      </c>
      <c r="G818" s="24" t="b">
        <v>1</v>
      </c>
    </row>
    <row r="819" spans="1:7" ht="12.5" customHeight="1">
      <c r="A819" s="27">
        <v>27140</v>
      </c>
      <c r="B819" s="24" t="s">
        <v>8321</v>
      </c>
      <c r="C819" s="24" t="s">
        <v>9614</v>
      </c>
      <c r="D819" s="24" t="s">
        <v>7583</v>
      </c>
      <c r="E819" s="24" t="s">
        <v>8326</v>
      </c>
      <c r="F819" s="24" t="s">
        <v>7584</v>
      </c>
      <c r="G819" s="24" t="b">
        <v>0</v>
      </c>
    </row>
    <row r="820" spans="1:7" ht="12.5" customHeight="1">
      <c r="A820" s="27">
        <v>27140</v>
      </c>
      <c r="B820" s="24" t="s">
        <v>8321</v>
      </c>
      <c r="C820" s="24" t="s">
        <v>9614</v>
      </c>
      <c r="D820" s="24" t="s">
        <v>7583</v>
      </c>
      <c r="E820" s="24" t="s">
        <v>8327</v>
      </c>
      <c r="F820" s="24" t="s">
        <v>7584</v>
      </c>
      <c r="G820" s="24" t="b">
        <v>0</v>
      </c>
    </row>
    <row r="821" spans="1:7" ht="12.5" customHeight="1">
      <c r="A821" s="27">
        <v>27160</v>
      </c>
      <c r="B821" s="24" t="s">
        <v>8328</v>
      </c>
      <c r="C821" s="24" t="s">
        <v>9615</v>
      </c>
      <c r="D821" s="24" t="s">
        <v>7138</v>
      </c>
      <c r="E821" s="24" t="s">
        <v>7238</v>
      </c>
      <c r="F821" s="24" t="s">
        <v>7171</v>
      </c>
      <c r="G821" s="24" t="b">
        <v>1</v>
      </c>
    </row>
    <row r="822" spans="1:7" ht="12.5" customHeight="1">
      <c r="A822" s="27">
        <v>27180</v>
      </c>
      <c r="B822" s="24" t="s">
        <v>8329</v>
      </c>
      <c r="C822" s="24" t="s">
        <v>9614</v>
      </c>
      <c r="D822" s="24" t="s">
        <v>7590</v>
      </c>
      <c r="E822" s="24" t="s">
        <v>7696</v>
      </c>
      <c r="F822" s="24" t="s">
        <v>7312</v>
      </c>
      <c r="G822" s="24" t="b">
        <v>0</v>
      </c>
    </row>
    <row r="823" spans="1:7" ht="12.5" customHeight="1">
      <c r="A823" s="27">
        <v>27180</v>
      </c>
      <c r="B823" s="24" t="s">
        <v>8329</v>
      </c>
      <c r="C823" s="24" t="s">
        <v>9614</v>
      </c>
      <c r="D823" s="24" t="s">
        <v>7590</v>
      </c>
      <c r="E823" s="24" t="s">
        <v>8330</v>
      </c>
      <c r="F823" s="24" t="s">
        <v>7312</v>
      </c>
      <c r="G823" s="24" t="b">
        <v>0</v>
      </c>
    </row>
    <row r="824" spans="1:7" ht="12.5" customHeight="1">
      <c r="A824" s="27">
        <v>27180</v>
      </c>
      <c r="B824" s="24" t="s">
        <v>8329</v>
      </c>
      <c r="C824" s="24" t="s">
        <v>9614</v>
      </c>
      <c r="D824" s="24" t="s">
        <v>7590</v>
      </c>
      <c r="E824" s="24" t="s">
        <v>8331</v>
      </c>
      <c r="F824" s="24" t="s">
        <v>7312</v>
      </c>
      <c r="G824" s="24" t="b">
        <v>0</v>
      </c>
    </row>
    <row r="825" spans="1:7" ht="12.5" customHeight="1">
      <c r="A825" s="27">
        <v>27180</v>
      </c>
      <c r="B825" s="24" t="s">
        <v>8329</v>
      </c>
      <c r="C825" s="24" t="s">
        <v>9614</v>
      </c>
      <c r="D825" s="24" t="s">
        <v>7590</v>
      </c>
      <c r="E825" s="24" t="s">
        <v>7295</v>
      </c>
      <c r="F825" s="24" t="s">
        <v>7312</v>
      </c>
      <c r="G825" s="24" t="b">
        <v>1</v>
      </c>
    </row>
    <row r="826" spans="1:7" ht="12.5" customHeight="1">
      <c r="A826" s="27">
        <v>27220</v>
      </c>
      <c r="B826" s="24" t="s">
        <v>8332</v>
      </c>
      <c r="C826" s="24" t="s">
        <v>9615</v>
      </c>
      <c r="D826" s="24" t="s">
        <v>7138</v>
      </c>
      <c r="E826" s="24" t="s">
        <v>8333</v>
      </c>
      <c r="F826" s="24" t="s">
        <v>7505</v>
      </c>
      <c r="G826" s="24" t="b">
        <v>0</v>
      </c>
    </row>
    <row r="827" spans="1:7" ht="12.5" customHeight="1">
      <c r="A827" s="27">
        <v>27220</v>
      </c>
      <c r="B827" s="24" t="s">
        <v>8332</v>
      </c>
      <c r="C827" s="24" t="s">
        <v>9615</v>
      </c>
      <c r="D827" s="24" t="s">
        <v>7138</v>
      </c>
      <c r="E827" s="24" t="s">
        <v>8333</v>
      </c>
      <c r="F827" s="24" t="s">
        <v>2842</v>
      </c>
      <c r="G827" s="24" t="b">
        <v>1</v>
      </c>
    </row>
    <row r="828" spans="1:7" ht="12.5" customHeight="1">
      <c r="A828" s="27">
        <v>27260</v>
      </c>
      <c r="B828" s="24" t="s">
        <v>8334</v>
      </c>
      <c r="C828" s="24" t="s">
        <v>9614</v>
      </c>
      <c r="D828" s="24" t="s">
        <v>8335</v>
      </c>
      <c r="E828" s="24" t="s">
        <v>8336</v>
      </c>
      <c r="F828" s="24" t="s">
        <v>7277</v>
      </c>
      <c r="G828" s="24" t="b">
        <v>0</v>
      </c>
    </row>
    <row r="829" spans="1:7" ht="12.5" customHeight="1">
      <c r="A829" s="27">
        <v>27260</v>
      </c>
      <c r="B829" s="24" t="s">
        <v>8334</v>
      </c>
      <c r="C829" s="24" t="s">
        <v>9614</v>
      </c>
      <c r="D829" s="24" t="s">
        <v>8335</v>
      </c>
      <c r="E829" s="24" t="s">
        <v>7680</v>
      </c>
      <c r="F829" s="24" t="s">
        <v>7277</v>
      </c>
      <c r="G829" s="24" t="b">
        <v>1</v>
      </c>
    </row>
    <row r="830" spans="1:7" ht="12.5" customHeight="1">
      <c r="A830" s="27">
        <v>27260</v>
      </c>
      <c r="B830" s="24" t="s">
        <v>8334</v>
      </c>
      <c r="C830" s="24" t="s">
        <v>9614</v>
      </c>
      <c r="D830" s="24" t="s">
        <v>8335</v>
      </c>
      <c r="E830" s="24" t="s">
        <v>7220</v>
      </c>
      <c r="F830" s="24" t="s">
        <v>7277</v>
      </c>
      <c r="G830" s="24" t="b">
        <v>1</v>
      </c>
    </row>
    <row r="831" spans="1:7" ht="12.5" customHeight="1">
      <c r="A831" s="27">
        <v>27260</v>
      </c>
      <c r="B831" s="24" t="s">
        <v>8334</v>
      </c>
      <c r="C831" s="24" t="s">
        <v>9614</v>
      </c>
      <c r="D831" s="24" t="s">
        <v>8335</v>
      </c>
      <c r="E831" s="24" t="s">
        <v>8337</v>
      </c>
      <c r="F831" s="24" t="s">
        <v>7277</v>
      </c>
      <c r="G831" s="24" t="b">
        <v>0</v>
      </c>
    </row>
    <row r="832" spans="1:7" ht="12.5" customHeight="1">
      <c r="A832" s="27">
        <v>27260</v>
      </c>
      <c r="B832" s="24" t="s">
        <v>8334</v>
      </c>
      <c r="C832" s="24" t="s">
        <v>9614</v>
      </c>
      <c r="D832" s="24" t="s">
        <v>8335</v>
      </c>
      <c r="E832" s="24" t="s">
        <v>8338</v>
      </c>
      <c r="F832" s="24" t="s">
        <v>7277</v>
      </c>
      <c r="G832" s="24" t="b">
        <v>0</v>
      </c>
    </row>
    <row r="833" spans="1:7" ht="12.5" customHeight="1">
      <c r="A833" s="27">
        <v>27300</v>
      </c>
      <c r="B833" s="24" t="s">
        <v>8339</v>
      </c>
      <c r="C833" s="24" t="s">
        <v>9615</v>
      </c>
      <c r="D833" s="24" t="s">
        <v>8340</v>
      </c>
      <c r="E833" s="24" t="s">
        <v>7341</v>
      </c>
      <c r="F833" s="24" t="s">
        <v>7513</v>
      </c>
      <c r="G833" s="24" t="b">
        <v>1</v>
      </c>
    </row>
    <row r="834" spans="1:7" ht="12.5" customHeight="1">
      <c r="A834" s="27">
        <v>27300</v>
      </c>
      <c r="B834" s="24" t="s">
        <v>8339</v>
      </c>
      <c r="C834" s="24" t="s">
        <v>9615</v>
      </c>
      <c r="D834" s="24" t="s">
        <v>8340</v>
      </c>
      <c r="E834" s="24" t="s">
        <v>7882</v>
      </c>
      <c r="F834" s="24" t="s">
        <v>7513</v>
      </c>
      <c r="G834" s="24" t="b">
        <v>0</v>
      </c>
    </row>
    <row r="835" spans="1:7" ht="12.5" customHeight="1">
      <c r="A835" s="27">
        <v>27340</v>
      </c>
      <c r="B835" s="24" t="s">
        <v>8341</v>
      </c>
      <c r="C835" s="24" t="s">
        <v>9614</v>
      </c>
      <c r="D835" s="24" t="s">
        <v>7138</v>
      </c>
      <c r="E835" s="24" t="s">
        <v>8342</v>
      </c>
      <c r="F835" s="24" t="s">
        <v>7195</v>
      </c>
      <c r="G835" s="24" t="b">
        <v>1</v>
      </c>
    </row>
    <row r="836" spans="1:7" ht="12.5" customHeight="1">
      <c r="A836" s="27">
        <v>27380</v>
      </c>
      <c r="B836" s="24" t="s">
        <v>8343</v>
      </c>
      <c r="C836" s="24" t="s">
        <v>9615</v>
      </c>
      <c r="D836" s="24" t="s">
        <v>8344</v>
      </c>
      <c r="E836" s="24" t="s">
        <v>7325</v>
      </c>
      <c r="F836" s="24" t="s">
        <v>7147</v>
      </c>
      <c r="G836" s="24" t="b">
        <v>1</v>
      </c>
    </row>
    <row r="837" spans="1:7" ht="12.5" customHeight="1">
      <c r="A837" s="27">
        <v>27420</v>
      </c>
      <c r="B837" s="24" t="s">
        <v>8345</v>
      </c>
      <c r="C837" s="24" t="s">
        <v>9615</v>
      </c>
      <c r="D837" s="24" t="s">
        <v>7138</v>
      </c>
      <c r="E837" s="24" t="s">
        <v>8346</v>
      </c>
      <c r="F837" s="24" t="s">
        <v>7499</v>
      </c>
      <c r="G837" s="24" t="b">
        <v>1</v>
      </c>
    </row>
    <row r="838" spans="1:7" ht="12.5" customHeight="1">
      <c r="A838" s="27">
        <v>27460</v>
      </c>
      <c r="B838" s="24" t="s">
        <v>8347</v>
      </c>
      <c r="C838" s="24" t="s">
        <v>9615</v>
      </c>
      <c r="D838" s="24" t="s">
        <v>7138</v>
      </c>
      <c r="E838" s="24" t="s">
        <v>8348</v>
      </c>
      <c r="F838" s="24" t="s">
        <v>3775</v>
      </c>
      <c r="G838" s="24" t="b">
        <v>1</v>
      </c>
    </row>
    <row r="839" spans="1:7" ht="12.5" customHeight="1">
      <c r="A839" s="27">
        <v>27500</v>
      </c>
      <c r="B839" s="24" t="s">
        <v>8349</v>
      </c>
      <c r="C839" s="24" t="s">
        <v>9614</v>
      </c>
      <c r="D839" s="24" t="s">
        <v>7399</v>
      </c>
      <c r="E839" s="24" t="s">
        <v>8350</v>
      </c>
      <c r="F839" s="24" t="s">
        <v>7272</v>
      </c>
      <c r="G839" s="24" t="b">
        <v>1</v>
      </c>
    </row>
    <row r="840" spans="1:7" ht="12.5" customHeight="1">
      <c r="A840" s="27">
        <v>27530</v>
      </c>
      <c r="B840" s="24" t="s">
        <v>8351</v>
      </c>
      <c r="C840" s="24" t="s">
        <v>9615</v>
      </c>
      <c r="D840" s="24" t="s">
        <v>7491</v>
      </c>
      <c r="E840" s="24" t="s">
        <v>7707</v>
      </c>
      <c r="F840" s="24" t="s">
        <v>7201</v>
      </c>
      <c r="G840" s="24" t="b">
        <v>1</v>
      </c>
    </row>
    <row r="841" spans="1:7" ht="12.5" customHeight="1">
      <c r="A841" s="27">
        <v>27540</v>
      </c>
      <c r="B841" s="24" t="s">
        <v>8352</v>
      </c>
      <c r="C841" s="24" t="s">
        <v>9615</v>
      </c>
      <c r="D841" s="24" t="s">
        <v>7138</v>
      </c>
      <c r="E841" s="24" t="s">
        <v>8353</v>
      </c>
      <c r="F841" s="24" t="s">
        <v>4460</v>
      </c>
      <c r="G841" s="24" t="b">
        <v>1</v>
      </c>
    </row>
    <row r="842" spans="1:7" ht="12.5" customHeight="1">
      <c r="A842" s="27">
        <v>27540</v>
      </c>
      <c r="B842" s="24" t="s">
        <v>8352</v>
      </c>
      <c r="C842" s="24" t="s">
        <v>9615</v>
      </c>
      <c r="D842" s="24" t="s">
        <v>7138</v>
      </c>
      <c r="E842" s="24" t="s">
        <v>7345</v>
      </c>
      <c r="F842" s="24" t="s">
        <v>4460</v>
      </c>
      <c r="G842" s="24" t="b">
        <v>0</v>
      </c>
    </row>
    <row r="843" spans="1:7" ht="12.5" customHeight="1">
      <c r="A843" s="27">
        <v>27580</v>
      </c>
      <c r="B843" s="24" t="s">
        <v>8354</v>
      </c>
      <c r="C843" s="24" t="s">
        <v>9615</v>
      </c>
      <c r="D843" s="24" t="s">
        <v>7138</v>
      </c>
      <c r="E843" s="24" t="s">
        <v>8355</v>
      </c>
      <c r="F843" s="24" t="s">
        <v>7159</v>
      </c>
      <c r="G843" s="24" t="b">
        <v>1</v>
      </c>
    </row>
    <row r="844" spans="1:7" ht="12.5" customHeight="1">
      <c r="A844" s="27">
        <v>27600</v>
      </c>
      <c r="B844" s="24" t="s">
        <v>8356</v>
      </c>
      <c r="C844" s="24" t="s">
        <v>9615</v>
      </c>
      <c r="D844" s="24" t="s">
        <v>7316</v>
      </c>
      <c r="E844" s="24" t="s">
        <v>7238</v>
      </c>
      <c r="F844" s="24" t="s">
        <v>7178</v>
      </c>
      <c r="G844" s="24" t="b">
        <v>1</v>
      </c>
    </row>
    <row r="845" spans="1:7" ht="12.5" customHeight="1">
      <c r="A845" s="27">
        <v>27620</v>
      </c>
      <c r="B845" s="24" t="s">
        <v>8357</v>
      </c>
      <c r="C845" s="24" t="s">
        <v>9614</v>
      </c>
      <c r="D845" s="24" t="s">
        <v>7138</v>
      </c>
      <c r="E845" s="24" t="s">
        <v>8358</v>
      </c>
      <c r="F845" s="24" t="s">
        <v>7570</v>
      </c>
      <c r="G845" s="24" t="b">
        <v>0</v>
      </c>
    </row>
    <row r="846" spans="1:7" ht="12.5" customHeight="1">
      <c r="A846" s="27">
        <v>27620</v>
      </c>
      <c r="B846" s="24" t="s">
        <v>8357</v>
      </c>
      <c r="C846" s="24" t="s">
        <v>9614</v>
      </c>
      <c r="D846" s="24" t="s">
        <v>7138</v>
      </c>
      <c r="E846" s="24" t="s">
        <v>8359</v>
      </c>
      <c r="F846" s="24" t="s">
        <v>7570</v>
      </c>
      <c r="G846" s="24" t="b">
        <v>1</v>
      </c>
    </row>
    <row r="847" spans="1:7" ht="12.5" customHeight="1">
      <c r="A847" s="27">
        <v>27620</v>
      </c>
      <c r="B847" s="24" t="s">
        <v>8357</v>
      </c>
      <c r="C847" s="24" t="s">
        <v>9614</v>
      </c>
      <c r="D847" s="24" t="s">
        <v>7138</v>
      </c>
      <c r="E847" s="24" t="s">
        <v>8360</v>
      </c>
      <c r="F847" s="24" t="s">
        <v>7570</v>
      </c>
      <c r="G847" s="24" t="b">
        <v>0</v>
      </c>
    </row>
    <row r="848" spans="1:7" ht="12.5" customHeight="1">
      <c r="A848" s="27">
        <v>27620</v>
      </c>
      <c r="B848" s="24" t="s">
        <v>8357</v>
      </c>
      <c r="C848" s="24" t="s">
        <v>9614</v>
      </c>
      <c r="D848" s="24" t="s">
        <v>7138</v>
      </c>
      <c r="E848" s="24" t="s">
        <v>8361</v>
      </c>
      <c r="F848" s="24" t="s">
        <v>7570</v>
      </c>
      <c r="G848" s="24" t="b">
        <v>0</v>
      </c>
    </row>
    <row r="849" spans="1:7" ht="12.5" customHeight="1">
      <c r="A849" s="27">
        <v>27660</v>
      </c>
      <c r="B849" s="24" t="s">
        <v>8362</v>
      </c>
      <c r="C849" s="24" t="s">
        <v>9615</v>
      </c>
      <c r="D849" s="24" t="s">
        <v>8363</v>
      </c>
      <c r="E849" s="24" t="s">
        <v>8364</v>
      </c>
      <c r="F849" s="24" t="s">
        <v>7214</v>
      </c>
      <c r="G849" s="24" t="b">
        <v>1</v>
      </c>
    </row>
    <row r="850" spans="1:7" ht="12.5" customHeight="1">
      <c r="A850" s="27">
        <v>27700</v>
      </c>
      <c r="B850" s="24" t="s">
        <v>8365</v>
      </c>
      <c r="C850" s="24" t="s">
        <v>9615</v>
      </c>
      <c r="D850" s="24" t="s">
        <v>8256</v>
      </c>
      <c r="E850" s="24" t="s">
        <v>7918</v>
      </c>
      <c r="F850" s="24" t="s">
        <v>7178</v>
      </c>
      <c r="G850" s="24" t="b">
        <v>1</v>
      </c>
    </row>
    <row r="851" spans="1:7" ht="12.5" customHeight="1">
      <c r="A851" s="27">
        <v>27740</v>
      </c>
      <c r="B851" s="24" t="s">
        <v>8366</v>
      </c>
      <c r="C851" s="24" t="s">
        <v>9614</v>
      </c>
      <c r="D851" s="24" t="s">
        <v>8367</v>
      </c>
      <c r="E851" s="24" t="s">
        <v>7279</v>
      </c>
      <c r="F851" s="24" t="s">
        <v>7312</v>
      </c>
      <c r="G851" s="24" t="b">
        <v>1</v>
      </c>
    </row>
    <row r="852" spans="1:7" ht="12.5" customHeight="1">
      <c r="A852" s="27">
        <v>27740</v>
      </c>
      <c r="B852" s="24" t="s">
        <v>8366</v>
      </c>
      <c r="C852" s="24" t="s">
        <v>9614</v>
      </c>
      <c r="D852" s="24" t="s">
        <v>8367</v>
      </c>
      <c r="E852" s="24" t="s">
        <v>8368</v>
      </c>
      <c r="F852" s="24" t="s">
        <v>7312</v>
      </c>
      <c r="G852" s="24" t="b">
        <v>0</v>
      </c>
    </row>
    <row r="853" spans="1:7" ht="12.5" customHeight="1">
      <c r="A853" s="27">
        <v>27740</v>
      </c>
      <c r="B853" s="24" t="s">
        <v>8366</v>
      </c>
      <c r="C853" s="24" t="s">
        <v>9614</v>
      </c>
      <c r="D853" s="24" t="s">
        <v>8367</v>
      </c>
      <c r="E853" s="24" t="s">
        <v>7411</v>
      </c>
      <c r="F853" s="24" t="s">
        <v>7312</v>
      </c>
      <c r="G853" s="24" t="b">
        <v>1</v>
      </c>
    </row>
    <row r="854" spans="1:7" ht="12.5" customHeight="1">
      <c r="A854" s="27">
        <v>27780</v>
      </c>
      <c r="B854" s="24" t="s">
        <v>8369</v>
      </c>
      <c r="C854" s="24" t="s">
        <v>9614</v>
      </c>
      <c r="D854" s="24" t="s">
        <v>8370</v>
      </c>
      <c r="E854" s="24" t="s">
        <v>8371</v>
      </c>
      <c r="F854" s="24" t="s">
        <v>7226</v>
      </c>
      <c r="G854" s="24" t="b">
        <v>1</v>
      </c>
    </row>
    <row r="855" spans="1:7" ht="12.5" customHeight="1">
      <c r="A855" s="27">
        <v>27860</v>
      </c>
      <c r="B855" s="24" t="s">
        <v>8372</v>
      </c>
      <c r="C855" s="24" t="s">
        <v>9614</v>
      </c>
      <c r="D855" s="24" t="s">
        <v>8373</v>
      </c>
      <c r="E855" s="24" t="s">
        <v>8374</v>
      </c>
      <c r="F855" s="24" t="s">
        <v>7289</v>
      </c>
      <c r="G855" s="24" t="b">
        <v>1</v>
      </c>
    </row>
    <row r="856" spans="1:7" ht="12.5" customHeight="1">
      <c r="A856" s="27">
        <v>27860</v>
      </c>
      <c r="B856" s="24" t="s">
        <v>8372</v>
      </c>
      <c r="C856" s="24" t="s">
        <v>9614</v>
      </c>
      <c r="D856" s="24" t="s">
        <v>8373</v>
      </c>
      <c r="E856" s="24" t="s">
        <v>8375</v>
      </c>
      <c r="F856" s="24" t="s">
        <v>7289</v>
      </c>
      <c r="G856" s="24" t="b">
        <v>0</v>
      </c>
    </row>
    <row r="857" spans="1:7" ht="12.5" customHeight="1">
      <c r="A857" s="27">
        <v>27900</v>
      </c>
      <c r="B857" s="24" t="s">
        <v>8376</v>
      </c>
      <c r="C857" s="24" t="s">
        <v>9614</v>
      </c>
      <c r="D857" s="24" t="s">
        <v>8377</v>
      </c>
      <c r="E857" s="24" t="s">
        <v>7338</v>
      </c>
      <c r="F857" s="24" t="s">
        <v>7570</v>
      </c>
      <c r="G857" s="24" t="b">
        <v>1</v>
      </c>
    </row>
    <row r="858" spans="1:7" ht="12.5" customHeight="1">
      <c r="A858" s="27">
        <v>27900</v>
      </c>
      <c r="B858" s="24" t="s">
        <v>8376</v>
      </c>
      <c r="C858" s="24" t="s">
        <v>9614</v>
      </c>
      <c r="D858" s="24" t="s">
        <v>8377</v>
      </c>
      <c r="E858" s="24" t="s">
        <v>7342</v>
      </c>
      <c r="F858" s="24" t="s">
        <v>7570</v>
      </c>
      <c r="G858" s="24" t="b">
        <v>0</v>
      </c>
    </row>
    <row r="859" spans="1:7" ht="12.5" customHeight="1">
      <c r="A859" s="27">
        <v>27940</v>
      </c>
      <c r="B859" s="24" t="s">
        <v>8378</v>
      </c>
      <c r="C859" s="24" t="s">
        <v>9615</v>
      </c>
      <c r="D859" s="24" t="s">
        <v>7138</v>
      </c>
      <c r="E859" s="24" t="s">
        <v>8379</v>
      </c>
      <c r="F859" s="24" t="s">
        <v>7258</v>
      </c>
      <c r="G859" s="24" t="b">
        <v>1</v>
      </c>
    </row>
    <row r="860" spans="1:7" ht="12.5" customHeight="1">
      <c r="A860" s="27">
        <v>27980</v>
      </c>
      <c r="B860" s="24" t="s">
        <v>8380</v>
      </c>
      <c r="C860" s="24" t="s">
        <v>9614</v>
      </c>
      <c r="D860" s="24" t="s">
        <v>7138</v>
      </c>
      <c r="E860" s="24" t="s">
        <v>8381</v>
      </c>
      <c r="F860" s="24" t="s">
        <v>8252</v>
      </c>
      <c r="G860" s="24" t="b">
        <v>1</v>
      </c>
    </row>
    <row r="861" spans="1:7" ht="12.5" customHeight="1">
      <c r="A861" s="27">
        <v>28020</v>
      </c>
      <c r="B861" s="24" t="s">
        <v>8382</v>
      </c>
      <c r="C861" s="24" t="s">
        <v>9614</v>
      </c>
      <c r="D861" s="24" t="s">
        <v>7433</v>
      </c>
      <c r="E861" s="24" t="s">
        <v>8383</v>
      </c>
      <c r="F861" s="24" t="s">
        <v>7156</v>
      </c>
      <c r="G861" s="24" t="b">
        <v>1</v>
      </c>
    </row>
    <row r="862" spans="1:7" ht="12.5" customHeight="1">
      <c r="A862" s="27">
        <v>28060</v>
      </c>
      <c r="B862" s="24" t="s">
        <v>8384</v>
      </c>
      <c r="C862" s="24" t="s">
        <v>9615</v>
      </c>
      <c r="D862" s="24" t="s">
        <v>7138</v>
      </c>
      <c r="E862" s="24" t="s">
        <v>8385</v>
      </c>
      <c r="F862" s="24" t="s">
        <v>7484</v>
      </c>
      <c r="G862" s="24" t="b">
        <v>1</v>
      </c>
    </row>
    <row r="863" spans="1:7" ht="12.5" customHeight="1">
      <c r="A863" s="27">
        <v>28100</v>
      </c>
      <c r="B863" s="24" t="s">
        <v>8386</v>
      </c>
      <c r="C863" s="24" t="s">
        <v>9614</v>
      </c>
      <c r="D863" s="24" t="s">
        <v>7713</v>
      </c>
      <c r="E863" s="24" t="s">
        <v>8387</v>
      </c>
      <c r="F863" s="24" t="s">
        <v>7513</v>
      </c>
      <c r="G863" s="24" t="b">
        <v>1</v>
      </c>
    </row>
    <row r="864" spans="1:7" ht="12.5" customHeight="1">
      <c r="A864" s="27">
        <v>28140</v>
      </c>
      <c r="B864" s="24" t="s">
        <v>8388</v>
      </c>
      <c r="C864" s="24" t="s">
        <v>9614</v>
      </c>
      <c r="D864" s="24" t="s">
        <v>7304</v>
      </c>
      <c r="E864" s="24" t="s">
        <v>7649</v>
      </c>
      <c r="F864" s="24" t="s">
        <v>7306</v>
      </c>
      <c r="G864" s="24" t="b">
        <v>1</v>
      </c>
    </row>
    <row r="865" spans="1:7" ht="12.5" customHeight="1">
      <c r="A865" s="27">
        <v>28140</v>
      </c>
      <c r="B865" s="24" t="s">
        <v>8388</v>
      </c>
      <c r="C865" s="24" t="s">
        <v>9614</v>
      </c>
      <c r="D865" s="24" t="s">
        <v>7304</v>
      </c>
      <c r="E865" s="24" t="s">
        <v>8389</v>
      </c>
      <c r="F865" s="24" t="s">
        <v>7306</v>
      </c>
      <c r="G865" s="24" t="b">
        <v>0</v>
      </c>
    </row>
    <row r="866" spans="1:7" ht="12.5" customHeight="1">
      <c r="A866" s="27">
        <v>28140</v>
      </c>
      <c r="B866" s="24" t="s">
        <v>8388</v>
      </c>
      <c r="C866" s="24" t="s">
        <v>9614</v>
      </c>
      <c r="D866" s="24" t="s">
        <v>7304</v>
      </c>
      <c r="E866" s="24" t="s">
        <v>7184</v>
      </c>
      <c r="F866" s="24" t="s">
        <v>7306</v>
      </c>
      <c r="G866" s="24" t="b">
        <v>0</v>
      </c>
    </row>
    <row r="867" spans="1:7" ht="12.5" customHeight="1">
      <c r="A867" s="27">
        <v>28140</v>
      </c>
      <c r="B867" s="24" t="s">
        <v>8388</v>
      </c>
      <c r="C867" s="24" t="s">
        <v>9614</v>
      </c>
      <c r="D867" s="24" t="s">
        <v>7304</v>
      </c>
      <c r="E867" s="24" t="s">
        <v>7887</v>
      </c>
      <c r="F867" s="24" t="s">
        <v>7306</v>
      </c>
      <c r="G867" s="24" t="b">
        <v>0</v>
      </c>
    </row>
    <row r="868" spans="1:7" ht="12.5" customHeight="1">
      <c r="A868" s="27">
        <v>28140</v>
      </c>
      <c r="B868" s="24" t="s">
        <v>8388</v>
      </c>
      <c r="C868" s="24" t="s">
        <v>9614</v>
      </c>
      <c r="D868" s="24" t="s">
        <v>7304</v>
      </c>
      <c r="E868" s="24" t="s">
        <v>8390</v>
      </c>
      <c r="F868" s="24" t="s">
        <v>7306</v>
      </c>
      <c r="G868" s="24" t="b">
        <v>1</v>
      </c>
    </row>
    <row r="869" spans="1:7" ht="12.5" customHeight="1">
      <c r="A869" s="27">
        <v>28140</v>
      </c>
      <c r="B869" s="24" t="s">
        <v>8388</v>
      </c>
      <c r="C869" s="24" t="s">
        <v>9614</v>
      </c>
      <c r="D869" s="24" t="s">
        <v>7304</v>
      </c>
      <c r="E869" s="24" t="s">
        <v>8391</v>
      </c>
      <c r="F869" s="24" t="s">
        <v>7570</v>
      </c>
      <c r="G869" s="24" t="b">
        <v>0</v>
      </c>
    </row>
    <row r="870" spans="1:7" ht="12.5" customHeight="1">
      <c r="A870" s="27">
        <v>28140</v>
      </c>
      <c r="B870" s="24" t="s">
        <v>8388</v>
      </c>
      <c r="C870" s="24" t="s">
        <v>9614</v>
      </c>
      <c r="D870" s="24" t="s">
        <v>7304</v>
      </c>
      <c r="E870" s="24" t="s">
        <v>7378</v>
      </c>
      <c r="F870" s="24" t="s">
        <v>7570</v>
      </c>
      <c r="G870" s="24" t="b">
        <v>0</v>
      </c>
    </row>
    <row r="871" spans="1:7" ht="12.5" customHeight="1">
      <c r="A871" s="27">
        <v>28140</v>
      </c>
      <c r="B871" s="24" t="s">
        <v>8388</v>
      </c>
      <c r="C871" s="24" t="s">
        <v>9614</v>
      </c>
      <c r="D871" s="24" t="s">
        <v>7304</v>
      </c>
      <c r="E871" s="24" t="s">
        <v>7566</v>
      </c>
      <c r="F871" s="24" t="s">
        <v>7570</v>
      </c>
      <c r="G871" s="24" t="b">
        <v>1</v>
      </c>
    </row>
    <row r="872" spans="1:7" ht="12.5" customHeight="1">
      <c r="A872" s="27">
        <v>28140</v>
      </c>
      <c r="B872" s="24" t="s">
        <v>8388</v>
      </c>
      <c r="C872" s="24" t="s">
        <v>9614</v>
      </c>
      <c r="D872" s="24" t="s">
        <v>7304</v>
      </c>
      <c r="E872" s="24" t="s">
        <v>7680</v>
      </c>
      <c r="F872" s="24" t="s">
        <v>7570</v>
      </c>
      <c r="G872" s="24" t="b">
        <v>1</v>
      </c>
    </row>
    <row r="873" spans="1:7" ht="12.5" customHeight="1">
      <c r="A873" s="27">
        <v>28140</v>
      </c>
      <c r="B873" s="24" t="s">
        <v>8388</v>
      </c>
      <c r="C873" s="24" t="s">
        <v>9614</v>
      </c>
      <c r="D873" s="24" t="s">
        <v>7304</v>
      </c>
      <c r="E873" s="24" t="s">
        <v>7762</v>
      </c>
      <c r="F873" s="24" t="s">
        <v>7570</v>
      </c>
      <c r="G873" s="24" t="b">
        <v>0</v>
      </c>
    </row>
    <row r="874" spans="1:7" ht="12.5" customHeight="1">
      <c r="A874" s="27">
        <v>28140</v>
      </c>
      <c r="B874" s="24" t="s">
        <v>8388</v>
      </c>
      <c r="C874" s="24" t="s">
        <v>9614</v>
      </c>
      <c r="D874" s="24" t="s">
        <v>7304</v>
      </c>
      <c r="E874" s="24" t="s">
        <v>7238</v>
      </c>
      <c r="F874" s="24" t="s">
        <v>7570</v>
      </c>
      <c r="G874" s="24" t="b">
        <v>1</v>
      </c>
    </row>
    <row r="875" spans="1:7" ht="12.5" customHeight="1">
      <c r="A875" s="27">
        <v>28140</v>
      </c>
      <c r="B875" s="24" t="s">
        <v>8388</v>
      </c>
      <c r="C875" s="24" t="s">
        <v>9614</v>
      </c>
      <c r="D875" s="24" t="s">
        <v>7304</v>
      </c>
      <c r="E875" s="24" t="s">
        <v>8392</v>
      </c>
      <c r="F875" s="24" t="s">
        <v>7570</v>
      </c>
      <c r="G875" s="24" t="b">
        <v>0</v>
      </c>
    </row>
    <row r="876" spans="1:7" ht="12.5" customHeight="1">
      <c r="A876" s="27">
        <v>28140</v>
      </c>
      <c r="B876" s="24" t="s">
        <v>8388</v>
      </c>
      <c r="C876" s="24" t="s">
        <v>9614</v>
      </c>
      <c r="D876" s="24" t="s">
        <v>7304</v>
      </c>
      <c r="E876" s="24" t="s">
        <v>7805</v>
      </c>
      <c r="F876" s="24" t="s">
        <v>7570</v>
      </c>
      <c r="G876" s="24" t="b">
        <v>1</v>
      </c>
    </row>
    <row r="877" spans="1:7" ht="12.5" customHeight="1">
      <c r="A877" s="27">
        <v>28140</v>
      </c>
      <c r="B877" s="24" t="s">
        <v>8388</v>
      </c>
      <c r="C877" s="24" t="s">
        <v>9614</v>
      </c>
      <c r="D877" s="24" t="s">
        <v>7304</v>
      </c>
      <c r="E877" s="24" t="s">
        <v>8393</v>
      </c>
      <c r="F877" s="24" t="s">
        <v>7570</v>
      </c>
      <c r="G877" s="24" t="b">
        <v>0</v>
      </c>
    </row>
    <row r="878" spans="1:7" ht="12.5" customHeight="1">
      <c r="A878" s="27">
        <v>28180</v>
      </c>
      <c r="B878" s="24" t="s">
        <v>8394</v>
      </c>
      <c r="C878" s="24" t="s">
        <v>9615</v>
      </c>
      <c r="D878" s="24" t="s">
        <v>7138</v>
      </c>
      <c r="E878" s="24" t="s">
        <v>8395</v>
      </c>
      <c r="F878" s="24" t="s">
        <v>8252</v>
      </c>
      <c r="G878" s="24" t="b">
        <v>1</v>
      </c>
    </row>
    <row r="879" spans="1:7" ht="12.5" customHeight="1">
      <c r="A879" s="27">
        <v>28260</v>
      </c>
      <c r="B879" s="24" t="s">
        <v>8396</v>
      </c>
      <c r="C879" s="24" t="s">
        <v>9615</v>
      </c>
      <c r="D879" s="24" t="s">
        <v>7138</v>
      </c>
      <c r="E879" s="24" t="s">
        <v>8397</v>
      </c>
      <c r="F879" s="24" t="s">
        <v>7443</v>
      </c>
      <c r="G879" s="24" t="b">
        <v>1</v>
      </c>
    </row>
    <row r="880" spans="1:7" ht="12.5" customHeight="1">
      <c r="A880" s="27">
        <v>28260</v>
      </c>
      <c r="B880" s="24" t="s">
        <v>8396</v>
      </c>
      <c r="C880" s="24" t="s">
        <v>9615</v>
      </c>
      <c r="D880" s="24" t="s">
        <v>7138</v>
      </c>
      <c r="E880" s="24" t="s">
        <v>8398</v>
      </c>
      <c r="F880" s="24" t="s">
        <v>7443</v>
      </c>
      <c r="G880" s="24" t="b">
        <v>0</v>
      </c>
    </row>
    <row r="881" spans="1:7" ht="12.5" customHeight="1">
      <c r="A881" s="27">
        <v>28300</v>
      </c>
      <c r="B881" s="24" t="s">
        <v>8399</v>
      </c>
      <c r="C881" s="24" t="s">
        <v>9615</v>
      </c>
      <c r="D881" s="24" t="s">
        <v>7138</v>
      </c>
      <c r="E881" s="24" t="s">
        <v>8400</v>
      </c>
      <c r="F881" s="24" t="s">
        <v>7475</v>
      </c>
      <c r="G881" s="24" t="b">
        <v>1</v>
      </c>
    </row>
    <row r="882" spans="1:7" ht="12.5" customHeight="1">
      <c r="A882" s="27">
        <v>28340</v>
      </c>
      <c r="B882" s="24" t="s">
        <v>8401</v>
      </c>
      <c r="C882" s="24" t="s">
        <v>9615</v>
      </c>
      <c r="D882" s="24" t="s">
        <v>7263</v>
      </c>
      <c r="E882" s="24" t="s">
        <v>8402</v>
      </c>
      <c r="F882" s="24" t="s">
        <v>4460</v>
      </c>
      <c r="G882" s="24" t="b">
        <v>1</v>
      </c>
    </row>
    <row r="883" spans="1:7" ht="12.5" customHeight="1">
      <c r="A883" s="27">
        <v>28380</v>
      </c>
      <c r="B883" s="24" t="s">
        <v>8403</v>
      </c>
      <c r="C883" s="24" t="s">
        <v>9615</v>
      </c>
      <c r="D883" s="24" t="s">
        <v>7138</v>
      </c>
      <c r="E883" s="24" t="s">
        <v>8404</v>
      </c>
      <c r="F883" s="24" t="s">
        <v>7570</v>
      </c>
      <c r="G883" s="24" t="b">
        <v>1</v>
      </c>
    </row>
    <row r="884" spans="1:7" ht="12.5" customHeight="1">
      <c r="A884" s="27">
        <v>28420</v>
      </c>
      <c r="B884" s="24" t="s">
        <v>8405</v>
      </c>
      <c r="C884" s="24" t="s">
        <v>9614</v>
      </c>
      <c r="D884" s="24" t="s">
        <v>8406</v>
      </c>
      <c r="E884" s="24" t="s">
        <v>7662</v>
      </c>
      <c r="F884" s="24" t="s">
        <v>1134</v>
      </c>
      <c r="G884" s="24" t="b">
        <v>1</v>
      </c>
    </row>
    <row r="885" spans="1:7" ht="12.5" customHeight="1">
      <c r="A885" s="27">
        <v>28420</v>
      </c>
      <c r="B885" s="24" t="s">
        <v>8405</v>
      </c>
      <c r="C885" s="24" t="s">
        <v>9614</v>
      </c>
      <c r="D885" s="24" t="s">
        <v>8406</v>
      </c>
      <c r="E885" s="24" t="s">
        <v>7616</v>
      </c>
      <c r="F885" s="24" t="s">
        <v>1134</v>
      </c>
      <c r="G885" s="24" t="b">
        <v>1</v>
      </c>
    </row>
    <row r="886" spans="1:7" ht="12.5" customHeight="1">
      <c r="A886" s="27">
        <v>28500</v>
      </c>
      <c r="B886" s="24" t="s">
        <v>8407</v>
      </c>
      <c r="C886" s="24" t="s">
        <v>9615</v>
      </c>
      <c r="D886" s="24" t="s">
        <v>8102</v>
      </c>
      <c r="E886" s="24" t="s">
        <v>8408</v>
      </c>
      <c r="F886" s="24" t="s">
        <v>7147</v>
      </c>
      <c r="G886" s="24" t="b">
        <v>1</v>
      </c>
    </row>
    <row r="887" spans="1:7" ht="12.5" customHeight="1">
      <c r="A887" s="27">
        <v>28540</v>
      </c>
      <c r="B887" s="24" t="s">
        <v>8409</v>
      </c>
      <c r="C887" s="24" t="s">
        <v>9615</v>
      </c>
      <c r="D887" s="24" t="s">
        <v>7138</v>
      </c>
      <c r="E887" s="24" t="s">
        <v>8410</v>
      </c>
      <c r="F887" s="24" t="s">
        <v>7258</v>
      </c>
      <c r="G887" s="24" t="b">
        <v>1</v>
      </c>
    </row>
    <row r="888" spans="1:7" ht="12.5" customHeight="1">
      <c r="A888" s="27">
        <v>28580</v>
      </c>
      <c r="B888" s="24" t="s">
        <v>8411</v>
      </c>
      <c r="C888" s="24" t="s">
        <v>9615</v>
      </c>
      <c r="D888" s="24" t="s">
        <v>8412</v>
      </c>
      <c r="E888" s="24" t="s">
        <v>7515</v>
      </c>
      <c r="F888" s="24" t="s">
        <v>7277</v>
      </c>
      <c r="G888" s="24" t="b">
        <v>1</v>
      </c>
    </row>
    <row r="889" spans="1:7" ht="12.5" customHeight="1">
      <c r="A889" s="27">
        <v>28620</v>
      </c>
      <c r="B889" s="24" t="s">
        <v>8413</v>
      </c>
      <c r="C889" s="24" t="s">
        <v>9615</v>
      </c>
      <c r="D889" s="24" t="s">
        <v>7984</v>
      </c>
      <c r="E889" s="24" t="s">
        <v>8414</v>
      </c>
      <c r="F889" s="24" t="s">
        <v>7195</v>
      </c>
      <c r="G889" s="24" t="b">
        <v>1</v>
      </c>
    </row>
    <row r="890" spans="1:7" ht="12.5" customHeight="1">
      <c r="A890" s="27">
        <v>28660</v>
      </c>
      <c r="B890" s="24" t="s">
        <v>8415</v>
      </c>
      <c r="C890" s="24" t="s">
        <v>9614</v>
      </c>
      <c r="D890" s="24" t="s">
        <v>7138</v>
      </c>
      <c r="E890" s="24" t="s">
        <v>8416</v>
      </c>
      <c r="F890" s="24" t="s">
        <v>7147</v>
      </c>
      <c r="G890" s="24" t="b">
        <v>1</v>
      </c>
    </row>
    <row r="891" spans="1:7" ht="12.5" customHeight="1">
      <c r="A891" s="27">
        <v>28660</v>
      </c>
      <c r="B891" s="24" t="s">
        <v>8415</v>
      </c>
      <c r="C891" s="24" t="s">
        <v>9614</v>
      </c>
      <c r="D891" s="24" t="s">
        <v>7138</v>
      </c>
      <c r="E891" s="24" t="s">
        <v>8417</v>
      </c>
      <c r="F891" s="24" t="s">
        <v>7147</v>
      </c>
      <c r="G891" s="24" t="b">
        <v>1</v>
      </c>
    </row>
    <row r="892" spans="1:7" ht="12.5" customHeight="1">
      <c r="A892" s="27">
        <v>28660</v>
      </c>
      <c r="B892" s="24" t="s">
        <v>8415</v>
      </c>
      <c r="C892" s="24" t="s">
        <v>9614</v>
      </c>
      <c r="D892" s="24" t="s">
        <v>7138</v>
      </c>
      <c r="E892" s="24" t="s">
        <v>8418</v>
      </c>
      <c r="F892" s="24" t="s">
        <v>7147</v>
      </c>
      <c r="G892" s="24" t="b">
        <v>0</v>
      </c>
    </row>
    <row r="893" spans="1:7" ht="12.5" customHeight="1">
      <c r="A893" s="27">
        <v>28700</v>
      </c>
      <c r="B893" s="24" t="s">
        <v>8419</v>
      </c>
      <c r="C893" s="24" t="s">
        <v>9614</v>
      </c>
      <c r="D893" s="24" t="s">
        <v>8367</v>
      </c>
      <c r="E893" s="24" t="s">
        <v>8420</v>
      </c>
      <c r="F893" s="24" t="s">
        <v>7312</v>
      </c>
      <c r="G893" s="24" t="b">
        <v>1</v>
      </c>
    </row>
    <row r="894" spans="1:7" ht="12.5" customHeight="1">
      <c r="A894" s="27">
        <v>28700</v>
      </c>
      <c r="B894" s="24" t="s">
        <v>8419</v>
      </c>
      <c r="C894" s="24" t="s">
        <v>9614</v>
      </c>
      <c r="D894" s="24" t="s">
        <v>8367</v>
      </c>
      <c r="E894" s="24" t="s">
        <v>8421</v>
      </c>
      <c r="F894" s="24" t="s">
        <v>7312</v>
      </c>
      <c r="G894" s="24" t="b">
        <v>1</v>
      </c>
    </row>
    <row r="895" spans="1:7" ht="12.5" customHeight="1">
      <c r="A895" s="27">
        <v>28700</v>
      </c>
      <c r="B895" s="24" t="s">
        <v>8419</v>
      </c>
      <c r="C895" s="24" t="s">
        <v>9614</v>
      </c>
      <c r="D895" s="24" t="s">
        <v>8367</v>
      </c>
      <c r="E895" s="24" t="s">
        <v>7882</v>
      </c>
      <c r="F895" s="24" t="s">
        <v>2920</v>
      </c>
      <c r="G895" s="24" t="b">
        <v>0</v>
      </c>
    </row>
    <row r="896" spans="1:7" ht="12.5" customHeight="1">
      <c r="A896" s="27">
        <v>28700</v>
      </c>
      <c r="B896" s="24" t="s">
        <v>8419</v>
      </c>
      <c r="C896" s="24" t="s">
        <v>9614</v>
      </c>
      <c r="D896" s="24" t="s">
        <v>8367</v>
      </c>
      <c r="E896" s="24" t="s">
        <v>7411</v>
      </c>
      <c r="F896" s="24" t="s">
        <v>2920</v>
      </c>
      <c r="G896" s="24" t="b">
        <v>0</v>
      </c>
    </row>
    <row r="897" spans="1:7" ht="12.5" customHeight="1">
      <c r="A897" s="27">
        <v>28700</v>
      </c>
      <c r="B897" s="24" t="s">
        <v>8419</v>
      </c>
      <c r="C897" s="24" t="s">
        <v>9614</v>
      </c>
      <c r="D897" s="24" t="s">
        <v>8367</v>
      </c>
      <c r="E897" s="24" t="s">
        <v>8422</v>
      </c>
      <c r="F897" s="24" t="s">
        <v>2920</v>
      </c>
      <c r="G897" s="24" t="b">
        <v>0</v>
      </c>
    </row>
    <row r="898" spans="1:7" ht="12.5" customHeight="1">
      <c r="A898" s="27">
        <v>28740</v>
      </c>
      <c r="B898" s="24" t="s">
        <v>8423</v>
      </c>
      <c r="C898" s="24" t="s">
        <v>9614</v>
      </c>
      <c r="D898" s="24" t="s">
        <v>7579</v>
      </c>
      <c r="E898" s="24" t="s">
        <v>8424</v>
      </c>
      <c r="F898" s="24" t="s">
        <v>3775</v>
      </c>
      <c r="G898" s="24" t="b">
        <v>1</v>
      </c>
    </row>
    <row r="899" spans="1:7" ht="12.5" customHeight="1">
      <c r="A899" s="27">
        <v>28780</v>
      </c>
      <c r="B899" s="24" t="s">
        <v>8425</v>
      </c>
      <c r="C899" s="24" t="s">
        <v>9615</v>
      </c>
      <c r="D899" s="24" t="s">
        <v>7219</v>
      </c>
      <c r="E899" s="24" t="s">
        <v>8426</v>
      </c>
      <c r="F899" s="24" t="s">
        <v>7147</v>
      </c>
      <c r="G899" s="24" t="b">
        <v>0</v>
      </c>
    </row>
    <row r="900" spans="1:7" ht="12.5" customHeight="1">
      <c r="A900" s="27">
        <v>28780</v>
      </c>
      <c r="B900" s="24" t="s">
        <v>8425</v>
      </c>
      <c r="C900" s="24" t="s">
        <v>9615</v>
      </c>
      <c r="D900" s="24" t="s">
        <v>7219</v>
      </c>
      <c r="E900" s="24" t="s">
        <v>8427</v>
      </c>
      <c r="F900" s="24" t="s">
        <v>7147</v>
      </c>
      <c r="G900" s="24" t="b">
        <v>1</v>
      </c>
    </row>
    <row r="901" spans="1:7" ht="12.5" customHeight="1">
      <c r="A901" s="27">
        <v>28820</v>
      </c>
      <c r="B901" s="24" t="s">
        <v>8428</v>
      </c>
      <c r="C901" s="24" t="s">
        <v>9615</v>
      </c>
      <c r="D901" s="24" t="s">
        <v>8186</v>
      </c>
      <c r="E901" s="24" t="s">
        <v>8429</v>
      </c>
      <c r="F901" s="24" t="s">
        <v>7195</v>
      </c>
      <c r="G901" s="24" t="b">
        <v>1</v>
      </c>
    </row>
    <row r="902" spans="1:7" ht="12.5" customHeight="1">
      <c r="A902" s="27">
        <v>28860</v>
      </c>
      <c r="B902" s="24" t="s">
        <v>8430</v>
      </c>
      <c r="C902" s="24" t="s">
        <v>9615</v>
      </c>
      <c r="D902" s="24" t="s">
        <v>7138</v>
      </c>
      <c r="E902" s="24" t="s">
        <v>8431</v>
      </c>
      <c r="F902" s="24" t="s">
        <v>7570</v>
      </c>
      <c r="G902" s="24" t="b">
        <v>1</v>
      </c>
    </row>
    <row r="903" spans="1:7" ht="12.5" customHeight="1">
      <c r="A903" s="27">
        <v>28860</v>
      </c>
      <c r="B903" s="24" t="s">
        <v>8430</v>
      </c>
      <c r="C903" s="24" t="s">
        <v>9615</v>
      </c>
      <c r="D903" s="24" t="s">
        <v>7138</v>
      </c>
      <c r="E903" s="24" t="s">
        <v>8432</v>
      </c>
      <c r="F903" s="24" t="s">
        <v>7570</v>
      </c>
      <c r="G903" s="24" t="b">
        <v>0</v>
      </c>
    </row>
    <row r="904" spans="1:7" ht="12.5" customHeight="1">
      <c r="A904" s="27">
        <v>28900</v>
      </c>
      <c r="B904" s="24" t="s">
        <v>8433</v>
      </c>
      <c r="C904" s="24" t="s">
        <v>9615</v>
      </c>
      <c r="D904" s="24" t="s">
        <v>7138</v>
      </c>
      <c r="E904" s="24" t="s">
        <v>8434</v>
      </c>
      <c r="F904" s="24" t="s">
        <v>4053</v>
      </c>
      <c r="G904" s="24" t="b">
        <v>1</v>
      </c>
    </row>
    <row r="905" spans="1:7" ht="12.5" customHeight="1">
      <c r="A905" s="27">
        <v>28940</v>
      </c>
      <c r="B905" s="24" t="s">
        <v>8435</v>
      </c>
      <c r="C905" s="24" t="s">
        <v>9614</v>
      </c>
      <c r="D905" s="24" t="s">
        <v>8436</v>
      </c>
      <c r="E905" s="24" t="s">
        <v>8100</v>
      </c>
      <c r="F905" s="24" t="s">
        <v>7312</v>
      </c>
      <c r="G905" s="24" t="b">
        <v>1</v>
      </c>
    </row>
    <row r="906" spans="1:7" ht="12.5" customHeight="1">
      <c r="A906" s="27">
        <v>28940</v>
      </c>
      <c r="B906" s="24" t="s">
        <v>8435</v>
      </c>
      <c r="C906" s="24" t="s">
        <v>9614</v>
      </c>
      <c r="D906" s="24" t="s">
        <v>8436</v>
      </c>
      <c r="E906" s="24" t="s">
        <v>7493</v>
      </c>
      <c r="F906" s="24" t="s">
        <v>7312</v>
      </c>
      <c r="G906" s="24" t="b">
        <v>1</v>
      </c>
    </row>
    <row r="907" spans="1:7" ht="12.5" customHeight="1">
      <c r="A907" s="27">
        <v>28940</v>
      </c>
      <c r="B907" s="24" t="s">
        <v>8435</v>
      </c>
      <c r="C907" s="24" t="s">
        <v>9614</v>
      </c>
      <c r="D907" s="24" t="s">
        <v>8436</v>
      </c>
      <c r="E907" s="24" t="s">
        <v>7733</v>
      </c>
      <c r="F907" s="24" t="s">
        <v>7312</v>
      </c>
      <c r="G907" s="24" t="b">
        <v>0</v>
      </c>
    </row>
    <row r="908" spans="1:7" ht="12.5" customHeight="1">
      <c r="A908" s="27">
        <v>28940</v>
      </c>
      <c r="B908" s="24" t="s">
        <v>8435</v>
      </c>
      <c r="C908" s="24" t="s">
        <v>9614</v>
      </c>
      <c r="D908" s="24" t="s">
        <v>8436</v>
      </c>
      <c r="E908" s="24" t="s">
        <v>8128</v>
      </c>
      <c r="F908" s="24" t="s">
        <v>7312</v>
      </c>
      <c r="G908" s="24" t="b">
        <v>1</v>
      </c>
    </row>
    <row r="909" spans="1:7" ht="12.5" customHeight="1">
      <c r="A909" s="27">
        <v>28940</v>
      </c>
      <c r="B909" s="24" t="s">
        <v>8435</v>
      </c>
      <c r="C909" s="24" t="s">
        <v>9614</v>
      </c>
      <c r="D909" s="24" t="s">
        <v>8436</v>
      </c>
      <c r="E909" s="24" t="s">
        <v>8437</v>
      </c>
      <c r="F909" s="24" t="s">
        <v>7312</v>
      </c>
      <c r="G909" s="24" t="b">
        <v>1</v>
      </c>
    </row>
    <row r="910" spans="1:7" ht="12.5" customHeight="1">
      <c r="A910" s="27">
        <v>28940</v>
      </c>
      <c r="B910" s="24" t="s">
        <v>8435</v>
      </c>
      <c r="C910" s="24" t="s">
        <v>9614</v>
      </c>
      <c r="D910" s="24" t="s">
        <v>8436</v>
      </c>
      <c r="E910" s="24" t="s">
        <v>7341</v>
      </c>
      <c r="F910" s="24" t="s">
        <v>7312</v>
      </c>
      <c r="G910" s="24" t="b">
        <v>0</v>
      </c>
    </row>
    <row r="911" spans="1:7" ht="12.5" customHeight="1">
      <c r="A911" s="27">
        <v>28940</v>
      </c>
      <c r="B911" s="24" t="s">
        <v>8435</v>
      </c>
      <c r="C911" s="24" t="s">
        <v>9614</v>
      </c>
      <c r="D911" s="24" t="s">
        <v>8436</v>
      </c>
      <c r="E911" s="24" t="s">
        <v>8438</v>
      </c>
      <c r="F911" s="24" t="s">
        <v>7312</v>
      </c>
      <c r="G911" s="24" t="b">
        <v>0</v>
      </c>
    </row>
    <row r="912" spans="1:7" ht="12.5" customHeight="1">
      <c r="A912" s="27">
        <v>28940</v>
      </c>
      <c r="B912" s="24" t="s">
        <v>8435</v>
      </c>
      <c r="C912" s="24" t="s">
        <v>9614</v>
      </c>
      <c r="D912" s="24" t="s">
        <v>8436</v>
      </c>
      <c r="E912" s="24" t="s">
        <v>7695</v>
      </c>
      <c r="F912" s="24" t="s">
        <v>7312</v>
      </c>
      <c r="G912" s="24" t="b">
        <v>0</v>
      </c>
    </row>
    <row r="913" spans="1:7" ht="12.5" customHeight="1">
      <c r="A913" s="27">
        <v>29020</v>
      </c>
      <c r="B913" s="24" t="s">
        <v>8439</v>
      </c>
      <c r="C913" s="24" t="s">
        <v>9614</v>
      </c>
      <c r="D913" s="24" t="s">
        <v>8440</v>
      </c>
      <c r="E913" s="24" t="s">
        <v>7393</v>
      </c>
      <c r="F913" s="24" t="s">
        <v>4460</v>
      </c>
      <c r="G913" s="24" t="b">
        <v>1</v>
      </c>
    </row>
    <row r="914" spans="1:7" ht="12.5" customHeight="1">
      <c r="A914" s="27">
        <v>29060</v>
      </c>
      <c r="B914" s="24" t="s">
        <v>8441</v>
      </c>
      <c r="C914" s="24" t="s">
        <v>9615</v>
      </c>
      <c r="D914" s="24" t="s">
        <v>7406</v>
      </c>
      <c r="E914" s="24" t="s">
        <v>8442</v>
      </c>
      <c r="F914" s="24" t="s">
        <v>7475</v>
      </c>
      <c r="G914" s="24" t="b">
        <v>1</v>
      </c>
    </row>
    <row r="915" spans="1:7" ht="12.5" customHeight="1">
      <c r="A915" s="27">
        <v>29100</v>
      </c>
      <c r="B915" s="24" t="s">
        <v>8443</v>
      </c>
      <c r="C915" s="24" t="s">
        <v>9614</v>
      </c>
      <c r="D915" s="24" t="s">
        <v>7138</v>
      </c>
      <c r="E915" s="24" t="s">
        <v>7932</v>
      </c>
      <c r="F915" s="24" t="s">
        <v>7198</v>
      </c>
      <c r="G915" s="24" t="b">
        <v>1</v>
      </c>
    </row>
    <row r="916" spans="1:7" ht="12.5" customHeight="1">
      <c r="A916" s="27">
        <v>29100</v>
      </c>
      <c r="B916" s="24" t="s">
        <v>8443</v>
      </c>
      <c r="C916" s="24" t="s">
        <v>9614</v>
      </c>
      <c r="D916" s="24" t="s">
        <v>7138</v>
      </c>
      <c r="E916" s="24" t="s">
        <v>8444</v>
      </c>
      <c r="F916" s="24" t="s">
        <v>7272</v>
      </c>
      <c r="G916" s="24" t="b">
        <v>1</v>
      </c>
    </row>
    <row r="917" spans="1:7" ht="12.5" customHeight="1">
      <c r="A917" s="27">
        <v>29180</v>
      </c>
      <c r="B917" s="24" t="s">
        <v>8445</v>
      </c>
      <c r="C917" s="24" t="s">
        <v>9614</v>
      </c>
      <c r="D917" s="24" t="s">
        <v>8446</v>
      </c>
      <c r="E917" s="24" t="s">
        <v>8447</v>
      </c>
      <c r="F917" s="24" t="s">
        <v>7214</v>
      </c>
      <c r="G917" s="24" t="b">
        <v>0</v>
      </c>
    </row>
    <row r="918" spans="1:7" ht="12.5" customHeight="1">
      <c r="A918" s="27">
        <v>29180</v>
      </c>
      <c r="B918" s="24" t="s">
        <v>8445</v>
      </c>
      <c r="C918" s="24" t="s">
        <v>9614</v>
      </c>
      <c r="D918" s="24" t="s">
        <v>8446</v>
      </c>
      <c r="E918" s="24" t="s">
        <v>8448</v>
      </c>
      <c r="F918" s="24" t="s">
        <v>7214</v>
      </c>
      <c r="G918" s="24" t="b">
        <v>1</v>
      </c>
    </row>
    <row r="919" spans="1:7" ht="12.5" customHeight="1">
      <c r="A919" s="27">
        <v>29180</v>
      </c>
      <c r="B919" s="24" t="s">
        <v>8445</v>
      </c>
      <c r="C919" s="24" t="s">
        <v>9614</v>
      </c>
      <c r="D919" s="24" t="s">
        <v>8446</v>
      </c>
      <c r="E919" s="24" t="s">
        <v>8449</v>
      </c>
      <c r="F919" s="24" t="s">
        <v>7214</v>
      </c>
      <c r="G919" s="24" t="b">
        <v>1</v>
      </c>
    </row>
    <row r="920" spans="1:7" ht="12.5" customHeight="1">
      <c r="A920" s="27">
        <v>29180</v>
      </c>
      <c r="B920" s="24" t="s">
        <v>8445</v>
      </c>
      <c r="C920" s="24" t="s">
        <v>9614</v>
      </c>
      <c r="D920" s="24" t="s">
        <v>8446</v>
      </c>
      <c r="E920" s="24" t="s">
        <v>8450</v>
      </c>
      <c r="F920" s="24" t="s">
        <v>7214</v>
      </c>
      <c r="G920" s="24" t="b">
        <v>0</v>
      </c>
    </row>
    <row r="921" spans="1:7" ht="12.5" customHeight="1">
      <c r="A921" s="27">
        <v>29180</v>
      </c>
      <c r="B921" s="24" t="s">
        <v>8445</v>
      </c>
      <c r="C921" s="24" t="s">
        <v>9614</v>
      </c>
      <c r="D921" s="24" t="s">
        <v>8446</v>
      </c>
      <c r="E921" s="24" t="s">
        <v>8451</v>
      </c>
      <c r="F921" s="24" t="s">
        <v>7214</v>
      </c>
      <c r="G921" s="24" t="b">
        <v>0</v>
      </c>
    </row>
    <row r="922" spans="1:7" ht="12.5" customHeight="1">
      <c r="A922" s="27">
        <v>29200</v>
      </c>
      <c r="B922" s="24" t="s">
        <v>8452</v>
      </c>
      <c r="C922" s="24" t="s">
        <v>9614</v>
      </c>
      <c r="D922" s="24" t="s">
        <v>8097</v>
      </c>
      <c r="E922" s="24" t="s">
        <v>7662</v>
      </c>
      <c r="F922" s="24" t="s">
        <v>4460</v>
      </c>
      <c r="G922" s="24" t="b">
        <v>0</v>
      </c>
    </row>
    <row r="923" spans="1:7" ht="12.5" customHeight="1">
      <c r="A923" s="27">
        <v>29200</v>
      </c>
      <c r="B923" s="24" t="s">
        <v>8452</v>
      </c>
      <c r="C923" s="24" t="s">
        <v>9614</v>
      </c>
      <c r="D923" s="24" t="s">
        <v>8097</v>
      </c>
      <c r="E923" s="24" t="s">
        <v>7324</v>
      </c>
      <c r="F923" s="24" t="s">
        <v>4460</v>
      </c>
      <c r="G923" s="24" t="b">
        <v>0</v>
      </c>
    </row>
    <row r="924" spans="1:7" ht="12.5" customHeight="1">
      <c r="A924" s="27">
        <v>29200</v>
      </c>
      <c r="B924" s="24" t="s">
        <v>8452</v>
      </c>
      <c r="C924" s="24" t="s">
        <v>9614</v>
      </c>
      <c r="D924" s="24" t="s">
        <v>8097</v>
      </c>
      <c r="E924" s="24" t="s">
        <v>8453</v>
      </c>
      <c r="F924" s="24" t="s">
        <v>4460</v>
      </c>
      <c r="G924" s="24" t="b">
        <v>1</v>
      </c>
    </row>
    <row r="925" spans="1:7" ht="12.5" customHeight="1">
      <c r="A925" s="27">
        <v>29200</v>
      </c>
      <c r="B925" s="24" t="s">
        <v>8452</v>
      </c>
      <c r="C925" s="24" t="s">
        <v>9614</v>
      </c>
      <c r="D925" s="24" t="s">
        <v>8097</v>
      </c>
      <c r="E925" s="24" t="s">
        <v>7223</v>
      </c>
      <c r="F925" s="24" t="s">
        <v>4460</v>
      </c>
      <c r="G925" s="24" t="b">
        <v>0</v>
      </c>
    </row>
    <row r="926" spans="1:7" ht="12.5" customHeight="1">
      <c r="A926" s="27">
        <v>29260</v>
      </c>
      <c r="B926" s="24" t="s">
        <v>8454</v>
      </c>
      <c r="C926" s="24" t="s">
        <v>9615</v>
      </c>
      <c r="D926" s="24" t="s">
        <v>7138</v>
      </c>
      <c r="E926" s="24" t="s">
        <v>7695</v>
      </c>
      <c r="F926" s="24" t="s">
        <v>4053</v>
      </c>
      <c r="G926" s="24" t="b">
        <v>1</v>
      </c>
    </row>
    <row r="927" spans="1:7" ht="12.5" customHeight="1">
      <c r="A927" s="27">
        <v>29300</v>
      </c>
      <c r="B927" s="24" t="s">
        <v>8455</v>
      </c>
      <c r="C927" s="24" t="s">
        <v>9615</v>
      </c>
      <c r="D927" s="24" t="s">
        <v>7316</v>
      </c>
      <c r="E927" s="24" t="s">
        <v>8282</v>
      </c>
      <c r="F927" s="24" t="s">
        <v>7201</v>
      </c>
      <c r="G927" s="24" t="b">
        <v>0</v>
      </c>
    </row>
    <row r="928" spans="1:7" ht="12.5" customHeight="1">
      <c r="A928" s="27">
        <v>29300</v>
      </c>
      <c r="B928" s="24" t="s">
        <v>8455</v>
      </c>
      <c r="C928" s="24" t="s">
        <v>9615</v>
      </c>
      <c r="D928" s="24" t="s">
        <v>7316</v>
      </c>
      <c r="E928" s="24" t="s">
        <v>8456</v>
      </c>
      <c r="F928" s="24" t="s">
        <v>7178</v>
      </c>
      <c r="G928" s="24" t="b">
        <v>1</v>
      </c>
    </row>
    <row r="929" spans="1:7" ht="12.5" customHeight="1">
      <c r="A929" s="27">
        <v>29340</v>
      </c>
      <c r="B929" s="24" t="s">
        <v>8457</v>
      </c>
      <c r="C929" s="24" t="s">
        <v>9614</v>
      </c>
      <c r="D929" s="24" t="s">
        <v>8363</v>
      </c>
      <c r="E929" s="24" t="s">
        <v>8458</v>
      </c>
      <c r="F929" s="24" t="s">
        <v>7214</v>
      </c>
      <c r="G929" s="24" t="b">
        <v>1</v>
      </c>
    </row>
    <row r="930" spans="1:7" ht="12.5" customHeight="1">
      <c r="A930" s="27">
        <v>29340</v>
      </c>
      <c r="B930" s="24" t="s">
        <v>8457</v>
      </c>
      <c r="C930" s="24" t="s">
        <v>9614</v>
      </c>
      <c r="D930" s="24" t="s">
        <v>8363</v>
      </c>
      <c r="E930" s="24" t="s">
        <v>8459</v>
      </c>
      <c r="F930" s="24" t="s">
        <v>7214</v>
      </c>
      <c r="G930" s="24" t="b">
        <v>0</v>
      </c>
    </row>
    <row r="931" spans="1:7" ht="12.5" customHeight="1">
      <c r="A931" s="27">
        <v>29380</v>
      </c>
      <c r="B931" s="24" t="s">
        <v>8460</v>
      </c>
      <c r="C931" s="24" t="s">
        <v>9615</v>
      </c>
      <c r="D931" s="24" t="s">
        <v>8119</v>
      </c>
      <c r="E931" s="24" t="s">
        <v>7363</v>
      </c>
      <c r="F931" s="24" t="s">
        <v>7277</v>
      </c>
      <c r="G931" s="24" t="b">
        <v>1</v>
      </c>
    </row>
    <row r="932" spans="1:7" ht="12.5" customHeight="1">
      <c r="A932" s="27">
        <v>29420</v>
      </c>
      <c r="B932" s="24" t="s">
        <v>8461</v>
      </c>
      <c r="C932" s="24" t="s">
        <v>9614</v>
      </c>
      <c r="D932" s="24" t="s">
        <v>7138</v>
      </c>
      <c r="E932" s="24" t="s">
        <v>8462</v>
      </c>
      <c r="F932" s="24" t="s">
        <v>8065</v>
      </c>
      <c r="G932" s="24" t="b">
        <v>1</v>
      </c>
    </row>
    <row r="933" spans="1:7" ht="12.5" customHeight="1">
      <c r="A933" s="27">
        <v>29460</v>
      </c>
      <c r="B933" s="24" t="s">
        <v>8463</v>
      </c>
      <c r="C933" s="24" t="s">
        <v>9614</v>
      </c>
      <c r="D933" s="24" t="s">
        <v>7899</v>
      </c>
      <c r="E933" s="24" t="s">
        <v>7664</v>
      </c>
      <c r="F933" s="24" t="s">
        <v>7277</v>
      </c>
      <c r="G933" s="24" t="b">
        <v>1</v>
      </c>
    </row>
    <row r="934" spans="1:7" ht="12.5" customHeight="1">
      <c r="A934" s="27">
        <v>29500</v>
      </c>
      <c r="B934" s="24" t="s">
        <v>8464</v>
      </c>
      <c r="C934" s="24" t="s">
        <v>9615</v>
      </c>
      <c r="D934" s="24" t="s">
        <v>7138</v>
      </c>
      <c r="E934" s="24" t="s">
        <v>7329</v>
      </c>
      <c r="F934" s="24" t="s">
        <v>7147</v>
      </c>
      <c r="G934" s="24" t="b">
        <v>1</v>
      </c>
    </row>
    <row r="935" spans="1:7" ht="12.5" customHeight="1">
      <c r="A935" s="27">
        <v>29540</v>
      </c>
      <c r="B935" s="24" t="s">
        <v>8465</v>
      </c>
      <c r="C935" s="24" t="s">
        <v>9614</v>
      </c>
      <c r="D935" s="24" t="s">
        <v>7138</v>
      </c>
      <c r="E935" s="24" t="s">
        <v>7697</v>
      </c>
      <c r="F935" s="24" t="s">
        <v>7226</v>
      </c>
      <c r="G935" s="24" t="b">
        <v>1</v>
      </c>
    </row>
    <row r="936" spans="1:7" ht="12.5" customHeight="1">
      <c r="A936" s="27">
        <v>29620</v>
      </c>
      <c r="B936" s="24" t="s">
        <v>8466</v>
      </c>
      <c r="C936" s="24" t="s">
        <v>9614</v>
      </c>
      <c r="D936" s="24" t="s">
        <v>7138</v>
      </c>
      <c r="E936" s="24" t="s">
        <v>7762</v>
      </c>
      <c r="F936" s="24" t="s">
        <v>7156</v>
      </c>
      <c r="G936" s="24" t="b">
        <v>1</v>
      </c>
    </row>
    <row r="937" spans="1:7" ht="12.5" customHeight="1">
      <c r="A937" s="27">
        <v>29620</v>
      </c>
      <c r="B937" s="24" t="s">
        <v>8466</v>
      </c>
      <c r="C937" s="24" t="s">
        <v>9614</v>
      </c>
      <c r="D937" s="24" t="s">
        <v>7138</v>
      </c>
      <c r="E937" s="24" t="s">
        <v>8467</v>
      </c>
      <c r="F937" s="24" t="s">
        <v>7156</v>
      </c>
      <c r="G937" s="24" t="b">
        <v>1</v>
      </c>
    </row>
    <row r="938" spans="1:7" ht="12.5" customHeight="1">
      <c r="A938" s="27">
        <v>29620</v>
      </c>
      <c r="B938" s="24" t="s">
        <v>8466</v>
      </c>
      <c r="C938" s="24" t="s">
        <v>9614</v>
      </c>
      <c r="D938" s="24" t="s">
        <v>7138</v>
      </c>
      <c r="E938" s="24" t="s">
        <v>8468</v>
      </c>
      <c r="F938" s="24" t="s">
        <v>7156</v>
      </c>
      <c r="G938" s="24" t="b">
        <v>1</v>
      </c>
    </row>
    <row r="939" spans="1:7" ht="12.5" customHeight="1">
      <c r="A939" s="27">
        <v>29620</v>
      </c>
      <c r="B939" s="24" t="s">
        <v>8466</v>
      </c>
      <c r="C939" s="24" t="s">
        <v>9614</v>
      </c>
      <c r="D939" s="24" t="s">
        <v>7138</v>
      </c>
      <c r="E939" s="24" t="s">
        <v>8469</v>
      </c>
      <c r="F939" s="24" t="s">
        <v>7156</v>
      </c>
      <c r="G939" s="24" t="b">
        <v>0</v>
      </c>
    </row>
    <row r="940" spans="1:7" ht="12.5" customHeight="1">
      <c r="A940" s="27">
        <v>29660</v>
      </c>
      <c r="B940" s="24" t="s">
        <v>8470</v>
      </c>
      <c r="C940" s="24" t="s">
        <v>9615</v>
      </c>
      <c r="D940" s="24" t="s">
        <v>7138</v>
      </c>
      <c r="E940" s="24" t="s">
        <v>7187</v>
      </c>
      <c r="F940" s="24" t="s">
        <v>2842</v>
      </c>
      <c r="G940" s="24" t="b">
        <v>1</v>
      </c>
    </row>
    <row r="941" spans="1:7" ht="12.5" customHeight="1">
      <c r="A941" s="27">
        <v>29700</v>
      </c>
      <c r="B941" s="24" t="s">
        <v>8471</v>
      </c>
      <c r="C941" s="24" t="s">
        <v>9614</v>
      </c>
      <c r="D941" s="24" t="s">
        <v>7138</v>
      </c>
      <c r="E941" s="24" t="s">
        <v>8472</v>
      </c>
      <c r="F941" s="24" t="s">
        <v>7147</v>
      </c>
      <c r="G941" s="24" t="b">
        <v>1</v>
      </c>
    </row>
    <row r="942" spans="1:7" ht="12.5" customHeight="1">
      <c r="A942" s="27">
        <v>29740</v>
      </c>
      <c r="B942" s="24" t="s">
        <v>8473</v>
      </c>
      <c r="C942" s="24" t="s">
        <v>9614</v>
      </c>
      <c r="D942" s="24" t="s">
        <v>8005</v>
      </c>
      <c r="E942" s="24" t="s">
        <v>8474</v>
      </c>
      <c r="F942" s="24" t="s">
        <v>7175</v>
      </c>
      <c r="G942" s="24" t="b">
        <v>1</v>
      </c>
    </row>
    <row r="943" spans="1:7" ht="12.5" customHeight="1">
      <c r="A943" s="27">
        <v>29780</v>
      </c>
      <c r="B943" s="24" t="s">
        <v>8475</v>
      </c>
      <c r="C943" s="24" t="s">
        <v>9615</v>
      </c>
      <c r="D943" s="24" t="s">
        <v>7203</v>
      </c>
      <c r="E943" s="24" t="s">
        <v>8476</v>
      </c>
      <c r="F943" s="24" t="s">
        <v>7175</v>
      </c>
      <c r="G943" s="24" t="b">
        <v>0</v>
      </c>
    </row>
    <row r="944" spans="1:7" ht="12.5" customHeight="1">
      <c r="A944" s="27">
        <v>29780</v>
      </c>
      <c r="B944" s="24" t="s">
        <v>8475</v>
      </c>
      <c r="C944" s="24" t="s">
        <v>9615</v>
      </c>
      <c r="D944" s="24" t="s">
        <v>7203</v>
      </c>
      <c r="E944" s="24" t="s">
        <v>8477</v>
      </c>
      <c r="F944" s="24" t="s">
        <v>7175</v>
      </c>
      <c r="G944" s="24" t="b">
        <v>1</v>
      </c>
    </row>
    <row r="945" spans="1:7" ht="12.5" customHeight="1">
      <c r="A945" s="27">
        <v>29820</v>
      </c>
      <c r="B945" s="24" t="s">
        <v>8478</v>
      </c>
      <c r="C945" s="24" t="s">
        <v>9614</v>
      </c>
      <c r="D945" s="24" t="s">
        <v>8479</v>
      </c>
      <c r="E945" s="24" t="s">
        <v>7288</v>
      </c>
      <c r="F945" s="24" t="s">
        <v>3060</v>
      </c>
      <c r="G945" s="24" t="b">
        <v>1</v>
      </c>
    </row>
    <row r="946" spans="1:7" ht="12.5" customHeight="1">
      <c r="A946" s="27">
        <v>29860</v>
      </c>
      <c r="B946" s="24" t="s">
        <v>8480</v>
      </c>
      <c r="C946" s="24" t="s">
        <v>9615</v>
      </c>
      <c r="D946" s="24" t="s">
        <v>8229</v>
      </c>
      <c r="E946" s="24" t="s">
        <v>7338</v>
      </c>
      <c r="F946" s="24" t="s">
        <v>7584</v>
      </c>
      <c r="G946" s="24" t="b">
        <v>0</v>
      </c>
    </row>
    <row r="947" spans="1:7" ht="12.5" customHeight="1">
      <c r="A947" s="27">
        <v>29860</v>
      </c>
      <c r="B947" s="24" t="s">
        <v>8480</v>
      </c>
      <c r="C947" s="24" t="s">
        <v>9615</v>
      </c>
      <c r="D947" s="24" t="s">
        <v>8229</v>
      </c>
      <c r="E947" s="24" t="s">
        <v>7148</v>
      </c>
      <c r="F947" s="24" t="s">
        <v>7584</v>
      </c>
      <c r="G947" s="24" t="b">
        <v>1</v>
      </c>
    </row>
    <row r="948" spans="1:7" ht="12.5" customHeight="1">
      <c r="A948" s="27">
        <v>29900</v>
      </c>
      <c r="B948" s="24" t="s">
        <v>8481</v>
      </c>
      <c r="C948" s="24" t="s">
        <v>9615</v>
      </c>
      <c r="D948" s="24" t="s">
        <v>8051</v>
      </c>
      <c r="E948" s="24" t="s">
        <v>8482</v>
      </c>
      <c r="F948" s="24" t="s">
        <v>7195</v>
      </c>
      <c r="G948" s="24" t="b">
        <v>1</v>
      </c>
    </row>
    <row r="949" spans="1:7" ht="12.5" customHeight="1">
      <c r="A949" s="27">
        <v>29940</v>
      </c>
      <c r="B949" s="24" t="s">
        <v>8483</v>
      </c>
      <c r="C949" s="24" t="s">
        <v>9614</v>
      </c>
      <c r="D949" s="24" t="s">
        <v>7304</v>
      </c>
      <c r="E949" s="24" t="s">
        <v>7217</v>
      </c>
      <c r="F949" s="24" t="s">
        <v>7306</v>
      </c>
      <c r="G949" s="24" t="b">
        <v>1</v>
      </c>
    </row>
    <row r="950" spans="1:7" ht="12.5" customHeight="1">
      <c r="A950" s="27">
        <v>29980</v>
      </c>
      <c r="B950" s="24" t="s">
        <v>8484</v>
      </c>
      <c r="C950" s="24" t="s">
        <v>9615</v>
      </c>
      <c r="D950" s="24" t="s">
        <v>8485</v>
      </c>
      <c r="E950" s="24" t="s">
        <v>7456</v>
      </c>
      <c r="F950" s="24" t="s">
        <v>7312</v>
      </c>
      <c r="G950" s="24" t="b">
        <v>1</v>
      </c>
    </row>
    <row r="951" spans="1:7" ht="12.5" customHeight="1">
      <c r="A951" s="27">
        <v>30020</v>
      </c>
      <c r="B951" s="24" t="s">
        <v>8486</v>
      </c>
      <c r="C951" s="24" t="s">
        <v>9614</v>
      </c>
      <c r="D951" s="24" t="s">
        <v>7138</v>
      </c>
      <c r="E951" s="24" t="s">
        <v>8487</v>
      </c>
      <c r="F951" s="24" t="s">
        <v>7152</v>
      </c>
      <c r="G951" s="24" t="b">
        <v>1</v>
      </c>
    </row>
    <row r="952" spans="1:7" ht="12.5" customHeight="1">
      <c r="A952" s="27">
        <v>30020</v>
      </c>
      <c r="B952" s="24" t="s">
        <v>8486</v>
      </c>
      <c r="C952" s="24" t="s">
        <v>9614</v>
      </c>
      <c r="D952" s="24" t="s">
        <v>7138</v>
      </c>
      <c r="E952" s="24" t="s">
        <v>8488</v>
      </c>
      <c r="F952" s="24" t="s">
        <v>7152</v>
      </c>
      <c r="G952" s="24" t="b">
        <v>0</v>
      </c>
    </row>
    <row r="953" spans="1:7" ht="12.5" customHeight="1">
      <c r="A953" s="27">
        <v>30060</v>
      </c>
      <c r="B953" s="24" t="s">
        <v>8489</v>
      </c>
      <c r="C953" s="24" t="s">
        <v>9615</v>
      </c>
      <c r="D953" s="24" t="s">
        <v>7138</v>
      </c>
      <c r="E953" s="24" t="s">
        <v>8490</v>
      </c>
      <c r="F953" s="24" t="s">
        <v>7570</v>
      </c>
      <c r="G953" s="24" t="b">
        <v>1</v>
      </c>
    </row>
    <row r="954" spans="1:7" ht="12.5" customHeight="1">
      <c r="A954" s="27">
        <v>30100</v>
      </c>
      <c r="B954" s="24" t="s">
        <v>8491</v>
      </c>
      <c r="C954" s="24" t="s">
        <v>9615</v>
      </c>
      <c r="D954" s="24" t="s">
        <v>7138</v>
      </c>
      <c r="E954" s="24" t="s">
        <v>8492</v>
      </c>
      <c r="F954" s="24" t="s">
        <v>7475</v>
      </c>
      <c r="G954" s="24" t="b">
        <v>1</v>
      </c>
    </row>
    <row r="955" spans="1:7" ht="12.5" customHeight="1">
      <c r="A955" s="27">
        <v>30100</v>
      </c>
      <c r="B955" s="24" t="s">
        <v>8491</v>
      </c>
      <c r="C955" s="24" t="s">
        <v>9615</v>
      </c>
      <c r="D955" s="24" t="s">
        <v>7138</v>
      </c>
      <c r="E955" s="24" t="s">
        <v>8421</v>
      </c>
      <c r="F955" s="24" t="s">
        <v>7475</v>
      </c>
      <c r="G955" s="24" t="b">
        <v>0</v>
      </c>
    </row>
    <row r="956" spans="1:7" ht="12.5" customHeight="1">
      <c r="A956" s="27">
        <v>30100</v>
      </c>
      <c r="B956" s="24" t="s">
        <v>8491</v>
      </c>
      <c r="C956" s="24" t="s">
        <v>9615</v>
      </c>
      <c r="D956" s="24" t="s">
        <v>7138</v>
      </c>
      <c r="E956" s="24" t="s">
        <v>7447</v>
      </c>
      <c r="F956" s="24" t="s">
        <v>7412</v>
      </c>
      <c r="G956" s="24" t="b">
        <v>0</v>
      </c>
    </row>
    <row r="957" spans="1:7" ht="12.5" customHeight="1">
      <c r="A957" s="27">
        <v>30100</v>
      </c>
      <c r="B957" s="24" t="s">
        <v>8491</v>
      </c>
      <c r="C957" s="24" t="s">
        <v>9615</v>
      </c>
      <c r="D957" s="24" t="s">
        <v>7138</v>
      </c>
      <c r="E957" s="24" t="s">
        <v>8493</v>
      </c>
      <c r="F957" s="24" t="s">
        <v>7412</v>
      </c>
      <c r="G957" s="24" t="b">
        <v>1</v>
      </c>
    </row>
    <row r="958" spans="1:7" ht="12.5" customHeight="1">
      <c r="A958" s="27">
        <v>30140</v>
      </c>
      <c r="B958" s="24" t="s">
        <v>8494</v>
      </c>
      <c r="C958" s="24" t="s">
        <v>9614</v>
      </c>
      <c r="D958" s="24" t="s">
        <v>8139</v>
      </c>
      <c r="E958" s="24" t="s">
        <v>8495</v>
      </c>
      <c r="F958" s="24" t="s">
        <v>7226</v>
      </c>
      <c r="G958" s="24" t="b">
        <v>1</v>
      </c>
    </row>
    <row r="959" spans="1:7" ht="12.5" customHeight="1">
      <c r="A959" s="27">
        <v>30220</v>
      </c>
      <c r="B959" s="24" t="s">
        <v>8496</v>
      </c>
      <c r="C959" s="24" t="s">
        <v>9615</v>
      </c>
      <c r="D959" s="24" t="s">
        <v>8497</v>
      </c>
      <c r="E959" s="24" t="s">
        <v>8498</v>
      </c>
      <c r="F959" s="24" t="s">
        <v>7147</v>
      </c>
      <c r="G959" s="24" t="b">
        <v>1</v>
      </c>
    </row>
    <row r="960" spans="1:7" ht="12.5" customHeight="1">
      <c r="A960" s="27">
        <v>30260</v>
      </c>
      <c r="B960" s="24" t="s">
        <v>8499</v>
      </c>
      <c r="C960" s="24" t="s">
        <v>9615</v>
      </c>
      <c r="D960" s="24" t="s">
        <v>7518</v>
      </c>
      <c r="E960" s="24" t="s">
        <v>7695</v>
      </c>
      <c r="F960" s="24" t="s">
        <v>7226</v>
      </c>
      <c r="G960" s="24" t="b">
        <v>1</v>
      </c>
    </row>
    <row r="961" spans="1:7" ht="12.5" customHeight="1">
      <c r="A961" s="27">
        <v>30280</v>
      </c>
      <c r="B961" s="24" t="s">
        <v>8500</v>
      </c>
      <c r="C961" s="24" t="s">
        <v>9615</v>
      </c>
      <c r="D961" s="24" t="s">
        <v>8485</v>
      </c>
      <c r="E961" s="24" t="s">
        <v>7200</v>
      </c>
      <c r="F961" s="24" t="s">
        <v>7312</v>
      </c>
      <c r="G961" s="24" t="b">
        <v>1</v>
      </c>
    </row>
    <row r="962" spans="1:7" ht="12.5" customHeight="1">
      <c r="A962" s="27">
        <v>30300</v>
      </c>
      <c r="B962" s="24" t="s">
        <v>8501</v>
      </c>
      <c r="C962" s="24" t="s">
        <v>9614</v>
      </c>
      <c r="D962" s="24" t="s">
        <v>7138</v>
      </c>
      <c r="E962" s="24" t="s">
        <v>8502</v>
      </c>
      <c r="F962" s="24" t="s">
        <v>7505</v>
      </c>
      <c r="G962" s="24" t="b">
        <v>1</v>
      </c>
    </row>
    <row r="963" spans="1:7" ht="12.5" customHeight="1">
      <c r="A963" s="27">
        <v>30300</v>
      </c>
      <c r="B963" s="24" t="s">
        <v>8501</v>
      </c>
      <c r="C963" s="24" t="s">
        <v>9614</v>
      </c>
      <c r="D963" s="24" t="s">
        <v>7138</v>
      </c>
      <c r="E963" s="24" t="s">
        <v>8503</v>
      </c>
      <c r="F963" s="24" t="s">
        <v>1134</v>
      </c>
      <c r="G963" s="24" t="b">
        <v>1</v>
      </c>
    </row>
    <row r="964" spans="1:7" ht="12.5" customHeight="1">
      <c r="A964" s="27">
        <v>30340</v>
      </c>
      <c r="B964" s="24" t="s">
        <v>8504</v>
      </c>
      <c r="C964" s="24" t="s">
        <v>9614</v>
      </c>
      <c r="D964" s="24" t="s">
        <v>8505</v>
      </c>
      <c r="E964" s="24" t="s">
        <v>8506</v>
      </c>
      <c r="F964" s="24" t="s">
        <v>7372</v>
      </c>
      <c r="G964" s="24" t="b">
        <v>1</v>
      </c>
    </row>
    <row r="965" spans="1:7" ht="12.5" customHeight="1">
      <c r="A965" s="27">
        <v>30380</v>
      </c>
      <c r="B965" s="24" t="s">
        <v>8507</v>
      </c>
      <c r="C965" s="24" t="s">
        <v>9615</v>
      </c>
      <c r="D965" s="24" t="s">
        <v>7138</v>
      </c>
      <c r="E965" s="24" t="s">
        <v>8508</v>
      </c>
      <c r="F965" s="24" t="s">
        <v>7226</v>
      </c>
      <c r="G965" s="24" t="b">
        <v>1</v>
      </c>
    </row>
    <row r="966" spans="1:7" ht="12.5" customHeight="1">
      <c r="A966" s="27">
        <v>30420</v>
      </c>
      <c r="B966" s="24" t="s">
        <v>8509</v>
      </c>
      <c r="C966" s="24" t="s">
        <v>9615</v>
      </c>
      <c r="D966" s="24" t="s">
        <v>7138</v>
      </c>
      <c r="E966" s="24" t="s">
        <v>7329</v>
      </c>
      <c r="F966" s="24" t="s">
        <v>7443</v>
      </c>
      <c r="G966" s="24" t="b">
        <v>1</v>
      </c>
    </row>
    <row r="967" spans="1:7" ht="12.5" customHeight="1">
      <c r="A967" s="27">
        <v>30420</v>
      </c>
      <c r="B967" s="24" t="s">
        <v>8509</v>
      </c>
      <c r="C967" s="24" t="s">
        <v>9615</v>
      </c>
      <c r="D967" s="24" t="s">
        <v>7138</v>
      </c>
      <c r="E967" s="24" t="s">
        <v>8510</v>
      </c>
      <c r="F967" s="24" t="s">
        <v>7443</v>
      </c>
      <c r="G967" s="24" t="b">
        <v>0</v>
      </c>
    </row>
    <row r="968" spans="1:7" ht="12.5" customHeight="1">
      <c r="A968" s="27">
        <v>30460</v>
      </c>
      <c r="B968" s="24" t="s">
        <v>8511</v>
      </c>
      <c r="C968" s="24" t="s">
        <v>9614</v>
      </c>
      <c r="D968" s="24" t="s">
        <v>8099</v>
      </c>
      <c r="E968" s="24" t="s">
        <v>8512</v>
      </c>
      <c r="F968" s="24" t="s">
        <v>7404</v>
      </c>
      <c r="G968" s="24" t="b">
        <v>0</v>
      </c>
    </row>
    <row r="969" spans="1:7" ht="12.5" customHeight="1">
      <c r="A969" s="27">
        <v>30460</v>
      </c>
      <c r="B969" s="24" t="s">
        <v>8511</v>
      </c>
      <c r="C969" s="24" t="s">
        <v>9614</v>
      </c>
      <c r="D969" s="24" t="s">
        <v>8099</v>
      </c>
      <c r="E969" s="24" t="s">
        <v>7288</v>
      </c>
      <c r="F969" s="24" t="s">
        <v>7404</v>
      </c>
      <c r="G969" s="24" t="b">
        <v>0</v>
      </c>
    </row>
    <row r="970" spans="1:7" ht="12.5" customHeight="1">
      <c r="A970" s="27">
        <v>30460</v>
      </c>
      <c r="B970" s="24" t="s">
        <v>8511</v>
      </c>
      <c r="C970" s="24" t="s">
        <v>9614</v>
      </c>
      <c r="D970" s="24" t="s">
        <v>8099</v>
      </c>
      <c r="E970" s="24" t="s">
        <v>7331</v>
      </c>
      <c r="F970" s="24" t="s">
        <v>7404</v>
      </c>
      <c r="G970" s="24" t="b">
        <v>1</v>
      </c>
    </row>
    <row r="971" spans="1:7" ht="12.5" customHeight="1">
      <c r="A971" s="27">
        <v>30460</v>
      </c>
      <c r="B971" s="24" t="s">
        <v>8511</v>
      </c>
      <c r="C971" s="24" t="s">
        <v>9614</v>
      </c>
      <c r="D971" s="24" t="s">
        <v>8099</v>
      </c>
      <c r="E971" s="24" t="s">
        <v>8513</v>
      </c>
      <c r="F971" s="24" t="s">
        <v>7404</v>
      </c>
      <c r="G971" s="24" t="b">
        <v>0</v>
      </c>
    </row>
    <row r="972" spans="1:7" ht="12.5" customHeight="1">
      <c r="A972" s="27">
        <v>30460</v>
      </c>
      <c r="B972" s="24" t="s">
        <v>8511</v>
      </c>
      <c r="C972" s="24" t="s">
        <v>9614</v>
      </c>
      <c r="D972" s="24" t="s">
        <v>8099</v>
      </c>
      <c r="E972" s="24" t="s">
        <v>7882</v>
      </c>
      <c r="F972" s="24" t="s">
        <v>7404</v>
      </c>
      <c r="G972" s="24" t="b">
        <v>0</v>
      </c>
    </row>
    <row r="973" spans="1:7" ht="12.5" customHeight="1">
      <c r="A973" s="27">
        <v>30460</v>
      </c>
      <c r="B973" s="24" t="s">
        <v>8511</v>
      </c>
      <c r="C973" s="24" t="s">
        <v>9614</v>
      </c>
      <c r="D973" s="24" t="s">
        <v>8099</v>
      </c>
      <c r="E973" s="24" t="s">
        <v>8514</v>
      </c>
      <c r="F973" s="24" t="s">
        <v>7404</v>
      </c>
      <c r="G973" s="24" t="b">
        <v>0</v>
      </c>
    </row>
    <row r="974" spans="1:7" ht="12.5" customHeight="1">
      <c r="A974" s="27">
        <v>30580</v>
      </c>
      <c r="B974" s="24" t="s">
        <v>8515</v>
      </c>
      <c r="C974" s="24" t="s">
        <v>9615</v>
      </c>
      <c r="D974" s="24" t="s">
        <v>7138</v>
      </c>
      <c r="E974" s="24" t="s">
        <v>8516</v>
      </c>
      <c r="F974" s="24" t="s">
        <v>7306</v>
      </c>
      <c r="G974" s="24" t="b">
        <v>1</v>
      </c>
    </row>
    <row r="975" spans="1:7" ht="12.5" customHeight="1">
      <c r="A975" s="27">
        <v>30620</v>
      </c>
      <c r="B975" s="24" t="s">
        <v>8517</v>
      </c>
      <c r="C975" s="24" t="s">
        <v>9614</v>
      </c>
      <c r="D975" s="24" t="s">
        <v>7666</v>
      </c>
      <c r="E975" s="24" t="s">
        <v>7558</v>
      </c>
      <c r="F975" s="24" t="s">
        <v>7171</v>
      </c>
      <c r="G975" s="24" t="b">
        <v>1</v>
      </c>
    </row>
    <row r="976" spans="1:7" ht="12.5" customHeight="1">
      <c r="A976" s="27">
        <v>30660</v>
      </c>
      <c r="B976" s="24" t="s">
        <v>8518</v>
      </c>
      <c r="C976" s="24" t="s">
        <v>9615</v>
      </c>
      <c r="D976" s="24" t="s">
        <v>8340</v>
      </c>
      <c r="E976" s="24" t="s">
        <v>7461</v>
      </c>
      <c r="F976" s="24" t="s">
        <v>7513</v>
      </c>
      <c r="G976" s="24" t="b">
        <v>1</v>
      </c>
    </row>
    <row r="977" spans="1:7" ht="12.5" customHeight="1">
      <c r="A977" s="27">
        <v>30700</v>
      </c>
      <c r="B977" s="24" t="s">
        <v>8519</v>
      </c>
      <c r="C977" s="24" t="s">
        <v>9614</v>
      </c>
      <c r="D977" s="24" t="s">
        <v>7441</v>
      </c>
      <c r="E977" s="24" t="s">
        <v>7697</v>
      </c>
      <c r="F977" s="24" t="s">
        <v>7443</v>
      </c>
      <c r="G977" s="24" t="b">
        <v>1</v>
      </c>
    </row>
    <row r="978" spans="1:7" ht="12.5" customHeight="1">
      <c r="A978" s="27">
        <v>30700</v>
      </c>
      <c r="B978" s="24" t="s">
        <v>8519</v>
      </c>
      <c r="C978" s="24" t="s">
        <v>9614</v>
      </c>
      <c r="D978" s="24" t="s">
        <v>7441</v>
      </c>
      <c r="E978" s="24" t="s">
        <v>8516</v>
      </c>
      <c r="F978" s="24" t="s">
        <v>7443</v>
      </c>
      <c r="G978" s="24" t="b">
        <v>0</v>
      </c>
    </row>
    <row r="979" spans="1:7" ht="12.5" customHeight="1">
      <c r="A979" s="27">
        <v>30780</v>
      </c>
      <c r="B979" s="24" t="s">
        <v>8520</v>
      </c>
      <c r="C979" s="24" t="s">
        <v>9614</v>
      </c>
      <c r="D979" s="24" t="s">
        <v>8521</v>
      </c>
      <c r="E979" s="24" t="s">
        <v>8522</v>
      </c>
      <c r="F979" s="24" t="s">
        <v>7289</v>
      </c>
      <c r="G979" s="24" t="b">
        <v>0</v>
      </c>
    </row>
    <row r="980" spans="1:7" ht="12.5" customHeight="1">
      <c r="A980" s="27">
        <v>30780</v>
      </c>
      <c r="B980" s="24" t="s">
        <v>8520</v>
      </c>
      <c r="C980" s="24" t="s">
        <v>9614</v>
      </c>
      <c r="D980" s="24" t="s">
        <v>8521</v>
      </c>
      <c r="E980" s="24" t="s">
        <v>7734</v>
      </c>
      <c r="F980" s="24" t="s">
        <v>7289</v>
      </c>
      <c r="G980" s="24" t="b">
        <v>0</v>
      </c>
    </row>
    <row r="981" spans="1:7" ht="12.5" customHeight="1">
      <c r="A981" s="27">
        <v>30780</v>
      </c>
      <c r="B981" s="24" t="s">
        <v>8520</v>
      </c>
      <c r="C981" s="24" t="s">
        <v>9614</v>
      </c>
      <c r="D981" s="24" t="s">
        <v>8521</v>
      </c>
      <c r="E981" s="24" t="s">
        <v>8523</v>
      </c>
      <c r="F981" s="24" t="s">
        <v>7289</v>
      </c>
      <c r="G981" s="24" t="b">
        <v>1</v>
      </c>
    </row>
    <row r="982" spans="1:7" ht="12.5" customHeight="1">
      <c r="A982" s="27">
        <v>30780</v>
      </c>
      <c r="B982" s="24" t="s">
        <v>8520</v>
      </c>
      <c r="C982" s="24" t="s">
        <v>9614</v>
      </c>
      <c r="D982" s="24" t="s">
        <v>8521</v>
      </c>
      <c r="E982" s="24" t="s">
        <v>7811</v>
      </c>
      <c r="F982" s="24" t="s">
        <v>7289</v>
      </c>
      <c r="G982" s="24" t="b">
        <v>0</v>
      </c>
    </row>
    <row r="983" spans="1:7" ht="12.5" customHeight="1">
      <c r="A983" s="27">
        <v>30780</v>
      </c>
      <c r="B983" s="24" t="s">
        <v>8520</v>
      </c>
      <c r="C983" s="24" t="s">
        <v>9614</v>
      </c>
      <c r="D983" s="24" t="s">
        <v>8521</v>
      </c>
      <c r="E983" s="24" t="s">
        <v>7508</v>
      </c>
      <c r="F983" s="24" t="s">
        <v>7289</v>
      </c>
      <c r="G983" s="24" t="b">
        <v>1</v>
      </c>
    </row>
    <row r="984" spans="1:7" ht="12.5" customHeight="1">
      <c r="A984" s="27">
        <v>30780</v>
      </c>
      <c r="B984" s="24" t="s">
        <v>8520</v>
      </c>
      <c r="C984" s="24" t="s">
        <v>9614</v>
      </c>
      <c r="D984" s="24" t="s">
        <v>8521</v>
      </c>
      <c r="E984" s="24" t="s">
        <v>8524</v>
      </c>
      <c r="F984" s="24" t="s">
        <v>7289</v>
      </c>
      <c r="G984" s="24" t="b">
        <v>1</v>
      </c>
    </row>
    <row r="985" spans="1:7" ht="12.5" customHeight="1">
      <c r="A985" s="27">
        <v>30820</v>
      </c>
      <c r="B985" s="24" t="s">
        <v>8525</v>
      </c>
      <c r="C985" s="24" t="s">
        <v>9615</v>
      </c>
      <c r="D985" s="24" t="s">
        <v>8526</v>
      </c>
      <c r="E985" s="24" t="s">
        <v>7762</v>
      </c>
      <c r="F985" s="24" t="s">
        <v>7226</v>
      </c>
      <c r="G985" s="24" t="b">
        <v>1</v>
      </c>
    </row>
    <row r="986" spans="1:7" ht="12.5" customHeight="1">
      <c r="A986" s="27">
        <v>30860</v>
      </c>
      <c r="B986" s="24" t="s">
        <v>8527</v>
      </c>
      <c r="C986" s="24" t="s">
        <v>9614</v>
      </c>
      <c r="D986" s="24" t="s">
        <v>7138</v>
      </c>
      <c r="E986" s="24" t="s">
        <v>7616</v>
      </c>
      <c r="F986" s="24" t="s">
        <v>7505</v>
      </c>
      <c r="G986" s="24" t="b">
        <v>0</v>
      </c>
    </row>
    <row r="987" spans="1:7" ht="12.5" customHeight="1">
      <c r="A987" s="27">
        <v>30860</v>
      </c>
      <c r="B987" s="24" t="s">
        <v>8527</v>
      </c>
      <c r="C987" s="24" t="s">
        <v>9614</v>
      </c>
      <c r="D987" s="24" t="s">
        <v>7138</v>
      </c>
      <c r="E987" s="24" t="s">
        <v>8528</v>
      </c>
      <c r="F987" s="24" t="s">
        <v>7659</v>
      </c>
      <c r="G987" s="24" t="b">
        <v>1</v>
      </c>
    </row>
    <row r="988" spans="1:7" ht="12.5" customHeight="1">
      <c r="A988" s="27">
        <v>30900</v>
      </c>
      <c r="B988" s="24" t="s">
        <v>8529</v>
      </c>
      <c r="C988" s="24" t="s">
        <v>9615</v>
      </c>
      <c r="D988" s="24" t="s">
        <v>7138</v>
      </c>
      <c r="E988" s="24" t="s">
        <v>7566</v>
      </c>
      <c r="F988" s="24" t="s">
        <v>4460</v>
      </c>
      <c r="G988" s="24" t="b">
        <v>1</v>
      </c>
    </row>
    <row r="989" spans="1:7" ht="12.5" customHeight="1">
      <c r="A989" s="27">
        <v>30940</v>
      </c>
      <c r="B989" s="24" t="s">
        <v>8530</v>
      </c>
      <c r="C989" s="24" t="s">
        <v>9615</v>
      </c>
      <c r="D989" s="24" t="s">
        <v>7138</v>
      </c>
      <c r="E989" s="24" t="s">
        <v>7680</v>
      </c>
      <c r="F989" s="24" t="s">
        <v>7404</v>
      </c>
      <c r="G989" s="24" t="b">
        <v>0</v>
      </c>
    </row>
    <row r="990" spans="1:7" ht="12.5" customHeight="1">
      <c r="A990" s="27">
        <v>30940</v>
      </c>
      <c r="B990" s="24" t="s">
        <v>8530</v>
      </c>
      <c r="C990" s="24" t="s">
        <v>9615</v>
      </c>
      <c r="D990" s="24" t="s">
        <v>7138</v>
      </c>
      <c r="E990" s="24" t="s">
        <v>8128</v>
      </c>
      <c r="F990" s="24" t="s">
        <v>7404</v>
      </c>
      <c r="G990" s="24" t="b">
        <v>1</v>
      </c>
    </row>
    <row r="991" spans="1:7" ht="12.5" customHeight="1">
      <c r="A991" s="27">
        <v>30940</v>
      </c>
      <c r="B991" s="24" t="s">
        <v>8530</v>
      </c>
      <c r="C991" s="24" t="s">
        <v>9615</v>
      </c>
      <c r="D991" s="24" t="s">
        <v>7138</v>
      </c>
      <c r="E991" s="24" t="s">
        <v>8531</v>
      </c>
      <c r="F991" s="24" t="s">
        <v>7404</v>
      </c>
      <c r="G991" s="24" t="b">
        <v>1</v>
      </c>
    </row>
    <row r="992" spans="1:7" ht="12.5" customHeight="1">
      <c r="A992" s="27">
        <v>30940</v>
      </c>
      <c r="B992" s="24" t="s">
        <v>8530</v>
      </c>
      <c r="C992" s="24" t="s">
        <v>9615</v>
      </c>
      <c r="D992" s="24" t="s">
        <v>7138</v>
      </c>
      <c r="E992" s="24" t="s">
        <v>8095</v>
      </c>
      <c r="F992" s="24" t="s">
        <v>7404</v>
      </c>
      <c r="G992" s="24" t="b">
        <v>1</v>
      </c>
    </row>
    <row r="993" spans="1:7" ht="12.5" customHeight="1">
      <c r="A993" s="27">
        <v>30980</v>
      </c>
      <c r="B993" s="24" t="s">
        <v>8532</v>
      </c>
      <c r="C993" s="24" t="s">
        <v>9614</v>
      </c>
      <c r="D993" s="24" t="s">
        <v>7138</v>
      </c>
      <c r="E993" s="24" t="s">
        <v>8533</v>
      </c>
      <c r="F993" s="24" t="s">
        <v>7147</v>
      </c>
      <c r="G993" s="24" t="b">
        <v>1</v>
      </c>
    </row>
    <row r="994" spans="1:7" ht="12.5" customHeight="1">
      <c r="A994" s="27">
        <v>30980</v>
      </c>
      <c r="B994" s="24" t="s">
        <v>8532</v>
      </c>
      <c r="C994" s="24" t="s">
        <v>9614</v>
      </c>
      <c r="D994" s="24" t="s">
        <v>7138</v>
      </c>
      <c r="E994" s="24" t="s">
        <v>7740</v>
      </c>
      <c r="F994" s="24" t="s">
        <v>7147</v>
      </c>
      <c r="G994" s="24" t="b">
        <v>0</v>
      </c>
    </row>
    <row r="995" spans="1:7" ht="12.5" customHeight="1">
      <c r="A995" s="27">
        <v>30980</v>
      </c>
      <c r="B995" s="24" t="s">
        <v>8532</v>
      </c>
      <c r="C995" s="24" t="s">
        <v>9614</v>
      </c>
      <c r="D995" s="24" t="s">
        <v>7138</v>
      </c>
      <c r="E995" s="24" t="s">
        <v>8534</v>
      </c>
      <c r="F995" s="24" t="s">
        <v>7147</v>
      </c>
      <c r="G995" s="24" t="b">
        <v>0</v>
      </c>
    </row>
    <row r="996" spans="1:7" ht="12.5" customHeight="1">
      <c r="A996" s="27">
        <v>30980</v>
      </c>
      <c r="B996" s="24" t="s">
        <v>8532</v>
      </c>
      <c r="C996" s="24" t="s">
        <v>9614</v>
      </c>
      <c r="D996" s="24" t="s">
        <v>7138</v>
      </c>
      <c r="E996" s="24" t="s">
        <v>8535</v>
      </c>
      <c r="F996" s="24" t="s">
        <v>7147</v>
      </c>
      <c r="G996" s="24" t="b">
        <v>0</v>
      </c>
    </row>
    <row r="997" spans="1:7" ht="12.5" customHeight="1">
      <c r="A997" s="27">
        <v>31020</v>
      </c>
      <c r="B997" s="24" t="s">
        <v>8536</v>
      </c>
      <c r="C997" s="24" t="s">
        <v>9614</v>
      </c>
      <c r="D997" s="24" t="s">
        <v>7183</v>
      </c>
      <c r="E997" s="24" t="s">
        <v>8537</v>
      </c>
      <c r="F997" s="24" t="s">
        <v>1134</v>
      </c>
      <c r="G997" s="24" t="b">
        <v>1</v>
      </c>
    </row>
    <row r="998" spans="1:7" ht="12.5" customHeight="1">
      <c r="A998" s="27">
        <v>31060</v>
      </c>
      <c r="B998" s="24" t="s">
        <v>8538</v>
      </c>
      <c r="C998" s="24" t="s">
        <v>9615</v>
      </c>
      <c r="D998" s="24" t="s">
        <v>7203</v>
      </c>
      <c r="E998" s="24" t="s">
        <v>8539</v>
      </c>
      <c r="F998" s="24" t="s">
        <v>7175</v>
      </c>
      <c r="G998" s="24" t="b">
        <v>1</v>
      </c>
    </row>
    <row r="999" spans="1:7" ht="12.5" customHeight="1">
      <c r="A999" s="27">
        <v>31080</v>
      </c>
      <c r="B999" s="24" t="s">
        <v>8540</v>
      </c>
      <c r="C999" s="24" t="s">
        <v>9614</v>
      </c>
      <c r="D999" s="24" t="s">
        <v>8541</v>
      </c>
      <c r="E999" s="24" t="s">
        <v>7447</v>
      </c>
      <c r="F999" s="24" t="s">
        <v>7386</v>
      </c>
      <c r="G999" s="24" t="b">
        <v>1</v>
      </c>
    </row>
    <row r="1000" spans="1:7" ht="12.5" customHeight="1">
      <c r="A1000" s="27">
        <v>31080</v>
      </c>
      <c r="B1000" s="24" t="s">
        <v>8540</v>
      </c>
      <c r="C1000" s="24" t="s">
        <v>9614</v>
      </c>
      <c r="D1000" s="24" t="s">
        <v>8541</v>
      </c>
      <c r="E1000" s="24" t="s">
        <v>8542</v>
      </c>
      <c r="F1000" s="24" t="s">
        <v>7386</v>
      </c>
      <c r="G1000" s="24" t="b">
        <v>1</v>
      </c>
    </row>
    <row r="1001" spans="1:7" ht="12.5" customHeight="1">
      <c r="A1001" s="27">
        <v>31140</v>
      </c>
      <c r="B1001" s="24" t="s">
        <v>8543</v>
      </c>
      <c r="C1001" s="24" t="s">
        <v>9614</v>
      </c>
      <c r="D1001" s="24" t="s">
        <v>7402</v>
      </c>
      <c r="E1001" s="24" t="s">
        <v>7288</v>
      </c>
      <c r="F1001" s="24" t="s">
        <v>4460</v>
      </c>
      <c r="G1001" s="24" t="b">
        <v>1</v>
      </c>
    </row>
    <row r="1002" spans="1:7" ht="12.5" customHeight="1">
      <c r="A1002" s="27">
        <v>31140</v>
      </c>
      <c r="B1002" s="24" t="s">
        <v>8543</v>
      </c>
      <c r="C1002" s="24" t="s">
        <v>9614</v>
      </c>
      <c r="D1002" s="24" t="s">
        <v>7402</v>
      </c>
      <c r="E1002" s="24" t="s">
        <v>8544</v>
      </c>
      <c r="F1002" s="24" t="s">
        <v>4460</v>
      </c>
      <c r="G1002" s="24" t="b">
        <v>1</v>
      </c>
    </row>
    <row r="1003" spans="1:7" ht="12.5" customHeight="1">
      <c r="A1003" s="27">
        <v>31140</v>
      </c>
      <c r="B1003" s="24" t="s">
        <v>8543</v>
      </c>
      <c r="C1003" s="24" t="s">
        <v>9614</v>
      </c>
      <c r="D1003" s="24" t="s">
        <v>7402</v>
      </c>
      <c r="E1003" s="24" t="s">
        <v>7740</v>
      </c>
      <c r="F1003" s="24" t="s">
        <v>4460</v>
      </c>
      <c r="G1003" s="24" t="b">
        <v>0</v>
      </c>
    </row>
    <row r="1004" spans="1:7" ht="12.5" customHeight="1">
      <c r="A1004" s="27">
        <v>31140</v>
      </c>
      <c r="B1004" s="24" t="s">
        <v>8543</v>
      </c>
      <c r="C1004" s="24" t="s">
        <v>9614</v>
      </c>
      <c r="D1004" s="24" t="s">
        <v>7402</v>
      </c>
      <c r="E1004" s="24" t="s">
        <v>7411</v>
      </c>
      <c r="F1004" s="24" t="s">
        <v>4460</v>
      </c>
      <c r="G1004" s="24" t="b">
        <v>0</v>
      </c>
    </row>
    <row r="1005" spans="1:7" ht="12.5" customHeight="1">
      <c r="A1005" s="27">
        <v>31140</v>
      </c>
      <c r="B1005" s="24" t="s">
        <v>8543</v>
      </c>
      <c r="C1005" s="24" t="s">
        <v>9614</v>
      </c>
      <c r="D1005" s="24" t="s">
        <v>7402</v>
      </c>
      <c r="E1005" s="24" t="s">
        <v>8545</v>
      </c>
      <c r="F1005" s="24" t="s">
        <v>7404</v>
      </c>
      <c r="G1005" s="24" t="b">
        <v>1</v>
      </c>
    </row>
    <row r="1006" spans="1:7" ht="12.5" customHeight="1">
      <c r="A1006" s="27">
        <v>31140</v>
      </c>
      <c r="B1006" s="24" t="s">
        <v>8543</v>
      </c>
      <c r="C1006" s="24" t="s">
        <v>9614</v>
      </c>
      <c r="D1006" s="24" t="s">
        <v>7402</v>
      </c>
      <c r="E1006" s="24" t="s">
        <v>7337</v>
      </c>
      <c r="F1006" s="24" t="s">
        <v>7404</v>
      </c>
      <c r="G1006" s="24" t="b">
        <v>0</v>
      </c>
    </row>
    <row r="1007" spans="1:7" ht="12.5" customHeight="1">
      <c r="A1007" s="27">
        <v>31140</v>
      </c>
      <c r="B1007" s="24" t="s">
        <v>8543</v>
      </c>
      <c r="C1007" s="24" t="s">
        <v>9614</v>
      </c>
      <c r="D1007" s="24" t="s">
        <v>7402</v>
      </c>
      <c r="E1007" s="24" t="s">
        <v>7446</v>
      </c>
      <c r="F1007" s="24" t="s">
        <v>7404</v>
      </c>
      <c r="G1007" s="24" t="b">
        <v>1</v>
      </c>
    </row>
    <row r="1008" spans="1:7" ht="12.5" customHeight="1">
      <c r="A1008" s="27">
        <v>31140</v>
      </c>
      <c r="B1008" s="24" t="s">
        <v>8543</v>
      </c>
      <c r="C1008" s="24" t="s">
        <v>9614</v>
      </c>
      <c r="D1008" s="24" t="s">
        <v>7402</v>
      </c>
      <c r="E1008" s="24" t="s">
        <v>7243</v>
      </c>
      <c r="F1008" s="24" t="s">
        <v>7404</v>
      </c>
      <c r="G1008" s="24" t="b">
        <v>1</v>
      </c>
    </row>
    <row r="1009" spans="1:7" ht="12.5" customHeight="1">
      <c r="A1009" s="27">
        <v>31140</v>
      </c>
      <c r="B1009" s="24" t="s">
        <v>8543</v>
      </c>
      <c r="C1009" s="24" t="s">
        <v>9614</v>
      </c>
      <c r="D1009" s="24" t="s">
        <v>7402</v>
      </c>
      <c r="E1009" s="24" t="s">
        <v>7496</v>
      </c>
      <c r="F1009" s="24" t="s">
        <v>7404</v>
      </c>
      <c r="G1009" s="24" t="b">
        <v>0</v>
      </c>
    </row>
    <row r="1010" spans="1:7" ht="12.5" customHeight="1">
      <c r="A1010" s="27">
        <v>31140</v>
      </c>
      <c r="B1010" s="24" t="s">
        <v>8543</v>
      </c>
      <c r="C1010" s="24" t="s">
        <v>9614</v>
      </c>
      <c r="D1010" s="24" t="s">
        <v>7402</v>
      </c>
      <c r="E1010" s="24" t="s">
        <v>8546</v>
      </c>
      <c r="F1010" s="24" t="s">
        <v>7404</v>
      </c>
      <c r="G1010" s="24" t="b">
        <v>0</v>
      </c>
    </row>
    <row r="1011" spans="1:7" ht="12.5" customHeight="1">
      <c r="A1011" s="27">
        <v>31180</v>
      </c>
      <c r="B1011" s="24" t="s">
        <v>8547</v>
      </c>
      <c r="C1011" s="24" t="s">
        <v>9614</v>
      </c>
      <c r="D1011" s="24" t="s">
        <v>8497</v>
      </c>
      <c r="E1011" s="24" t="s">
        <v>8548</v>
      </c>
      <c r="F1011" s="24" t="s">
        <v>7147</v>
      </c>
      <c r="G1011" s="24" t="b">
        <v>0</v>
      </c>
    </row>
    <row r="1012" spans="1:7" ht="12.5" customHeight="1">
      <c r="A1012" s="27">
        <v>31180</v>
      </c>
      <c r="B1012" s="24" t="s">
        <v>8547</v>
      </c>
      <c r="C1012" s="24" t="s">
        <v>9614</v>
      </c>
      <c r="D1012" s="24" t="s">
        <v>8497</v>
      </c>
      <c r="E1012" s="24" t="s">
        <v>8549</v>
      </c>
      <c r="F1012" s="24" t="s">
        <v>7147</v>
      </c>
      <c r="G1012" s="24" t="b">
        <v>1</v>
      </c>
    </row>
    <row r="1013" spans="1:7" ht="12.5" customHeight="1">
      <c r="A1013" s="27">
        <v>31180</v>
      </c>
      <c r="B1013" s="24" t="s">
        <v>8547</v>
      </c>
      <c r="C1013" s="24" t="s">
        <v>9614</v>
      </c>
      <c r="D1013" s="24" t="s">
        <v>8497</v>
      </c>
      <c r="E1013" s="24" t="s">
        <v>8550</v>
      </c>
      <c r="F1013" s="24" t="s">
        <v>7147</v>
      </c>
      <c r="G1013" s="24" t="b">
        <v>0</v>
      </c>
    </row>
    <row r="1014" spans="1:7" ht="12.5" customHeight="1">
      <c r="A1014" s="27">
        <v>31220</v>
      </c>
      <c r="B1014" s="24" t="s">
        <v>8551</v>
      </c>
      <c r="C1014" s="24" t="s">
        <v>9615</v>
      </c>
      <c r="D1014" s="24" t="s">
        <v>7138</v>
      </c>
      <c r="E1014" s="24" t="s">
        <v>8552</v>
      </c>
      <c r="F1014" s="24" t="s">
        <v>7156</v>
      </c>
      <c r="G1014" s="24" t="b">
        <v>1</v>
      </c>
    </row>
    <row r="1015" spans="1:7" ht="12.5" customHeight="1">
      <c r="A1015" s="27">
        <v>31260</v>
      </c>
      <c r="B1015" s="24" t="s">
        <v>8553</v>
      </c>
      <c r="C1015" s="24" t="s">
        <v>9615</v>
      </c>
      <c r="D1015" s="24" t="s">
        <v>7138</v>
      </c>
      <c r="E1015" s="24" t="s">
        <v>8554</v>
      </c>
      <c r="F1015" s="24" t="s">
        <v>7147</v>
      </c>
      <c r="G1015" s="24" t="b">
        <v>1</v>
      </c>
    </row>
    <row r="1016" spans="1:7" ht="12.5" customHeight="1">
      <c r="A1016" s="27">
        <v>31300</v>
      </c>
      <c r="B1016" s="24" t="s">
        <v>8555</v>
      </c>
      <c r="C1016" s="24" t="s">
        <v>9615</v>
      </c>
      <c r="D1016" s="24" t="s">
        <v>8051</v>
      </c>
      <c r="E1016" s="24" t="s">
        <v>8556</v>
      </c>
      <c r="F1016" s="24" t="s">
        <v>7195</v>
      </c>
      <c r="G1016" s="24" t="b">
        <v>1</v>
      </c>
    </row>
    <row r="1017" spans="1:7" ht="12.5" customHeight="1">
      <c r="A1017" s="27">
        <v>31340</v>
      </c>
      <c r="B1017" s="24" t="s">
        <v>8557</v>
      </c>
      <c r="C1017" s="24" t="s">
        <v>9614</v>
      </c>
      <c r="D1017" s="24" t="s">
        <v>7138</v>
      </c>
      <c r="E1017" s="24" t="s">
        <v>8558</v>
      </c>
      <c r="F1017" s="24" t="s">
        <v>2920</v>
      </c>
      <c r="G1017" s="24" t="b">
        <v>1</v>
      </c>
    </row>
    <row r="1018" spans="1:7" ht="12.5" customHeight="1">
      <c r="A1018" s="27">
        <v>31340</v>
      </c>
      <c r="B1018" s="24" t="s">
        <v>8557</v>
      </c>
      <c r="C1018" s="24" t="s">
        <v>9614</v>
      </c>
      <c r="D1018" s="24" t="s">
        <v>7138</v>
      </c>
      <c r="E1018" s="24" t="s">
        <v>8559</v>
      </c>
      <c r="F1018" s="24" t="s">
        <v>2920</v>
      </c>
      <c r="G1018" s="24" t="b">
        <v>0</v>
      </c>
    </row>
    <row r="1019" spans="1:7" ht="12.5" customHeight="1">
      <c r="A1019" s="27">
        <v>31340</v>
      </c>
      <c r="B1019" s="24" t="s">
        <v>8557</v>
      </c>
      <c r="C1019" s="24" t="s">
        <v>9614</v>
      </c>
      <c r="D1019" s="24" t="s">
        <v>7138</v>
      </c>
      <c r="E1019" s="24" t="s">
        <v>8560</v>
      </c>
      <c r="F1019" s="24" t="s">
        <v>2920</v>
      </c>
      <c r="G1019" s="24" t="b">
        <v>1</v>
      </c>
    </row>
    <row r="1020" spans="1:7" ht="12.5" customHeight="1">
      <c r="A1020" s="27">
        <v>31340</v>
      </c>
      <c r="B1020" s="24" t="s">
        <v>8557</v>
      </c>
      <c r="C1020" s="24" t="s">
        <v>9614</v>
      </c>
      <c r="D1020" s="24" t="s">
        <v>7138</v>
      </c>
      <c r="E1020" s="24" t="s">
        <v>7733</v>
      </c>
      <c r="F1020" s="24" t="s">
        <v>2920</v>
      </c>
      <c r="G1020" s="24" t="b">
        <v>1</v>
      </c>
    </row>
    <row r="1021" spans="1:7" ht="12.5" customHeight="1">
      <c r="A1021" s="27">
        <v>31340</v>
      </c>
      <c r="B1021" s="24" t="s">
        <v>8557</v>
      </c>
      <c r="C1021" s="24" t="s">
        <v>9614</v>
      </c>
      <c r="D1021" s="24" t="s">
        <v>7138</v>
      </c>
      <c r="E1021" s="24" t="s">
        <v>8561</v>
      </c>
      <c r="F1021" s="24" t="s">
        <v>2920</v>
      </c>
      <c r="G1021" s="24" t="b">
        <v>1</v>
      </c>
    </row>
    <row r="1022" spans="1:7" ht="12.5" customHeight="1">
      <c r="A1022" s="27">
        <v>31380</v>
      </c>
      <c r="B1022" s="24" t="s">
        <v>8562</v>
      </c>
      <c r="C1022" s="24" t="s">
        <v>9615</v>
      </c>
      <c r="D1022" s="24" t="s">
        <v>7138</v>
      </c>
      <c r="E1022" s="24" t="s">
        <v>8563</v>
      </c>
      <c r="F1022" s="24" t="s">
        <v>7513</v>
      </c>
      <c r="G1022" s="24" t="b">
        <v>1</v>
      </c>
    </row>
    <row r="1023" spans="1:7" ht="12.5" customHeight="1">
      <c r="A1023" s="27">
        <v>31420</v>
      </c>
      <c r="B1023" s="24" t="s">
        <v>8564</v>
      </c>
      <c r="C1023" s="24" t="s">
        <v>9614</v>
      </c>
      <c r="D1023" s="24" t="s">
        <v>8565</v>
      </c>
      <c r="E1023" s="24" t="s">
        <v>7492</v>
      </c>
      <c r="F1023" s="24" t="s">
        <v>7178</v>
      </c>
      <c r="G1023" s="24" t="b">
        <v>1</v>
      </c>
    </row>
    <row r="1024" spans="1:7" ht="12.5" customHeight="1">
      <c r="A1024" s="27">
        <v>31420</v>
      </c>
      <c r="B1024" s="24" t="s">
        <v>8564</v>
      </c>
      <c r="C1024" s="24" t="s">
        <v>9614</v>
      </c>
      <c r="D1024" s="24" t="s">
        <v>8565</v>
      </c>
      <c r="E1024" s="24" t="s">
        <v>7600</v>
      </c>
      <c r="F1024" s="24" t="s">
        <v>7178</v>
      </c>
      <c r="G1024" s="24" t="b">
        <v>0</v>
      </c>
    </row>
    <row r="1025" spans="1:7" ht="12.5" customHeight="1">
      <c r="A1025" s="27">
        <v>31420</v>
      </c>
      <c r="B1025" s="24" t="s">
        <v>8564</v>
      </c>
      <c r="C1025" s="24" t="s">
        <v>9614</v>
      </c>
      <c r="D1025" s="24" t="s">
        <v>8565</v>
      </c>
      <c r="E1025" s="24" t="s">
        <v>7148</v>
      </c>
      <c r="F1025" s="24" t="s">
        <v>7178</v>
      </c>
      <c r="G1025" s="24" t="b">
        <v>0</v>
      </c>
    </row>
    <row r="1026" spans="1:7" ht="12.5" customHeight="1">
      <c r="A1026" s="27">
        <v>31420</v>
      </c>
      <c r="B1026" s="24" t="s">
        <v>8564</v>
      </c>
      <c r="C1026" s="24" t="s">
        <v>9614</v>
      </c>
      <c r="D1026" s="24" t="s">
        <v>8565</v>
      </c>
      <c r="E1026" s="24" t="s">
        <v>7515</v>
      </c>
      <c r="F1026" s="24" t="s">
        <v>7178</v>
      </c>
      <c r="G1026" s="24" t="b">
        <v>0</v>
      </c>
    </row>
    <row r="1027" spans="1:7" ht="12.5" customHeight="1">
      <c r="A1027" s="27">
        <v>31420</v>
      </c>
      <c r="B1027" s="24" t="s">
        <v>8564</v>
      </c>
      <c r="C1027" s="24" t="s">
        <v>9614</v>
      </c>
      <c r="D1027" s="24" t="s">
        <v>8565</v>
      </c>
      <c r="E1027" s="24" t="s">
        <v>8566</v>
      </c>
      <c r="F1027" s="24" t="s">
        <v>7178</v>
      </c>
      <c r="G1027" s="24" t="b">
        <v>0</v>
      </c>
    </row>
    <row r="1028" spans="1:7" ht="12.5" customHeight="1">
      <c r="A1028" s="27">
        <v>31460</v>
      </c>
      <c r="B1028" s="24" t="s">
        <v>8567</v>
      </c>
      <c r="C1028" s="24" t="s">
        <v>9614</v>
      </c>
      <c r="D1028" s="24" t="s">
        <v>8112</v>
      </c>
      <c r="E1028" s="24" t="s">
        <v>8568</v>
      </c>
      <c r="F1028" s="24" t="s">
        <v>7386</v>
      </c>
      <c r="G1028" s="24" t="b">
        <v>1</v>
      </c>
    </row>
    <row r="1029" spans="1:7" ht="12.5" customHeight="1">
      <c r="A1029" s="27">
        <v>31500</v>
      </c>
      <c r="B1029" s="24" t="s">
        <v>8569</v>
      </c>
      <c r="C1029" s="24" t="s">
        <v>9615</v>
      </c>
      <c r="D1029" s="24" t="s">
        <v>7138</v>
      </c>
      <c r="E1029" s="24" t="s">
        <v>7446</v>
      </c>
      <c r="F1029" s="24" t="s">
        <v>4460</v>
      </c>
      <c r="G1029" s="24" t="b">
        <v>1</v>
      </c>
    </row>
    <row r="1030" spans="1:7" ht="12.5" customHeight="1">
      <c r="A1030" s="27">
        <v>31540</v>
      </c>
      <c r="B1030" s="24" t="s">
        <v>8570</v>
      </c>
      <c r="C1030" s="24" t="s">
        <v>9614</v>
      </c>
      <c r="D1030" s="24" t="s">
        <v>7399</v>
      </c>
      <c r="E1030" s="24" t="s">
        <v>7363</v>
      </c>
      <c r="F1030" s="24" t="s">
        <v>7272</v>
      </c>
      <c r="G1030" s="24" t="b">
        <v>0</v>
      </c>
    </row>
    <row r="1031" spans="1:7" ht="12.5" customHeight="1">
      <c r="A1031" s="27">
        <v>31540</v>
      </c>
      <c r="B1031" s="24" t="s">
        <v>8570</v>
      </c>
      <c r="C1031" s="24" t="s">
        <v>9614</v>
      </c>
      <c r="D1031" s="24" t="s">
        <v>7399</v>
      </c>
      <c r="E1031" s="24" t="s">
        <v>8571</v>
      </c>
      <c r="F1031" s="24" t="s">
        <v>7272</v>
      </c>
      <c r="G1031" s="24" t="b">
        <v>1</v>
      </c>
    </row>
    <row r="1032" spans="1:7" ht="12.5" customHeight="1">
      <c r="A1032" s="27">
        <v>31540</v>
      </c>
      <c r="B1032" s="24" t="s">
        <v>8570</v>
      </c>
      <c r="C1032" s="24" t="s">
        <v>9614</v>
      </c>
      <c r="D1032" s="24" t="s">
        <v>7399</v>
      </c>
      <c r="E1032" s="24" t="s">
        <v>7635</v>
      </c>
      <c r="F1032" s="24" t="s">
        <v>7272</v>
      </c>
      <c r="G1032" s="24" t="b">
        <v>0</v>
      </c>
    </row>
    <row r="1033" spans="1:7" ht="12.5" customHeight="1">
      <c r="A1033" s="27">
        <v>31540</v>
      </c>
      <c r="B1033" s="24" t="s">
        <v>8570</v>
      </c>
      <c r="C1033" s="24" t="s">
        <v>9614</v>
      </c>
      <c r="D1033" s="24" t="s">
        <v>7399</v>
      </c>
      <c r="E1033" s="24" t="s">
        <v>8572</v>
      </c>
      <c r="F1033" s="24" t="s">
        <v>7272</v>
      </c>
      <c r="G1033" s="24" t="b">
        <v>0</v>
      </c>
    </row>
    <row r="1034" spans="1:7" ht="12.5" customHeight="1">
      <c r="A1034" s="27">
        <v>31580</v>
      </c>
      <c r="B1034" s="24" t="s">
        <v>8573</v>
      </c>
      <c r="C1034" s="24" t="s">
        <v>9615</v>
      </c>
      <c r="D1034" s="24" t="s">
        <v>7138</v>
      </c>
      <c r="E1034" s="24" t="s">
        <v>8574</v>
      </c>
      <c r="F1034" s="24" t="s">
        <v>7404</v>
      </c>
      <c r="G1034" s="24" t="b">
        <v>1</v>
      </c>
    </row>
    <row r="1035" spans="1:7" ht="12.5" customHeight="1">
      <c r="A1035" s="27">
        <v>31620</v>
      </c>
      <c r="B1035" s="24" t="s">
        <v>8575</v>
      </c>
      <c r="C1035" s="24" t="s">
        <v>9615</v>
      </c>
      <c r="D1035" s="24" t="s">
        <v>7138</v>
      </c>
      <c r="E1035" s="24" t="s">
        <v>7363</v>
      </c>
      <c r="F1035" s="24" t="s">
        <v>7289</v>
      </c>
      <c r="G1035" s="24" t="b">
        <v>1</v>
      </c>
    </row>
    <row r="1036" spans="1:7" ht="12.5" customHeight="1">
      <c r="A1036" s="27">
        <v>31660</v>
      </c>
      <c r="B1036" s="24" t="s">
        <v>8576</v>
      </c>
      <c r="C1036" s="24" t="s">
        <v>9615</v>
      </c>
      <c r="D1036" s="24" t="s">
        <v>7138</v>
      </c>
      <c r="E1036" s="24" t="s">
        <v>7616</v>
      </c>
      <c r="F1036" s="24" t="s">
        <v>3775</v>
      </c>
      <c r="G1036" s="24" t="b">
        <v>1</v>
      </c>
    </row>
    <row r="1037" spans="1:7" ht="12.5" customHeight="1">
      <c r="A1037" s="27">
        <v>31680</v>
      </c>
      <c r="B1037" s="24" t="s">
        <v>8577</v>
      </c>
      <c r="C1037" s="24" t="s">
        <v>9615</v>
      </c>
      <c r="D1037" s="24" t="s">
        <v>8271</v>
      </c>
      <c r="E1037" s="24" t="s">
        <v>8578</v>
      </c>
      <c r="F1037" s="24" t="s">
        <v>7289</v>
      </c>
      <c r="G1037" s="24" t="b">
        <v>1</v>
      </c>
    </row>
    <row r="1038" spans="1:7" ht="12.5" customHeight="1">
      <c r="A1038" s="27">
        <v>31700</v>
      </c>
      <c r="B1038" s="24" t="s">
        <v>8579</v>
      </c>
      <c r="C1038" s="24" t="s">
        <v>9614</v>
      </c>
      <c r="D1038" s="24" t="s">
        <v>7406</v>
      </c>
      <c r="E1038" s="24" t="s">
        <v>8580</v>
      </c>
      <c r="F1038" s="24" t="s">
        <v>7475</v>
      </c>
      <c r="G1038" s="24" t="b">
        <v>1</v>
      </c>
    </row>
    <row r="1039" spans="1:7" ht="12.5" customHeight="1">
      <c r="A1039" s="27">
        <v>31740</v>
      </c>
      <c r="B1039" s="24" t="s">
        <v>8581</v>
      </c>
      <c r="C1039" s="24" t="s">
        <v>9614</v>
      </c>
      <c r="D1039" s="24" t="s">
        <v>7138</v>
      </c>
      <c r="E1039" s="24" t="s">
        <v>8582</v>
      </c>
      <c r="F1039" s="24" t="s">
        <v>7306</v>
      </c>
      <c r="G1039" s="24" t="b">
        <v>0</v>
      </c>
    </row>
    <row r="1040" spans="1:7" ht="12.5" customHeight="1">
      <c r="A1040" s="27">
        <v>31740</v>
      </c>
      <c r="B1040" s="24" t="s">
        <v>8581</v>
      </c>
      <c r="C1040" s="24" t="s">
        <v>9614</v>
      </c>
      <c r="D1040" s="24" t="s">
        <v>7138</v>
      </c>
      <c r="E1040" s="24" t="s">
        <v>8583</v>
      </c>
      <c r="F1040" s="24" t="s">
        <v>7306</v>
      </c>
      <c r="G1040" s="24" t="b">
        <v>0</v>
      </c>
    </row>
    <row r="1041" spans="1:7" ht="12.5" customHeight="1">
      <c r="A1041" s="27">
        <v>31740</v>
      </c>
      <c r="B1041" s="24" t="s">
        <v>8581</v>
      </c>
      <c r="C1041" s="24" t="s">
        <v>9614</v>
      </c>
      <c r="D1041" s="24" t="s">
        <v>7138</v>
      </c>
      <c r="E1041" s="24" t="s">
        <v>8584</v>
      </c>
      <c r="F1041" s="24" t="s">
        <v>7306</v>
      </c>
      <c r="G1041" s="24" t="b">
        <v>1</v>
      </c>
    </row>
    <row r="1042" spans="1:7" ht="12.5" customHeight="1">
      <c r="A1042" s="27">
        <v>31820</v>
      </c>
      <c r="B1042" s="24" t="s">
        <v>8585</v>
      </c>
      <c r="C1042" s="24" t="s">
        <v>9615</v>
      </c>
      <c r="D1042" s="24" t="s">
        <v>7138</v>
      </c>
      <c r="E1042" s="24" t="s">
        <v>8586</v>
      </c>
      <c r="F1042" s="24" t="s">
        <v>7272</v>
      </c>
      <c r="G1042" s="24" t="b">
        <v>1</v>
      </c>
    </row>
    <row r="1043" spans="1:7" ht="12.5" customHeight="1">
      <c r="A1043" s="27">
        <v>31860</v>
      </c>
      <c r="B1043" s="24" t="s">
        <v>8587</v>
      </c>
      <c r="C1043" s="24" t="s">
        <v>9614</v>
      </c>
      <c r="D1043" s="24" t="s">
        <v>8588</v>
      </c>
      <c r="E1043" s="24" t="s">
        <v>8589</v>
      </c>
      <c r="F1043" s="24" t="s">
        <v>7198</v>
      </c>
      <c r="G1043" s="24" t="b">
        <v>1</v>
      </c>
    </row>
    <row r="1044" spans="1:7" ht="12.5" customHeight="1">
      <c r="A1044" s="27">
        <v>31860</v>
      </c>
      <c r="B1044" s="24" t="s">
        <v>8587</v>
      </c>
      <c r="C1044" s="24" t="s">
        <v>9614</v>
      </c>
      <c r="D1044" s="24" t="s">
        <v>8588</v>
      </c>
      <c r="E1044" s="24" t="s">
        <v>8590</v>
      </c>
      <c r="F1044" s="24" t="s">
        <v>7198</v>
      </c>
      <c r="G1044" s="24" t="b">
        <v>1</v>
      </c>
    </row>
    <row r="1045" spans="1:7" ht="12.5" customHeight="1">
      <c r="A1045" s="27">
        <v>31900</v>
      </c>
      <c r="B1045" s="24" t="s">
        <v>8591</v>
      </c>
      <c r="C1045" s="24" t="s">
        <v>9614</v>
      </c>
      <c r="D1045" s="24" t="s">
        <v>7297</v>
      </c>
      <c r="E1045" s="24" t="s">
        <v>7790</v>
      </c>
      <c r="F1045" s="24" t="s">
        <v>7171</v>
      </c>
      <c r="G1045" s="24" t="b">
        <v>1</v>
      </c>
    </row>
    <row r="1046" spans="1:7" ht="12.5" customHeight="1">
      <c r="A1046" s="27">
        <v>31930</v>
      </c>
      <c r="B1046" s="24" t="s">
        <v>8592</v>
      </c>
      <c r="C1046" s="24" t="s">
        <v>9615</v>
      </c>
      <c r="D1046" s="24" t="s">
        <v>8593</v>
      </c>
      <c r="E1046" s="24" t="s">
        <v>7411</v>
      </c>
      <c r="F1046" s="24" t="s">
        <v>7171</v>
      </c>
      <c r="G1046" s="24" t="b">
        <v>1</v>
      </c>
    </row>
    <row r="1047" spans="1:7" ht="12.5" customHeight="1">
      <c r="A1047" s="27">
        <v>31940</v>
      </c>
      <c r="B1047" s="24" t="s">
        <v>8594</v>
      </c>
      <c r="C1047" s="24" t="s">
        <v>9615</v>
      </c>
      <c r="D1047" s="24" t="s">
        <v>8316</v>
      </c>
      <c r="E1047" s="24" t="s">
        <v>8595</v>
      </c>
      <c r="F1047" s="24" t="s">
        <v>7156</v>
      </c>
      <c r="G1047" s="24" t="b">
        <v>1</v>
      </c>
    </row>
    <row r="1048" spans="1:7" ht="12.5" customHeight="1">
      <c r="A1048" s="27">
        <v>31940</v>
      </c>
      <c r="B1048" s="24" t="s">
        <v>8594</v>
      </c>
      <c r="C1048" s="24" t="s">
        <v>9615</v>
      </c>
      <c r="D1048" s="24" t="s">
        <v>8316</v>
      </c>
      <c r="E1048" s="24" t="s">
        <v>8596</v>
      </c>
      <c r="F1048" s="24" t="s">
        <v>7272</v>
      </c>
      <c r="G1048" s="24" t="b">
        <v>1</v>
      </c>
    </row>
    <row r="1049" spans="1:7" ht="12.5" customHeight="1">
      <c r="A1049" s="27">
        <v>31980</v>
      </c>
      <c r="B1049" s="24" t="s">
        <v>8597</v>
      </c>
      <c r="C1049" s="24" t="s">
        <v>9615</v>
      </c>
      <c r="D1049" s="24" t="s">
        <v>7138</v>
      </c>
      <c r="E1049" s="24" t="s">
        <v>7734</v>
      </c>
      <c r="F1049" s="24" t="s">
        <v>4460</v>
      </c>
      <c r="G1049" s="24" t="b">
        <v>1</v>
      </c>
    </row>
    <row r="1050" spans="1:7" ht="12.5" customHeight="1">
      <c r="A1050" s="27">
        <v>32000</v>
      </c>
      <c r="B1050" s="24" t="s">
        <v>8598</v>
      </c>
      <c r="C1050" s="24" t="s">
        <v>9615</v>
      </c>
      <c r="D1050" s="24" t="s">
        <v>7291</v>
      </c>
      <c r="E1050" s="24" t="s">
        <v>8599</v>
      </c>
      <c r="F1050" s="24" t="s">
        <v>7195</v>
      </c>
      <c r="G1050" s="24" t="b">
        <v>1</v>
      </c>
    </row>
    <row r="1051" spans="1:7" ht="12.5" customHeight="1">
      <c r="A1051" s="27">
        <v>32020</v>
      </c>
      <c r="B1051" s="24" t="s">
        <v>8600</v>
      </c>
      <c r="C1051" s="24" t="s">
        <v>9615</v>
      </c>
      <c r="D1051" s="24" t="s">
        <v>7460</v>
      </c>
      <c r="E1051" s="24" t="s">
        <v>7671</v>
      </c>
      <c r="F1051" s="24" t="s">
        <v>7171</v>
      </c>
      <c r="G1051" s="24" t="b">
        <v>1</v>
      </c>
    </row>
    <row r="1052" spans="1:7" ht="12.5" customHeight="1">
      <c r="A1052" s="27">
        <v>32100</v>
      </c>
      <c r="B1052" s="24" t="s">
        <v>8601</v>
      </c>
      <c r="C1052" s="24" t="s">
        <v>9615</v>
      </c>
      <c r="D1052" s="24" t="s">
        <v>7138</v>
      </c>
      <c r="E1052" s="24" t="s">
        <v>8602</v>
      </c>
      <c r="F1052" s="24" t="s">
        <v>7156</v>
      </c>
      <c r="G1052" s="24" t="b">
        <v>1</v>
      </c>
    </row>
    <row r="1053" spans="1:7" ht="12.5" customHeight="1">
      <c r="A1053" s="27">
        <v>32140</v>
      </c>
      <c r="B1053" s="24" t="s">
        <v>8603</v>
      </c>
      <c r="C1053" s="24" t="s">
        <v>9615</v>
      </c>
      <c r="D1053" s="24" t="s">
        <v>7138</v>
      </c>
      <c r="E1053" s="24" t="s">
        <v>8009</v>
      </c>
      <c r="F1053" s="24" t="s">
        <v>7198</v>
      </c>
      <c r="G1053" s="24" t="b">
        <v>1</v>
      </c>
    </row>
    <row r="1054" spans="1:7" ht="12.5" customHeight="1">
      <c r="A1054" s="27">
        <v>32180</v>
      </c>
      <c r="B1054" s="24" t="s">
        <v>8604</v>
      </c>
      <c r="C1054" s="24" t="s">
        <v>9615</v>
      </c>
      <c r="D1054" s="24" t="s">
        <v>7138</v>
      </c>
      <c r="E1054" s="24" t="s">
        <v>8524</v>
      </c>
      <c r="F1054" s="24" t="s">
        <v>7570</v>
      </c>
      <c r="G1054" s="24" t="b">
        <v>1</v>
      </c>
    </row>
    <row r="1055" spans="1:7" ht="12.5" customHeight="1">
      <c r="A1055" s="27">
        <v>32260</v>
      </c>
      <c r="B1055" s="24" t="s">
        <v>8605</v>
      </c>
      <c r="C1055" s="24" t="s">
        <v>9615</v>
      </c>
      <c r="D1055" s="24" t="s">
        <v>7138</v>
      </c>
      <c r="E1055" s="24" t="s">
        <v>7200</v>
      </c>
      <c r="F1055" s="24" t="s">
        <v>7252</v>
      </c>
      <c r="G1055" s="24" t="b">
        <v>1</v>
      </c>
    </row>
    <row r="1056" spans="1:7" ht="12.5" customHeight="1">
      <c r="A1056" s="27">
        <v>32280</v>
      </c>
      <c r="B1056" s="24" t="s">
        <v>8606</v>
      </c>
      <c r="C1056" s="24" t="s">
        <v>9615</v>
      </c>
      <c r="D1056" s="24" t="s">
        <v>8607</v>
      </c>
      <c r="E1056" s="24" t="s">
        <v>8608</v>
      </c>
      <c r="F1056" s="24" t="s">
        <v>7312</v>
      </c>
      <c r="G1056" s="24" t="b">
        <v>1</v>
      </c>
    </row>
    <row r="1057" spans="1:7" ht="12.5" customHeight="1">
      <c r="A1057" s="27">
        <v>32300</v>
      </c>
      <c r="B1057" s="24" t="s">
        <v>8609</v>
      </c>
      <c r="C1057" s="24" t="s">
        <v>9615</v>
      </c>
      <c r="D1057" s="24" t="s">
        <v>7138</v>
      </c>
      <c r="E1057" s="24" t="s">
        <v>7337</v>
      </c>
      <c r="F1057" s="24" t="s">
        <v>2920</v>
      </c>
      <c r="G1057" s="24" t="b">
        <v>1</v>
      </c>
    </row>
    <row r="1058" spans="1:7" ht="12.5" customHeight="1">
      <c r="A1058" s="27">
        <v>32300</v>
      </c>
      <c r="B1058" s="24" t="s">
        <v>8609</v>
      </c>
      <c r="C1058" s="24" t="s">
        <v>9615</v>
      </c>
      <c r="D1058" s="24" t="s">
        <v>7138</v>
      </c>
      <c r="E1058" s="24" t="s">
        <v>8610</v>
      </c>
      <c r="F1058" s="24" t="s">
        <v>2920</v>
      </c>
      <c r="G1058" s="24" t="b">
        <v>1</v>
      </c>
    </row>
    <row r="1059" spans="1:7" ht="12.5" customHeight="1">
      <c r="A1059" s="27">
        <v>32340</v>
      </c>
      <c r="B1059" s="24" t="s">
        <v>8611</v>
      </c>
      <c r="C1059" s="24" t="s">
        <v>9615</v>
      </c>
      <c r="D1059" s="24" t="s">
        <v>7138</v>
      </c>
      <c r="E1059" s="24" t="s">
        <v>8612</v>
      </c>
      <c r="F1059" s="24" t="s">
        <v>7570</v>
      </c>
      <c r="G1059" s="24" t="b">
        <v>1</v>
      </c>
    </row>
    <row r="1060" spans="1:7" ht="12.5" customHeight="1">
      <c r="A1060" s="27">
        <v>32380</v>
      </c>
      <c r="B1060" s="24" t="s">
        <v>8613</v>
      </c>
      <c r="C1060" s="24" t="s">
        <v>9615</v>
      </c>
      <c r="D1060" s="24" t="s">
        <v>7138</v>
      </c>
      <c r="E1060" s="24" t="s">
        <v>8614</v>
      </c>
      <c r="F1060" s="24" t="s">
        <v>7252</v>
      </c>
      <c r="G1060" s="24" t="b">
        <v>1</v>
      </c>
    </row>
    <row r="1061" spans="1:7" ht="12.5" customHeight="1">
      <c r="A1061" s="27">
        <v>32380</v>
      </c>
      <c r="B1061" s="24" t="s">
        <v>8613</v>
      </c>
      <c r="C1061" s="24" t="s">
        <v>9615</v>
      </c>
      <c r="D1061" s="24" t="s">
        <v>7138</v>
      </c>
      <c r="E1061" s="24" t="s">
        <v>7181</v>
      </c>
      <c r="F1061" s="24" t="s">
        <v>7252</v>
      </c>
      <c r="G1061" s="24" t="b">
        <v>0</v>
      </c>
    </row>
    <row r="1062" spans="1:7" ht="12.5" customHeight="1">
      <c r="A1062" s="27">
        <v>32420</v>
      </c>
      <c r="B1062" s="24" t="s">
        <v>8615</v>
      </c>
      <c r="C1062" s="24" t="s">
        <v>9614</v>
      </c>
      <c r="D1062" s="24" t="s">
        <v>8616</v>
      </c>
      <c r="E1062" s="24" t="s">
        <v>8617</v>
      </c>
      <c r="F1062" s="24" t="s">
        <v>7159</v>
      </c>
      <c r="G1062" s="24" t="b">
        <v>1</v>
      </c>
    </row>
    <row r="1063" spans="1:7" ht="12.5" customHeight="1">
      <c r="A1063" s="27">
        <v>32420</v>
      </c>
      <c r="B1063" s="24" t="s">
        <v>8615</v>
      </c>
      <c r="C1063" s="24" t="s">
        <v>9614</v>
      </c>
      <c r="D1063" s="24" t="s">
        <v>8616</v>
      </c>
      <c r="E1063" s="24" t="s">
        <v>8618</v>
      </c>
      <c r="F1063" s="24" t="s">
        <v>7159</v>
      </c>
      <c r="G1063" s="24" t="b">
        <v>0</v>
      </c>
    </row>
    <row r="1064" spans="1:7" ht="12.5" customHeight="1">
      <c r="A1064" s="27">
        <v>32420</v>
      </c>
      <c r="B1064" s="24" t="s">
        <v>8615</v>
      </c>
      <c r="C1064" s="24" t="s">
        <v>9614</v>
      </c>
      <c r="D1064" s="24" t="s">
        <v>8616</v>
      </c>
      <c r="E1064" s="24" t="s">
        <v>8619</v>
      </c>
      <c r="F1064" s="24" t="s">
        <v>7159</v>
      </c>
      <c r="G1064" s="24" t="b">
        <v>1</v>
      </c>
    </row>
    <row r="1065" spans="1:7" ht="12.5" customHeight="1">
      <c r="A1065" s="27">
        <v>32460</v>
      </c>
      <c r="B1065" s="24" t="s">
        <v>8620</v>
      </c>
      <c r="C1065" s="24" t="s">
        <v>9615</v>
      </c>
      <c r="D1065" s="24" t="s">
        <v>8621</v>
      </c>
      <c r="E1065" s="24" t="s">
        <v>8622</v>
      </c>
      <c r="F1065" s="24" t="s">
        <v>7404</v>
      </c>
      <c r="G1065" s="24" t="b">
        <v>1</v>
      </c>
    </row>
    <row r="1066" spans="1:7" ht="12.5" customHeight="1">
      <c r="A1066" s="27">
        <v>32500</v>
      </c>
      <c r="B1066" s="24" t="s">
        <v>8623</v>
      </c>
      <c r="C1066" s="24" t="s">
        <v>9615</v>
      </c>
      <c r="D1066" s="24" t="s">
        <v>7729</v>
      </c>
      <c r="E1066" s="24" t="s">
        <v>8552</v>
      </c>
      <c r="F1066" s="24" t="s">
        <v>7404</v>
      </c>
      <c r="G1066" s="24" t="b">
        <v>1</v>
      </c>
    </row>
    <row r="1067" spans="1:7" ht="12.5" customHeight="1">
      <c r="A1067" s="27">
        <v>32540</v>
      </c>
      <c r="B1067" s="24" t="s">
        <v>8624</v>
      </c>
      <c r="C1067" s="24" t="s">
        <v>9615</v>
      </c>
      <c r="D1067" s="24" t="s">
        <v>7138</v>
      </c>
      <c r="E1067" s="24" t="s">
        <v>8625</v>
      </c>
      <c r="F1067" s="24" t="s">
        <v>7152</v>
      </c>
      <c r="G1067" s="24" t="b">
        <v>1</v>
      </c>
    </row>
    <row r="1068" spans="1:7" ht="12.5" customHeight="1">
      <c r="A1068" s="27">
        <v>32580</v>
      </c>
      <c r="B1068" s="24" t="s">
        <v>8626</v>
      </c>
      <c r="C1068" s="24" t="s">
        <v>9614</v>
      </c>
      <c r="D1068" s="24" t="s">
        <v>8627</v>
      </c>
      <c r="E1068" s="24" t="s">
        <v>8628</v>
      </c>
      <c r="F1068" s="24" t="s">
        <v>7147</v>
      </c>
      <c r="G1068" s="24" t="b">
        <v>1</v>
      </c>
    </row>
    <row r="1069" spans="1:7" ht="12.5" customHeight="1">
      <c r="A1069" s="27">
        <v>32620</v>
      </c>
      <c r="B1069" s="24" t="s">
        <v>8629</v>
      </c>
      <c r="C1069" s="24" t="s">
        <v>9615</v>
      </c>
      <c r="D1069" s="24" t="s">
        <v>7138</v>
      </c>
      <c r="E1069" s="24" t="s">
        <v>7345</v>
      </c>
      <c r="F1069" s="24" t="s">
        <v>7584</v>
      </c>
      <c r="G1069" s="24" t="b">
        <v>1</v>
      </c>
    </row>
    <row r="1070" spans="1:7" ht="12.5" customHeight="1">
      <c r="A1070" s="27">
        <v>32660</v>
      </c>
      <c r="B1070" s="24" t="s">
        <v>8630</v>
      </c>
      <c r="C1070" s="24" t="s">
        <v>9615</v>
      </c>
      <c r="D1070" s="24" t="s">
        <v>7138</v>
      </c>
      <c r="E1070" s="24" t="s">
        <v>7223</v>
      </c>
      <c r="F1070" s="24" t="s">
        <v>7312</v>
      </c>
      <c r="G1070" s="24" t="b">
        <v>1</v>
      </c>
    </row>
    <row r="1071" spans="1:7" ht="12.5" customHeight="1">
      <c r="A1071" s="27">
        <v>32700</v>
      </c>
      <c r="B1071" s="24" t="s">
        <v>8631</v>
      </c>
      <c r="C1071" s="24" t="s">
        <v>9615</v>
      </c>
      <c r="D1071" s="24" t="s">
        <v>7138</v>
      </c>
      <c r="E1071" s="24" t="s">
        <v>8632</v>
      </c>
      <c r="F1071" s="24" t="s">
        <v>7306</v>
      </c>
      <c r="G1071" s="24" t="b">
        <v>1</v>
      </c>
    </row>
    <row r="1072" spans="1:7" ht="12.5" customHeight="1">
      <c r="A1072" s="27">
        <v>32740</v>
      </c>
      <c r="B1072" s="24" t="s">
        <v>8633</v>
      </c>
      <c r="C1072" s="24" t="s">
        <v>9615</v>
      </c>
      <c r="D1072" s="24" t="s">
        <v>8014</v>
      </c>
      <c r="E1072" s="24" t="s">
        <v>7600</v>
      </c>
      <c r="F1072" s="24" t="s">
        <v>7226</v>
      </c>
      <c r="G1072" s="24" t="b">
        <v>1</v>
      </c>
    </row>
    <row r="1073" spans="1:7" ht="12.5" customHeight="1">
      <c r="A1073" s="27">
        <v>32780</v>
      </c>
      <c r="B1073" s="24" t="s">
        <v>8634</v>
      </c>
      <c r="C1073" s="24" t="s">
        <v>9614</v>
      </c>
      <c r="D1073" s="24" t="s">
        <v>8168</v>
      </c>
      <c r="E1073" s="24" t="s">
        <v>7238</v>
      </c>
      <c r="F1073" s="24" t="s">
        <v>4053</v>
      </c>
      <c r="G1073" s="24" t="b">
        <v>1</v>
      </c>
    </row>
    <row r="1074" spans="1:7" ht="12.5" customHeight="1">
      <c r="A1074" s="27">
        <v>32820</v>
      </c>
      <c r="B1074" s="24" t="s">
        <v>8635</v>
      </c>
      <c r="C1074" s="24" t="s">
        <v>9614</v>
      </c>
      <c r="D1074" s="24" t="s">
        <v>8078</v>
      </c>
      <c r="E1074" s="24" t="s">
        <v>8636</v>
      </c>
      <c r="F1074" s="24" t="s">
        <v>7289</v>
      </c>
      <c r="G1074" s="24" t="b">
        <v>1</v>
      </c>
    </row>
    <row r="1075" spans="1:7" ht="12.5" customHeight="1">
      <c r="A1075" s="27">
        <v>32820</v>
      </c>
      <c r="B1075" s="24" t="s">
        <v>8635</v>
      </c>
      <c r="C1075" s="24" t="s">
        <v>9614</v>
      </c>
      <c r="D1075" s="24" t="s">
        <v>8078</v>
      </c>
      <c r="E1075" s="24" t="s">
        <v>7276</v>
      </c>
      <c r="F1075" s="24" t="s">
        <v>7584</v>
      </c>
      <c r="G1075" s="24" t="b">
        <v>1</v>
      </c>
    </row>
    <row r="1076" spans="1:7" ht="12.5" customHeight="1">
      <c r="A1076" s="27">
        <v>32820</v>
      </c>
      <c r="B1076" s="24" t="s">
        <v>8635</v>
      </c>
      <c r="C1076" s="24" t="s">
        <v>9614</v>
      </c>
      <c r="D1076" s="24" t="s">
        <v>8078</v>
      </c>
      <c r="E1076" s="24" t="s">
        <v>7200</v>
      </c>
      <c r="F1076" s="24" t="s">
        <v>7584</v>
      </c>
      <c r="G1076" s="24" t="b">
        <v>0</v>
      </c>
    </row>
    <row r="1077" spans="1:7" ht="12.5" customHeight="1">
      <c r="A1077" s="27">
        <v>32820</v>
      </c>
      <c r="B1077" s="24" t="s">
        <v>8635</v>
      </c>
      <c r="C1077" s="24" t="s">
        <v>9614</v>
      </c>
      <c r="D1077" s="24" t="s">
        <v>8078</v>
      </c>
      <c r="E1077" s="24" t="s">
        <v>8637</v>
      </c>
      <c r="F1077" s="24" t="s">
        <v>7584</v>
      </c>
      <c r="G1077" s="24" t="b">
        <v>0</v>
      </c>
    </row>
    <row r="1078" spans="1:7" ht="12.5" customHeight="1">
      <c r="A1078" s="27">
        <v>32820</v>
      </c>
      <c r="B1078" s="24" t="s">
        <v>8635</v>
      </c>
      <c r="C1078" s="24" t="s">
        <v>9614</v>
      </c>
      <c r="D1078" s="24" t="s">
        <v>8078</v>
      </c>
      <c r="E1078" s="24" t="s">
        <v>8638</v>
      </c>
      <c r="F1078" s="24" t="s">
        <v>7584</v>
      </c>
      <c r="G1078" s="24" t="b">
        <v>0</v>
      </c>
    </row>
    <row r="1079" spans="1:7" ht="12.5" customHeight="1">
      <c r="A1079" s="27">
        <v>32820</v>
      </c>
      <c r="B1079" s="24" t="s">
        <v>8635</v>
      </c>
      <c r="C1079" s="24" t="s">
        <v>9614</v>
      </c>
      <c r="D1079" s="24" t="s">
        <v>8078</v>
      </c>
      <c r="E1079" s="24" t="s">
        <v>7331</v>
      </c>
      <c r="F1079" s="24" t="s">
        <v>7312</v>
      </c>
      <c r="G1079" s="24" t="b">
        <v>0</v>
      </c>
    </row>
    <row r="1080" spans="1:7" ht="12.5" customHeight="1">
      <c r="A1080" s="27">
        <v>32820</v>
      </c>
      <c r="B1080" s="24" t="s">
        <v>8635</v>
      </c>
      <c r="C1080" s="24" t="s">
        <v>9614</v>
      </c>
      <c r="D1080" s="24" t="s">
        <v>8078</v>
      </c>
      <c r="E1080" s="24" t="s">
        <v>7496</v>
      </c>
      <c r="F1080" s="24" t="s">
        <v>7312</v>
      </c>
      <c r="G1080" s="24" t="b">
        <v>1</v>
      </c>
    </row>
    <row r="1081" spans="1:7" ht="12.5" customHeight="1">
      <c r="A1081" s="27">
        <v>32820</v>
      </c>
      <c r="B1081" s="24" t="s">
        <v>8635</v>
      </c>
      <c r="C1081" s="24" t="s">
        <v>9614</v>
      </c>
      <c r="D1081" s="24" t="s">
        <v>8078</v>
      </c>
      <c r="E1081" s="24" t="s">
        <v>8639</v>
      </c>
      <c r="F1081" s="24" t="s">
        <v>7312</v>
      </c>
      <c r="G1081" s="24" t="b">
        <v>0</v>
      </c>
    </row>
    <row r="1082" spans="1:7" ht="12.5" customHeight="1">
      <c r="A1082" s="27">
        <v>32860</v>
      </c>
      <c r="B1082" s="24" t="s">
        <v>8640</v>
      </c>
      <c r="C1082" s="24" t="s">
        <v>9615</v>
      </c>
      <c r="D1082" s="24" t="s">
        <v>7970</v>
      </c>
      <c r="E1082" s="24" t="s">
        <v>8641</v>
      </c>
      <c r="F1082" s="24" t="s">
        <v>7272</v>
      </c>
      <c r="G1082" s="24" t="b">
        <v>1</v>
      </c>
    </row>
    <row r="1083" spans="1:7" ht="12.5" customHeight="1">
      <c r="A1083" s="27">
        <v>32900</v>
      </c>
      <c r="B1083" s="24" t="s">
        <v>8642</v>
      </c>
      <c r="C1083" s="24" t="s">
        <v>9614</v>
      </c>
      <c r="D1083" s="24" t="s">
        <v>8643</v>
      </c>
      <c r="E1083" s="24" t="s">
        <v>8644</v>
      </c>
      <c r="F1083" s="24" t="s">
        <v>7386</v>
      </c>
      <c r="G1083" s="24" t="b">
        <v>1</v>
      </c>
    </row>
    <row r="1084" spans="1:7" ht="12.5" customHeight="1">
      <c r="A1084" s="27">
        <v>32940</v>
      </c>
      <c r="B1084" s="24" t="s">
        <v>8645</v>
      </c>
      <c r="C1084" s="24" t="s">
        <v>9615</v>
      </c>
      <c r="D1084" s="24" t="s">
        <v>7138</v>
      </c>
      <c r="E1084" s="24" t="s">
        <v>7317</v>
      </c>
      <c r="F1084" s="24" t="s">
        <v>7584</v>
      </c>
      <c r="G1084" s="24" t="b">
        <v>0</v>
      </c>
    </row>
    <row r="1085" spans="1:7" ht="12.5" customHeight="1">
      <c r="A1085" s="27">
        <v>32940</v>
      </c>
      <c r="B1085" s="24" t="s">
        <v>8645</v>
      </c>
      <c r="C1085" s="24" t="s">
        <v>9615</v>
      </c>
      <c r="D1085" s="24" t="s">
        <v>7138</v>
      </c>
      <c r="E1085" s="24" t="s">
        <v>8646</v>
      </c>
      <c r="F1085" s="24" t="s">
        <v>7584</v>
      </c>
      <c r="G1085" s="24" t="b">
        <v>0</v>
      </c>
    </row>
    <row r="1086" spans="1:7" ht="12.5" customHeight="1">
      <c r="A1086" s="27">
        <v>32940</v>
      </c>
      <c r="B1086" s="24" t="s">
        <v>8645</v>
      </c>
      <c r="C1086" s="24" t="s">
        <v>9615</v>
      </c>
      <c r="D1086" s="24" t="s">
        <v>7138</v>
      </c>
      <c r="E1086" s="24" t="s">
        <v>8072</v>
      </c>
      <c r="F1086" s="24" t="s">
        <v>7584</v>
      </c>
      <c r="G1086" s="24" t="b">
        <v>1</v>
      </c>
    </row>
    <row r="1087" spans="1:7" ht="12.5" customHeight="1">
      <c r="A1087" s="27">
        <v>33020</v>
      </c>
      <c r="B1087" s="24" t="s">
        <v>8647</v>
      </c>
      <c r="C1087" s="24" t="s">
        <v>9615</v>
      </c>
      <c r="D1087" s="24" t="s">
        <v>7784</v>
      </c>
      <c r="E1087" s="24" t="s">
        <v>8648</v>
      </c>
      <c r="F1087" s="24" t="s">
        <v>7570</v>
      </c>
      <c r="G1087" s="24" t="b">
        <v>1</v>
      </c>
    </row>
    <row r="1088" spans="1:7" ht="12.5" customHeight="1">
      <c r="A1088" s="27">
        <v>33060</v>
      </c>
      <c r="B1088" s="24" t="s">
        <v>8649</v>
      </c>
      <c r="C1088" s="24" t="s">
        <v>9615</v>
      </c>
      <c r="D1088" s="24" t="s">
        <v>8377</v>
      </c>
      <c r="E1088" s="24" t="s">
        <v>8164</v>
      </c>
      <c r="F1088" s="24" t="s">
        <v>7152</v>
      </c>
      <c r="G1088" s="24" t="b">
        <v>1</v>
      </c>
    </row>
    <row r="1089" spans="1:7" ht="12.5" customHeight="1">
      <c r="A1089" s="27">
        <v>33100</v>
      </c>
      <c r="B1089" s="24" t="s">
        <v>8650</v>
      </c>
      <c r="C1089" s="24" t="s">
        <v>9614</v>
      </c>
      <c r="D1089" s="24" t="s">
        <v>8412</v>
      </c>
      <c r="E1089" s="24" t="s">
        <v>8651</v>
      </c>
      <c r="F1089" s="24" t="s">
        <v>7277</v>
      </c>
      <c r="G1089" s="24" t="b">
        <v>1</v>
      </c>
    </row>
    <row r="1090" spans="1:7" ht="12.5" customHeight="1">
      <c r="A1090" s="27">
        <v>33100</v>
      </c>
      <c r="B1090" s="24" t="s">
        <v>8650</v>
      </c>
      <c r="C1090" s="24" t="s">
        <v>9614</v>
      </c>
      <c r="D1090" s="24" t="s">
        <v>8412</v>
      </c>
      <c r="E1090" s="24" t="s">
        <v>8652</v>
      </c>
      <c r="F1090" s="24" t="s">
        <v>7277</v>
      </c>
      <c r="G1090" s="24" t="b">
        <v>1</v>
      </c>
    </row>
    <row r="1091" spans="1:7" ht="12.5" customHeight="1">
      <c r="A1091" s="27">
        <v>33100</v>
      </c>
      <c r="B1091" s="24" t="s">
        <v>8650</v>
      </c>
      <c r="C1091" s="24" t="s">
        <v>9614</v>
      </c>
      <c r="D1091" s="24" t="s">
        <v>8412</v>
      </c>
      <c r="E1091" s="24" t="s">
        <v>8653</v>
      </c>
      <c r="F1091" s="24" t="s">
        <v>7277</v>
      </c>
      <c r="G1091" s="24" t="b">
        <v>1</v>
      </c>
    </row>
    <row r="1092" spans="1:7" ht="12.5" customHeight="1">
      <c r="A1092" s="27">
        <v>33140</v>
      </c>
      <c r="B1092" s="24" t="s">
        <v>8654</v>
      </c>
      <c r="C1092" s="24" t="s">
        <v>9614</v>
      </c>
      <c r="D1092" s="24" t="s">
        <v>7713</v>
      </c>
      <c r="E1092" s="24" t="s">
        <v>8655</v>
      </c>
      <c r="F1092" s="24" t="s">
        <v>4460</v>
      </c>
      <c r="G1092" s="24" t="b">
        <v>1</v>
      </c>
    </row>
    <row r="1093" spans="1:7" ht="12.5" customHeight="1">
      <c r="A1093" s="27">
        <v>33180</v>
      </c>
      <c r="B1093" s="24" t="s">
        <v>8656</v>
      </c>
      <c r="C1093" s="24" t="s">
        <v>9615</v>
      </c>
      <c r="D1093" s="24" t="s">
        <v>7138</v>
      </c>
      <c r="E1093" s="24" t="s">
        <v>8416</v>
      </c>
      <c r="F1093" s="24" t="s">
        <v>7404</v>
      </c>
      <c r="G1093" s="24" t="b">
        <v>1</v>
      </c>
    </row>
    <row r="1094" spans="1:7" ht="12.5" customHeight="1">
      <c r="A1094" s="27">
        <v>33220</v>
      </c>
      <c r="B1094" s="24" t="s">
        <v>8657</v>
      </c>
      <c r="C1094" s="24" t="s">
        <v>9614</v>
      </c>
      <c r="D1094" s="24" t="s">
        <v>7435</v>
      </c>
      <c r="E1094" s="24" t="s">
        <v>8658</v>
      </c>
      <c r="F1094" s="24" t="s">
        <v>7156</v>
      </c>
      <c r="G1094" s="24" t="b">
        <v>1</v>
      </c>
    </row>
    <row r="1095" spans="1:7" ht="12.5" customHeight="1">
      <c r="A1095" s="27">
        <v>33260</v>
      </c>
      <c r="B1095" s="24" t="s">
        <v>8659</v>
      </c>
      <c r="C1095" s="24" t="s">
        <v>9614</v>
      </c>
      <c r="D1095" s="24" t="s">
        <v>8660</v>
      </c>
      <c r="E1095" s="24" t="s">
        <v>8036</v>
      </c>
      <c r="F1095" s="24" t="s">
        <v>7147</v>
      </c>
      <c r="G1095" s="24" t="b">
        <v>0</v>
      </c>
    </row>
    <row r="1096" spans="1:7" ht="12.5" customHeight="1">
      <c r="A1096" s="27">
        <v>33260</v>
      </c>
      <c r="B1096" s="24" t="s">
        <v>8659</v>
      </c>
      <c r="C1096" s="24" t="s">
        <v>9614</v>
      </c>
      <c r="D1096" s="24" t="s">
        <v>8660</v>
      </c>
      <c r="E1096" s="24" t="s">
        <v>8658</v>
      </c>
      <c r="F1096" s="24" t="s">
        <v>7147</v>
      </c>
      <c r="G1096" s="24" t="b">
        <v>1</v>
      </c>
    </row>
    <row r="1097" spans="1:7" ht="12.5" customHeight="1">
      <c r="A1097" s="27">
        <v>33300</v>
      </c>
      <c r="B1097" s="24" t="s">
        <v>8661</v>
      </c>
      <c r="C1097" s="24" t="s">
        <v>9615</v>
      </c>
      <c r="D1097" s="24" t="s">
        <v>7138</v>
      </c>
      <c r="E1097" s="24" t="s">
        <v>7879</v>
      </c>
      <c r="F1097" s="24" t="s">
        <v>7178</v>
      </c>
      <c r="G1097" s="24" t="b">
        <v>1</v>
      </c>
    </row>
    <row r="1098" spans="1:7" ht="12.5" customHeight="1">
      <c r="A1098" s="27">
        <v>33300</v>
      </c>
      <c r="B1098" s="24" t="s">
        <v>8661</v>
      </c>
      <c r="C1098" s="24" t="s">
        <v>9615</v>
      </c>
      <c r="D1098" s="24" t="s">
        <v>7138</v>
      </c>
      <c r="E1098" s="24" t="s">
        <v>8060</v>
      </c>
      <c r="F1098" s="24" t="s">
        <v>7178</v>
      </c>
      <c r="G1098" s="24" t="b">
        <v>0</v>
      </c>
    </row>
    <row r="1099" spans="1:7" ht="12.5" customHeight="1">
      <c r="A1099" s="27">
        <v>33340</v>
      </c>
      <c r="B1099" s="24" t="s">
        <v>8662</v>
      </c>
      <c r="C1099" s="24" t="s">
        <v>9614</v>
      </c>
      <c r="D1099" s="24" t="s">
        <v>7449</v>
      </c>
      <c r="E1099" s="24" t="s">
        <v>8663</v>
      </c>
      <c r="F1099" s="24" t="s">
        <v>7272</v>
      </c>
      <c r="G1099" s="24" t="b">
        <v>1</v>
      </c>
    </row>
    <row r="1100" spans="1:7" ht="12.5" customHeight="1">
      <c r="A1100" s="27">
        <v>33340</v>
      </c>
      <c r="B1100" s="24" t="s">
        <v>8662</v>
      </c>
      <c r="C1100" s="24" t="s">
        <v>9614</v>
      </c>
      <c r="D1100" s="24" t="s">
        <v>7449</v>
      </c>
      <c r="E1100" s="24" t="s">
        <v>8664</v>
      </c>
      <c r="F1100" s="24" t="s">
        <v>7272</v>
      </c>
      <c r="G1100" s="24" t="b">
        <v>1</v>
      </c>
    </row>
    <row r="1101" spans="1:7" ht="12.5" customHeight="1">
      <c r="A1101" s="27">
        <v>33340</v>
      </c>
      <c r="B1101" s="24" t="s">
        <v>8662</v>
      </c>
      <c r="C1101" s="24" t="s">
        <v>9614</v>
      </c>
      <c r="D1101" s="24" t="s">
        <v>7449</v>
      </c>
      <c r="E1101" s="24" t="s">
        <v>7411</v>
      </c>
      <c r="F1101" s="24" t="s">
        <v>7272</v>
      </c>
      <c r="G1101" s="24" t="b">
        <v>0</v>
      </c>
    </row>
    <row r="1102" spans="1:7" ht="12.5" customHeight="1">
      <c r="A1102" s="27">
        <v>33340</v>
      </c>
      <c r="B1102" s="24" t="s">
        <v>8662</v>
      </c>
      <c r="C1102" s="24" t="s">
        <v>9614</v>
      </c>
      <c r="D1102" s="24" t="s">
        <v>7449</v>
      </c>
      <c r="E1102" s="24" t="s">
        <v>8665</v>
      </c>
      <c r="F1102" s="24" t="s">
        <v>7272</v>
      </c>
      <c r="G1102" s="24" t="b">
        <v>1</v>
      </c>
    </row>
    <row r="1103" spans="1:7" ht="12.5" customHeight="1">
      <c r="A1103" s="27">
        <v>33380</v>
      </c>
      <c r="B1103" s="24" t="s">
        <v>8666</v>
      </c>
      <c r="C1103" s="24" t="s">
        <v>9615</v>
      </c>
      <c r="D1103" s="24" t="s">
        <v>8667</v>
      </c>
      <c r="E1103" s="24" t="s">
        <v>8668</v>
      </c>
      <c r="F1103" s="24" t="s">
        <v>7214</v>
      </c>
      <c r="G1103" s="24" t="b">
        <v>1</v>
      </c>
    </row>
    <row r="1104" spans="1:7" ht="12.5" customHeight="1">
      <c r="A1104" s="27">
        <v>33420</v>
      </c>
      <c r="B1104" s="24" t="s">
        <v>8669</v>
      </c>
      <c r="C1104" s="24" t="s">
        <v>9615</v>
      </c>
      <c r="D1104" s="24" t="s">
        <v>7314</v>
      </c>
      <c r="E1104" s="24" t="s">
        <v>8670</v>
      </c>
      <c r="F1104" s="24" t="s">
        <v>7147</v>
      </c>
      <c r="G1104" s="24" t="b">
        <v>1</v>
      </c>
    </row>
    <row r="1105" spans="1:7" ht="12.5" customHeight="1">
      <c r="A1105" s="27">
        <v>33460</v>
      </c>
      <c r="B1105" s="24" t="s">
        <v>8671</v>
      </c>
      <c r="C1105" s="24" t="s">
        <v>9614</v>
      </c>
      <c r="D1105" s="24" t="s">
        <v>8044</v>
      </c>
      <c r="E1105" s="24" t="s">
        <v>8672</v>
      </c>
      <c r="F1105" s="24" t="s">
        <v>7198</v>
      </c>
      <c r="G1105" s="24" t="b">
        <v>1</v>
      </c>
    </row>
    <row r="1106" spans="1:7" ht="12.5" customHeight="1">
      <c r="A1106" s="27">
        <v>33460</v>
      </c>
      <c r="B1106" s="24" t="s">
        <v>8671</v>
      </c>
      <c r="C1106" s="24" t="s">
        <v>9614</v>
      </c>
      <c r="D1106" s="24" t="s">
        <v>8044</v>
      </c>
      <c r="E1106" s="24" t="s">
        <v>8673</v>
      </c>
      <c r="F1106" s="24" t="s">
        <v>7198</v>
      </c>
      <c r="G1106" s="24" t="b">
        <v>1</v>
      </c>
    </row>
    <row r="1107" spans="1:7" ht="12.5" customHeight="1">
      <c r="A1107" s="27">
        <v>33460</v>
      </c>
      <c r="B1107" s="24" t="s">
        <v>8671</v>
      </c>
      <c r="C1107" s="24" t="s">
        <v>9614</v>
      </c>
      <c r="D1107" s="24" t="s">
        <v>8044</v>
      </c>
      <c r="E1107" s="24" t="s">
        <v>8674</v>
      </c>
      <c r="F1107" s="24" t="s">
        <v>7198</v>
      </c>
      <c r="G1107" s="24" t="b">
        <v>0</v>
      </c>
    </row>
    <row r="1108" spans="1:7" ht="12.5" customHeight="1">
      <c r="A1108" s="27">
        <v>33460</v>
      </c>
      <c r="B1108" s="24" t="s">
        <v>8671</v>
      </c>
      <c r="C1108" s="24" t="s">
        <v>9614</v>
      </c>
      <c r="D1108" s="24" t="s">
        <v>8044</v>
      </c>
      <c r="E1108" s="24" t="s">
        <v>8675</v>
      </c>
      <c r="F1108" s="24" t="s">
        <v>7198</v>
      </c>
      <c r="G1108" s="24" t="b">
        <v>1</v>
      </c>
    </row>
    <row r="1109" spans="1:7" ht="12.5" customHeight="1">
      <c r="A1109" s="27">
        <v>33460</v>
      </c>
      <c r="B1109" s="24" t="s">
        <v>8671</v>
      </c>
      <c r="C1109" s="24" t="s">
        <v>9614</v>
      </c>
      <c r="D1109" s="24" t="s">
        <v>8044</v>
      </c>
      <c r="E1109" s="24" t="s">
        <v>8676</v>
      </c>
      <c r="F1109" s="24" t="s">
        <v>7198</v>
      </c>
      <c r="G1109" s="24" t="b">
        <v>1</v>
      </c>
    </row>
    <row r="1110" spans="1:7" ht="12.5" customHeight="1">
      <c r="A1110" s="27">
        <v>33460</v>
      </c>
      <c r="B1110" s="24" t="s">
        <v>8671</v>
      </c>
      <c r="C1110" s="24" t="s">
        <v>9614</v>
      </c>
      <c r="D1110" s="24" t="s">
        <v>8044</v>
      </c>
      <c r="E1110" s="24" t="s">
        <v>8677</v>
      </c>
      <c r="F1110" s="24" t="s">
        <v>7198</v>
      </c>
      <c r="G1110" s="24" t="b">
        <v>0</v>
      </c>
    </row>
    <row r="1111" spans="1:7" ht="12.5" customHeight="1">
      <c r="A1111" s="27">
        <v>33460</v>
      </c>
      <c r="B1111" s="24" t="s">
        <v>8671</v>
      </c>
      <c r="C1111" s="24" t="s">
        <v>9614</v>
      </c>
      <c r="D1111" s="24" t="s">
        <v>8044</v>
      </c>
      <c r="E1111" s="24" t="s">
        <v>8678</v>
      </c>
      <c r="F1111" s="24" t="s">
        <v>7198</v>
      </c>
      <c r="G1111" s="24" t="b">
        <v>0</v>
      </c>
    </row>
    <row r="1112" spans="1:7" ht="12.5" customHeight="1">
      <c r="A1112" s="27">
        <v>33460</v>
      </c>
      <c r="B1112" s="24" t="s">
        <v>8671</v>
      </c>
      <c r="C1112" s="24" t="s">
        <v>9614</v>
      </c>
      <c r="D1112" s="24" t="s">
        <v>8044</v>
      </c>
      <c r="E1112" s="24" t="s">
        <v>8679</v>
      </c>
      <c r="F1112" s="24" t="s">
        <v>7198</v>
      </c>
      <c r="G1112" s="24" t="b">
        <v>0</v>
      </c>
    </row>
    <row r="1113" spans="1:7" ht="12.5" customHeight="1">
      <c r="A1113" s="27">
        <v>33460</v>
      </c>
      <c r="B1113" s="24" t="s">
        <v>8671</v>
      </c>
      <c r="C1113" s="24" t="s">
        <v>9614</v>
      </c>
      <c r="D1113" s="24" t="s">
        <v>8044</v>
      </c>
      <c r="E1113" s="24" t="s">
        <v>8680</v>
      </c>
      <c r="F1113" s="24" t="s">
        <v>7198</v>
      </c>
      <c r="G1113" s="24" t="b">
        <v>1</v>
      </c>
    </row>
    <row r="1114" spans="1:7" ht="12.5" customHeight="1">
      <c r="A1114" s="27">
        <v>33460</v>
      </c>
      <c r="B1114" s="24" t="s">
        <v>8671</v>
      </c>
      <c r="C1114" s="24" t="s">
        <v>9614</v>
      </c>
      <c r="D1114" s="24" t="s">
        <v>8044</v>
      </c>
      <c r="E1114" s="24" t="s">
        <v>7882</v>
      </c>
      <c r="F1114" s="24" t="s">
        <v>7198</v>
      </c>
      <c r="G1114" s="24" t="b">
        <v>1</v>
      </c>
    </row>
    <row r="1115" spans="1:7" ht="12.5" customHeight="1">
      <c r="A1115" s="27">
        <v>33460</v>
      </c>
      <c r="B1115" s="24" t="s">
        <v>8671</v>
      </c>
      <c r="C1115" s="24" t="s">
        <v>9614</v>
      </c>
      <c r="D1115" s="24" t="s">
        <v>8044</v>
      </c>
      <c r="E1115" s="24" t="s">
        <v>8681</v>
      </c>
      <c r="F1115" s="24" t="s">
        <v>7198</v>
      </c>
      <c r="G1115" s="24" t="b">
        <v>1</v>
      </c>
    </row>
    <row r="1116" spans="1:7" ht="12.5" customHeight="1">
      <c r="A1116" s="27">
        <v>33460</v>
      </c>
      <c r="B1116" s="24" t="s">
        <v>8671</v>
      </c>
      <c r="C1116" s="24" t="s">
        <v>9614</v>
      </c>
      <c r="D1116" s="24" t="s">
        <v>8044</v>
      </c>
      <c r="E1116" s="24" t="s">
        <v>7411</v>
      </c>
      <c r="F1116" s="24" t="s">
        <v>7198</v>
      </c>
      <c r="G1116" s="24" t="b">
        <v>1</v>
      </c>
    </row>
    <row r="1117" spans="1:7" ht="12.5" customHeight="1">
      <c r="A1117" s="27">
        <v>33460</v>
      </c>
      <c r="B1117" s="24" t="s">
        <v>8671</v>
      </c>
      <c r="C1117" s="24" t="s">
        <v>9614</v>
      </c>
      <c r="D1117" s="24" t="s">
        <v>8044</v>
      </c>
      <c r="E1117" s="24" t="s">
        <v>8682</v>
      </c>
      <c r="F1117" s="24" t="s">
        <v>7198</v>
      </c>
      <c r="G1117" s="24" t="b">
        <v>1</v>
      </c>
    </row>
    <row r="1118" spans="1:7" ht="12.5" customHeight="1">
      <c r="A1118" s="27">
        <v>33460</v>
      </c>
      <c r="B1118" s="24" t="s">
        <v>8671</v>
      </c>
      <c r="C1118" s="24" t="s">
        <v>9614</v>
      </c>
      <c r="D1118" s="24" t="s">
        <v>8044</v>
      </c>
      <c r="E1118" s="24" t="s">
        <v>8683</v>
      </c>
      <c r="F1118" s="24" t="s">
        <v>7272</v>
      </c>
      <c r="G1118" s="24" t="b">
        <v>0</v>
      </c>
    </row>
    <row r="1119" spans="1:7" ht="12.5" customHeight="1">
      <c r="A1119" s="27">
        <v>33460</v>
      </c>
      <c r="B1119" s="24" t="s">
        <v>8671</v>
      </c>
      <c r="C1119" s="24" t="s">
        <v>9614</v>
      </c>
      <c r="D1119" s="24" t="s">
        <v>8044</v>
      </c>
      <c r="E1119" s="24" t="s">
        <v>8684</v>
      </c>
      <c r="F1119" s="24" t="s">
        <v>7272</v>
      </c>
      <c r="G1119" s="24" t="b">
        <v>0</v>
      </c>
    </row>
    <row r="1120" spans="1:7" ht="12.5" customHeight="1">
      <c r="A1120" s="27">
        <v>33500</v>
      </c>
      <c r="B1120" s="24" t="s">
        <v>8685</v>
      </c>
      <c r="C1120" s="24" t="s">
        <v>9615</v>
      </c>
      <c r="D1120" s="24" t="s">
        <v>7138</v>
      </c>
      <c r="E1120" s="24" t="s">
        <v>7717</v>
      </c>
      <c r="F1120" s="24" t="s">
        <v>7499</v>
      </c>
      <c r="G1120" s="24" t="b">
        <v>0</v>
      </c>
    </row>
    <row r="1121" spans="1:7" ht="12.5" customHeight="1">
      <c r="A1121" s="27">
        <v>33500</v>
      </c>
      <c r="B1121" s="24" t="s">
        <v>8685</v>
      </c>
      <c r="C1121" s="24" t="s">
        <v>9615</v>
      </c>
      <c r="D1121" s="24" t="s">
        <v>7138</v>
      </c>
      <c r="E1121" s="24" t="s">
        <v>8686</v>
      </c>
      <c r="F1121" s="24" t="s">
        <v>7499</v>
      </c>
      <c r="G1121" s="24" t="b">
        <v>0</v>
      </c>
    </row>
    <row r="1122" spans="1:7" ht="12.5" customHeight="1">
      <c r="A1122" s="27">
        <v>33500</v>
      </c>
      <c r="B1122" s="24" t="s">
        <v>8685</v>
      </c>
      <c r="C1122" s="24" t="s">
        <v>9615</v>
      </c>
      <c r="D1122" s="24" t="s">
        <v>7138</v>
      </c>
      <c r="E1122" s="24" t="s">
        <v>8687</v>
      </c>
      <c r="F1122" s="24" t="s">
        <v>7499</v>
      </c>
      <c r="G1122" s="24" t="b">
        <v>1</v>
      </c>
    </row>
    <row r="1123" spans="1:7" ht="12.5" customHeight="1">
      <c r="A1123" s="27">
        <v>33540</v>
      </c>
      <c r="B1123" s="24" t="s">
        <v>8688</v>
      </c>
      <c r="C1123" s="24" t="s">
        <v>9614</v>
      </c>
      <c r="D1123" s="24" t="s">
        <v>7138</v>
      </c>
      <c r="E1123" s="24" t="s">
        <v>8689</v>
      </c>
      <c r="F1123" s="24" t="s">
        <v>7484</v>
      </c>
      <c r="G1123" s="24" t="b">
        <v>1</v>
      </c>
    </row>
    <row r="1124" spans="1:7" ht="12.5" customHeight="1">
      <c r="A1124" s="27">
        <v>33580</v>
      </c>
      <c r="B1124" s="24" t="s">
        <v>8690</v>
      </c>
      <c r="C1124" s="24" t="s">
        <v>9615</v>
      </c>
      <c r="D1124" s="24" t="s">
        <v>7138</v>
      </c>
      <c r="E1124" s="24" t="s">
        <v>8691</v>
      </c>
      <c r="F1124" s="24" t="s">
        <v>7141</v>
      </c>
      <c r="G1124" s="24" t="b">
        <v>1</v>
      </c>
    </row>
    <row r="1125" spans="1:7" ht="12.5" customHeight="1">
      <c r="A1125" s="27">
        <v>33580</v>
      </c>
      <c r="B1125" s="24" t="s">
        <v>8690</v>
      </c>
      <c r="C1125" s="24" t="s">
        <v>9615</v>
      </c>
      <c r="D1125" s="24" t="s">
        <v>7138</v>
      </c>
      <c r="E1125" s="24" t="s">
        <v>8692</v>
      </c>
      <c r="F1125" s="24" t="s">
        <v>7141</v>
      </c>
      <c r="G1125" s="24" t="b">
        <v>0</v>
      </c>
    </row>
    <row r="1126" spans="1:7" ht="12.5" customHeight="1">
      <c r="A1126" s="27">
        <v>33620</v>
      </c>
      <c r="B1126" s="24" t="s">
        <v>8693</v>
      </c>
      <c r="C1126" s="24" t="s">
        <v>9615</v>
      </c>
      <c r="D1126" s="24" t="s">
        <v>7784</v>
      </c>
      <c r="E1126" s="24" t="s">
        <v>7996</v>
      </c>
      <c r="F1126" s="24" t="s">
        <v>7570</v>
      </c>
      <c r="G1126" s="24" t="b">
        <v>1</v>
      </c>
    </row>
    <row r="1127" spans="1:7" ht="12.5" customHeight="1">
      <c r="A1127" s="27">
        <v>33660</v>
      </c>
      <c r="B1127" s="24" t="s">
        <v>8694</v>
      </c>
      <c r="C1127" s="24" t="s">
        <v>9614</v>
      </c>
      <c r="D1127" s="24" t="s">
        <v>7878</v>
      </c>
      <c r="E1127" s="24" t="s">
        <v>8695</v>
      </c>
      <c r="F1127" s="24" t="s">
        <v>7201</v>
      </c>
      <c r="G1127" s="24" t="b">
        <v>1</v>
      </c>
    </row>
    <row r="1128" spans="1:7" ht="12.5" customHeight="1">
      <c r="A1128" s="27">
        <v>33660</v>
      </c>
      <c r="B1128" s="24" t="s">
        <v>8694</v>
      </c>
      <c r="C1128" s="24" t="s">
        <v>9614</v>
      </c>
      <c r="D1128" s="24" t="s">
        <v>7878</v>
      </c>
      <c r="E1128" s="24" t="s">
        <v>7411</v>
      </c>
      <c r="F1128" s="24" t="s">
        <v>7201</v>
      </c>
      <c r="G1128" s="24" t="b">
        <v>0</v>
      </c>
    </row>
    <row r="1129" spans="1:7" ht="12.5" customHeight="1">
      <c r="A1129" s="27">
        <v>33700</v>
      </c>
      <c r="B1129" s="24" t="s">
        <v>8696</v>
      </c>
      <c r="C1129" s="24" t="s">
        <v>9614</v>
      </c>
      <c r="D1129" s="24" t="s">
        <v>8643</v>
      </c>
      <c r="E1129" s="24" t="s">
        <v>8697</v>
      </c>
      <c r="F1129" s="24" t="s">
        <v>7386</v>
      </c>
      <c r="G1129" s="24" t="b">
        <v>1</v>
      </c>
    </row>
    <row r="1130" spans="1:7" ht="12.5" customHeight="1">
      <c r="A1130" s="27">
        <v>33740</v>
      </c>
      <c r="B1130" s="24" t="s">
        <v>8698</v>
      </c>
      <c r="C1130" s="24" t="s">
        <v>9614</v>
      </c>
      <c r="D1130" s="24" t="s">
        <v>8699</v>
      </c>
      <c r="E1130" s="24" t="s">
        <v>8700</v>
      </c>
      <c r="F1130" s="24" t="s">
        <v>7214</v>
      </c>
      <c r="G1130" s="24" t="b">
        <v>0</v>
      </c>
    </row>
    <row r="1131" spans="1:7" ht="12.5" customHeight="1">
      <c r="A1131" s="27">
        <v>33740</v>
      </c>
      <c r="B1131" s="24" t="s">
        <v>8698</v>
      </c>
      <c r="C1131" s="24" t="s">
        <v>9614</v>
      </c>
      <c r="D1131" s="24" t="s">
        <v>8699</v>
      </c>
      <c r="E1131" s="24" t="s">
        <v>8701</v>
      </c>
      <c r="F1131" s="24" t="s">
        <v>7214</v>
      </c>
      <c r="G1131" s="24" t="b">
        <v>1</v>
      </c>
    </row>
    <row r="1132" spans="1:7" ht="12.5" customHeight="1">
      <c r="A1132" s="27">
        <v>33740</v>
      </c>
      <c r="B1132" s="24" t="s">
        <v>8698</v>
      </c>
      <c r="C1132" s="24" t="s">
        <v>9614</v>
      </c>
      <c r="D1132" s="24" t="s">
        <v>8699</v>
      </c>
      <c r="E1132" s="24" t="s">
        <v>8702</v>
      </c>
      <c r="F1132" s="24" t="s">
        <v>7214</v>
      </c>
      <c r="G1132" s="24" t="b">
        <v>0</v>
      </c>
    </row>
    <row r="1133" spans="1:7" ht="12.5" customHeight="1">
      <c r="A1133" s="27">
        <v>33780</v>
      </c>
      <c r="B1133" s="24" t="s">
        <v>8703</v>
      </c>
      <c r="C1133" s="24" t="s">
        <v>9614</v>
      </c>
      <c r="D1133" s="24" t="s">
        <v>7154</v>
      </c>
      <c r="E1133" s="24" t="s">
        <v>7515</v>
      </c>
      <c r="F1133" s="24" t="s">
        <v>7156</v>
      </c>
      <c r="G1133" s="24" t="b">
        <v>1</v>
      </c>
    </row>
    <row r="1134" spans="1:7" ht="12.5" customHeight="1">
      <c r="A1134" s="27">
        <v>33860</v>
      </c>
      <c r="B1134" s="24" t="s">
        <v>8704</v>
      </c>
      <c r="C1134" s="24" t="s">
        <v>9614</v>
      </c>
      <c r="D1134" s="24" t="s">
        <v>7209</v>
      </c>
      <c r="E1134" s="24" t="s">
        <v>8705</v>
      </c>
      <c r="F1134" s="24" t="s">
        <v>7201</v>
      </c>
      <c r="G1134" s="24" t="b">
        <v>1</v>
      </c>
    </row>
    <row r="1135" spans="1:7" ht="12.5" customHeight="1">
      <c r="A1135" s="27">
        <v>33860</v>
      </c>
      <c r="B1135" s="24" t="s">
        <v>8704</v>
      </c>
      <c r="C1135" s="24" t="s">
        <v>9614</v>
      </c>
      <c r="D1135" s="24" t="s">
        <v>7209</v>
      </c>
      <c r="E1135" s="24" t="s">
        <v>8706</v>
      </c>
      <c r="F1135" s="24" t="s">
        <v>7201</v>
      </c>
      <c r="G1135" s="24" t="b">
        <v>1</v>
      </c>
    </row>
    <row r="1136" spans="1:7" ht="12.5" customHeight="1">
      <c r="A1136" s="27">
        <v>33860</v>
      </c>
      <c r="B1136" s="24" t="s">
        <v>8704</v>
      </c>
      <c r="C1136" s="24" t="s">
        <v>9614</v>
      </c>
      <c r="D1136" s="24" t="s">
        <v>7209</v>
      </c>
      <c r="E1136" s="24" t="s">
        <v>7803</v>
      </c>
      <c r="F1136" s="24" t="s">
        <v>7201</v>
      </c>
      <c r="G1136" s="24" t="b">
        <v>0</v>
      </c>
    </row>
    <row r="1137" spans="1:7" ht="12.5" customHeight="1">
      <c r="A1137" s="27">
        <v>33860</v>
      </c>
      <c r="B1137" s="24" t="s">
        <v>8704</v>
      </c>
      <c r="C1137" s="24" t="s">
        <v>9614</v>
      </c>
      <c r="D1137" s="24" t="s">
        <v>7209</v>
      </c>
      <c r="E1137" s="24" t="s">
        <v>7255</v>
      </c>
      <c r="F1137" s="24" t="s">
        <v>7201</v>
      </c>
      <c r="G1137" s="24" t="b">
        <v>1</v>
      </c>
    </row>
    <row r="1138" spans="1:7" ht="12.5" customHeight="1">
      <c r="A1138" s="27">
        <v>33940</v>
      </c>
      <c r="B1138" s="24" t="s">
        <v>8707</v>
      </c>
      <c r="C1138" s="24" t="s">
        <v>9615</v>
      </c>
      <c r="D1138" s="24" t="s">
        <v>7138</v>
      </c>
      <c r="E1138" s="24" t="s">
        <v>8708</v>
      </c>
      <c r="F1138" s="24" t="s">
        <v>7555</v>
      </c>
      <c r="G1138" s="24" t="b">
        <v>1</v>
      </c>
    </row>
    <row r="1139" spans="1:7" ht="12.5" customHeight="1">
      <c r="A1139" s="27">
        <v>33940</v>
      </c>
      <c r="B1139" s="24" t="s">
        <v>8707</v>
      </c>
      <c r="C1139" s="24" t="s">
        <v>9615</v>
      </c>
      <c r="D1139" s="24" t="s">
        <v>7138</v>
      </c>
      <c r="E1139" s="24" t="s">
        <v>8709</v>
      </c>
      <c r="F1139" s="24" t="s">
        <v>7555</v>
      </c>
      <c r="G1139" s="24" t="b">
        <v>0</v>
      </c>
    </row>
    <row r="1140" spans="1:7" ht="12.5" customHeight="1">
      <c r="A1140" s="27">
        <v>33980</v>
      </c>
      <c r="B1140" s="24" t="s">
        <v>8710</v>
      </c>
      <c r="C1140" s="24" t="s">
        <v>9615</v>
      </c>
      <c r="D1140" s="24" t="s">
        <v>8711</v>
      </c>
      <c r="E1140" s="24" t="s">
        <v>8712</v>
      </c>
      <c r="F1140" s="24" t="s">
        <v>7195</v>
      </c>
      <c r="G1140" s="24" t="b">
        <v>1</v>
      </c>
    </row>
    <row r="1141" spans="1:7" ht="12.5" customHeight="1">
      <c r="A1141" s="27">
        <v>34020</v>
      </c>
      <c r="B1141" s="24" t="s">
        <v>8713</v>
      </c>
      <c r="C1141" s="24" t="s">
        <v>9615</v>
      </c>
      <c r="D1141" s="24" t="s">
        <v>8446</v>
      </c>
      <c r="E1141" s="24" t="s">
        <v>8714</v>
      </c>
      <c r="F1141" s="24" t="s">
        <v>7214</v>
      </c>
      <c r="G1141" s="24" t="b">
        <v>1</v>
      </c>
    </row>
    <row r="1142" spans="1:7" ht="12.5" customHeight="1">
      <c r="A1142" s="27">
        <v>34060</v>
      </c>
      <c r="B1142" s="24" t="s">
        <v>8715</v>
      </c>
      <c r="C1142" s="24" t="s">
        <v>9614</v>
      </c>
      <c r="D1142" s="24" t="s">
        <v>8038</v>
      </c>
      <c r="E1142" s="24" t="s">
        <v>8716</v>
      </c>
      <c r="F1142" s="24" t="s">
        <v>7452</v>
      </c>
      <c r="G1142" s="24" t="b">
        <v>1</v>
      </c>
    </row>
    <row r="1143" spans="1:7" ht="12.5" customHeight="1">
      <c r="A1143" s="27">
        <v>34060</v>
      </c>
      <c r="B1143" s="24" t="s">
        <v>8715</v>
      </c>
      <c r="C1143" s="24" t="s">
        <v>9614</v>
      </c>
      <c r="D1143" s="24" t="s">
        <v>8038</v>
      </c>
      <c r="E1143" s="24" t="s">
        <v>8717</v>
      </c>
      <c r="F1143" s="24" t="s">
        <v>7452</v>
      </c>
      <c r="G1143" s="24" t="b">
        <v>0</v>
      </c>
    </row>
    <row r="1144" spans="1:7" ht="12.5" customHeight="1">
      <c r="A1144" s="27">
        <v>34100</v>
      </c>
      <c r="B1144" s="24" t="s">
        <v>8718</v>
      </c>
      <c r="C1144" s="24" t="s">
        <v>9614</v>
      </c>
      <c r="D1144" s="24" t="s">
        <v>8436</v>
      </c>
      <c r="E1144" s="24" t="s">
        <v>8719</v>
      </c>
      <c r="F1144" s="24" t="s">
        <v>7312</v>
      </c>
      <c r="G1144" s="24" t="b">
        <v>0</v>
      </c>
    </row>
    <row r="1145" spans="1:7" ht="12.5" customHeight="1">
      <c r="A1145" s="27">
        <v>34100</v>
      </c>
      <c r="B1145" s="24" t="s">
        <v>8718</v>
      </c>
      <c r="C1145" s="24" t="s">
        <v>9614</v>
      </c>
      <c r="D1145" s="24" t="s">
        <v>8436</v>
      </c>
      <c r="E1145" s="24" t="s">
        <v>8720</v>
      </c>
      <c r="F1145" s="24" t="s">
        <v>7312</v>
      </c>
      <c r="G1145" s="24" t="b">
        <v>1</v>
      </c>
    </row>
    <row r="1146" spans="1:7" ht="12.5" customHeight="1">
      <c r="A1146" s="27">
        <v>34100</v>
      </c>
      <c r="B1146" s="24" t="s">
        <v>8718</v>
      </c>
      <c r="C1146" s="24" t="s">
        <v>9614</v>
      </c>
      <c r="D1146" s="24" t="s">
        <v>8436</v>
      </c>
      <c r="E1146" s="24" t="s">
        <v>7446</v>
      </c>
      <c r="F1146" s="24" t="s">
        <v>7312</v>
      </c>
      <c r="G1146" s="24" t="b">
        <v>1</v>
      </c>
    </row>
    <row r="1147" spans="1:7" ht="12.5" customHeight="1">
      <c r="A1147" s="27">
        <v>34140</v>
      </c>
      <c r="B1147" s="24" t="s">
        <v>8721</v>
      </c>
      <c r="C1147" s="24" t="s">
        <v>9615</v>
      </c>
      <c r="D1147" s="24" t="s">
        <v>8722</v>
      </c>
      <c r="E1147" s="24" t="s">
        <v>8723</v>
      </c>
      <c r="F1147" s="24" t="s">
        <v>7505</v>
      </c>
      <c r="G1147" s="24" t="b">
        <v>1</v>
      </c>
    </row>
    <row r="1148" spans="1:7" ht="12.5" customHeight="1">
      <c r="A1148" s="27">
        <v>34180</v>
      </c>
      <c r="B1148" s="24" t="s">
        <v>8724</v>
      </c>
      <c r="C1148" s="24" t="s">
        <v>9615</v>
      </c>
      <c r="D1148" s="24" t="s">
        <v>8725</v>
      </c>
      <c r="E1148" s="24" t="s">
        <v>7734</v>
      </c>
      <c r="F1148" s="24" t="s">
        <v>1134</v>
      </c>
      <c r="G1148" s="24" t="b">
        <v>1</v>
      </c>
    </row>
    <row r="1149" spans="1:7" ht="12.5" customHeight="1">
      <c r="A1149" s="27">
        <v>34220</v>
      </c>
      <c r="B1149" s="24" t="s">
        <v>8726</v>
      </c>
      <c r="C1149" s="24" t="s">
        <v>9615</v>
      </c>
      <c r="D1149" s="24" t="s">
        <v>7138</v>
      </c>
      <c r="E1149" s="24" t="s">
        <v>8727</v>
      </c>
      <c r="F1149" s="24" t="s">
        <v>7178</v>
      </c>
      <c r="G1149" s="24" t="b">
        <v>1</v>
      </c>
    </row>
    <row r="1150" spans="1:7" ht="12.5" customHeight="1">
      <c r="A1150" s="27">
        <v>34260</v>
      </c>
      <c r="B1150" s="24" t="s">
        <v>8728</v>
      </c>
      <c r="C1150" s="24" t="s">
        <v>9615</v>
      </c>
      <c r="D1150" s="24" t="s">
        <v>7138</v>
      </c>
      <c r="E1150" s="24" t="s">
        <v>8729</v>
      </c>
      <c r="F1150" s="24" t="s">
        <v>7289</v>
      </c>
      <c r="G1150" s="24" t="b">
        <v>1</v>
      </c>
    </row>
    <row r="1151" spans="1:7" ht="12.5" customHeight="1">
      <c r="A1151" s="27">
        <v>34300</v>
      </c>
      <c r="B1151" s="24" t="s">
        <v>8730</v>
      </c>
      <c r="C1151" s="24" t="s">
        <v>9615</v>
      </c>
      <c r="D1151" s="24" t="s">
        <v>7532</v>
      </c>
      <c r="E1151" s="24" t="s">
        <v>8706</v>
      </c>
      <c r="F1151" s="24" t="s">
        <v>7505</v>
      </c>
      <c r="G1151" s="24" t="b">
        <v>1</v>
      </c>
    </row>
    <row r="1152" spans="1:7" ht="12.5" customHeight="1">
      <c r="A1152" s="27">
        <v>34340</v>
      </c>
      <c r="B1152" s="24" t="s">
        <v>8731</v>
      </c>
      <c r="C1152" s="24" t="s">
        <v>9615</v>
      </c>
      <c r="D1152" s="24" t="s">
        <v>7612</v>
      </c>
      <c r="E1152" s="24" t="s">
        <v>8732</v>
      </c>
      <c r="F1152" s="24" t="s">
        <v>7195</v>
      </c>
      <c r="G1152" s="24" t="b">
        <v>1</v>
      </c>
    </row>
    <row r="1153" spans="1:7" ht="12.5" customHeight="1">
      <c r="A1153" s="27">
        <v>34350</v>
      </c>
      <c r="B1153" s="24" t="s">
        <v>8733</v>
      </c>
      <c r="C1153" s="24" t="s">
        <v>9615</v>
      </c>
      <c r="D1153" s="24" t="s">
        <v>7679</v>
      </c>
      <c r="E1153" s="24" t="s">
        <v>7461</v>
      </c>
      <c r="F1153" s="24" t="s">
        <v>7452</v>
      </c>
      <c r="G1153" s="24" t="b">
        <v>1</v>
      </c>
    </row>
    <row r="1154" spans="1:7" ht="12.5" customHeight="1">
      <c r="A1154" s="27">
        <v>34380</v>
      </c>
      <c r="B1154" s="24" t="s">
        <v>8734</v>
      </c>
      <c r="C1154" s="24" t="s">
        <v>9615</v>
      </c>
      <c r="D1154" s="24" t="s">
        <v>7230</v>
      </c>
      <c r="E1154" s="24" t="s">
        <v>8735</v>
      </c>
      <c r="F1154" s="24" t="s">
        <v>7156</v>
      </c>
      <c r="G1154" s="24" t="b">
        <v>1</v>
      </c>
    </row>
    <row r="1155" spans="1:7" ht="12.5" customHeight="1">
      <c r="A1155" s="27">
        <v>34420</v>
      </c>
      <c r="B1155" s="24" t="s">
        <v>8736</v>
      </c>
      <c r="C1155" s="24" t="s">
        <v>9615</v>
      </c>
      <c r="D1155" s="24" t="s">
        <v>7138</v>
      </c>
      <c r="E1155" s="24" t="s">
        <v>8737</v>
      </c>
      <c r="F1155" s="24" t="s">
        <v>7147</v>
      </c>
      <c r="G1155" s="24" t="b">
        <v>0</v>
      </c>
    </row>
    <row r="1156" spans="1:7" ht="12.5" customHeight="1">
      <c r="A1156" s="27">
        <v>34420</v>
      </c>
      <c r="B1156" s="24" t="s">
        <v>8736</v>
      </c>
      <c r="C1156" s="24" t="s">
        <v>9615</v>
      </c>
      <c r="D1156" s="24" t="s">
        <v>7138</v>
      </c>
      <c r="E1156" s="24" t="s">
        <v>8738</v>
      </c>
      <c r="F1156" s="24" t="s">
        <v>7147</v>
      </c>
      <c r="G1156" s="24" t="b">
        <v>1</v>
      </c>
    </row>
    <row r="1157" spans="1:7" ht="12.5" customHeight="1">
      <c r="A1157" s="27">
        <v>34460</v>
      </c>
      <c r="B1157" s="24" t="s">
        <v>8739</v>
      </c>
      <c r="C1157" s="24" t="s">
        <v>9615</v>
      </c>
      <c r="D1157" s="24" t="s">
        <v>8099</v>
      </c>
      <c r="E1157" s="24" t="s">
        <v>8740</v>
      </c>
      <c r="F1157" s="24" t="s">
        <v>7404</v>
      </c>
      <c r="G1157" s="24" t="b">
        <v>0</v>
      </c>
    </row>
    <row r="1158" spans="1:7" ht="12.5" customHeight="1">
      <c r="A1158" s="27">
        <v>34460</v>
      </c>
      <c r="B1158" s="24" t="s">
        <v>8739</v>
      </c>
      <c r="C1158" s="24" t="s">
        <v>9615</v>
      </c>
      <c r="D1158" s="24" t="s">
        <v>8099</v>
      </c>
      <c r="E1158" s="24" t="s">
        <v>8741</v>
      </c>
      <c r="F1158" s="24" t="s">
        <v>7404</v>
      </c>
      <c r="G1158" s="24" t="b">
        <v>0</v>
      </c>
    </row>
    <row r="1159" spans="1:7" ht="12.5" customHeight="1">
      <c r="A1159" s="27">
        <v>34460</v>
      </c>
      <c r="B1159" s="24" t="s">
        <v>8739</v>
      </c>
      <c r="C1159" s="24" t="s">
        <v>9615</v>
      </c>
      <c r="D1159" s="24" t="s">
        <v>8099</v>
      </c>
      <c r="E1159" s="24" t="s">
        <v>7255</v>
      </c>
      <c r="F1159" s="24" t="s">
        <v>7404</v>
      </c>
      <c r="G1159" s="24" t="b">
        <v>1</v>
      </c>
    </row>
    <row r="1160" spans="1:7" ht="12.5" customHeight="1">
      <c r="A1160" s="27">
        <v>34500</v>
      </c>
      <c r="B1160" s="24" t="s">
        <v>8742</v>
      </c>
      <c r="C1160" s="24" t="s">
        <v>9615</v>
      </c>
      <c r="D1160" s="24" t="s">
        <v>7138</v>
      </c>
      <c r="E1160" s="24" t="s">
        <v>7446</v>
      </c>
      <c r="F1160" s="24" t="s">
        <v>7513</v>
      </c>
      <c r="G1160" s="24" t="b">
        <v>1</v>
      </c>
    </row>
    <row r="1161" spans="1:7" ht="12.5" customHeight="1">
      <c r="A1161" s="27">
        <v>34540</v>
      </c>
      <c r="B1161" s="24" t="s">
        <v>8743</v>
      </c>
      <c r="C1161" s="24" t="s">
        <v>9615</v>
      </c>
      <c r="D1161" s="24" t="s">
        <v>7460</v>
      </c>
      <c r="E1161" s="24" t="s">
        <v>8128</v>
      </c>
      <c r="F1161" s="24" t="s">
        <v>7171</v>
      </c>
      <c r="G1161" s="24" t="b">
        <v>1</v>
      </c>
    </row>
    <row r="1162" spans="1:7" ht="12.5" customHeight="1">
      <c r="A1162" s="27">
        <v>34580</v>
      </c>
      <c r="B1162" s="24" t="s">
        <v>8744</v>
      </c>
      <c r="C1162" s="24" t="s">
        <v>9614</v>
      </c>
      <c r="D1162" s="24" t="s">
        <v>7573</v>
      </c>
      <c r="E1162" s="24" t="s">
        <v>8745</v>
      </c>
      <c r="F1162" s="24" t="s">
        <v>1134</v>
      </c>
      <c r="G1162" s="24" t="b">
        <v>1</v>
      </c>
    </row>
    <row r="1163" spans="1:7" ht="12.5" customHeight="1">
      <c r="A1163" s="27">
        <v>34620</v>
      </c>
      <c r="B1163" s="24" t="s">
        <v>8746</v>
      </c>
      <c r="C1163" s="24" t="s">
        <v>9614</v>
      </c>
      <c r="D1163" s="24" t="s">
        <v>7799</v>
      </c>
      <c r="E1163" s="24" t="s">
        <v>7807</v>
      </c>
      <c r="F1163" s="24" t="s">
        <v>4460</v>
      </c>
      <c r="G1163" s="24" t="b">
        <v>1</v>
      </c>
    </row>
    <row r="1164" spans="1:7" ht="12.5" customHeight="1">
      <c r="A1164" s="27">
        <v>34660</v>
      </c>
      <c r="B1164" s="24" t="s">
        <v>8747</v>
      </c>
      <c r="C1164" s="24" t="s">
        <v>9615</v>
      </c>
      <c r="D1164" s="24" t="s">
        <v>7138</v>
      </c>
      <c r="E1164" s="24" t="s">
        <v>8748</v>
      </c>
      <c r="F1164" s="24" t="s">
        <v>7404</v>
      </c>
      <c r="G1164" s="24" t="b">
        <v>1</v>
      </c>
    </row>
    <row r="1165" spans="1:7" ht="12.5" customHeight="1">
      <c r="A1165" s="27">
        <v>34700</v>
      </c>
      <c r="B1165" s="24" t="s">
        <v>8749</v>
      </c>
      <c r="C1165" s="24" t="s">
        <v>9615</v>
      </c>
      <c r="D1165" s="24" t="s">
        <v>7761</v>
      </c>
      <c r="E1165" s="24" t="s">
        <v>8750</v>
      </c>
      <c r="F1165" s="24" t="s">
        <v>7252</v>
      </c>
      <c r="G1165" s="24" t="b">
        <v>1</v>
      </c>
    </row>
    <row r="1166" spans="1:7" ht="12.5" customHeight="1">
      <c r="A1166" s="27">
        <v>34740</v>
      </c>
      <c r="B1166" s="24" t="s">
        <v>8751</v>
      </c>
      <c r="C1166" s="24" t="s">
        <v>9614</v>
      </c>
      <c r="D1166" s="24" t="s">
        <v>7477</v>
      </c>
      <c r="E1166" s="24" t="s">
        <v>8752</v>
      </c>
      <c r="F1166" s="24" t="s">
        <v>7156</v>
      </c>
      <c r="G1166" s="24" t="b">
        <v>1</v>
      </c>
    </row>
    <row r="1167" spans="1:7" ht="12.5" customHeight="1">
      <c r="A1167" s="27">
        <v>34780</v>
      </c>
      <c r="B1167" s="24" t="s">
        <v>8753</v>
      </c>
      <c r="C1167" s="24" t="s">
        <v>9615</v>
      </c>
      <c r="D1167" s="24" t="s">
        <v>7414</v>
      </c>
      <c r="E1167" s="24" t="s">
        <v>8754</v>
      </c>
      <c r="F1167" s="24" t="s">
        <v>7152</v>
      </c>
      <c r="G1167" s="24" t="b">
        <v>1</v>
      </c>
    </row>
    <row r="1168" spans="1:7" ht="12.5" customHeight="1">
      <c r="A1168" s="27">
        <v>34820</v>
      </c>
      <c r="B1168" s="24" t="s">
        <v>8755</v>
      </c>
      <c r="C1168" s="24" t="s">
        <v>9614</v>
      </c>
      <c r="D1168" s="24" t="s">
        <v>8136</v>
      </c>
      <c r="E1168" s="24" t="s">
        <v>8756</v>
      </c>
      <c r="F1168" s="24" t="s">
        <v>7195</v>
      </c>
      <c r="G1168" s="24" t="b">
        <v>1</v>
      </c>
    </row>
    <row r="1169" spans="1:7" ht="12.5" customHeight="1">
      <c r="A1169" s="27">
        <v>34820</v>
      </c>
      <c r="B1169" s="24" t="s">
        <v>8755</v>
      </c>
      <c r="C1169" s="24" t="s">
        <v>9614</v>
      </c>
      <c r="D1169" s="24" t="s">
        <v>8136</v>
      </c>
      <c r="E1169" s="24" t="s">
        <v>8757</v>
      </c>
      <c r="F1169" s="24" t="s">
        <v>7368</v>
      </c>
      <c r="G1169" s="24" t="b">
        <v>1</v>
      </c>
    </row>
    <row r="1170" spans="1:7" ht="12.5" customHeight="1">
      <c r="A1170" s="27">
        <v>34860</v>
      </c>
      <c r="B1170" s="24" t="s">
        <v>8758</v>
      </c>
      <c r="C1170" s="24" t="s">
        <v>9615</v>
      </c>
      <c r="D1170" s="24" t="s">
        <v>7138</v>
      </c>
      <c r="E1170" s="24" t="s">
        <v>8759</v>
      </c>
      <c r="F1170" s="24" t="s">
        <v>7147</v>
      </c>
      <c r="G1170" s="24" t="b">
        <v>1</v>
      </c>
    </row>
    <row r="1171" spans="1:7" ht="12.5" customHeight="1">
      <c r="A1171" s="27">
        <v>34900</v>
      </c>
      <c r="B1171" s="24" t="s">
        <v>8760</v>
      </c>
      <c r="C1171" s="24" t="s">
        <v>9614</v>
      </c>
      <c r="D1171" s="24" t="s">
        <v>8643</v>
      </c>
      <c r="E1171" s="24" t="s">
        <v>8761</v>
      </c>
      <c r="F1171" s="24" t="s">
        <v>7386</v>
      </c>
      <c r="G1171" s="24" t="b">
        <v>1</v>
      </c>
    </row>
    <row r="1172" spans="1:7" ht="12.5" customHeight="1">
      <c r="A1172" s="27">
        <v>34940</v>
      </c>
      <c r="B1172" s="24" t="s">
        <v>8762</v>
      </c>
      <c r="C1172" s="24" t="s">
        <v>9614</v>
      </c>
      <c r="D1172" s="24" t="s">
        <v>7642</v>
      </c>
      <c r="E1172" s="24" t="s">
        <v>8763</v>
      </c>
      <c r="F1172" s="24" t="s">
        <v>7277</v>
      </c>
      <c r="G1172" s="24" t="b">
        <v>1</v>
      </c>
    </row>
    <row r="1173" spans="1:7" ht="12.5" customHeight="1">
      <c r="A1173" s="27">
        <v>34980</v>
      </c>
      <c r="B1173" s="24" t="s">
        <v>8764</v>
      </c>
      <c r="C1173" s="24" t="s">
        <v>9614</v>
      </c>
      <c r="D1173" s="24" t="s">
        <v>8485</v>
      </c>
      <c r="E1173" s="24" t="s">
        <v>8765</v>
      </c>
      <c r="F1173" s="24" t="s">
        <v>7312</v>
      </c>
      <c r="G1173" s="24" t="b">
        <v>0</v>
      </c>
    </row>
    <row r="1174" spans="1:7" ht="12.5" customHeight="1">
      <c r="A1174" s="27">
        <v>34980</v>
      </c>
      <c r="B1174" s="24" t="s">
        <v>8764</v>
      </c>
      <c r="C1174" s="24" t="s">
        <v>9614</v>
      </c>
      <c r="D1174" s="24" t="s">
        <v>8485</v>
      </c>
      <c r="E1174" s="24" t="s">
        <v>8766</v>
      </c>
      <c r="F1174" s="24" t="s">
        <v>7312</v>
      </c>
      <c r="G1174" s="24" t="b">
        <v>0</v>
      </c>
    </row>
    <row r="1175" spans="1:7" ht="12.5" customHeight="1">
      <c r="A1175" s="27">
        <v>34980</v>
      </c>
      <c r="B1175" s="24" t="s">
        <v>8764</v>
      </c>
      <c r="C1175" s="24" t="s">
        <v>9614</v>
      </c>
      <c r="D1175" s="24" t="s">
        <v>8485</v>
      </c>
      <c r="E1175" s="24" t="s">
        <v>8767</v>
      </c>
      <c r="F1175" s="24" t="s">
        <v>7312</v>
      </c>
      <c r="G1175" s="24" t="b">
        <v>1</v>
      </c>
    </row>
    <row r="1176" spans="1:7" ht="12.5" customHeight="1">
      <c r="A1176" s="27">
        <v>34980</v>
      </c>
      <c r="B1176" s="24" t="s">
        <v>8764</v>
      </c>
      <c r="C1176" s="24" t="s">
        <v>9614</v>
      </c>
      <c r="D1176" s="24" t="s">
        <v>8485</v>
      </c>
      <c r="E1176" s="24" t="s">
        <v>8768</v>
      </c>
      <c r="F1176" s="24" t="s">
        <v>7312</v>
      </c>
      <c r="G1176" s="24" t="b">
        <v>0</v>
      </c>
    </row>
    <row r="1177" spans="1:7" ht="12.5" customHeight="1">
      <c r="A1177" s="27">
        <v>34980</v>
      </c>
      <c r="B1177" s="24" t="s">
        <v>8764</v>
      </c>
      <c r="C1177" s="24" t="s">
        <v>9614</v>
      </c>
      <c r="D1177" s="24" t="s">
        <v>8485</v>
      </c>
      <c r="E1177" s="24" t="s">
        <v>7891</v>
      </c>
      <c r="F1177" s="24" t="s">
        <v>7312</v>
      </c>
      <c r="G1177" s="24" t="b">
        <v>0</v>
      </c>
    </row>
    <row r="1178" spans="1:7" ht="12.5" customHeight="1">
      <c r="A1178" s="27">
        <v>34980</v>
      </c>
      <c r="B1178" s="24" t="s">
        <v>8764</v>
      </c>
      <c r="C1178" s="24" t="s">
        <v>9614</v>
      </c>
      <c r="D1178" s="24" t="s">
        <v>8485</v>
      </c>
      <c r="E1178" s="24" t="s">
        <v>8769</v>
      </c>
      <c r="F1178" s="24" t="s">
        <v>7312</v>
      </c>
      <c r="G1178" s="24" t="b">
        <v>0</v>
      </c>
    </row>
    <row r="1179" spans="1:7" ht="12.5" customHeight="1">
      <c r="A1179" s="27">
        <v>34980</v>
      </c>
      <c r="B1179" s="24" t="s">
        <v>8764</v>
      </c>
      <c r="C1179" s="24" t="s">
        <v>9614</v>
      </c>
      <c r="D1179" s="24" t="s">
        <v>8485</v>
      </c>
      <c r="E1179" s="24" t="s">
        <v>7779</v>
      </c>
      <c r="F1179" s="24" t="s">
        <v>7312</v>
      </c>
      <c r="G1179" s="24" t="b">
        <v>0</v>
      </c>
    </row>
    <row r="1180" spans="1:7" ht="12.5" customHeight="1">
      <c r="A1180" s="27">
        <v>34980</v>
      </c>
      <c r="B1180" s="24" t="s">
        <v>8764</v>
      </c>
      <c r="C1180" s="24" t="s">
        <v>9614</v>
      </c>
      <c r="D1180" s="24" t="s">
        <v>8485</v>
      </c>
      <c r="E1180" s="24" t="s">
        <v>8076</v>
      </c>
      <c r="F1180" s="24" t="s">
        <v>7312</v>
      </c>
      <c r="G1180" s="24" t="b">
        <v>0</v>
      </c>
    </row>
    <row r="1181" spans="1:7" ht="12.5" customHeight="1">
      <c r="A1181" s="27">
        <v>34980</v>
      </c>
      <c r="B1181" s="24" t="s">
        <v>8764</v>
      </c>
      <c r="C1181" s="24" t="s">
        <v>9614</v>
      </c>
      <c r="D1181" s="24" t="s">
        <v>8485</v>
      </c>
      <c r="E1181" s="24" t="s">
        <v>8770</v>
      </c>
      <c r="F1181" s="24" t="s">
        <v>7312</v>
      </c>
      <c r="G1181" s="24" t="b">
        <v>0</v>
      </c>
    </row>
    <row r="1182" spans="1:7" ht="12.5" customHeight="1">
      <c r="A1182" s="27">
        <v>34980</v>
      </c>
      <c r="B1182" s="24" t="s">
        <v>8764</v>
      </c>
      <c r="C1182" s="24" t="s">
        <v>9614</v>
      </c>
      <c r="D1182" s="24" t="s">
        <v>8485</v>
      </c>
      <c r="E1182" s="24" t="s">
        <v>8771</v>
      </c>
      <c r="F1182" s="24" t="s">
        <v>7312</v>
      </c>
      <c r="G1182" s="24" t="b">
        <v>1</v>
      </c>
    </row>
    <row r="1183" spans="1:7" ht="12.5" customHeight="1">
      <c r="A1183" s="27">
        <v>34980</v>
      </c>
      <c r="B1183" s="24" t="s">
        <v>8764</v>
      </c>
      <c r="C1183" s="24" t="s">
        <v>9614</v>
      </c>
      <c r="D1183" s="24" t="s">
        <v>8485</v>
      </c>
      <c r="E1183" s="24" t="s">
        <v>8772</v>
      </c>
      <c r="F1183" s="24" t="s">
        <v>7312</v>
      </c>
      <c r="G1183" s="24" t="b">
        <v>0</v>
      </c>
    </row>
    <row r="1184" spans="1:7" ht="12.5" customHeight="1">
      <c r="A1184" s="27">
        <v>34980</v>
      </c>
      <c r="B1184" s="24" t="s">
        <v>8764</v>
      </c>
      <c r="C1184" s="24" t="s">
        <v>9614</v>
      </c>
      <c r="D1184" s="24" t="s">
        <v>8485</v>
      </c>
      <c r="E1184" s="24" t="s">
        <v>7381</v>
      </c>
      <c r="F1184" s="24" t="s">
        <v>7312</v>
      </c>
      <c r="G1184" s="24" t="b">
        <v>1</v>
      </c>
    </row>
    <row r="1185" spans="1:7" ht="12.5" customHeight="1">
      <c r="A1185" s="27">
        <v>34980</v>
      </c>
      <c r="B1185" s="24" t="s">
        <v>8764</v>
      </c>
      <c r="C1185" s="24" t="s">
        <v>9614</v>
      </c>
      <c r="D1185" s="24" t="s">
        <v>8485</v>
      </c>
      <c r="E1185" s="24" t="s">
        <v>8773</v>
      </c>
      <c r="F1185" s="24" t="s">
        <v>7312</v>
      </c>
      <c r="G1185" s="24" t="b">
        <v>1</v>
      </c>
    </row>
    <row r="1186" spans="1:7" ht="12.5" customHeight="1">
      <c r="A1186" s="27">
        <v>35020</v>
      </c>
      <c r="B1186" s="24" t="s">
        <v>8774</v>
      </c>
      <c r="C1186" s="24" t="s">
        <v>9615</v>
      </c>
      <c r="D1186" s="24" t="s">
        <v>7138</v>
      </c>
      <c r="E1186" s="24" t="s">
        <v>8775</v>
      </c>
      <c r="F1186" s="24" t="s">
        <v>7214</v>
      </c>
      <c r="G1186" s="24" t="b">
        <v>1</v>
      </c>
    </row>
    <row r="1187" spans="1:7" ht="12.5" customHeight="1">
      <c r="A1187" s="27">
        <v>35020</v>
      </c>
      <c r="B1187" s="24" t="s">
        <v>8774</v>
      </c>
      <c r="C1187" s="24" t="s">
        <v>9615</v>
      </c>
      <c r="D1187" s="24" t="s">
        <v>7138</v>
      </c>
      <c r="E1187" s="24" t="s">
        <v>7893</v>
      </c>
      <c r="F1187" s="24" t="s">
        <v>7584</v>
      </c>
      <c r="G1187" s="24" t="b">
        <v>1</v>
      </c>
    </row>
    <row r="1188" spans="1:7" ht="12.5" customHeight="1">
      <c r="A1188" s="27">
        <v>35060</v>
      </c>
      <c r="B1188" s="24" t="s">
        <v>8776</v>
      </c>
      <c r="C1188" s="24" t="s">
        <v>9615</v>
      </c>
      <c r="D1188" s="24" t="s">
        <v>7138</v>
      </c>
      <c r="E1188" s="24" t="s">
        <v>8777</v>
      </c>
      <c r="F1188" s="24" t="s">
        <v>7214</v>
      </c>
      <c r="G1188" s="24" t="b">
        <v>1</v>
      </c>
    </row>
    <row r="1189" spans="1:7" ht="12.5" customHeight="1">
      <c r="A1189" s="27">
        <v>35100</v>
      </c>
      <c r="B1189" s="24" t="s">
        <v>8778</v>
      </c>
      <c r="C1189" s="24" t="s">
        <v>9614</v>
      </c>
      <c r="D1189" s="24" t="s">
        <v>8711</v>
      </c>
      <c r="E1189" s="24" t="s">
        <v>8779</v>
      </c>
      <c r="F1189" s="24" t="s">
        <v>7195</v>
      </c>
      <c r="G1189" s="24" t="b">
        <v>1</v>
      </c>
    </row>
    <row r="1190" spans="1:7" ht="12.5" customHeight="1">
      <c r="A1190" s="27">
        <v>35100</v>
      </c>
      <c r="B1190" s="24" t="s">
        <v>8778</v>
      </c>
      <c r="C1190" s="24" t="s">
        <v>9614</v>
      </c>
      <c r="D1190" s="24" t="s">
        <v>8711</v>
      </c>
      <c r="E1190" s="24" t="s">
        <v>7148</v>
      </c>
      <c r="F1190" s="24" t="s">
        <v>7195</v>
      </c>
      <c r="G1190" s="24" t="b">
        <v>0</v>
      </c>
    </row>
    <row r="1191" spans="1:7" ht="12.5" customHeight="1">
      <c r="A1191" s="27">
        <v>35100</v>
      </c>
      <c r="B1191" s="24" t="s">
        <v>8778</v>
      </c>
      <c r="C1191" s="24" t="s">
        <v>9614</v>
      </c>
      <c r="D1191" s="24" t="s">
        <v>8711</v>
      </c>
      <c r="E1191" s="24" t="s">
        <v>8780</v>
      </c>
      <c r="F1191" s="24" t="s">
        <v>7195</v>
      </c>
      <c r="G1191" s="24" t="b">
        <v>0</v>
      </c>
    </row>
    <row r="1192" spans="1:7" ht="12.5" customHeight="1">
      <c r="A1192" s="27">
        <v>35140</v>
      </c>
      <c r="B1192" s="24" t="s">
        <v>8781</v>
      </c>
      <c r="C1192" s="24" t="s">
        <v>9615</v>
      </c>
      <c r="D1192" s="24" t="s">
        <v>7787</v>
      </c>
      <c r="E1192" s="24" t="s">
        <v>8782</v>
      </c>
      <c r="F1192" s="24" t="s">
        <v>7368</v>
      </c>
      <c r="G1192" s="24" t="b">
        <v>1</v>
      </c>
    </row>
    <row r="1193" spans="1:7" ht="12.5" customHeight="1">
      <c r="A1193" s="27">
        <v>35220</v>
      </c>
      <c r="B1193" s="24" t="s">
        <v>8783</v>
      </c>
      <c r="C1193" s="24" t="s">
        <v>9615</v>
      </c>
      <c r="D1193" s="24" t="s">
        <v>7799</v>
      </c>
      <c r="E1193" s="24" t="s">
        <v>7337</v>
      </c>
      <c r="F1193" s="24" t="s">
        <v>4460</v>
      </c>
      <c r="G1193" s="24" t="b">
        <v>1</v>
      </c>
    </row>
    <row r="1194" spans="1:7" ht="12.5" customHeight="1">
      <c r="A1194" s="27">
        <v>35260</v>
      </c>
      <c r="B1194" s="24" t="s">
        <v>8784</v>
      </c>
      <c r="C1194" s="24" t="s">
        <v>9615</v>
      </c>
      <c r="D1194" s="24" t="s">
        <v>8308</v>
      </c>
      <c r="E1194" s="24" t="s">
        <v>7456</v>
      </c>
      <c r="F1194" s="24" t="s">
        <v>7226</v>
      </c>
      <c r="G1194" s="24" t="b">
        <v>1</v>
      </c>
    </row>
    <row r="1195" spans="1:7" ht="12.5" customHeight="1">
      <c r="A1195" s="27">
        <v>35300</v>
      </c>
      <c r="B1195" s="24" t="s">
        <v>8785</v>
      </c>
      <c r="C1195" s="24" t="s">
        <v>9614</v>
      </c>
      <c r="D1195" s="24" t="s">
        <v>7579</v>
      </c>
      <c r="E1195" s="24" t="s">
        <v>8786</v>
      </c>
      <c r="F1195" s="24" t="s">
        <v>7581</v>
      </c>
      <c r="G1195" s="24" t="b">
        <v>1</v>
      </c>
    </row>
    <row r="1196" spans="1:7" ht="12.5" customHeight="1">
      <c r="A1196" s="27">
        <v>35380</v>
      </c>
      <c r="B1196" s="24" t="s">
        <v>8787</v>
      </c>
      <c r="C1196" s="24" t="s">
        <v>9614</v>
      </c>
      <c r="D1196" s="24" t="s">
        <v>7529</v>
      </c>
      <c r="E1196" s="24" t="s">
        <v>8788</v>
      </c>
      <c r="F1196" s="24" t="s">
        <v>7214</v>
      </c>
      <c r="G1196" s="24" t="b">
        <v>1</v>
      </c>
    </row>
    <row r="1197" spans="1:7" ht="12.5" customHeight="1">
      <c r="A1197" s="27">
        <v>35380</v>
      </c>
      <c r="B1197" s="24" t="s">
        <v>8787</v>
      </c>
      <c r="C1197" s="24" t="s">
        <v>9614</v>
      </c>
      <c r="D1197" s="24" t="s">
        <v>7529</v>
      </c>
      <c r="E1197" s="24" t="s">
        <v>8789</v>
      </c>
      <c r="F1197" s="24" t="s">
        <v>7214</v>
      </c>
      <c r="G1197" s="24" t="b">
        <v>1</v>
      </c>
    </row>
    <row r="1198" spans="1:7" ht="12.5" customHeight="1">
      <c r="A1198" s="27">
        <v>35380</v>
      </c>
      <c r="B1198" s="24" t="s">
        <v>8787</v>
      </c>
      <c r="C1198" s="24" t="s">
        <v>9614</v>
      </c>
      <c r="D1198" s="24" t="s">
        <v>7529</v>
      </c>
      <c r="E1198" s="24" t="s">
        <v>8790</v>
      </c>
      <c r="F1198" s="24" t="s">
        <v>7214</v>
      </c>
      <c r="G1198" s="24" t="b">
        <v>1</v>
      </c>
    </row>
    <row r="1199" spans="1:7" ht="12.5" customHeight="1">
      <c r="A1199" s="27">
        <v>35380</v>
      </c>
      <c r="B1199" s="24" t="s">
        <v>8787</v>
      </c>
      <c r="C1199" s="24" t="s">
        <v>9614</v>
      </c>
      <c r="D1199" s="24" t="s">
        <v>7529</v>
      </c>
      <c r="E1199" s="24" t="s">
        <v>8791</v>
      </c>
      <c r="F1199" s="24" t="s">
        <v>7214</v>
      </c>
      <c r="G1199" s="24" t="b">
        <v>1</v>
      </c>
    </row>
    <row r="1200" spans="1:7" ht="12.5" customHeight="1">
      <c r="A1200" s="27">
        <v>35380</v>
      </c>
      <c r="B1200" s="24" t="s">
        <v>8787</v>
      </c>
      <c r="C1200" s="24" t="s">
        <v>9614</v>
      </c>
      <c r="D1200" s="24" t="s">
        <v>7529</v>
      </c>
      <c r="E1200" s="24" t="s">
        <v>8792</v>
      </c>
      <c r="F1200" s="24" t="s">
        <v>7214</v>
      </c>
      <c r="G1200" s="24" t="b">
        <v>1</v>
      </c>
    </row>
    <row r="1201" spans="1:7" ht="12.5" customHeight="1">
      <c r="A1201" s="27">
        <v>35380</v>
      </c>
      <c r="B1201" s="24" t="s">
        <v>8787</v>
      </c>
      <c r="C1201" s="24" t="s">
        <v>9614</v>
      </c>
      <c r="D1201" s="24" t="s">
        <v>7529</v>
      </c>
      <c r="E1201" s="24" t="s">
        <v>8793</v>
      </c>
      <c r="F1201" s="24" t="s">
        <v>7214</v>
      </c>
      <c r="G1201" s="24" t="b">
        <v>0</v>
      </c>
    </row>
    <row r="1202" spans="1:7" ht="12.5" customHeight="1">
      <c r="A1202" s="27">
        <v>35380</v>
      </c>
      <c r="B1202" s="24" t="s">
        <v>8787</v>
      </c>
      <c r="C1202" s="24" t="s">
        <v>9614</v>
      </c>
      <c r="D1202" s="24" t="s">
        <v>7529</v>
      </c>
      <c r="E1202" s="24" t="s">
        <v>8794</v>
      </c>
      <c r="F1202" s="24" t="s">
        <v>7214</v>
      </c>
      <c r="G1202" s="24" t="b">
        <v>1</v>
      </c>
    </row>
    <row r="1203" spans="1:7" ht="12.5" customHeight="1">
      <c r="A1203" s="27">
        <v>35380</v>
      </c>
      <c r="B1203" s="24" t="s">
        <v>8787</v>
      </c>
      <c r="C1203" s="24" t="s">
        <v>9614</v>
      </c>
      <c r="D1203" s="24" t="s">
        <v>7529</v>
      </c>
      <c r="E1203" s="24" t="s">
        <v>8795</v>
      </c>
      <c r="F1203" s="24" t="s">
        <v>7214</v>
      </c>
      <c r="G1203" s="24" t="b">
        <v>0</v>
      </c>
    </row>
    <row r="1204" spans="1:7" ht="12.5" customHeight="1">
      <c r="A1204" s="27">
        <v>35420</v>
      </c>
      <c r="B1204" s="24" t="s">
        <v>8796</v>
      </c>
      <c r="C1204" s="24" t="s">
        <v>9615</v>
      </c>
      <c r="D1204" s="24" t="s">
        <v>7169</v>
      </c>
      <c r="E1204" s="24" t="s">
        <v>8797</v>
      </c>
      <c r="F1204" s="24" t="s">
        <v>7171</v>
      </c>
      <c r="G1204" s="24" t="b">
        <v>1</v>
      </c>
    </row>
    <row r="1205" spans="1:7" ht="12.5" customHeight="1">
      <c r="A1205" s="27">
        <v>35440</v>
      </c>
      <c r="B1205" s="24" t="s">
        <v>8798</v>
      </c>
      <c r="C1205" s="24" t="s">
        <v>9615</v>
      </c>
      <c r="D1205" s="24" t="s">
        <v>7138</v>
      </c>
      <c r="E1205" s="24" t="s">
        <v>7364</v>
      </c>
      <c r="F1205" s="24" t="s">
        <v>4053</v>
      </c>
      <c r="G1205" s="24" t="b">
        <v>1</v>
      </c>
    </row>
    <row r="1206" spans="1:7" ht="12.5" customHeight="1">
      <c r="A1206" s="27">
        <v>35460</v>
      </c>
      <c r="B1206" s="24" t="s">
        <v>8799</v>
      </c>
      <c r="C1206" s="24" t="s">
        <v>9615</v>
      </c>
      <c r="D1206" s="24" t="s">
        <v>8436</v>
      </c>
      <c r="E1206" s="24" t="s">
        <v>8800</v>
      </c>
      <c r="F1206" s="24" t="s">
        <v>7312</v>
      </c>
      <c r="G1206" s="24" t="b">
        <v>1</v>
      </c>
    </row>
    <row r="1207" spans="1:7" ht="12.5" customHeight="1">
      <c r="A1207" s="27">
        <v>35580</v>
      </c>
      <c r="B1207" s="24" t="s">
        <v>8801</v>
      </c>
      <c r="C1207" s="24" t="s">
        <v>9615</v>
      </c>
      <c r="D1207" s="24" t="s">
        <v>8588</v>
      </c>
      <c r="E1207" s="24" t="s">
        <v>7140</v>
      </c>
      <c r="F1207" s="24" t="s">
        <v>7198</v>
      </c>
      <c r="G1207" s="24" t="b">
        <v>1</v>
      </c>
    </row>
    <row r="1208" spans="1:7" ht="12.5" customHeight="1">
      <c r="A1208" s="27">
        <v>35620</v>
      </c>
      <c r="B1208" s="24" t="s">
        <v>8802</v>
      </c>
      <c r="C1208" s="24" t="s">
        <v>9614</v>
      </c>
      <c r="D1208" s="24" t="s">
        <v>7579</v>
      </c>
      <c r="E1208" s="24" t="s">
        <v>8337</v>
      </c>
      <c r="F1208" s="24" t="s">
        <v>3775</v>
      </c>
      <c r="G1208" s="24" t="b">
        <v>1</v>
      </c>
    </row>
    <row r="1209" spans="1:7" ht="12.5" customHeight="1">
      <c r="A1209" s="27">
        <v>35620</v>
      </c>
      <c r="B1209" s="24" t="s">
        <v>8802</v>
      </c>
      <c r="C1209" s="24" t="s">
        <v>9614</v>
      </c>
      <c r="D1209" s="24" t="s">
        <v>7579</v>
      </c>
      <c r="E1209" s="24" t="s">
        <v>7547</v>
      </c>
      <c r="F1209" s="24" t="s">
        <v>3775</v>
      </c>
      <c r="G1209" s="24" t="b">
        <v>1</v>
      </c>
    </row>
    <row r="1210" spans="1:7" ht="12.5" customHeight="1">
      <c r="A1210" s="27">
        <v>35620</v>
      </c>
      <c r="B1210" s="24" t="s">
        <v>8802</v>
      </c>
      <c r="C1210" s="24" t="s">
        <v>9614</v>
      </c>
      <c r="D1210" s="24" t="s">
        <v>7579</v>
      </c>
      <c r="E1210" s="24" t="s">
        <v>7548</v>
      </c>
      <c r="F1210" s="24" t="s">
        <v>7224</v>
      </c>
      <c r="G1210" s="24" t="b">
        <v>1</v>
      </c>
    </row>
    <row r="1211" spans="1:7" ht="12.5" customHeight="1">
      <c r="A1211" s="27">
        <v>35620</v>
      </c>
      <c r="B1211" s="24" t="s">
        <v>8802</v>
      </c>
      <c r="C1211" s="24" t="s">
        <v>9614</v>
      </c>
      <c r="D1211" s="24" t="s">
        <v>7579</v>
      </c>
      <c r="E1211" s="24" t="s">
        <v>8803</v>
      </c>
      <c r="F1211" s="24" t="s">
        <v>7224</v>
      </c>
      <c r="G1211" s="24" t="b">
        <v>1</v>
      </c>
    </row>
    <row r="1212" spans="1:7" ht="12.5" customHeight="1">
      <c r="A1212" s="27">
        <v>35620</v>
      </c>
      <c r="B1212" s="24" t="s">
        <v>8802</v>
      </c>
      <c r="C1212" s="24" t="s">
        <v>9614</v>
      </c>
      <c r="D1212" s="24" t="s">
        <v>7579</v>
      </c>
      <c r="E1212" s="24" t="s">
        <v>8804</v>
      </c>
      <c r="F1212" s="24" t="s">
        <v>7224</v>
      </c>
      <c r="G1212" s="24" t="b">
        <v>1</v>
      </c>
    </row>
    <row r="1213" spans="1:7" ht="12.5" customHeight="1">
      <c r="A1213" s="27">
        <v>35620</v>
      </c>
      <c r="B1213" s="24" t="s">
        <v>8802</v>
      </c>
      <c r="C1213" s="24" t="s">
        <v>9614</v>
      </c>
      <c r="D1213" s="24" t="s">
        <v>7579</v>
      </c>
      <c r="E1213" s="24" t="s">
        <v>8805</v>
      </c>
      <c r="F1213" s="24" t="s">
        <v>7224</v>
      </c>
      <c r="G1213" s="24" t="b">
        <v>1</v>
      </c>
    </row>
    <row r="1214" spans="1:7" ht="12.5" customHeight="1">
      <c r="A1214" s="27">
        <v>35620</v>
      </c>
      <c r="B1214" s="24" t="s">
        <v>8802</v>
      </c>
      <c r="C1214" s="24" t="s">
        <v>9614</v>
      </c>
      <c r="D1214" s="24" t="s">
        <v>7579</v>
      </c>
      <c r="E1214" s="24" t="s">
        <v>7695</v>
      </c>
      <c r="F1214" s="24" t="s">
        <v>7224</v>
      </c>
      <c r="G1214" s="24" t="b">
        <v>1</v>
      </c>
    </row>
    <row r="1215" spans="1:7" ht="12.5" customHeight="1">
      <c r="A1215" s="27">
        <v>35620</v>
      </c>
      <c r="B1215" s="24" t="s">
        <v>8802</v>
      </c>
      <c r="C1215" s="24" t="s">
        <v>9614</v>
      </c>
      <c r="D1215" s="24" t="s">
        <v>7579</v>
      </c>
      <c r="E1215" s="24" t="s">
        <v>7345</v>
      </c>
      <c r="F1215" s="24" t="s">
        <v>7226</v>
      </c>
      <c r="G1215" s="24" t="b">
        <v>0</v>
      </c>
    </row>
    <row r="1216" spans="1:7" ht="12.5" customHeight="1">
      <c r="A1216" s="27">
        <v>35620</v>
      </c>
      <c r="B1216" s="24" t="s">
        <v>8802</v>
      </c>
      <c r="C1216" s="24" t="s">
        <v>9614</v>
      </c>
      <c r="D1216" s="24" t="s">
        <v>7579</v>
      </c>
      <c r="E1216" s="24" t="s">
        <v>7549</v>
      </c>
      <c r="F1216" s="24" t="s">
        <v>7224</v>
      </c>
      <c r="G1216" s="24" t="b">
        <v>1</v>
      </c>
    </row>
    <row r="1217" spans="1:7" ht="12.5" customHeight="1">
      <c r="A1217" s="27">
        <v>35620</v>
      </c>
      <c r="B1217" s="24" t="s">
        <v>8802</v>
      </c>
      <c r="C1217" s="24" t="s">
        <v>9614</v>
      </c>
      <c r="D1217" s="24" t="s">
        <v>7579</v>
      </c>
      <c r="E1217" s="24" t="s">
        <v>8806</v>
      </c>
      <c r="F1217" s="24" t="s">
        <v>7224</v>
      </c>
      <c r="G1217" s="24" t="b">
        <v>1</v>
      </c>
    </row>
    <row r="1218" spans="1:7" ht="12.5" customHeight="1">
      <c r="A1218" s="27">
        <v>35620</v>
      </c>
      <c r="B1218" s="24" t="s">
        <v>8802</v>
      </c>
      <c r="C1218" s="24" t="s">
        <v>9614</v>
      </c>
      <c r="D1218" s="24" t="s">
        <v>7579</v>
      </c>
      <c r="E1218" s="24" t="s">
        <v>8807</v>
      </c>
      <c r="F1218" s="24" t="s">
        <v>7224</v>
      </c>
      <c r="G1218" s="24" t="b">
        <v>1</v>
      </c>
    </row>
    <row r="1219" spans="1:7" ht="12.5" customHeight="1">
      <c r="A1219" s="27">
        <v>35620</v>
      </c>
      <c r="B1219" s="24" t="s">
        <v>8802</v>
      </c>
      <c r="C1219" s="24" t="s">
        <v>9614</v>
      </c>
      <c r="D1219" s="24" t="s">
        <v>7579</v>
      </c>
      <c r="E1219" s="24" t="s">
        <v>8808</v>
      </c>
      <c r="F1219" s="24" t="s">
        <v>7224</v>
      </c>
      <c r="G1219" s="24" t="b">
        <v>1</v>
      </c>
    </row>
    <row r="1220" spans="1:7" ht="12.5" customHeight="1">
      <c r="A1220" s="27">
        <v>35620</v>
      </c>
      <c r="B1220" s="24" t="s">
        <v>8802</v>
      </c>
      <c r="C1220" s="24" t="s">
        <v>9614</v>
      </c>
      <c r="D1220" s="24" t="s">
        <v>7579</v>
      </c>
      <c r="E1220" s="24" t="s">
        <v>8809</v>
      </c>
      <c r="F1220" s="24" t="s">
        <v>7224</v>
      </c>
      <c r="G1220" s="24" t="b">
        <v>1</v>
      </c>
    </row>
    <row r="1221" spans="1:7" ht="12.5" customHeight="1">
      <c r="A1221" s="27">
        <v>35620</v>
      </c>
      <c r="B1221" s="24" t="s">
        <v>8802</v>
      </c>
      <c r="C1221" s="24" t="s">
        <v>9614</v>
      </c>
      <c r="D1221" s="24" t="s">
        <v>7579</v>
      </c>
      <c r="E1221" s="24" t="s">
        <v>8810</v>
      </c>
      <c r="F1221" s="24" t="s">
        <v>7224</v>
      </c>
      <c r="G1221" s="24" t="b">
        <v>1</v>
      </c>
    </row>
    <row r="1222" spans="1:7" ht="12.5" customHeight="1">
      <c r="A1222" s="27">
        <v>35620</v>
      </c>
      <c r="B1222" s="24" t="s">
        <v>8802</v>
      </c>
      <c r="C1222" s="24" t="s">
        <v>9614</v>
      </c>
      <c r="D1222" s="24" t="s">
        <v>7579</v>
      </c>
      <c r="E1222" s="24" t="s">
        <v>8811</v>
      </c>
      <c r="F1222" s="24" t="s">
        <v>7224</v>
      </c>
      <c r="G1222" s="24" t="b">
        <v>1</v>
      </c>
    </row>
    <row r="1223" spans="1:7" ht="12.5" customHeight="1">
      <c r="A1223" s="27">
        <v>35620</v>
      </c>
      <c r="B1223" s="24" t="s">
        <v>8802</v>
      </c>
      <c r="C1223" s="24" t="s">
        <v>9614</v>
      </c>
      <c r="D1223" s="24" t="s">
        <v>7579</v>
      </c>
      <c r="E1223" s="24" t="s">
        <v>8812</v>
      </c>
      <c r="F1223" s="24" t="s">
        <v>3775</v>
      </c>
      <c r="G1223" s="24" t="b">
        <v>1</v>
      </c>
    </row>
    <row r="1224" spans="1:7" ht="12.5" customHeight="1">
      <c r="A1224" s="27">
        <v>35620</v>
      </c>
      <c r="B1224" s="24" t="s">
        <v>8802</v>
      </c>
      <c r="C1224" s="24" t="s">
        <v>9614</v>
      </c>
      <c r="D1224" s="24" t="s">
        <v>7579</v>
      </c>
      <c r="E1224" s="24" t="s">
        <v>8213</v>
      </c>
      <c r="F1224" s="24" t="s">
        <v>3775</v>
      </c>
      <c r="G1224" s="24" t="b">
        <v>1</v>
      </c>
    </row>
    <row r="1225" spans="1:7" ht="12.5" customHeight="1">
      <c r="A1225" s="27">
        <v>35620</v>
      </c>
      <c r="B1225" s="24" t="s">
        <v>8802</v>
      </c>
      <c r="C1225" s="24" t="s">
        <v>9614</v>
      </c>
      <c r="D1225" s="24" t="s">
        <v>7579</v>
      </c>
      <c r="E1225" s="24" t="s">
        <v>8813</v>
      </c>
      <c r="F1225" s="24" t="s">
        <v>3775</v>
      </c>
      <c r="G1225" s="24" t="b">
        <v>1</v>
      </c>
    </row>
    <row r="1226" spans="1:7" ht="12.5" customHeight="1">
      <c r="A1226" s="27">
        <v>35620</v>
      </c>
      <c r="B1226" s="24" t="s">
        <v>8802</v>
      </c>
      <c r="C1226" s="24" t="s">
        <v>9614</v>
      </c>
      <c r="D1226" s="24" t="s">
        <v>7579</v>
      </c>
      <c r="E1226" s="24" t="s">
        <v>7819</v>
      </c>
      <c r="F1226" s="24" t="s">
        <v>3775</v>
      </c>
      <c r="G1226" s="24" t="b">
        <v>1</v>
      </c>
    </row>
    <row r="1227" spans="1:7" ht="12.5" customHeight="1">
      <c r="A1227" s="27">
        <v>35620</v>
      </c>
      <c r="B1227" s="24" t="s">
        <v>8802</v>
      </c>
      <c r="C1227" s="24" t="s">
        <v>9614</v>
      </c>
      <c r="D1227" s="24" t="s">
        <v>7579</v>
      </c>
      <c r="E1227" s="24" t="s">
        <v>8814</v>
      </c>
      <c r="F1227" s="24" t="s">
        <v>3775</v>
      </c>
      <c r="G1227" s="24" t="b">
        <v>1</v>
      </c>
    </row>
    <row r="1228" spans="1:7" ht="12.5" customHeight="1">
      <c r="A1228" s="27">
        <v>35620</v>
      </c>
      <c r="B1228" s="24" t="s">
        <v>8802</v>
      </c>
      <c r="C1228" s="24" t="s">
        <v>9614</v>
      </c>
      <c r="D1228" s="24" t="s">
        <v>7579</v>
      </c>
      <c r="E1228" s="24" t="s">
        <v>7366</v>
      </c>
      <c r="F1228" s="24" t="s">
        <v>3775</v>
      </c>
      <c r="G1228" s="24" t="b">
        <v>1</v>
      </c>
    </row>
    <row r="1229" spans="1:7" ht="12.5" customHeight="1">
      <c r="A1229" s="27">
        <v>35620</v>
      </c>
      <c r="B1229" s="24" t="s">
        <v>8802</v>
      </c>
      <c r="C1229" s="24" t="s">
        <v>9614</v>
      </c>
      <c r="D1229" s="24" t="s">
        <v>7579</v>
      </c>
      <c r="E1229" s="24" t="s">
        <v>8815</v>
      </c>
      <c r="F1229" s="24" t="s">
        <v>3775</v>
      </c>
      <c r="G1229" s="24" t="b">
        <v>1</v>
      </c>
    </row>
    <row r="1230" spans="1:7" ht="12.5" customHeight="1">
      <c r="A1230" s="27">
        <v>35620</v>
      </c>
      <c r="B1230" s="24" t="s">
        <v>8802</v>
      </c>
      <c r="C1230" s="24" t="s">
        <v>9614</v>
      </c>
      <c r="D1230" s="24" t="s">
        <v>7579</v>
      </c>
      <c r="E1230" s="24" t="s">
        <v>8816</v>
      </c>
      <c r="F1230" s="24" t="s">
        <v>3775</v>
      </c>
      <c r="G1230" s="24" t="b">
        <v>1</v>
      </c>
    </row>
    <row r="1231" spans="1:7" ht="12.5" customHeight="1">
      <c r="A1231" s="27">
        <v>35660</v>
      </c>
      <c r="B1231" s="24" t="s">
        <v>8817</v>
      </c>
      <c r="C1231" s="24" t="s">
        <v>9614</v>
      </c>
      <c r="D1231" s="24" t="s">
        <v>7993</v>
      </c>
      <c r="E1231" s="24" t="s">
        <v>8818</v>
      </c>
      <c r="F1231" s="24" t="s">
        <v>7156</v>
      </c>
      <c r="G1231" s="24" t="b">
        <v>1</v>
      </c>
    </row>
    <row r="1232" spans="1:7" ht="12.5" customHeight="1">
      <c r="A1232" s="27">
        <v>35700</v>
      </c>
      <c r="B1232" s="24" t="s">
        <v>8819</v>
      </c>
      <c r="C1232" s="24" t="s">
        <v>9615</v>
      </c>
      <c r="D1232" s="24" t="s">
        <v>8820</v>
      </c>
      <c r="E1232" s="24" t="s">
        <v>8821</v>
      </c>
      <c r="F1232" s="24" t="s">
        <v>8065</v>
      </c>
      <c r="G1232" s="24" t="b">
        <v>1</v>
      </c>
    </row>
    <row r="1233" spans="1:7" ht="12.5" customHeight="1">
      <c r="A1233" s="27">
        <v>35740</v>
      </c>
      <c r="B1233" s="24" t="s">
        <v>8822</v>
      </c>
      <c r="C1233" s="24" t="s">
        <v>9615</v>
      </c>
      <c r="D1233" s="24" t="s">
        <v>7138</v>
      </c>
      <c r="E1233" s="24" t="s">
        <v>7295</v>
      </c>
      <c r="F1233" s="24" t="s">
        <v>7443</v>
      </c>
      <c r="G1233" s="24" t="b">
        <v>1</v>
      </c>
    </row>
    <row r="1234" spans="1:7" ht="12.5" customHeight="1">
      <c r="A1234" s="27">
        <v>35740</v>
      </c>
      <c r="B1234" s="24" t="s">
        <v>8822</v>
      </c>
      <c r="C1234" s="24" t="s">
        <v>9615</v>
      </c>
      <c r="D1234" s="24" t="s">
        <v>7138</v>
      </c>
      <c r="E1234" s="24" t="s">
        <v>8683</v>
      </c>
      <c r="F1234" s="24" t="s">
        <v>7443</v>
      </c>
      <c r="G1234" s="24" t="b">
        <v>0</v>
      </c>
    </row>
    <row r="1235" spans="1:7" ht="12.5" customHeight="1">
      <c r="A1235" s="27">
        <v>35740</v>
      </c>
      <c r="B1235" s="24" t="s">
        <v>8822</v>
      </c>
      <c r="C1235" s="24" t="s">
        <v>9615</v>
      </c>
      <c r="D1235" s="24" t="s">
        <v>7138</v>
      </c>
      <c r="E1235" s="24" t="s">
        <v>8823</v>
      </c>
      <c r="F1235" s="24" t="s">
        <v>7443</v>
      </c>
      <c r="G1235" s="24" t="b">
        <v>0</v>
      </c>
    </row>
    <row r="1236" spans="1:7" ht="12.5" customHeight="1">
      <c r="A1236" s="27">
        <v>35820</v>
      </c>
      <c r="B1236" s="24" t="s">
        <v>8824</v>
      </c>
      <c r="C1236" s="24" t="s">
        <v>9615</v>
      </c>
      <c r="D1236" s="24" t="s">
        <v>7138</v>
      </c>
      <c r="E1236" s="24" t="s">
        <v>7364</v>
      </c>
      <c r="F1236" s="24" t="s">
        <v>7443</v>
      </c>
      <c r="G1236" s="24" t="b">
        <v>1</v>
      </c>
    </row>
    <row r="1237" spans="1:7" ht="12.5" customHeight="1">
      <c r="A1237" s="27">
        <v>35820</v>
      </c>
      <c r="B1237" s="24" t="s">
        <v>8824</v>
      </c>
      <c r="C1237" s="24" t="s">
        <v>9615</v>
      </c>
      <c r="D1237" s="24" t="s">
        <v>7138</v>
      </c>
      <c r="E1237" s="24" t="s">
        <v>7461</v>
      </c>
      <c r="F1237" s="24" t="s">
        <v>7443</v>
      </c>
      <c r="G1237" s="24" t="b">
        <v>0</v>
      </c>
    </row>
    <row r="1238" spans="1:7" ht="12.5" customHeight="1">
      <c r="A1238" s="27">
        <v>35820</v>
      </c>
      <c r="B1238" s="24" t="s">
        <v>8824</v>
      </c>
      <c r="C1238" s="24" t="s">
        <v>9615</v>
      </c>
      <c r="D1238" s="24" t="s">
        <v>7138</v>
      </c>
      <c r="E1238" s="24" t="s">
        <v>8632</v>
      </c>
      <c r="F1238" s="24" t="s">
        <v>7443</v>
      </c>
      <c r="G1238" s="24" t="b">
        <v>0</v>
      </c>
    </row>
    <row r="1239" spans="1:7" ht="12.5" customHeight="1">
      <c r="A1239" s="27">
        <v>35840</v>
      </c>
      <c r="B1239" s="24" t="s">
        <v>8825</v>
      </c>
      <c r="C1239" s="24" t="s">
        <v>9614</v>
      </c>
      <c r="D1239" s="24" t="s">
        <v>7275</v>
      </c>
      <c r="E1239" s="24" t="s">
        <v>8826</v>
      </c>
      <c r="F1239" s="24" t="s">
        <v>7277</v>
      </c>
      <c r="G1239" s="24" t="b">
        <v>1</v>
      </c>
    </row>
    <row r="1240" spans="1:7" ht="12.5" customHeight="1">
      <c r="A1240" s="27">
        <v>35840</v>
      </c>
      <c r="B1240" s="24" t="s">
        <v>8825</v>
      </c>
      <c r="C1240" s="24" t="s">
        <v>9614</v>
      </c>
      <c r="D1240" s="24" t="s">
        <v>7275</v>
      </c>
      <c r="E1240" s="24" t="s">
        <v>8827</v>
      </c>
      <c r="F1240" s="24" t="s">
        <v>7277</v>
      </c>
      <c r="G1240" s="24" t="b">
        <v>1</v>
      </c>
    </row>
    <row r="1241" spans="1:7" ht="12.5" customHeight="1">
      <c r="A1241" s="27">
        <v>35860</v>
      </c>
      <c r="B1241" s="24" t="s">
        <v>8828</v>
      </c>
      <c r="C1241" s="24" t="s">
        <v>9615</v>
      </c>
      <c r="D1241" s="24" t="s">
        <v>7799</v>
      </c>
      <c r="E1241" s="24" t="s">
        <v>8829</v>
      </c>
      <c r="F1241" s="24" t="s">
        <v>4460</v>
      </c>
      <c r="G1241" s="24" t="b">
        <v>1</v>
      </c>
    </row>
    <row r="1242" spans="1:7" ht="12.5" customHeight="1">
      <c r="A1242" s="27">
        <v>35900</v>
      </c>
      <c r="B1242" s="24" t="s">
        <v>8830</v>
      </c>
      <c r="C1242" s="24" t="s">
        <v>9615</v>
      </c>
      <c r="D1242" s="24" t="s">
        <v>7138</v>
      </c>
      <c r="E1242" s="24" t="s">
        <v>8831</v>
      </c>
      <c r="F1242" s="24" t="s">
        <v>7195</v>
      </c>
      <c r="G1242" s="24" t="b">
        <v>1</v>
      </c>
    </row>
    <row r="1243" spans="1:7" ht="12.5" customHeight="1">
      <c r="A1243" s="27">
        <v>35940</v>
      </c>
      <c r="B1243" s="24" t="s">
        <v>8832</v>
      </c>
      <c r="C1243" s="24" t="s">
        <v>9615</v>
      </c>
      <c r="D1243" s="24" t="s">
        <v>7169</v>
      </c>
      <c r="E1243" s="24" t="s">
        <v>8833</v>
      </c>
      <c r="F1243" s="24" t="s">
        <v>7171</v>
      </c>
      <c r="G1243" s="24" t="b">
        <v>1</v>
      </c>
    </row>
    <row r="1244" spans="1:7" ht="12.5" customHeight="1">
      <c r="A1244" s="27">
        <v>35980</v>
      </c>
      <c r="B1244" s="24" t="s">
        <v>8834</v>
      </c>
      <c r="C1244" s="24" t="s">
        <v>9614</v>
      </c>
      <c r="D1244" s="24" t="s">
        <v>8224</v>
      </c>
      <c r="E1244" s="24" t="s">
        <v>8835</v>
      </c>
      <c r="F1244" s="24" t="s">
        <v>7581</v>
      </c>
      <c r="G1244" s="24" t="b">
        <v>1</v>
      </c>
    </row>
    <row r="1245" spans="1:7" ht="12.5" customHeight="1">
      <c r="A1245" s="27">
        <v>36020</v>
      </c>
      <c r="B1245" s="24" t="s">
        <v>8836</v>
      </c>
      <c r="C1245" s="24" t="s">
        <v>9615</v>
      </c>
      <c r="D1245" s="24" t="s">
        <v>7573</v>
      </c>
      <c r="E1245" s="24" t="s">
        <v>8837</v>
      </c>
      <c r="F1245" s="24" t="s">
        <v>1134</v>
      </c>
      <c r="G1245" s="24" t="b">
        <v>1</v>
      </c>
    </row>
    <row r="1246" spans="1:7" ht="12.5" customHeight="1">
      <c r="A1246" s="27">
        <v>36100</v>
      </c>
      <c r="B1246" s="24" t="s">
        <v>8838</v>
      </c>
      <c r="C1246" s="24" t="s">
        <v>9614</v>
      </c>
      <c r="D1246" s="24" t="s">
        <v>7138</v>
      </c>
      <c r="E1246" s="24" t="s">
        <v>7671</v>
      </c>
      <c r="F1246" s="24" t="s">
        <v>7277</v>
      </c>
      <c r="G1246" s="24" t="b">
        <v>1</v>
      </c>
    </row>
    <row r="1247" spans="1:7" ht="12.5" customHeight="1">
      <c r="A1247" s="27">
        <v>36140</v>
      </c>
      <c r="B1247" s="24" t="s">
        <v>8839</v>
      </c>
      <c r="C1247" s="24" t="s">
        <v>9614</v>
      </c>
      <c r="D1247" s="24" t="s">
        <v>7350</v>
      </c>
      <c r="E1247" s="24" t="s">
        <v>8840</v>
      </c>
      <c r="F1247" s="24" t="s">
        <v>7224</v>
      </c>
      <c r="G1247" s="24" t="b">
        <v>1</v>
      </c>
    </row>
    <row r="1248" spans="1:7" ht="12.5" customHeight="1">
      <c r="A1248" s="27">
        <v>36220</v>
      </c>
      <c r="B1248" s="24" t="s">
        <v>8841</v>
      </c>
      <c r="C1248" s="24" t="s">
        <v>9614</v>
      </c>
      <c r="D1248" s="24" t="s">
        <v>8660</v>
      </c>
      <c r="E1248" s="24" t="s">
        <v>8842</v>
      </c>
      <c r="F1248" s="24" t="s">
        <v>7147</v>
      </c>
      <c r="G1248" s="24" t="b">
        <v>1</v>
      </c>
    </row>
    <row r="1249" spans="1:7" ht="12.5" customHeight="1">
      <c r="A1249" s="27">
        <v>36260</v>
      </c>
      <c r="B1249" s="24" t="s">
        <v>8843</v>
      </c>
      <c r="C1249" s="24" t="s">
        <v>9614</v>
      </c>
      <c r="D1249" s="24" t="s">
        <v>8234</v>
      </c>
      <c r="E1249" s="24" t="s">
        <v>8844</v>
      </c>
      <c r="F1249" s="24" t="s">
        <v>7659</v>
      </c>
      <c r="G1249" s="24" t="b">
        <v>1</v>
      </c>
    </row>
    <row r="1250" spans="1:7" ht="12.5" customHeight="1">
      <c r="A1250" s="27">
        <v>36260</v>
      </c>
      <c r="B1250" s="24" t="s">
        <v>8843</v>
      </c>
      <c r="C1250" s="24" t="s">
        <v>9614</v>
      </c>
      <c r="D1250" s="24" t="s">
        <v>8234</v>
      </c>
      <c r="E1250" s="24" t="s">
        <v>8845</v>
      </c>
      <c r="F1250" s="24" t="s">
        <v>7659</v>
      </c>
      <c r="G1250" s="24" t="b">
        <v>1</v>
      </c>
    </row>
    <row r="1251" spans="1:7" ht="12.5" customHeight="1">
      <c r="A1251" s="27">
        <v>36260</v>
      </c>
      <c r="B1251" s="24" t="s">
        <v>8843</v>
      </c>
      <c r="C1251" s="24" t="s">
        <v>9614</v>
      </c>
      <c r="D1251" s="24" t="s">
        <v>8234</v>
      </c>
      <c r="E1251" s="24" t="s">
        <v>7341</v>
      </c>
      <c r="F1251" s="24" t="s">
        <v>7659</v>
      </c>
      <c r="G1251" s="24" t="b">
        <v>0</v>
      </c>
    </row>
    <row r="1252" spans="1:7" ht="12.5" customHeight="1">
      <c r="A1252" s="27">
        <v>36260</v>
      </c>
      <c r="B1252" s="24" t="s">
        <v>8843</v>
      </c>
      <c r="C1252" s="24" t="s">
        <v>9614</v>
      </c>
      <c r="D1252" s="24" t="s">
        <v>8234</v>
      </c>
      <c r="E1252" s="24" t="s">
        <v>8846</v>
      </c>
      <c r="F1252" s="24" t="s">
        <v>7659</v>
      </c>
      <c r="G1252" s="24" t="b">
        <v>1</v>
      </c>
    </row>
    <row r="1253" spans="1:7" ht="12.5" customHeight="1">
      <c r="A1253" s="27">
        <v>36300</v>
      </c>
      <c r="B1253" s="24" t="s">
        <v>8847</v>
      </c>
      <c r="C1253" s="24" t="s">
        <v>9615</v>
      </c>
      <c r="D1253" s="24" t="s">
        <v>7138</v>
      </c>
      <c r="E1253" s="24" t="s">
        <v>8848</v>
      </c>
      <c r="F1253" s="24" t="s">
        <v>3775</v>
      </c>
      <c r="G1253" s="24" t="b">
        <v>1</v>
      </c>
    </row>
    <row r="1254" spans="1:7" ht="12.5" customHeight="1">
      <c r="A1254" s="27">
        <v>36340</v>
      </c>
      <c r="B1254" s="24" t="s">
        <v>8849</v>
      </c>
      <c r="C1254" s="24" t="s">
        <v>9615</v>
      </c>
      <c r="D1254" s="24" t="s">
        <v>7138</v>
      </c>
      <c r="E1254" s="24" t="s">
        <v>8850</v>
      </c>
      <c r="F1254" s="24" t="s">
        <v>7226</v>
      </c>
      <c r="G1254" s="24" t="b">
        <v>1</v>
      </c>
    </row>
    <row r="1255" spans="1:7" ht="12.5" customHeight="1">
      <c r="A1255" s="27">
        <v>36380</v>
      </c>
      <c r="B1255" s="24" t="s">
        <v>8851</v>
      </c>
      <c r="C1255" s="24" t="s">
        <v>9615</v>
      </c>
      <c r="D1255" s="24" t="s">
        <v>7138</v>
      </c>
      <c r="E1255" s="24" t="s">
        <v>8852</v>
      </c>
      <c r="F1255" s="24" t="s">
        <v>7277</v>
      </c>
      <c r="G1255" s="24" t="b">
        <v>1</v>
      </c>
    </row>
    <row r="1256" spans="1:7" ht="12.5" customHeight="1">
      <c r="A1256" s="27">
        <v>36420</v>
      </c>
      <c r="B1256" s="24" t="s">
        <v>8853</v>
      </c>
      <c r="C1256" s="24" t="s">
        <v>9614</v>
      </c>
      <c r="D1256" s="24" t="s">
        <v>8854</v>
      </c>
      <c r="E1256" s="24" t="s">
        <v>8855</v>
      </c>
      <c r="F1256" s="24" t="s">
        <v>7152</v>
      </c>
      <c r="G1256" s="24" t="b">
        <v>1</v>
      </c>
    </row>
    <row r="1257" spans="1:7" ht="12.5" customHeight="1">
      <c r="A1257" s="27">
        <v>36420</v>
      </c>
      <c r="B1257" s="24" t="s">
        <v>8853</v>
      </c>
      <c r="C1257" s="24" t="s">
        <v>9614</v>
      </c>
      <c r="D1257" s="24" t="s">
        <v>8854</v>
      </c>
      <c r="E1257" s="24" t="s">
        <v>8856</v>
      </c>
      <c r="F1257" s="24" t="s">
        <v>7152</v>
      </c>
      <c r="G1257" s="24" t="b">
        <v>1</v>
      </c>
    </row>
    <row r="1258" spans="1:7" ht="12.5" customHeight="1">
      <c r="A1258" s="27">
        <v>36420</v>
      </c>
      <c r="B1258" s="24" t="s">
        <v>8853</v>
      </c>
      <c r="C1258" s="24" t="s">
        <v>9614</v>
      </c>
      <c r="D1258" s="24" t="s">
        <v>8854</v>
      </c>
      <c r="E1258" s="24" t="s">
        <v>8857</v>
      </c>
      <c r="F1258" s="24" t="s">
        <v>7152</v>
      </c>
      <c r="G1258" s="24" t="b">
        <v>0</v>
      </c>
    </row>
    <row r="1259" spans="1:7" ht="12.5" customHeight="1">
      <c r="A1259" s="27">
        <v>36420</v>
      </c>
      <c r="B1259" s="24" t="s">
        <v>8853</v>
      </c>
      <c r="C1259" s="24" t="s">
        <v>9614</v>
      </c>
      <c r="D1259" s="24" t="s">
        <v>8854</v>
      </c>
      <c r="E1259" s="24" t="s">
        <v>7364</v>
      </c>
      <c r="F1259" s="24" t="s">
        <v>7152</v>
      </c>
      <c r="G1259" s="24" t="b">
        <v>0</v>
      </c>
    </row>
    <row r="1260" spans="1:7" ht="12.5" customHeight="1">
      <c r="A1260" s="27">
        <v>36420</v>
      </c>
      <c r="B1260" s="24" t="s">
        <v>8853</v>
      </c>
      <c r="C1260" s="24" t="s">
        <v>9614</v>
      </c>
      <c r="D1260" s="24" t="s">
        <v>8854</v>
      </c>
      <c r="E1260" s="24" t="s">
        <v>7461</v>
      </c>
      <c r="F1260" s="24" t="s">
        <v>7152</v>
      </c>
      <c r="G1260" s="24" t="b">
        <v>1</v>
      </c>
    </row>
    <row r="1261" spans="1:7" ht="12.5" customHeight="1">
      <c r="A1261" s="27">
        <v>36420</v>
      </c>
      <c r="B1261" s="24" t="s">
        <v>8853</v>
      </c>
      <c r="C1261" s="24" t="s">
        <v>9614</v>
      </c>
      <c r="D1261" s="24" t="s">
        <v>8854</v>
      </c>
      <c r="E1261" s="24" t="s">
        <v>8858</v>
      </c>
      <c r="F1261" s="24" t="s">
        <v>7152</v>
      </c>
      <c r="G1261" s="24" t="b">
        <v>0</v>
      </c>
    </row>
    <row r="1262" spans="1:7" ht="12.5" customHeight="1">
      <c r="A1262" s="27">
        <v>36420</v>
      </c>
      <c r="B1262" s="24" t="s">
        <v>8853</v>
      </c>
      <c r="C1262" s="24" t="s">
        <v>9614</v>
      </c>
      <c r="D1262" s="24" t="s">
        <v>8854</v>
      </c>
      <c r="E1262" s="24" t="s">
        <v>8859</v>
      </c>
      <c r="F1262" s="24" t="s">
        <v>7152</v>
      </c>
      <c r="G1262" s="24" t="b">
        <v>1</v>
      </c>
    </row>
    <row r="1263" spans="1:7" ht="12.5" customHeight="1">
      <c r="A1263" s="27">
        <v>36460</v>
      </c>
      <c r="B1263" s="24" t="s">
        <v>8860</v>
      </c>
      <c r="C1263" s="24" t="s">
        <v>9615</v>
      </c>
      <c r="D1263" s="24" t="s">
        <v>7602</v>
      </c>
      <c r="E1263" s="24" t="s">
        <v>8861</v>
      </c>
      <c r="F1263" s="24" t="s">
        <v>3775</v>
      </c>
      <c r="G1263" s="24" t="b">
        <v>1</v>
      </c>
    </row>
    <row r="1264" spans="1:7" ht="12.5" customHeight="1">
      <c r="A1264" s="27">
        <v>36500</v>
      </c>
      <c r="B1264" s="24" t="s">
        <v>8862</v>
      </c>
      <c r="C1264" s="24" t="s">
        <v>9614</v>
      </c>
      <c r="D1264" s="24" t="s">
        <v>7573</v>
      </c>
      <c r="E1264" s="24" t="s">
        <v>8863</v>
      </c>
      <c r="F1264" s="24" t="s">
        <v>1134</v>
      </c>
      <c r="G1264" s="24" t="b">
        <v>1</v>
      </c>
    </row>
    <row r="1265" spans="1:7" ht="12.5" customHeight="1">
      <c r="A1265" s="27">
        <v>36540</v>
      </c>
      <c r="B1265" s="24" t="s">
        <v>8864</v>
      </c>
      <c r="C1265" s="24" t="s">
        <v>9614</v>
      </c>
      <c r="D1265" s="24" t="s">
        <v>8108</v>
      </c>
      <c r="E1265" s="24" t="s">
        <v>7740</v>
      </c>
      <c r="F1265" s="24" t="s">
        <v>7252</v>
      </c>
      <c r="G1265" s="24" t="b">
        <v>0</v>
      </c>
    </row>
    <row r="1266" spans="1:7" ht="12.5" customHeight="1">
      <c r="A1266" s="27">
        <v>36540</v>
      </c>
      <c r="B1266" s="24" t="s">
        <v>8864</v>
      </c>
      <c r="C1266" s="24" t="s">
        <v>9614</v>
      </c>
      <c r="D1266" s="24" t="s">
        <v>8108</v>
      </c>
      <c r="E1266" s="24" t="s">
        <v>8865</v>
      </c>
      <c r="F1266" s="24" t="s">
        <v>7252</v>
      </c>
      <c r="G1266" s="24" t="b">
        <v>0</v>
      </c>
    </row>
    <row r="1267" spans="1:7" ht="12.5" customHeight="1">
      <c r="A1267" s="27">
        <v>36540</v>
      </c>
      <c r="B1267" s="24" t="s">
        <v>8864</v>
      </c>
      <c r="C1267" s="24" t="s">
        <v>9614</v>
      </c>
      <c r="D1267" s="24" t="s">
        <v>8108</v>
      </c>
      <c r="E1267" s="24" t="s">
        <v>8866</v>
      </c>
      <c r="F1267" s="24" t="s">
        <v>7252</v>
      </c>
      <c r="G1267" s="24" t="b">
        <v>1</v>
      </c>
    </row>
    <row r="1268" spans="1:7" ht="12.5" customHeight="1">
      <c r="A1268" s="27">
        <v>36540</v>
      </c>
      <c r="B1268" s="24" t="s">
        <v>8864</v>
      </c>
      <c r="C1268" s="24" t="s">
        <v>9614</v>
      </c>
      <c r="D1268" s="24" t="s">
        <v>8108</v>
      </c>
      <c r="E1268" s="24" t="s">
        <v>7566</v>
      </c>
      <c r="F1268" s="24" t="s">
        <v>7443</v>
      </c>
      <c r="G1268" s="24" t="b">
        <v>0</v>
      </c>
    </row>
    <row r="1269" spans="1:7" ht="12.5" customHeight="1">
      <c r="A1269" s="27">
        <v>36540</v>
      </c>
      <c r="B1269" s="24" t="s">
        <v>8864</v>
      </c>
      <c r="C1269" s="24" t="s">
        <v>9614</v>
      </c>
      <c r="D1269" s="24" t="s">
        <v>8108</v>
      </c>
      <c r="E1269" s="24" t="s">
        <v>7217</v>
      </c>
      <c r="F1269" s="24" t="s">
        <v>7443</v>
      </c>
      <c r="G1269" s="24" t="b">
        <v>1</v>
      </c>
    </row>
    <row r="1270" spans="1:7" ht="12.5" customHeight="1">
      <c r="A1270" s="27">
        <v>36540</v>
      </c>
      <c r="B1270" s="24" t="s">
        <v>8864</v>
      </c>
      <c r="C1270" s="24" t="s">
        <v>9614</v>
      </c>
      <c r="D1270" s="24" t="s">
        <v>8108</v>
      </c>
      <c r="E1270" s="24" t="s">
        <v>8867</v>
      </c>
      <c r="F1270" s="24" t="s">
        <v>7443</v>
      </c>
      <c r="G1270" s="24" t="b">
        <v>1</v>
      </c>
    </row>
    <row r="1271" spans="1:7" ht="12.5" customHeight="1">
      <c r="A1271" s="27">
        <v>36540</v>
      </c>
      <c r="B1271" s="24" t="s">
        <v>8864</v>
      </c>
      <c r="C1271" s="24" t="s">
        <v>9614</v>
      </c>
      <c r="D1271" s="24" t="s">
        <v>8108</v>
      </c>
      <c r="E1271" s="24" t="s">
        <v>8868</v>
      </c>
      <c r="F1271" s="24" t="s">
        <v>7443</v>
      </c>
      <c r="G1271" s="24" t="b">
        <v>0</v>
      </c>
    </row>
    <row r="1272" spans="1:7" ht="12.5" customHeight="1">
      <c r="A1272" s="27">
        <v>36540</v>
      </c>
      <c r="B1272" s="24" t="s">
        <v>8864</v>
      </c>
      <c r="C1272" s="24" t="s">
        <v>9614</v>
      </c>
      <c r="D1272" s="24" t="s">
        <v>8108</v>
      </c>
      <c r="E1272" s="24" t="s">
        <v>7411</v>
      </c>
      <c r="F1272" s="24" t="s">
        <v>7443</v>
      </c>
      <c r="G1272" s="24" t="b">
        <v>0</v>
      </c>
    </row>
    <row r="1273" spans="1:7" ht="12.5" customHeight="1">
      <c r="A1273" s="27">
        <v>36580</v>
      </c>
      <c r="B1273" s="24" t="s">
        <v>8869</v>
      </c>
      <c r="C1273" s="24" t="s">
        <v>9615</v>
      </c>
      <c r="D1273" s="24" t="s">
        <v>7138</v>
      </c>
      <c r="E1273" s="24" t="s">
        <v>8870</v>
      </c>
      <c r="F1273" s="24" t="s">
        <v>3775</v>
      </c>
      <c r="G1273" s="24" t="b">
        <v>1</v>
      </c>
    </row>
    <row r="1274" spans="1:7" ht="12.5" customHeight="1">
      <c r="A1274" s="27">
        <v>36620</v>
      </c>
      <c r="B1274" s="24" t="s">
        <v>8871</v>
      </c>
      <c r="C1274" s="24" t="s">
        <v>9615</v>
      </c>
      <c r="D1274" s="24" t="s">
        <v>7532</v>
      </c>
      <c r="E1274" s="24" t="s">
        <v>8872</v>
      </c>
      <c r="F1274" s="24" t="s">
        <v>7505</v>
      </c>
      <c r="G1274" s="24" t="b">
        <v>1</v>
      </c>
    </row>
    <row r="1275" spans="1:7" ht="12.5" customHeight="1">
      <c r="A1275" s="27">
        <v>36620</v>
      </c>
      <c r="B1275" s="24" t="s">
        <v>8871</v>
      </c>
      <c r="C1275" s="24" t="s">
        <v>9615</v>
      </c>
      <c r="D1275" s="24" t="s">
        <v>7532</v>
      </c>
      <c r="E1275" s="24" t="s">
        <v>8873</v>
      </c>
      <c r="F1275" s="24" t="s">
        <v>4053</v>
      </c>
      <c r="G1275" s="24" t="b">
        <v>1</v>
      </c>
    </row>
    <row r="1276" spans="1:7" ht="12.5" customHeight="1">
      <c r="A1276" s="27">
        <v>36660</v>
      </c>
      <c r="B1276" s="24" t="s">
        <v>8874</v>
      </c>
      <c r="C1276" s="24" t="s">
        <v>9615</v>
      </c>
      <c r="D1276" s="24" t="s">
        <v>8446</v>
      </c>
      <c r="E1276" s="24" t="s">
        <v>8875</v>
      </c>
      <c r="F1276" s="24" t="s">
        <v>7214</v>
      </c>
      <c r="G1276" s="24" t="b">
        <v>1</v>
      </c>
    </row>
    <row r="1277" spans="1:7" ht="12.5" customHeight="1">
      <c r="A1277" s="27">
        <v>36700</v>
      </c>
      <c r="B1277" s="24" t="s">
        <v>8876</v>
      </c>
      <c r="C1277" s="24" t="s">
        <v>9615</v>
      </c>
      <c r="D1277" s="24" t="s">
        <v>7787</v>
      </c>
      <c r="E1277" s="24" t="s">
        <v>8877</v>
      </c>
      <c r="F1277" s="24" t="s">
        <v>7368</v>
      </c>
      <c r="G1277" s="24" t="b">
        <v>1</v>
      </c>
    </row>
    <row r="1278" spans="1:7" ht="12.5" customHeight="1">
      <c r="A1278" s="27">
        <v>36740</v>
      </c>
      <c r="B1278" s="24" t="s">
        <v>8878</v>
      </c>
      <c r="C1278" s="24" t="s">
        <v>9614</v>
      </c>
      <c r="D1278" s="24" t="s">
        <v>7899</v>
      </c>
      <c r="E1278" s="24" t="s">
        <v>7721</v>
      </c>
      <c r="F1278" s="24" t="s">
        <v>7277</v>
      </c>
      <c r="G1278" s="24" t="b">
        <v>0</v>
      </c>
    </row>
    <row r="1279" spans="1:7" ht="12.5" customHeight="1">
      <c r="A1279" s="27">
        <v>36740</v>
      </c>
      <c r="B1279" s="24" t="s">
        <v>8878</v>
      </c>
      <c r="C1279" s="24" t="s">
        <v>9614</v>
      </c>
      <c r="D1279" s="24" t="s">
        <v>7899</v>
      </c>
      <c r="E1279" s="24" t="s">
        <v>7447</v>
      </c>
      <c r="F1279" s="24" t="s">
        <v>7277</v>
      </c>
      <c r="G1279" s="24" t="b">
        <v>1</v>
      </c>
    </row>
    <row r="1280" spans="1:7" ht="12.5" customHeight="1">
      <c r="A1280" s="27">
        <v>36740</v>
      </c>
      <c r="B1280" s="24" t="s">
        <v>8878</v>
      </c>
      <c r="C1280" s="24" t="s">
        <v>9614</v>
      </c>
      <c r="D1280" s="24" t="s">
        <v>7899</v>
      </c>
      <c r="E1280" s="24" t="s">
        <v>8879</v>
      </c>
      <c r="F1280" s="24" t="s">
        <v>7277</v>
      </c>
      <c r="G1280" s="24" t="b">
        <v>0</v>
      </c>
    </row>
    <row r="1281" spans="1:7" ht="12.5" customHeight="1">
      <c r="A1281" s="27">
        <v>36740</v>
      </c>
      <c r="B1281" s="24" t="s">
        <v>8878</v>
      </c>
      <c r="C1281" s="24" t="s">
        <v>9614</v>
      </c>
      <c r="D1281" s="24" t="s">
        <v>7899</v>
      </c>
      <c r="E1281" s="24" t="s">
        <v>8880</v>
      </c>
      <c r="F1281" s="24" t="s">
        <v>7277</v>
      </c>
      <c r="G1281" s="24" t="b">
        <v>1</v>
      </c>
    </row>
    <row r="1282" spans="1:7" ht="12.5" customHeight="1">
      <c r="A1282" s="27">
        <v>36780</v>
      </c>
      <c r="B1282" s="24" t="s">
        <v>8881</v>
      </c>
      <c r="C1282" s="24" t="s">
        <v>9614</v>
      </c>
      <c r="D1282" s="24" t="s">
        <v>7270</v>
      </c>
      <c r="E1282" s="24" t="s">
        <v>8882</v>
      </c>
      <c r="F1282" s="24" t="s">
        <v>7272</v>
      </c>
      <c r="G1282" s="24" t="b">
        <v>1</v>
      </c>
    </row>
    <row r="1283" spans="1:7" ht="12.5" customHeight="1">
      <c r="A1283" s="27">
        <v>36820</v>
      </c>
      <c r="B1283" s="24" t="s">
        <v>8883</v>
      </c>
      <c r="C1283" s="24" t="s">
        <v>9615</v>
      </c>
      <c r="D1283" s="24" t="s">
        <v>7250</v>
      </c>
      <c r="E1283" s="24" t="s">
        <v>8884</v>
      </c>
      <c r="F1283" s="24" t="s">
        <v>7252</v>
      </c>
      <c r="G1283" s="24" t="b">
        <v>1</v>
      </c>
    </row>
    <row r="1284" spans="1:7" ht="12.5" customHeight="1">
      <c r="A1284" s="27">
        <v>36830</v>
      </c>
      <c r="B1284" s="24" t="s">
        <v>8885</v>
      </c>
      <c r="C1284" s="24" t="s">
        <v>9615</v>
      </c>
      <c r="D1284" s="24" t="s">
        <v>8725</v>
      </c>
      <c r="E1284" s="24" t="s">
        <v>7893</v>
      </c>
      <c r="F1284" s="24" t="s">
        <v>1134</v>
      </c>
      <c r="G1284" s="24" t="b">
        <v>1</v>
      </c>
    </row>
    <row r="1285" spans="1:7" ht="12.5" customHeight="1">
      <c r="A1285" s="27">
        <v>36837</v>
      </c>
      <c r="B1285" s="24" t="s">
        <v>8886</v>
      </c>
      <c r="C1285" s="24" t="s">
        <v>9615</v>
      </c>
      <c r="D1285" s="24" t="s">
        <v>7713</v>
      </c>
      <c r="E1285" s="24" t="s">
        <v>8887</v>
      </c>
      <c r="F1285" s="24" t="s">
        <v>7513</v>
      </c>
      <c r="G1285" s="24" t="b">
        <v>1</v>
      </c>
    </row>
    <row r="1286" spans="1:7" ht="12.5" customHeight="1">
      <c r="A1286" s="27">
        <v>36837</v>
      </c>
      <c r="B1286" s="24" t="s">
        <v>8886</v>
      </c>
      <c r="C1286" s="24" t="s">
        <v>9615</v>
      </c>
      <c r="D1286" s="24" t="s">
        <v>7713</v>
      </c>
      <c r="E1286" s="24" t="s">
        <v>8888</v>
      </c>
      <c r="F1286" s="24" t="s">
        <v>7513</v>
      </c>
      <c r="G1286" s="24" t="b">
        <v>1</v>
      </c>
    </row>
    <row r="1287" spans="1:7" ht="12.5" customHeight="1">
      <c r="A1287" s="27">
        <v>36837</v>
      </c>
      <c r="B1287" s="24" t="s">
        <v>8886</v>
      </c>
      <c r="C1287" s="24" t="s">
        <v>9615</v>
      </c>
      <c r="D1287" s="24" t="s">
        <v>7713</v>
      </c>
      <c r="E1287" s="24" t="s">
        <v>7819</v>
      </c>
      <c r="F1287" s="24" t="s">
        <v>7513</v>
      </c>
      <c r="G1287" s="24" t="b">
        <v>0</v>
      </c>
    </row>
    <row r="1288" spans="1:7" ht="12.5" customHeight="1">
      <c r="A1288" s="27">
        <v>36840</v>
      </c>
      <c r="B1288" s="24" t="s">
        <v>8889</v>
      </c>
      <c r="C1288" s="24" t="s">
        <v>9615</v>
      </c>
      <c r="D1288" s="24" t="s">
        <v>7304</v>
      </c>
      <c r="E1288" s="24" t="s">
        <v>7616</v>
      </c>
      <c r="F1288" s="24" t="s">
        <v>7306</v>
      </c>
      <c r="G1288" s="24" t="b">
        <v>1</v>
      </c>
    </row>
    <row r="1289" spans="1:7" ht="12.5" customHeight="1">
      <c r="A1289" s="27">
        <v>36900</v>
      </c>
      <c r="B1289" s="24" t="s">
        <v>8890</v>
      </c>
      <c r="C1289" s="24" t="s">
        <v>9615</v>
      </c>
      <c r="D1289" s="24" t="s">
        <v>7138</v>
      </c>
      <c r="E1289" s="24" t="s">
        <v>8891</v>
      </c>
      <c r="F1289" s="24" t="s">
        <v>7252</v>
      </c>
      <c r="G1289" s="24" t="b">
        <v>1</v>
      </c>
    </row>
    <row r="1290" spans="1:7" ht="12.5" customHeight="1">
      <c r="A1290" s="27">
        <v>36940</v>
      </c>
      <c r="B1290" s="24" t="s">
        <v>8892</v>
      </c>
      <c r="C1290" s="24" t="s">
        <v>9615</v>
      </c>
      <c r="D1290" s="24" t="s">
        <v>8044</v>
      </c>
      <c r="E1290" s="24" t="s">
        <v>8893</v>
      </c>
      <c r="F1290" s="24" t="s">
        <v>7198</v>
      </c>
      <c r="G1290" s="24" t="b">
        <v>1</v>
      </c>
    </row>
    <row r="1291" spans="1:7" ht="12.5" customHeight="1">
      <c r="A1291" s="27">
        <v>36980</v>
      </c>
      <c r="B1291" s="24" t="s">
        <v>8894</v>
      </c>
      <c r="C1291" s="24" t="s">
        <v>9614</v>
      </c>
      <c r="D1291" s="24" t="s">
        <v>7138</v>
      </c>
      <c r="E1291" s="24" t="s">
        <v>8895</v>
      </c>
      <c r="F1291" s="24" t="s">
        <v>7404</v>
      </c>
      <c r="G1291" s="24" t="b">
        <v>1</v>
      </c>
    </row>
    <row r="1292" spans="1:7" ht="12.5" customHeight="1">
      <c r="A1292" s="27">
        <v>36980</v>
      </c>
      <c r="B1292" s="24" t="s">
        <v>8894</v>
      </c>
      <c r="C1292" s="24" t="s">
        <v>9614</v>
      </c>
      <c r="D1292" s="24" t="s">
        <v>7138</v>
      </c>
      <c r="E1292" s="24" t="s">
        <v>8060</v>
      </c>
      <c r="F1292" s="24" t="s">
        <v>7404</v>
      </c>
      <c r="G1292" s="24" t="b">
        <v>0</v>
      </c>
    </row>
    <row r="1293" spans="1:7" ht="12.5" customHeight="1">
      <c r="A1293" s="27">
        <v>36980</v>
      </c>
      <c r="B1293" s="24" t="s">
        <v>8894</v>
      </c>
      <c r="C1293" s="24" t="s">
        <v>9614</v>
      </c>
      <c r="D1293" s="24" t="s">
        <v>7138</v>
      </c>
      <c r="E1293" s="24" t="s">
        <v>7512</v>
      </c>
      <c r="F1293" s="24" t="s">
        <v>7404</v>
      </c>
      <c r="G1293" s="24" t="b">
        <v>0</v>
      </c>
    </row>
    <row r="1294" spans="1:7" ht="12.5" customHeight="1">
      <c r="A1294" s="27">
        <v>37060</v>
      </c>
      <c r="B1294" s="24" t="s">
        <v>8896</v>
      </c>
      <c r="C1294" s="24" t="s">
        <v>9615</v>
      </c>
      <c r="D1294" s="24" t="s">
        <v>7138</v>
      </c>
      <c r="E1294" s="24" t="s">
        <v>8392</v>
      </c>
      <c r="F1294" s="24" t="s">
        <v>7584</v>
      </c>
      <c r="G1294" s="24" t="b">
        <v>1</v>
      </c>
    </row>
    <row r="1295" spans="1:7" ht="12.5" customHeight="1">
      <c r="A1295" s="27">
        <v>37100</v>
      </c>
      <c r="B1295" s="24" t="s">
        <v>8897</v>
      </c>
      <c r="C1295" s="24" t="s">
        <v>9614</v>
      </c>
      <c r="D1295" s="24" t="s">
        <v>8541</v>
      </c>
      <c r="E1295" s="24" t="s">
        <v>8898</v>
      </c>
      <c r="F1295" s="24" t="s">
        <v>7386</v>
      </c>
      <c r="G1295" s="24" t="b">
        <v>1</v>
      </c>
    </row>
    <row r="1296" spans="1:7" ht="12.5" customHeight="1">
      <c r="A1296" s="27">
        <v>37120</v>
      </c>
      <c r="B1296" s="24" t="s">
        <v>8899</v>
      </c>
      <c r="C1296" s="24" t="s">
        <v>9615</v>
      </c>
      <c r="D1296" s="24" t="s">
        <v>7930</v>
      </c>
      <c r="E1296" s="24" t="s">
        <v>8900</v>
      </c>
      <c r="F1296" s="24" t="s">
        <v>7201</v>
      </c>
      <c r="G1296" s="24" t="b">
        <v>1</v>
      </c>
    </row>
    <row r="1297" spans="1:7" ht="12.5" customHeight="1">
      <c r="A1297" s="27">
        <v>37140</v>
      </c>
      <c r="B1297" s="24" t="s">
        <v>8901</v>
      </c>
      <c r="C1297" s="24" t="s">
        <v>9615</v>
      </c>
      <c r="D1297" s="24" t="s">
        <v>8621</v>
      </c>
      <c r="E1297" s="24" t="s">
        <v>8902</v>
      </c>
      <c r="F1297" s="24" t="s">
        <v>7513</v>
      </c>
      <c r="G1297" s="24" t="b">
        <v>0</v>
      </c>
    </row>
    <row r="1298" spans="1:7" ht="12.5" customHeight="1">
      <c r="A1298" s="27">
        <v>37140</v>
      </c>
      <c r="B1298" s="24" t="s">
        <v>8901</v>
      </c>
      <c r="C1298" s="24" t="s">
        <v>9615</v>
      </c>
      <c r="D1298" s="24" t="s">
        <v>8621</v>
      </c>
      <c r="E1298" s="24" t="s">
        <v>8903</v>
      </c>
      <c r="F1298" s="24" t="s">
        <v>7404</v>
      </c>
      <c r="G1298" s="24" t="b">
        <v>0</v>
      </c>
    </row>
    <row r="1299" spans="1:7" ht="12.5" customHeight="1">
      <c r="A1299" s="27">
        <v>37140</v>
      </c>
      <c r="B1299" s="24" t="s">
        <v>8901</v>
      </c>
      <c r="C1299" s="24" t="s">
        <v>9615</v>
      </c>
      <c r="D1299" s="24" t="s">
        <v>8621</v>
      </c>
      <c r="E1299" s="24" t="s">
        <v>7920</v>
      </c>
      <c r="F1299" s="24" t="s">
        <v>7404</v>
      </c>
      <c r="G1299" s="24" t="b">
        <v>0</v>
      </c>
    </row>
    <row r="1300" spans="1:7" ht="12.5" customHeight="1">
      <c r="A1300" s="27">
        <v>37140</v>
      </c>
      <c r="B1300" s="24" t="s">
        <v>8901</v>
      </c>
      <c r="C1300" s="24" t="s">
        <v>9615</v>
      </c>
      <c r="D1300" s="24" t="s">
        <v>8621</v>
      </c>
      <c r="E1300" s="24" t="s">
        <v>8904</v>
      </c>
      <c r="F1300" s="24" t="s">
        <v>7404</v>
      </c>
      <c r="G1300" s="24" t="b">
        <v>1</v>
      </c>
    </row>
    <row r="1301" spans="1:7" ht="12.5" customHeight="1">
      <c r="A1301" s="27">
        <v>37220</v>
      </c>
      <c r="B1301" s="24" t="s">
        <v>8905</v>
      </c>
      <c r="C1301" s="24" t="s">
        <v>9615</v>
      </c>
      <c r="D1301" s="24" t="s">
        <v>8479</v>
      </c>
      <c r="E1301" s="24" t="s">
        <v>8906</v>
      </c>
      <c r="F1301" s="24" t="s">
        <v>3060</v>
      </c>
      <c r="G1301" s="24" t="b">
        <v>1</v>
      </c>
    </row>
    <row r="1302" spans="1:7" ht="12.5" customHeight="1">
      <c r="A1302" s="27">
        <v>37260</v>
      </c>
      <c r="B1302" s="24" t="s">
        <v>8907</v>
      </c>
      <c r="C1302" s="24" t="s">
        <v>9615</v>
      </c>
      <c r="D1302" s="24" t="s">
        <v>8335</v>
      </c>
      <c r="E1302" s="24" t="s">
        <v>7819</v>
      </c>
      <c r="F1302" s="24" t="s">
        <v>7277</v>
      </c>
      <c r="G1302" s="24" t="b">
        <v>1</v>
      </c>
    </row>
    <row r="1303" spans="1:7" ht="12.5" customHeight="1">
      <c r="A1303" s="27">
        <v>37300</v>
      </c>
      <c r="B1303" s="24" t="s">
        <v>8908</v>
      </c>
      <c r="C1303" s="24" t="s">
        <v>9615</v>
      </c>
      <c r="D1303" s="24" t="s">
        <v>7138</v>
      </c>
      <c r="E1303" s="24" t="s">
        <v>8100</v>
      </c>
      <c r="F1303" s="24" t="s">
        <v>7147</v>
      </c>
      <c r="G1303" s="24" t="b">
        <v>1</v>
      </c>
    </row>
    <row r="1304" spans="1:7" ht="12.5" customHeight="1">
      <c r="A1304" s="27">
        <v>37340</v>
      </c>
      <c r="B1304" s="24" t="s">
        <v>8909</v>
      </c>
      <c r="C1304" s="24" t="s">
        <v>9614</v>
      </c>
      <c r="D1304" s="24" t="s">
        <v>7138</v>
      </c>
      <c r="E1304" s="24" t="s">
        <v>8910</v>
      </c>
      <c r="F1304" s="24" t="s">
        <v>7277</v>
      </c>
      <c r="G1304" s="24" t="b">
        <v>1</v>
      </c>
    </row>
    <row r="1305" spans="1:7" ht="12.5" customHeight="1">
      <c r="A1305" s="27">
        <v>37420</v>
      </c>
      <c r="B1305" s="24" t="s">
        <v>8911</v>
      </c>
      <c r="C1305" s="24" t="s">
        <v>9615</v>
      </c>
      <c r="D1305" s="24" t="s">
        <v>7240</v>
      </c>
      <c r="E1305" s="24" t="s">
        <v>8912</v>
      </c>
      <c r="F1305" s="24" t="s">
        <v>7147</v>
      </c>
      <c r="G1305" s="24" t="b">
        <v>1</v>
      </c>
    </row>
    <row r="1306" spans="1:7" ht="12.5" customHeight="1">
      <c r="A1306" s="27">
        <v>37420</v>
      </c>
      <c r="B1306" s="24" t="s">
        <v>8911</v>
      </c>
      <c r="C1306" s="24" t="s">
        <v>9615</v>
      </c>
      <c r="D1306" s="24" t="s">
        <v>7240</v>
      </c>
      <c r="E1306" s="24" t="s">
        <v>8913</v>
      </c>
      <c r="F1306" s="24" t="s">
        <v>7147</v>
      </c>
      <c r="G1306" s="24" t="b">
        <v>0</v>
      </c>
    </row>
    <row r="1307" spans="1:7" ht="12.5" customHeight="1">
      <c r="A1307" s="27">
        <v>37460</v>
      </c>
      <c r="B1307" s="24" t="s">
        <v>8914</v>
      </c>
      <c r="C1307" s="24" t="s">
        <v>9614</v>
      </c>
      <c r="D1307" s="24" t="s">
        <v>7138</v>
      </c>
      <c r="E1307" s="24" t="s">
        <v>7436</v>
      </c>
      <c r="F1307" s="24" t="s">
        <v>7277</v>
      </c>
      <c r="G1307" s="24" t="b">
        <v>1</v>
      </c>
    </row>
    <row r="1308" spans="1:7" ht="12.5" customHeight="1">
      <c r="A1308" s="27">
        <v>37500</v>
      </c>
      <c r="B1308" s="24" t="s">
        <v>8915</v>
      </c>
      <c r="C1308" s="24" t="s">
        <v>9615</v>
      </c>
      <c r="D1308" s="24" t="s">
        <v>8373</v>
      </c>
      <c r="E1308" s="24" t="s">
        <v>7702</v>
      </c>
      <c r="F1308" s="24" t="s">
        <v>7289</v>
      </c>
      <c r="G1308" s="24" t="b">
        <v>1</v>
      </c>
    </row>
    <row r="1309" spans="1:7" ht="12.5" customHeight="1">
      <c r="A1309" s="27">
        <v>37540</v>
      </c>
      <c r="B1309" s="24" t="s">
        <v>8916</v>
      </c>
      <c r="C1309" s="24" t="s">
        <v>9615</v>
      </c>
      <c r="D1309" s="24" t="s">
        <v>7138</v>
      </c>
      <c r="E1309" s="24" t="s">
        <v>7337</v>
      </c>
      <c r="F1309" s="24" t="s">
        <v>7312</v>
      </c>
      <c r="G1309" s="24" t="b">
        <v>1</v>
      </c>
    </row>
    <row r="1310" spans="1:7" ht="12.5" customHeight="1">
      <c r="A1310" s="27">
        <v>37580</v>
      </c>
      <c r="B1310" s="24" t="s">
        <v>8917</v>
      </c>
      <c r="C1310" s="24" t="s">
        <v>9615</v>
      </c>
      <c r="D1310" s="24" t="s">
        <v>7138</v>
      </c>
      <c r="E1310" s="24" t="s">
        <v>7339</v>
      </c>
      <c r="F1310" s="24" t="s">
        <v>7147</v>
      </c>
      <c r="G1310" s="24" t="b">
        <v>1</v>
      </c>
    </row>
    <row r="1311" spans="1:7" ht="12.5" customHeight="1">
      <c r="A1311" s="27">
        <v>37620</v>
      </c>
      <c r="B1311" s="24" t="s">
        <v>8918</v>
      </c>
      <c r="C1311" s="24" t="s">
        <v>9614</v>
      </c>
      <c r="D1311" s="24" t="s">
        <v>8593</v>
      </c>
      <c r="E1311" s="24" t="s">
        <v>8919</v>
      </c>
      <c r="F1311" s="24" t="s">
        <v>7452</v>
      </c>
      <c r="G1311" s="24" t="b">
        <v>0</v>
      </c>
    </row>
    <row r="1312" spans="1:7" ht="12.5" customHeight="1">
      <c r="A1312" s="27">
        <v>37620</v>
      </c>
      <c r="B1312" s="24" t="s">
        <v>8918</v>
      </c>
      <c r="C1312" s="24" t="s">
        <v>9614</v>
      </c>
      <c r="D1312" s="24" t="s">
        <v>8593</v>
      </c>
      <c r="E1312" s="24" t="s">
        <v>8920</v>
      </c>
      <c r="F1312" s="24" t="s">
        <v>7452</v>
      </c>
      <c r="G1312" s="24" t="b">
        <v>1</v>
      </c>
    </row>
    <row r="1313" spans="1:7" ht="12.5" customHeight="1">
      <c r="A1313" s="27">
        <v>37660</v>
      </c>
      <c r="B1313" s="24" t="s">
        <v>8921</v>
      </c>
      <c r="C1313" s="24" t="s">
        <v>9615</v>
      </c>
      <c r="D1313" s="24" t="s">
        <v>7138</v>
      </c>
      <c r="E1313" s="24" t="s">
        <v>8922</v>
      </c>
      <c r="F1313" s="24" t="s">
        <v>7306</v>
      </c>
      <c r="G1313" s="24" t="b">
        <v>1</v>
      </c>
    </row>
    <row r="1314" spans="1:7" ht="12.5" customHeight="1">
      <c r="A1314" s="27">
        <v>37740</v>
      </c>
      <c r="B1314" s="24" t="s">
        <v>8923</v>
      </c>
      <c r="C1314" s="24" t="s">
        <v>9615</v>
      </c>
      <c r="D1314" s="24" t="s">
        <v>8924</v>
      </c>
      <c r="E1314" s="24" t="s">
        <v>8925</v>
      </c>
      <c r="F1314" s="24" t="s">
        <v>8065</v>
      </c>
      <c r="G1314" s="24" t="b">
        <v>1</v>
      </c>
    </row>
    <row r="1315" spans="1:7" ht="12.5" customHeight="1">
      <c r="A1315" s="27">
        <v>37770</v>
      </c>
      <c r="B1315" s="24" t="s">
        <v>8926</v>
      </c>
      <c r="C1315" s="24" t="s">
        <v>9615</v>
      </c>
      <c r="D1315" s="24" t="s">
        <v>8927</v>
      </c>
      <c r="E1315" s="24" t="s">
        <v>8928</v>
      </c>
      <c r="F1315" s="24" t="s">
        <v>7147</v>
      </c>
      <c r="G1315" s="24" t="b">
        <v>1</v>
      </c>
    </row>
    <row r="1316" spans="1:7" ht="12.5" customHeight="1">
      <c r="A1316" s="27">
        <v>37780</v>
      </c>
      <c r="B1316" s="24" t="s">
        <v>8929</v>
      </c>
      <c r="C1316" s="24" t="s">
        <v>9615</v>
      </c>
      <c r="D1316" s="24" t="s">
        <v>7138</v>
      </c>
      <c r="E1316" s="24" t="s">
        <v>8930</v>
      </c>
      <c r="F1316" s="24" t="s">
        <v>7147</v>
      </c>
      <c r="G1316" s="24" t="b">
        <v>0</v>
      </c>
    </row>
    <row r="1317" spans="1:7" ht="12.5" customHeight="1">
      <c r="A1317" s="27">
        <v>37780</v>
      </c>
      <c r="B1317" s="24" t="s">
        <v>8929</v>
      </c>
      <c r="C1317" s="24" t="s">
        <v>9615</v>
      </c>
      <c r="D1317" s="24" t="s">
        <v>7138</v>
      </c>
      <c r="E1317" s="24" t="s">
        <v>8931</v>
      </c>
      <c r="F1317" s="24" t="s">
        <v>7147</v>
      </c>
      <c r="G1317" s="24" t="b">
        <v>1</v>
      </c>
    </row>
    <row r="1318" spans="1:7" ht="12.5" customHeight="1">
      <c r="A1318" s="27">
        <v>37800</v>
      </c>
      <c r="B1318" s="24" t="s">
        <v>8932</v>
      </c>
      <c r="C1318" s="24" t="s">
        <v>9615</v>
      </c>
      <c r="D1318" s="24" t="s">
        <v>7250</v>
      </c>
      <c r="E1318" s="24" t="s">
        <v>7671</v>
      </c>
      <c r="F1318" s="24" t="s">
        <v>7252</v>
      </c>
      <c r="G1318" s="24" t="b">
        <v>1</v>
      </c>
    </row>
    <row r="1319" spans="1:7" ht="12.5" customHeight="1">
      <c r="A1319" s="27">
        <v>37860</v>
      </c>
      <c r="B1319" s="24" t="s">
        <v>8933</v>
      </c>
      <c r="C1319" s="24" t="s">
        <v>9614</v>
      </c>
      <c r="D1319" s="24" t="s">
        <v>7353</v>
      </c>
      <c r="E1319" s="24" t="s">
        <v>7354</v>
      </c>
      <c r="F1319" s="24" t="s">
        <v>7277</v>
      </c>
      <c r="G1319" s="24" t="b">
        <v>1</v>
      </c>
    </row>
    <row r="1320" spans="1:7" ht="12.5" customHeight="1">
      <c r="A1320" s="27">
        <v>37860</v>
      </c>
      <c r="B1320" s="24" t="s">
        <v>8933</v>
      </c>
      <c r="C1320" s="24" t="s">
        <v>9614</v>
      </c>
      <c r="D1320" s="24" t="s">
        <v>7353</v>
      </c>
      <c r="E1320" s="24" t="s">
        <v>8934</v>
      </c>
      <c r="F1320" s="24" t="s">
        <v>7277</v>
      </c>
      <c r="G1320" s="24" t="b">
        <v>1</v>
      </c>
    </row>
    <row r="1321" spans="1:7" ht="12.5" customHeight="1">
      <c r="A1321" s="27">
        <v>37900</v>
      </c>
      <c r="B1321" s="24" t="s">
        <v>8935</v>
      </c>
      <c r="C1321" s="24" t="s">
        <v>9614</v>
      </c>
      <c r="D1321" s="24" t="s">
        <v>7138</v>
      </c>
      <c r="E1321" s="24" t="s">
        <v>7333</v>
      </c>
      <c r="F1321" s="24" t="s">
        <v>7513</v>
      </c>
      <c r="G1321" s="24" t="b">
        <v>0</v>
      </c>
    </row>
    <row r="1322" spans="1:7" ht="12.5" customHeight="1">
      <c r="A1322" s="27">
        <v>37900</v>
      </c>
      <c r="B1322" s="24" t="s">
        <v>8935</v>
      </c>
      <c r="C1322" s="24" t="s">
        <v>9614</v>
      </c>
      <c r="D1322" s="24" t="s">
        <v>7138</v>
      </c>
      <c r="E1322" s="24" t="s">
        <v>7200</v>
      </c>
      <c r="F1322" s="24" t="s">
        <v>7513</v>
      </c>
      <c r="G1322" s="24" t="b">
        <v>0</v>
      </c>
    </row>
    <row r="1323" spans="1:7" ht="12.5" customHeight="1">
      <c r="A1323" s="27">
        <v>37900</v>
      </c>
      <c r="B1323" s="24" t="s">
        <v>8935</v>
      </c>
      <c r="C1323" s="24" t="s">
        <v>9614</v>
      </c>
      <c r="D1323" s="24" t="s">
        <v>7138</v>
      </c>
      <c r="E1323" s="24" t="s">
        <v>8936</v>
      </c>
      <c r="F1323" s="24" t="s">
        <v>7513</v>
      </c>
      <c r="G1323" s="24" t="b">
        <v>1</v>
      </c>
    </row>
    <row r="1324" spans="1:7" ht="12.5" customHeight="1">
      <c r="A1324" s="27">
        <v>37900</v>
      </c>
      <c r="B1324" s="24" t="s">
        <v>8935</v>
      </c>
      <c r="C1324" s="24" t="s">
        <v>9614</v>
      </c>
      <c r="D1324" s="24" t="s">
        <v>7138</v>
      </c>
      <c r="E1324" s="24" t="s">
        <v>7640</v>
      </c>
      <c r="F1324" s="24" t="s">
        <v>7513</v>
      </c>
      <c r="G1324" s="24" t="b">
        <v>0</v>
      </c>
    </row>
    <row r="1325" spans="1:7" ht="12.5" customHeight="1">
      <c r="A1325" s="27">
        <v>37900</v>
      </c>
      <c r="B1325" s="24" t="s">
        <v>8935</v>
      </c>
      <c r="C1325" s="24" t="s">
        <v>9614</v>
      </c>
      <c r="D1325" s="24" t="s">
        <v>7138</v>
      </c>
      <c r="E1325" s="24" t="s">
        <v>7522</v>
      </c>
      <c r="F1325" s="24" t="s">
        <v>7513</v>
      </c>
      <c r="G1325" s="24" t="b">
        <v>1</v>
      </c>
    </row>
    <row r="1326" spans="1:7" ht="12.5" customHeight="1">
      <c r="A1326" s="27">
        <v>37900</v>
      </c>
      <c r="B1326" s="24" t="s">
        <v>8935</v>
      </c>
      <c r="C1326" s="24" t="s">
        <v>9614</v>
      </c>
      <c r="D1326" s="24" t="s">
        <v>7138</v>
      </c>
      <c r="E1326" s="24" t="s">
        <v>8514</v>
      </c>
      <c r="F1326" s="24" t="s">
        <v>7513</v>
      </c>
      <c r="G1326" s="24" t="b">
        <v>1</v>
      </c>
    </row>
    <row r="1327" spans="1:7" ht="12.5" customHeight="1">
      <c r="A1327" s="27">
        <v>37940</v>
      </c>
      <c r="B1327" s="24" t="s">
        <v>8937</v>
      </c>
      <c r="C1327" s="24" t="s">
        <v>9615</v>
      </c>
      <c r="D1327" s="24" t="s">
        <v>8440</v>
      </c>
      <c r="E1327" s="24" t="s">
        <v>7887</v>
      </c>
      <c r="F1327" s="24" t="s">
        <v>4460</v>
      </c>
      <c r="G1327" s="24" t="b">
        <v>1</v>
      </c>
    </row>
    <row r="1328" spans="1:7" ht="12.5" customHeight="1">
      <c r="A1328" s="27">
        <v>37980</v>
      </c>
      <c r="B1328" s="24" t="s">
        <v>8938</v>
      </c>
      <c r="C1328" s="24" t="s">
        <v>9614</v>
      </c>
      <c r="D1328" s="24" t="s">
        <v>7350</v>
      </c>
      <c r="E1328" s="24" t="s">
        <v>8939</v>
      </c>
      <c r="F1328" s="24" t="s">
        <v>7224</v>
      </c>
      <c r="G1328" s="24" t="b">
        <v>1</v>
      </c>
    </row>
    <row r="1329" spans="1:7" ht="12.5" customHeight="1">
      <c r="A1329" s="27">
        <v>37980</v>
      </c>
      <c r="B1329" s="24" t="s">
        <v>8938</v>
      </c>
      <c r="C1329" s="24" t="s">
        <v>9614</v>
      </c>
      <c r="D1329" s="24" t="s">
        <v>7350</v>
      </c>
      <c r="E1329" s="24" t="s">
        <v>8940</v>
      </c>
      <c r="F1329" s="24" t="s">
        <v>7224</v>
      </c>
      <c r="G1329" s="24" t="b">
        <v>1</v>
      </c>
    </row>
    <row r="1330" spans="1:7" ht="12.5" customHeight="1">
      <c r="A1330" s="27">
        <v>37980</v>
      </c>
      <c r="B1330" s="24" t="s">
        <v>8938</v>
      </c>
      <c r="C1330" s="24" t="s">
        <v>9614</v>
      </c>
      <c r="D1330" s="24" t="s">
        <v>7350</v>
      </c>
      <c r="E1330" s="24" t="s">
        <v>8941</v>
      </c>
      <c r="F1330" s="24" t="s">
        <v>7224</v>
      </c>
      <c r="G1330" s="24" t="b">
        <v>1</v>
      </c>
    </row>
    <row r="1331" spans="1:7" ht="12.5" customHeight="1">
      <c r="A1331" s="27">
        <v>37980</v>
      </c>
      <c r="B1331" s="24" t="s">
        <v>8938</v>
      </c>
      <c r="C1331" s="24" t="s">
        <v>9614</v>
      </c>
      <c r="D1331" s="24" t="s">
        <v>7350</v>
      </c>
      <c r="E1331" s="24" t="s">
        <v>8942</v>
      </c>
      <c r="F1331" s="24" t="s">
        <v>7226</v>
      </c>
      <c r="G1331" s="24" t="b">
        <v>1</v>
      </c>
    </row>
    <row r="1332" spans="1:7" ht="12.5" customHeight="1">
      <c r="A1332" s="27">
        <v>37980</v>
      </c>
      <c r="B1332" s="24" t="s">
        <v>8938</v>
      </c>
      <c r="C1332" s="24" t="s">
        <v>9614</v>
      </c>
      <c r="D1332" s="24" t="s">
        <v>7350</v>
      </c>
      <c r="E1332" s="24" t="s">
        <v>7696</v>
      </c>
      <c r="F1332" s="24" t="s">
        <v>7226</v>
      </c>
      <c r="G1332" s="24" t="b">
        <v>1</v>
      </c>
    </row>
    <row r="1333" spans="1:7" ht="12.5" customHeight="1">
      <c r="A1333" s="27">
        <v>37980</v>
      </c>
      <c r="B1333" s="24" t="s">
        <v>8938</v>
      </c>
      <c r="C1333" s="24" t="s">
        <v>9614</v>
      </c>
      <c r="D1333" s="24" t="s">
        <v>7350</v>
      </c>
      <c r="E1333" s="24" t="s">
        <v>7255</v>
      </c>
      <c r="F1333" s="24" t="s">
        <v>7226</v>
      </c>
      <c r="G1333" s="24" t="b">
        <v>1</v>
      </c>
    </row>
    <row r="1334" spans="1:7" ht="12.5" customHeight="1">
      <c r="A1334" s="27">
        <v>37980</v>
      </c>
      <c r="B1334" s="24" t="s">
        <v>8938</v>
      </c>
      <c r="C1334" s="24" t="s">
        <v>9614</v>
      </c>
      <c r="D1334" s="24" t="s">
        <v>7350</v>
      </c>
      <c r="E1334" s="24" t="s">
        <v>7807</v>
      </c>
      <c r="F1334" s="24" t="s">
        <v>7226</v>
      </c>
      <c r="G1334" s="24" t="b">
        <v>1</v>
      </c>
    </row>
    <row r="1335" spans="1:7" ht="12.5" customHeight="1">
      <c r="A1335" s="27">
        <v>37980</v>
      </c>
      <c r="B1335" s="24" t="s">
        <v>8938</v>
      </c>
      <c r="C1335" s="24" t="s">
        <v>9614</v>
      </c>
      <c r="D1335" s="24" t="s">
        <v>7350</v>
      </c>
      <c r="E1335" s="24" t="s">
        <v>8943</v>
      </c>
      <c r="F1335" s="24" t="s">
        <v>7226</v>
      </c>
      <c r="G1335" s="24" t="b">
        <v>1</v>
      </c>
    </row>
    <row r="1336" spans="1:7" ht="12.5" customHeight="1">
      <c r="A1336" s="27">
        <v>37980</v>
      </c>
      <c r="B1336" s="24" t="s">
        <v>8938</v>
      </c>
      <c r="C1336" s="24" t="s">
        <v>9614</v>
      </c>
      <c r="D1336" s="24" t="s">
        <v>7350</v>
      </c>
      <c r="E1336" s="24" t="s">
        <v>8944</v>
      </c>
      <c r="F1336" s="24" t="s">
        <v>4088</v>
      </c>
      <c r="G1336" s="24" t="b">
        <v>1</v>
      </c>
    </row>
    <row r="1337" spans="1:7" ht="12.5" customHeight="1">
      <c r="A1337" s="27">
        <v>37980</v>
      </c>
      <c r="B1337" s="24" t="s">
        <v>8938</v>
      </c>
      <c r="C1337" s="24" t="s">
        <v>9614</v>
      </c>
      <c r="D1337" s="24" t="s">
        <v>7350</v>
      </c>
      <c r="E1337" s="24" t="s">
        <v>8945</v>
      </c>
      <c r="F1337" s="24" t="s">
        <v>7390</v>
      </c>
      <c r="G1337" s="24" t="b">
        <v>1</v>
      </c>
    </row>
    <row r="1338" spans="1:7" ht="12.5" customHeight="1">
      <c r="A1338" s="27">
        <v>37980</v>
      </c>
      <c r="B1338" s="24" t="s">
        <v>8938</v>
      </c>
      <c r="C1338" s="24" t="s">
        <v>9614</v>
      </c>
      <c r="D1338" s="24" t="s">
        <v>7350</v>
      </c>
      <c r="E1338" s="24" t="s">
        <v>8946</v>
      </c>
      <c r="F1338" s="24" t="s">
        <v>7224</v>
      </c>
      <c r="G1338" s="24" t="b">
        <v>1</v>
      </c>
    </row>
    <row r="1339" spans="1:7" ht="12.5" customHeight="1">
      <c r="A1339" s="27">
        <v>38060</v>
      </c>
      <c r="B1339" s="24" t="s">
        <v>8947</v>
      </c>
      <c r="C1339" s="24" t="s">
        <v>9614</v>
      </c>
      <c r="D1339" s="24" t="s">
        <v>8924</v>
      </c>
      <c r="E1339" s="24" t="s">
        <v>8948</v>
      </c>
      <c r="F1339" s="24" t="s">
        <v>8065</v>
      </c>
      <c r="G1339" s="24" t="b">
        <v>1</v>
      </c>
    </row>
    <row r="1340" spans="1:7" ht="12.5" customHeight="1">
      <c r="A1340" s="27">
        <v>38060</v>
      </c>
      <c r="B1340" s="24" t="s">
        <v>8947</v>
      </c>
      <c r="C1340" s="24" t="s">
        <v>9614</v>
      </c>
      <c r="D1340" s="24" t="s">
        <v>8924</v>
      </c>
      <c r="E1340" s="24" t="s">
        <v>8949</v>
      </c>
      <c r="F1340" s="24" t="s">
        <v>8065</v>
      </c>
      <c r="G1340" s="24" t="b">
        <v>1</v>
      </c>
    </row>
    <row r="1341" spans="1:7" ht="12.5" customHeight="1">
      <c r="A1341" s="27">
        <v>38100</v>
      </c>
      <c r="B1341" s="24" t="s">
        <v>8950</v>
      </c>
      <c r="C1341" s="24" t="s">
        <v>9615</v>
      </c>
      <c r="D1341" s="24" t="s">
        <v>7529</v>
      </c>
      <c r="E1341" s="24" t="s">
        <v>8951</v>
      </c>
      <c r="F1341" s="24" t="s">
        <v>7584</v>
      </c>
      <c r="G1341" s="24" t="b">
        <v>1</v>
      </c>
    </row>
    <row r="1342" spans="1:7" ht="12.5" customHeight="1">
      <c r="A1342" s="27">
        <v>38180</v>
      </c>
      <c r="B1342" s="24" t="s">
        <v>8952</v>
      </c>
      <c r="C1342" s="24" t="s">
        <v>9615</v>
      </c>
      <c r="D1342" s="24" t="s">
        <v>7138</v>
      </c>
      <c r="E1342" s="24" t="s">
        <v>8953</v>
      </c>
      <c r="F1342" s="24" t="s">
        <v>7141</v>
      </c>
      <c r="G1342" s="24" t="b">
        <v>1</v>
      </c>
    </row>
    <row r="1343" spans="1:7" ht="12.5" customHeight="1">
      <c r="A1343" s="27">
        <v>38180</v>
      </c>
      <c r="B1343" s="24" t="s">
        <v>8952</v>
      </c>
      <c r="C1343" s="24" t="s">
        <v>9615</v>
      </c>
      <c r="D1343" s="24" t="s">
        <v>7138</v>
      </c>
      <c r="E1343" s="24" t="s">
        <v>8954</v>
      </c>
      <c r="F1343" s="24" t="s">
        <v>7141</v>
      </c>
      <c r="G1343" s="24" t="b">
        <v>1</v>
      </c>
    </row>
    <row r="1344" spans="1:7" ht="12.5" customHeight="1">
      <c r="A1344" s="27">
        <v>38220</v>
      </c>
      <c r="B1344" s="24" t="s">
        <v>8955</v>
      </c>
      <c r="C1344" s="24" t="s">
        <v>9614</v>
      </c>
      <c r="D1344" s="24" t="s">
        <v>8521</v>
      </c>
      <c r="E1344" s="24" t="s">
        <v>8856</v>
      </c>
      <c r="F1344" s="24" t="s">
        <v>7289</v>
      </c>
      <c r="G1344" s="24" t="b">
        <v>0</v>
      </c>
    </row>
    <row r="1345" spans="1:7" ht="12.5" customHeight="1">
      <c r="A1345" s="27">
        <v>38220</v>
      </c>
      <c r="B1345" s="24" t="s">
        <v>8955</v>
      </c>
      <c r="C1345" s="24" t="s">
        <v>9614</v>
      </c>
      <c r="D1345" s="24" t="s">
        <v>8521</v>
      </c>
      <c r="E1345" s="24" t="s">
        <v>7446</v>
      </c>
      <c r="F1345" s="24" t="s">
        <v>7289</v>
      </c>
      <c r="G1345" s="24" t="b">
        <v>1</v>
      </c>
    </row>
    <row r="1346" spans="1:7" ht="12.5" customHeight="1">
      <c r="A1346" s="27">
        <v>38220</v>
      </c>
      <c r="B1346" s="24" t="s">
        <v>8955</v>
      </c>
      <c r="C1346" s="24" t="s">
        <v>9614</v>
      </c>
      <c r="D1346" s="24" t="s">
        <v>8521</v>
      </c>
      <c r="E1346" s="24" t="s">
        <v>7364</v>
      </c>
      <c r="F1346" s="24" t="s">
        <v>7289</v>
      </c>
      <c r="G1346" s="24" t="b">
        <v>0</v>
      </c>
    </row>
    <row r="1347" spans="1:7" ht="12.5" customHeight="1">
      <c r="A1347" s="27">
        <v>38240</v>
      </c>
      <c r="B1347" s="24" t="s">
        <v>8956</v>
      </c>
      <c r="C1347" s="24" t="s">
        <v>9615</v>
      </c>
      <c r="D1347" s="24" t="s">
        <v>8051</v>
      </c>
      <c r="E1347" s="24" t="s">
        <v>7950</v>
      </c>
      <c r="F1347" s="24" t="s">
        <v>7195</v>
      </c>
      <c r="G1347" s="24" t="b">
        <v>1</v>
      </c>
    </row>
    <row r="1348" spans="1:7" ht="12.5" customHeight="1">
      <c r="A1348" s="27">
        <v>38260</v>
      </c>
      <c r="B1348" s="24" t="s">
        <v>8957</v>
      </c>
      <c r="C1348" s="24" t="s">
        <v>9615</v>
      </c>
      <c r="D1348" s="24" t="s">
        <v>7138</v>
      </c>
      <c r="E1348" s="24" t="s">
        <v>7600</v>
      </c>
      <c r="F1348" s="24" t="s">
        <v>7306</v>
      </c>
      <c r="G1348" s="24" t="b">
        <v>1</v>
      </c>
    </row>
    <row r="1349" spans="1:7" ht="12.5" customHeight="1">
      <c r="A1349" s="27">
        <v>38300</v>
      </c>
      <c r="B1349" s="24" t="s">
        <v>8958</v>
      </c>
      <c r="C1349" s="24" t="s">
        <v>9614</v>
      </c>
      <c r="D1349" s="24" t="s">
        <v>8308</v>
      </c>
      <c r="E1349" s="24" t="s">
        <v>8959</v>
      </c>
      <c r="F1349" s="24" t="s">
        <v>7226</v>
      </c>
      <c r="G1349" s="24" t="b">
        <v>1</v>
      </c>
    </row>
    <row r="1350" spans="1:7" ht="12.5" customHeight="1">
      <c r="A1350" s="27">
        <v>38300</v>
      </c>
      <c r="B1350" s="24" t="s">
        <v>8958</v>
      </c>
      <c r="C1350" s="24" t="s">
        <v>9614</v>
      </c>
      <c r="D1350" s="24" t="s">
        <v>8308</v>
      </c>
      <c r="E1350" s="24" t="s">
        <v>7241</v>
      </c>
      <c r="F1350" s="24" t="s">
        <v>7226</v>
      </c>
      <c r="G1350" s="24" t="b">
        <v>0</v>
      </c>
    </row>
    <row r="1351" spans="1:7" ht="12.5" customHeight="1">
      <c r="A1351" s="27">
        <v>38300</v>
      </c>
      <c r="B1351" s="24" t="s">
        <v>8958</v>
      </c>
      <c r="C1351" s="24" t="s">
        <v>9614</v>
      </c>
      <c r="D1351" s="24" t="s">
        <v>8308</v>
      </c>
      <c r="E1351" s="24" t="s">
        <v>8960</v>
      </c>
      <c r="F1351" s="24" t="s">
        <v>7226</v>
      </c>
      <c r="G1351" s="24" t="b">
        <v>1</v>
      </c>
    </row>
    <row r="1352" spans="1:7" ht="12.5" customHeight="1">
      <c r="A1352" s="27">
        <v>38300</v>
      </c>
      <c r="B1352" s="24" t="s">
        <v>8958</v>
      </c>
      <c r="C1352" s="24" t="s">
        <v>9614</v>
      </c>
      <c r="D1352" s="24" t="s">
        <v>8308</v>
      </c>
      <c r="E1352" s="24" t="s">
        <v>7559</v>
      </c>
      <c r="F1352" s="24" t="s">
        <v>7226</v>
      </c>
      <c r="G1352" s="24" t="b">
        <v>1</v>
      </c>
    </row>
    <row r="1353" spans="1:7" ht="12.5" customHeight="1">
      <c r="A1353" s="27">
        <v>38300</v>
      </c>
      <c r="B1353" s="24" t="s">
        <v>8958</v>
      </c>
      <c r="C1353" s="24" t="s">
        <v>9614</v>
      </c>
      <c r="D1353" s="24" t="s">
        <v>8308</v>
      </c>
      <c r="E1353" s="24" t="s">
        <v>7331</v>
      </c>
      <c r="F1353" s="24" t="s">
        <v>7226</v>
      </c>
      <c r="G1353" s="24" t="b">
        <v>0</v>
      </c>
    </row>
    <row r="1354" spans="1:7" ht="12.5" customHeight="1">
      <c r="A1354" s="27">
        <v>38300</v>
      </c>
      <c r="B1354" s="24" t="s">
        <v>8958</v>
      </c>
      <c r="C1354" s="24" t="s">
        <v>9614</v>
      </c>
      <c r="D1354" s="24" t="s">
        <v>8308</v>
      </c>
      <c r="E1354" s="24" t="s">
        <v>7411</v>
      </c>
      <c r="F1354" s="24" t="s">
        <v>7226</v>
      </c>
      <c r="G1354" s="24" t="b">
        <v>1</v>
      </c>
    </row>
    <row r="1355" spans="1:7" ht="12.5" customHeight="1">
      <c r="A1355" s="27">
        <v>38300</v>
      </c>
      <c r="B1355" s="24" t="s">
        <v>8958</v>
      </c>
      <c r="C1355" s="24" t="s">
        <v>9614</v>
      </c>
      <c r="D1355" s="24" t="s">
        <v>8308</v>
      </c>
      <c r="E1355" s="24" t="s">
        <v>8961</v>
      </c>
      <c r="F1355" s="24" t="s">
        <v>7226</v>
      </c>
      <c r="G1355" s="24" t="b">
        <v>1</v>
      </c>
    </row>
    <row r="1356" spans="1:7" ht="12.5" customHeight="1">
      <c r="A1356" s="27">
        <v>38340</v>
      </c>
      <c r="B1356" s="24" t="s">
        <v>8962</v>
      </c>
      <c r="C1356" s="24" t="s">
        <v>9614</v>
      </c>
      <c r="D1356" s="24" t="s">
        <v>7138</v>
      </c>
      <c r="E1356" s="24" t="s">
        <v>8963</v>
      </c>
      <c r="F1356" s="24" t="s">
        <v>7408</v>
      </c>
      <c r="G1356" s="24" t="b">
        <v>1</v>
      </c>
    </row>
    <row r="1357" spans="1:7" ht="12.5" customHeight="1">
      <c r="A1357" s="27">
        <v>38380</v>
      </c>
      <c r="B1357" s="24" t="s">
        <v>8964</v>
      </c>
      <c r="C1357" s="24" t="s">
        <v>9615</v>
      </c>
      <c r="D1357" s="24" t="s">
        <v>8497</v>
      </c>
      <c r="E1357" s="24" t="s">
        <v>8965</v>
      </c>
      <c r="F1357" s="24" t="s">
        <v>7147</v>
      </c>
      <c r="G1357" s="24" t="b">
        <v>1</v>
      </c>
    </row>
    <row r="1358" spans="1:7" ht="12.5" customHeight="1">
      <c r="A1358" s="27">
        <v>38420</v>
      </c>
      <c r="B1358" s="24" t="s">
        <v>8966</v>
      </c>
      <c r="C1358" s="24" t="s">
        <v>9615</v>
      </c>
      <c r="D1358" s="24" t="s">
        <v>7138</v>
      </c>
      <c r="E1358" s="24" t="s">
        <v>7734</v>
      </c>
      <c r="F1358" s="24" t="s">
        <v>7272</v>
      </c>
      <c r="G1358" s="24" t="b">
        <v>1</v>
      </c>
    </row>
    <row r="1359" spans="1:7" ht="12.5" customHeight="1">
      <c r="A1359" s="27">
        <v>38460</v>
      </c>
      <c r="B1359" s="24" t="s">
        <v>8967</v>
      </c>
      <c r="C1359" s="24" t="s">
        <v>9615</v>
      </c>
      <c r="D1359" s="24" t="s">
        <v>7138</v>
      </c>
      <c r="E1359" s="24" t="s">
        <v>7762</v>
      </c>
      <c r="F1359" s="24" t="s">
        <v>3775</v>
      </c>
      <c r="G1359" s="24" t="b">
        <v>1</v>
      </c>
    </row>
    <row r="1360" spans="1:7" ht="12.5" customHeight="1">
      <c r="A1360" s="27">
        <v>38500</v>
      </c>
      <c r="B1360" s="24" t="s">
        <v>8968</v>
      </c>
      <c r="C1360" s="24" t="s">
        <v>9615</v>
      </c>
      <c r="D1360" s="24" t="s">
        <v>7993</v>
      </c>
      <c r="E1360" s="24" t="s">
        <v>7200</v>
      </c>
      <c r="F1360" s="24" t="s">
        <v>4460</v>
      </c>
      <c r="G1360" s="24" t="b">
        <v>1</v>
      </c>
    </row>
    <row r="1361" spans="1:7" ht="12.5" customHeight="1">
      <c r="A1361" s="27">
        <v>38540</v>
      </c>
      <c r="B1361" s="24" t="s">
        <v>8969</v>
      </c>
      <c r="C1361" s="24" t="s">
        <v>9614</v>
      </c>
      <c r="D1361" s="24" t="s">
        <v>7138</v>
      </c>
      <c r="E1361" s="24" t="s">
        <v>8970</v>
      </c>
      <c r="F1361" s="24" t="s">
        <v>7505</v>
      </c>
      <c r="G1361" s="24" t="b">
        <v>1</v>
      </c>
    </row>
    <row r="1362" spans="1:7" ht="12.5" customHeight="1">
      <c r="A1362" s="27">
        <v>38540</v>
      </c>
      <c r="B1362" s="24" t="s">
        <v>8969</v>
      </c>
      <c r="C1362" s="24" t="s">
        <v>9614</v>
      </c>
      <c r="D1362" s="24" t="s">
        <v>7138</v>
      </c>
      <c r="E1362" s="24" t="s">
        <v>8971</v>
      </c>
      <c r="F1362" s="24" t="s">
        <v>7505</v>
      </c>
      <c r="G1362" s="24" t="b">
        <v>0</v>
      </c>
    </row>
    <row r="1363" spans="1:7" ht="12.5" customHeight="1">
      <c r="A1363" s="27">
        <v>38580</v>
      </c>
      <c r="B1363" s="24" t="s">
        <v>8972</v>
      </c>
      <c r="C1363" s="24" t="s">
        <v>9615</v>
      </c>
      <c r="D1363" s="24" t="s">
        <v>7679</v>
      </c>
      <c r="E1363" s="24" t="s">
        <v>8973</v>
      </c>
      <c r="F1363" s="24" t="s">
        <v>7171</v>
      </c>
      <c r="G1363" s="24" t="b">
        <v>1</v>
      </c>
    </row>
    <row r="1364" spans="1:7" ht="12.5" customHeight="1">
      <c r="A1364" s="27">
        <v>38580</v>
      </c>
      <c r="B1364" s="24" t="s">
        <v>8972</v>
      </c>
      <c r="C1364" s="24" t="s">
        <v>9615</v>
      </c>
      <c r="D1364" s="24" t="s">
        <v>7679</v>
      </c>
      <c r="E1364" s="24" t="s">
        <v>8552</v>
      </c>
      <c r="F1364" s="24" t="s">
        <v>7452</v>
      </c>
      <c r="G1364" s="24" t="b">
        <v>1</v>
      </c>
    </row>
    <row r="1365" spans="1:7" ht="12.5" customHeight="1">
      <c r="A1365" s="27">
        <v>38620</v>
      </c>
      <c r="B1365" s="24" t="s">
        <v>8974</v>
      </c>
      <c r="C1365" s="24" t="s">
        <v>9615</v>
      </c>
      <c r="D1365" s="24" t="s">
        <v>7138</v>
      </c>
      <c r="E1365" s="24" t="s">
        <v>8975</v>
      </c>
      <c r="F1365" s="24" t="s">
        <v>7152</v>
      </c>
      <c r="G1365" s="24" t="b">
        <v>1</v>
      </c>
    </row>
    <row r="1366" spans="1:7" ht="12.5" customHeight="1">
      <c r="A1366" s="27">
        <v>38660</v>
      </c>
      <c r="B1366" s="24" t="s">
        <v>8976</v>
      </c>
      <c r="C1366" s="24" t="s">
        <v>9614</v>
      </c>
      <c r="D1366" s="24" t="s">
        <v>7766</v>
      </c>
      <c r="E1366" s="24" t="s">
        <v>8977</v>
      </c>
      <c r="F1366" s="24" t="s">
        <v>7159</v>
      </c>
      <c r="G1366" s="24" t="b">
        <v>0</v>
      </c>
    </row>
    <row r="1367" spans="1:7" ht="12.5" customHeight="1">
      <c r="A1367" s="27">
        <v>38660</v>
      </c>
      <c r="B1367" s="24" t="s">
        <v>8976</v>
      </c>
      <c r="C1367" s="24" t="s">
        <v>9614</v>
      </c>
      <c r="D1367" s="24" t="s">
        <v>7766</v>
      </c>
      <c r="E1367" s="24" t="s">
        <v>8978</v>
      </c>
      <c r="F1367" s="24" t="s">
        <v>7159</v>
      </c>
      <c r="G1367" s="24" t="b">
        <v>0</v>
      </c>
    </row>
    <row r="1368" spans="1:7" ht="12.5" customHeight="1">
      <c r="A1368" s="27">
        <v>38660</v>
      </c>
      <c r="B1368" s="24" t="s">
        <v>8976</v>
      </c>
      <c r="C1368" s="24" t="s">
        <v>9614</v>
      </c>
      <c r="D1368" s="24" t="s">
        <v>7766</v>
      </c>
      <c r="E1368" s="24" t="s">
        <v>8979</v>
      </c>
      <c r="F1368" s="24" t="s">
        <v>7159</v>
      </c>
      <c r="G1368" s="24" t="b">
        <v>1</v>
      </c>
    </row>
    <row r="1369" spans="1:7" ht="12.5" customHeight="1">
      <c r="A1369" s="27">
        <v>38660</v>
      </c>
      <c r="B1369" s="24" t="s">
        <v>8976</v>
      </c>
      <c r="C1369" s="24" t="s">
        <v>9614</v>
      </c>
      <c r="D1369" s="24" t="s">
        <v>7766</v>
      </c>
      <c r="E1369" s="24" t="s">
        <v>8980</v>
      </c>
      <c r="F1369" s="24" t="s">
        <v>7159</v>
      </c>
      <c r="G1369" s="24" t="b">
        <v>0</v>
      </c>
    </row>
    <row r="1370" spans="1:7" ht="12.5" customHeight="1">
      <c r="A1370" s="27">
        <v>38700</v>
      </c>
      <c r="B1370" s="24" t="s">
        <v>8981</v>
      </c>
      <c r="C1370" s="24" t="s">
        <v>9615</v>
      </c>
      <c r="D1370" s="24" t="s">
        <v>7511</v>
      </c>
      <c r="E1370" s="24" t="s">
        <v>7920</v>
      </c>
      <c r="F1370" s="24" t="s">
        <v>7513</v>
      </c>
      <c r="G1370" s="24" t="b">
        <v>1</v>
      </c>
    </row>
    <row r="1371" spans="1:7" ht="12.5" customHeight="1">
      <c r="A1371" s="27">
        <v>38740</v>
      </c>
      <c r="B1371" s="24" t="s">
        <v>8982</v>
      </c>
      <c r="C1371" s="24" t="s">
        <v>9615</v>
      </c>
      <c r="D1371" s="24" t="s">
        <v>7138</v>
      </c>
      <c r="E1371" s="24" t="s">
        <v>7559</v>
      </c>
      <c r="F1371" s="24" t="s">
        <v>7570</v>
      </c>
      <c r="G1371" s="24" t="b">
        <v>1</v>
      </c>
    </row>
    <row r="1372" spans="1:7" ht="12.5" customHeight="1">
      <c r="A1372" s="27">
        <v>38740</v>
      </c>
      <c r="B1372" s="24" t="s">
        <v>8982</v>
      </c>
      <c r="C1372" s="24" t="s">
        <v>9615</v>
      </c>
      <c r="D1372" s="24" t="s">
        <v>7138</v>
      </c>
      <c r="E1372" s="24" t="s">
        <v>8983</v>
      </c>
      <c r="F1372" s="24" t="s">
        <v>7570</v>
      </c>
      <c r="G1372" s="24" t="b">
        <v>0</v>
      </c>
    </row>
    <row r="1373" spans="1:7" ht="12.5" customHeight="1">
      <c r="A1373" s="27">
        <v>38780</v>
      </c>
      <c r="B1373" s="24" t="s">
        <v>8984</v>
      </c>
      <c r="C1373" s="24" t="s">
        <v>9615</v>
      </c>
      <c r="D1373" s="24" t="s">
        <v>7764</v>
      </c>
      <c r="E1373" s="24" t="s">
        <v>8985</v>
      </c>
      <c r="F1373" s="24" t="s">
        <v>7175</v>
      </c>
      <c r="G1373" s="24" t="b">
        <v>1</v>
      </c>
    </row>
    <row r="1374" spans="1:7" ht="12.5" customHeight="1">
      <c r="A1374" s="27">
        <v>38820</v>
      </c>
      <c r="B1374" s="24" t="s">
        <v>8986</v>
      </c>
      <c r="C1374" s="24" t="s">
        <v>9615</v>
      </c>
      <c r="D1374" s="24" t="s">
        <v>7138</v>
      </c>
      <c r="E1374" s="24" t="s">
        <v>8987</v>
      </c>
      <c r="F1374" s="24" t="s">
        <v>1134</v>
      </c>
      <c r="G1374" s="24" t="b">
        <v>1</v>
      </c>
    </row>
    <row r="1375" spans="1:7" ht="12.5" customHeight="1">
      <c r="A1375" s="27">
        <v>38860</v>
      </c>
      <c r="B1375" s="24" t="s">
        <v>8988</v>
      </c>
      <c r="C1375" s="24" t="s">
        <v>9614</v>
      </c>
      <c r="D1375" s="24" t="s">
        <v>8505</v>
      </c>
      <c r="E1375" s="24" t="s">
        <v>7684</v>
      </c>
      <c r="F1375" s="24" t="s">
        <v>7372</v>
      </c>
      <c r="G1375" s="24" t="b">
        <v>1</v>
      </c>
    </row>
    <row r="1376" spans="1:7" ht="12.5" customHeight="1">
      <c r="A1376" s="27">
        <v>38860</v>
      </c>
      <c r="B1376" s="24" t="s">
        <v>8988</v>
      </c>
      <c r="C1376" s="24" t="s">
        <v>9614</v>
      </c>
      <c r="D1376" s="24" t="s">
        <v>8505</v>
      </c>
      <c r="E1376" s="24" t="s">
        <v>8989</v>
      </c>
      <c r="F1376" s="24" t="s">
        <v>7372</v>
      </c>
      <c r="G1376" s="24" t="b">
        <v>0</v>
      </c>
    </row>
    <row r="1377" spans="1:7" ht="12.5" customHeight="1">
      <c r="A1377" s="27">
        <v>38860</v>
      </c>
      <c r="B1377" s="24" t="s">
        <v>8988</v>
      </c>
      <c r="C1377" s="24" t="s">
        <v>9614</v>
      </c>
      <c r="D1377" s="24" t="s">
        <v>8505</v>
      </c>
      <c r="E1377" s="24" t="s">
        <v>7698</v>
      </c>
      <c r="F1377" s="24" t="s">
        <v>7372</v>
      </c>
      <c r="G1377" s="24" t="b">
        <v>1</v>
      </c>
    </row>
    <row r="1378" spans="1:7" ht="12.5" customHeight="1">
      <c r="A1378" s="27">
        <v>38900</v>
      </c>
      <c r="B1378" s="24" t="s">
        <v>8990</v>
      </c>
      <c r="C1378" s="24" t="s">
        <v>9614</v>
      </c>
      <c r="D1378" s="24" t="s">
        <v>7183</v>
      </c>
      <c r="E1378" s="24" t="s">
        <v>8991</v>
      </c>
      <c r="F1378" s="24" t="s">
        <v>4053</v>
      </c>
      <c r="G1378" s="24" t="b">
        <v>1</v>
      </c>
    </row>
    <row r="1379" spans="1:7" ht="12.5" customHeight="1">
      <c r="A1379" s="27">
        <v>38900</v>
      </c>
      <c r="B1379" s="24" t="s">
        <v>8990</v>
      </c>
      <c r="C1379" s="24" t="s">
        <v>9614</v>
      </c>
      <c r="D1379" s="24" t="s">
        <v>7183</v>
      </c>
      <c r="E1379" s="24" t="s">
        <v>7363</v>
      </c>
      <c r="F1379" s="24" t="s">
        <v>4053</v>
      </c>
      <c r="G1379" s="24" t="b">
        <v>0</v>
      </c>
    </row>
    <row r="1380" spans="1:7" ht="12.5" customHeight="1">
      <c r="A1380" s="27">
        <v>38900</v>
      </c>
      <c r="B1380" s="24" t="s">
        <v>8990</v>
      </c>
      <c r="C1380" s="24" t="s">
        <v>9614</v>
      </c>
      <c r="D1380" s="24" t="s">
        <v>7183</v>
      </c>
      <c r="E1380" s="24" t="s">
        <v>8992</v>
      </c>
      <c r="F1380" s="24" t="s">
        <v>4053</v>
      </c>
      <c r="G1380" s="24" t="b">
        <v>1</v>
      </c>
    </row>
    <row r="1381" spans="1:7" ht="12.5" customHeight="1">
      <c r="A1381" s="27">
        <v>38900</v>
      </c>
      <c r="B1381" s="24" t="s">
        <v>8990</v>
      </c>
      <c r="C1381" s="24" t="s">
        <v>9614</v>
      </c>
      <c r="D1381" s="24" t="s">
        <v>7183</v>
      </c>
      <c r="E1381" s="24" t="s">
        <v>7411</v>
      </c>
      <c r="F1381" s="24" t="s">
        <v>4053</v>
      </c>
      <c r="G1381" s="24" t="b">
        <v>1</v>
      </c>
    </row>
    <row r="1382" spans="1:7" ht="12.5" customHeight="1">
      <c r="A1382" s="27">
        <v>38900</v>
      </c>
      <c r="B1382" s="24" t="s">
        <v>8990</v>
      </c>
      <c r="C1382" s="24" t="s">
        <v>9614</v>
      </c>
      <c r="D1382" s="24" t="s">
        <v>7183</v>
      </c>
      <c r="E1382" s="24" t="s">
        <v>8993</v>
      </c>
      <c r="F1382" s="24" t="s">
        <v>4053</v>
      </c>
      <c r="G1382" s="24" t="b">
        <v>0</v>
      </c>
    </row>
    <row r="1383" spans="1:7" ht="12.5" customHeight="1">
      <c r="A1383" s="27">
        <v>38900</v>
      </c>
      <c r="B1383" s="24" t="s">
        <v>8990</v>
      </c>
      <c r="C1383" s="24" t="s">
        <v>9614</v>
      </c>
      <c r="D1383" s="24" t="s">
        <v>7183</v>
      </c>
      <c r="E1383" s="24" t="s">
        <v>7288</v>
      </c>
      <c r="F1383" s="24" t="s">
        <v>1134</v>
      </c>
      <c r="G1383" s="24" t="b">
        <v>1</v>
      </c>
    </row>
    <row r="1384" spans="1:7" ht="12.5" customHeight="1">
      <c r="A1384" s="27">
        <v>38900</v>
      </c>
      <c r="B1384" s="24" t="s">
        <v>8990</v>
      </c>
      <c r="C1384" s="24" t="s">
        <v>9614</v>
      </c>
      <c r="D1384" s="24" t="s">
        <v>7183</v>
      </c>
      <c r="E1384" s="24" t="s">
        <v>8994</v>
      </c>
      <c r="F1384" s="24" t="s">
        <v>1134</v>
      </c>
      <c r="G1384" s="24" t="b">
        <v>0</v>
      </c>
    </row>
    <row r="1385" spans="1:7" ht="12.5" customHeight="1">
      <c r="A1385" s="27">
        <v>38920</v>
      </c>
      <c r="B1385" s="24" t="s">
        <v>8995</v>
      </c>
      <c r="C1385" s="24" t="s">
        <v>9615</v>
      </c>
      <c r="D1385" s="24" t="s">
        <v>8996</v>
      </c>
      <c r="E1385" s="24" t="s">
        <v>7268</v>
      </c>
      <c r="F1385" s="24" t="s">
        <v>7147</v>
      </c>
      <c r="G1385" s="24" t="b">
        <v>1</v>
      </c>
    </row>
    <row r="1386" spans="1:7" ht="12.5" customHeight="1">
      <c r="A1386" s="27">
        <v>38940</v>
      </c>
      <c r="B1386" s="24" t="s">
        <v>8997</v>
      </c>
      <c r="C1386" s="24" t="s">
        <v>9614</v>
      </c>
      <c r="D1386" s="24" t="s">
        <v>8412</v>
      </c>
      <c r="E1386" s="24" t="s">
        <v>8036</v>
      </c>
      <c r="F1386" s="24" t="s">
        <v>7277</v>
      </c>
      <c r="G1386" s="24" t="b">
        <v>1</v>
      </c>
    </row>
    <row r="1387" spans="1:7" ht="12.5" customHeight="1">
      <c r="A1387" s="27">
        <v>38940</v>
      </c>
      <c r="B1387" s="24" t="s">
        <v>8997</v>
      </c>
      <c r="C1387" s="24" t="s">
        <v>9614</v>
      </c>
      <c r="D1387" s="24" t="s">
        <v>8412</v>
      </c>
      <c r="E1387" s="24" t="s">
        <v>8998</v>
      </c>
      <c r="F1387" s="24" t="s">
        <v>7277</v>
      </c>
      <c r="G1387" s="24" t="b">
        <v>1</v>
      </c>
    </row>
    <row r="1388" spans="1:7" ht="12.5" customHeight="1">
      <c r="A1388" s="27">
        <v>39020</v>
      </c>
      <c r="B1388" s="24" t="s">
        <v>8999</v>
      </c>
      <c r="C1388" s="24" t="s">
        <v>9615</v>
      </c>
      <c r="D1388" s="24" t="s">
        <v>7679</v>
      </c>
      <c r="E1388" s="24" t="s">
        <v>9000</v>
      </c>
      <c r="F1388" s="24" t="s">
        <v>7171</v>
      </c>
      <c r="G1388" s="24" t="b">
        <v>1</v>
      </c>
    </row>
    <row r="1389" spans="1:7" ht="12.5" customHeight="1">
      <c r="A1389" s="27">
        <v>39060</v>
      </c>
      <c r="B1389" s="24" t="s">
        <v>9001</v>
      </c>
      <c r="C1389" s="24" t="s">
        <v>9615</v>
      </c>
      <c r="D1389" s="24" t="s">
        <v>7138</v>
      </c>
      <c r="E1389" s="24" t="s">
        <v>9002</v>
      </c>
      <c r="F1389" s="24" t="s">
        <v>7226</v>
      </c>
      <c r="G1389" s="24" t="b">
        <v>1</v>
      </c>
    </row>
    <row r="1390" spans="1:7" ht="12.5" customHeight="1">
      <c r="A1390" s="27">
        <v>39100</v>
      </c>
      <c r="B1390" s="24" t="s">
        <v>9003</v>
      </c>
      <c r="C1390" s="24" t="s">
        <v>9614</v>
      </c>
      <c r="D1390" s="24" t="s">
        <v>7579</v>
      </c>
      <c r="E1390" s="24" t="s">
        <v>9004</v>
      </c>
      <c r="F1390" s="24" t="s">
        <v>3775</v>
      </c>
      <c r="G1390" s="24" t="b">
        <v>1</v>
      </c>
    </row>
    <row r="1391" spans="1:7" ht="12.5" customHeight="1">
      <c r="A1391" s="27">
        <v>39100</v>
      </c>
      <c r="B1391" s="24" t="s">
        <v>9003</v>
      </c>
      <c r="C1391" s="24" t="s">
        <v>9614</v>
      </c>
      <c r="D1391" s="24" t="s">
        <v>7579</v>
      </c>
      <c r="E1391" s="24" t="s">
        <v>7447</v>
      </c>
      <c r="F1391" s="24" t="s">
        <v>3775</v>
      </c>
      <c r="G1391" s="24" t="b">
        <v>1</v>
      </c>
    </row>
    <row r="1392" spans="1:7" ht="12.5" customHeight="1">
      <c r="A1392" s="27">
        <v>39150</v>
      </c>
      <c r="B1392" s="24" t="s">
        <v>9005</v>
      </c>
      <c r="C1392" s="24" t="s">
        <v>9614</v>
      </c>
      <c r="D1392" s="24" t="s">
        <v>7138</v>
      </c>
      <c r="E1392" s="24" t="s">
        <v>9006</v>
      </c>
      <c r="F1392" s="24" t="s">
        <v>8065</v>
      </c>
      <c r="G1392" s="24" t="b">
        <v>1</v>
      </c>
    </row>
    <row r="1393" spans="1:7" ht="12.5" customHeight="1">
      <c r="A1393" s="27">
        <v>39220</v>
      </c>
      <c r="B1393" s="24" t="s">
        <v>9007</v>
      </c>
      <c r="C1393" s="24" t="s">
        <v>9615</v>
      </c>
      <c r="D1393" s="24" t="s">
        <v>7138</v>
      </c>
      <c r="E1393" s="24" t="s">
        <v>7225</v>
      </c>
      <c r="F1393" s="24" t="s">
        <v>7659</v>
      </c>
      <c r="G1393" s="24" t="b">
        <v>1</v>
      </c>
    </row>
    <row r="1394" spans="1:7" ht="12.5" customHeight="1">
      <c r="A1394" s="27">
        <v>39260</v>
      </c>
      <c r="B1394" s="24" t="s">
        <v>9008</v>
      </c>
      <c r="C1394" s="24" t="s">
        <v>9615</v>
      </c>
      <c r="D1394" s="24" t="s">
        <v>7467</v>
      </c>
      <c r="E1394" s="24" t="s">
        <v>8141</v>
      </c>
      <c r="F1394" s="24" t="s">
        <v>4053</v>
      </c>
      <c r="G1394" s="24" t="b">
        <v>1</v>
      </c>
    </row>
    <row r="1395" spans="1:7" ht="12.5" customHeight="1">
      <c r="A1395" s="27">
        <v>39300</v>
      </c>
      <c r="B1395" s="24" t="s">
        <v>9009</v>
      </c>
      <c r="C1395" s="24" t="s">
        <v>9614</v>
      </c>
      <c r="D1395" s="24" t="s">
        <v>7406</v>
      </c>
      <c r="E1395" s="24" t="s">
        <v>9010</v>
      </c>
      <c r="F1395" s="24" t="s">
        <v>7408</v>
      </c>
      <c r="G1395" s="24" t="b">
        <v>1</v>
      </c>
    </row>
    <row r="1396" spans="1:7" ht="12.5" customHeight="1">
      <c r="A1396" s="27">
        <v>39300</v>
      </c>
      <c r="B1396" s="24" t="s">
        <v>9009</v>
      </c>
      <c r="C1396" s="24" t="s">
        <v>9614</v>
      </c>
      <c r="D1396" s="24" t="s">
        <v>7406</v>
      </c>
      <c r="E1396" s="24" t="s">
        <v>9010</v>
      </c>
      <c r="F1396" s="24" t="s">
        <v>9011</v>
      </c>
      <c r="G1396" s="24" t="b">
        <v>1</v>
      </c>
    </row>
    <row r="1397" spans="1:7" ht="12.5" customHeight="1">
      <c r="A1397" s="27">
        <v>39300</v>
      </c>
      <c r="B1397" s="24" t="s">
        <v>9009</v>
      </c>
      <c r="C1397" s="24" t="s">
        <v>9614</v>
      </c>
      <c r="D1397" s="24" t="s">
        <v>7406</v>
      </c>
      <c r="E1397" s="24" t="s">
        <v>7937</v>
      </c>
      <c r="F1397" s="24" t="s">
        <v>9011</v>
      </c>
      <c r="G1397" s="24" t="b">
        <v>1</v>
      </c>
    </row>
    <row r="1398" spans="1:7" ht="12.5" customHeight="1">
      <c r="A1398" s="27">
        <v>39300</v>
      </c>
      <c r="B1398" s="24" t="s">
        <v>9009</v>
      </c>
      <c r="C1398" s="24" t="s">
        <v>9614</v>
      </c>
      <c r="D1398" s="24" t="s">
        <v>7406</v>
      </c>
      <c r="E1398" s="24" t="s">
        <v>9012</v>
      </c>
      <c r="F1398" s="24" t="s">
        <v>9011</v>
      </c>
      <c r="G1398" s="24" t="b">
        <v>1</v>
      </c>
    </row>
    <row r="1399" spans="1:7" ht="12.5" customHeight="1">
      <c r="A1399" s="27">
        <v>39300</v>
      </c>
      <c r="B1399" s="24" t="s">
        <v>9009</v>
      </c>
      <c r="C1399" s="24" t="s">
        <v>9614</v>
      </c>
      <c r="D1399" s="24" t="s">
        <v>7406</v>
      </c>
      <c r="E1399" s="24" t="s">
        <v>9013</v>
      </c>
      <c r="F1399" s="24" t="s">
        <v>9011</v>
      </c>
      <c r="G1399" s="24" t="b">
        <v>1</v>
      </c>
    </row>
    <row r="1400" spans="1:7" ht="12.5" customHeight="1">
      <c r="A1400" s="27">
        <v>39300</v>
      </c>
      <c r="B1400" s="24" t="s">
        <v>9009</v>
      </c>
      <c r="C1400" s="24" t="s">
        <v>9614</v>
      </c>
      <c r="D1400" s="24" t="s">
        <v>7406</v>
      </c>
      <c r="E1400" s="24" t="s">
        <v>7411</v>
      </c>
      <c r="F1400" s="24" t="s">
        <v>9011</v>
      </c>
      <c r="G1400" s="24" t="b">
        <v>1</v>
      </c>
    </row>
    <row r="1401" spans="1:7" ht="12.5" customHeight="1">
      <c r="A1401" s="27">
        <v>39340</v>
      </c>
      <c r="B1401" s="24" t="s">
        <v>9014</v>
      </c>
      <c r="C1401" s="24" t="s">
        <v>9614</v>
      </c>
      <c r="D1401" s="24" t="s">
        <v>8234</v>
      </c>
      <c r="E1401" s="24" t="s">
        <v>9015</v>
      </c>
      <c r="F1401" s="24" t="s">
        <v>7659</v>
      </c>
      <c r="G1401" s="24" t="b">
        <v>0</v>
      </c>
    </row>
    <row r="1402" spans="1:7" ht="12.5" customHeight="1">
      <c r="A1402" s="27">
        <v>39340</v>
      </c>
      <c r="B1402" s="24" t="s">
        <v>9014</v>
      </c>
      <c r="C1402" s="24" t="s">
        <v>9614</v>
      </c>
      <c r="D1402" s="24" t="s">
        <v>8234</v>
      </c>
      <c r="E1402" s="24" t="s">
        <v>9016</v>
      </c>
      <c r="F1402" s="24" t="s">
        <v>7659</v>
      </c>
      <c r="G1402" s="24" t="b">
        <v>1</v>
      </c>
    </row>
    <row r="1403" spans="1:7" ht="12.5" customHeight="1">
      <c r="A1403" s="27">
        <v>39380</v>
      </c>
      <c r="B1403" s="24" t="s">
        <v>9017</v>
      </c>
      <c r="C1403" s="24" t="s">
        <v>9614</v>
      </c>
      <c r="D1403" s="24" t="s">
        <v>7637</v>
      </c>
      <c r="E1403" s="24" t="s">
        <v>9018</v>
      </c>
      <c r="F1403" s="24" t="s">
        <v>7555</v>
      </c>
      <c r="G1403" s="24" t="b">
        <v>1</v>
      </c>
    </row>
    <row r="1404" spans="1:7" ht="12.5" customHeight="1">
      <c r="A1404" s="27">
        <v>39420</v>
      </c>
      <c r="B1404" s="24" t="s">
        <v>9019</v>
      </c>
      <c r="C1404" s="24" t="s">
        <v>9615</v>
      </c>
      <c r="D1404" s="24" t="s">
        <v>8722</v>
      </c>
      <c r="E1404" s="24" t="s">
        <v>9020</v>
      </c>
      <c r="F1404" s="24" t="s">
        <v>1134</v>
      </c>
      <c r="G1404" s="24" t="b">
        <v>1</v>
      </c>
    </row>
    <row r="1405" spans="1:7" ht="12.5" customHeight="1">
      <c r="A1405" s="27">
        <v>39460</v>
      </c>
      <c r="B1405" s="24" t="s">
        <v>9021</v>
      </c>
      <c r="C1405" s="24" t="s">
        <v>9614</v>
      </c>
      <c r="D1405" s="24" t="s">
        <v>7275</v>
      </c>
      <c r="E1405" s="24" t="s">
        <v>9022</v>
      </c>
      <c r="F1405" s="24" t="s">
        <v>7277</v>
      </c>
      <c r="G1405" s="24" t="b">
        <v>1</v>
      </c>
    </row>
    <row r="1406" spans="1:7" ht="12.5" customHeight="1">
      <c r="A1406" s="27">
        <v>39500</v>
      </c>
      <c r="B1406" s="24" t="s">
        <v>9023</v>
      </c>
      <c r="C1406" s="24" t="s">
        <v>9615</v>
      </c>
      <c r="D1406" s="24" t="s">
        <v>8215</v>
      </c>
      <c r="E1406" s="24" t="s">
        <v>7893</v>
      </c>
      <c r="F1406" s="24" t="s">
        <v>7513</v>
      </c>
      <c r="G1406" s="24" t="b">
        <v>1</v>
      </c>
    </row>
    <row r="1407" spans="1:7" ht="12.5" customHeight="1">
      <c r="A1407" s="27">
        <v>39500</v>
      </c>
      <c r="B1407" s="24" t="s">
        <v>9023</v>
      </c>
      <c r="C1407" s="24" t="s">
        <v>9615</v>
      </c>
      <c r="D1407" s="24" t="s">
        <v>8215</v>
      </c>
      <c r="E1407" s="24" t="s">
        <v>7673</v>
      </c>
      <c r="F1407" s="24" t="s">
        <v>7570</v>
      </c>
      <c r="G1407" s="24" t="b">
        <v>0</v>
      </c>
    </row>
    <row r="1408" spans="1:7" ht="12.5" customHeight="1">
      <c r="A1408" s="27">
        <v>39540</v>
      </c>
      <c r="B1408" s="24" t="s">
        <v>9024</v>
      </c>
      <c r="C1408" s="24" t="s">
        <v>9614</v>
      </c>
      <c r="D1408" s="24" t="s">
        <v>7449</v>
      </c>
      <c r="E1408" s="24" t="s">
        <v>9025</v>
      </c>
      <c r="F1408" s="24" t="s">
        <v>7272</v>
      </c>
      <c r="G1408" s="24" t="b">
        <v>1</v>
      </c>
    </row>
    <row r="1409" spans="1:7" ht="12.5" customHeight="1">
      <c r="A1409" s="27">
        <v>39580</v>
      </c>
      <c r="B1409" s="24" t="s">
        <v>9026</v>
      </c>
      <c r="C1409" s="24" t="s">
        <v>9614</v>
      </c>
      <c r="D1409" s="24" t="s">
        <v>7958</v>
      </c>
      <c r="E1409" s="24" t="s">
        <v>7616</v>
      </c>
      <c r="F1409" s="24" t="s">
        <v>7195</v>
      </c>
      <c r="G1409" s="24" t="b">
        <v>0</v>
      </c>
    </row>
    <row r="1410" spans="1:7" ht="12.5" customHeight="1">
      <c r="A1410" s="27">
        <v>39580</v>
      </c>
      <c r="B1410" s="24" t="s">
        <v>9026</v>
      </c>
      <c r="C1410" s="24" t="s">
        <v>9614</v>
      </c>
      <c r="D1410" s="24" t="s">
        <v>7958</v>
      </c>
      <c r="E1410" s="24" t="s">
        <v>9027</v>
      </c>
      <c r="F1410" s="24" t="s">
        <v>7195</v>
      </c>
      <c r="G1410" s="24" t="b">
        <v>1</v>
      </c>
    </row>
    <row r="1411" spans="1:7" ht="12.5" customHeight="1">
      <c r="A1411" s="27">
        <v>39580</v>
      </c>
      <c r="B1411" s="24" t="s">
        <v>9026</v>
      </c>
      <c r="C1411" s="24" t="s">
        <v>9614</v>
      </c>
      <c r="D1411" s="24" t="s">
        <v>7958</v>
      </c>
      <c r="E1411" s="24" t="s">
        <v>9028</v>
      </c>
      <c r="F1411" s="24" t="s">
        <v>7195</v>
      </c>
      <c r="G1411" s="24" t="b">
        <v>1</v>
      </c>
    </row>
    <row r="1412" spans="1:7" ht="12.5" customHeight="1">
      <c r="A1412" s="27">
        <v>39660</v>
      </c>
      <c r="B1412" s="24" t="s">
        <v>9029</v>
      </c>
      <c r="C1412" s="24" t="s">
        <v>9614</v>
      </c>
      <c r="D1412" s="24" t="s">
        <v>9030</v>
      </c>
      <c r="E1412" s="24" t="s">
        <v>7989</v>
      </c>
      <c r="F1412" s="24" t="s">
        <v>7141</v>
      </c>
      <c r="G1412" s="24" t="b">
        <v>1</v>
      </c>
    </row>
    <row r="1413" spans="1:7" ht="12.5" customHeight="1">
      <c r="A1413" s="27">
        <v>39660</v>
      </c>
      <c r="B1413" s="24" t="s">
        <v>9029</v>
      </c>
      <c r="C1413" s="24" t="s">
        <v>9614</v>
      </c>
      <c r="D1413" s="24" t="s">
        <v>9030</v>
      </c>
      <c r="E1413" s="24" t="s">
        <v>9031</v>
      </c>
      <c r="F1413" s="24" t="s">
        <v>7141</v>
      </c>
      <c r="G1413" s="24" t="b">
        <v>1</v>
      </c>
    </row>
    <row r="1414" spans="1:7" ht="12.5" customHeight="1">
      <c r="A1414" s="27">
        <v>39700</v>
      </c>
      <c r="B1414" s="24" t="s">
        <v>9032</v>
      </c>
      <c r="C1414" s="24" t="s">
        <v>9615</v>
      </c>
      <c r="D1414" s="24" t="s">
        <v>7592</v>
      </c>
      <c r="E1414" s="24" t="s">
        <v>9033</v>
      </c>
      <c r="F1414" s="24" t="s">
        <v>7147</v>
      </c>
      <c r="G1414" s="24" t="b">
        <v>1</v>
      </c>
    </row>
    <row r="1415" spans="1:7" ht="12.5" customHeight="1">
      <c r="A1415" s="27">
        <v>39740</v>
      </c>
      <c r="B1415" s="24" t="s">
        <v>9034</v>
      </c>
      <c r="C1415" s="24" t="s">
        <v>9614</v>
      </c>
      <c r="D1415" s="24" t="s">
        <v>7350</v>
      </c>
      <c r="E1415" s="24" t="s">
        <v>9035</v>
      </c>
      <c r="F1415" s="24" t="s">
        <v>7226</v>
      </c>
      <c r="G1415" s="24" t="b">
        <v>1</v>
      </c>
    </row>
    <row r="1416" spans="1:7" ht="12.5" customHeight="1">
      <c r="A1416" s="27">
        <v>39780</v>
      </c>
      <c r="B1416" s="24" t="s">
        <v>9036</v>
      </c>
      <c r="C1416" s="24" t="s">
        <v>9615</v>
      </c>
      <c r="D1416" s="24" t="s">
        <v>9037</v>
      </c>
      <c r="E1416" s="24" t="s">
        <v>9038</v>
      </c>
      <c r="F1416" s="24" t="s">
        <v>7386</v>
      </c>
      <c r="G1416" s="24" t="b">
        <v>1</v>
      </c>
    </row>
    <row r="1417" spans="1:7" ht="12.5" customHeight="1">
      <c r="A1417" s="27">
        <v>39820</v>
      </c>
      <c r="B1417" s="24" t="s">
        <v>9039</v>
      </c>
      <c r="C1417" s="24" t="s">
        <v>9614</v>
      </c>
      <c r="D1417" s="24" t="s">
        <v>9037</v>
      </c>
      <c r="E1417" s="24" t="s">
        <v>9040</v>
      </c>
      <c r="F1417" s="24" t="s">
        <v>7386</v>
      </c>
      <c r="G1417" s="24" t="b">
        <v>1</v>
      </c>
    </row>
    <row r="1418" spans="1:7" ht="12.5" customHeight="1">
      <c r="A1418" s="27">
        <v>39860</v>
      </c>
      <c r="B1418" s="24" t="s">
        <v>9041</v>
      </c>
      <c r="C1418" s="24" t="s">
        <v>9615</v>
      </c>
      <c r="D1418" s="24" t="s">
        <v>8044</v>
      </c>
      <c r="E1418" s="24" t="s">
        <v>9042</v>
      </c>
      <c r="F1418" s="24" t="s">
        <v>7198</v>
      </c>
      <c r="G1418" s="24" t="b">
        <v>1</v>
      </c>
    </row>
    <row r="1419" spans="1:7" ht="12.5" customHeight="1">
      <c r="A1419" s="27">
        <v>39900</v>
      </c>
      <c r="B1419" s="24" t="s">
        <v>9043</v>
      </c>
      <c r="C1419" s="24" t="s">
        <v>9614</v>
      </c>
      <c r="D1419" s="24" t="s">
        <v>7654</v>
      </c>
      <c r="E1419" s="24" t="s">
        <v>9044</v>
      </c>
      <c r="F1419" s="24" t="s">
        <v>3060</v>
      </c>
      <c r="G1419" s="24" t="b">
        <v>0</v>
      </c>
    </row>
    <row r="1420" spans="1:7" ht="12.5" customHeight="1">
      <c r="A1420" s="27">
        <v>39900</v>
      </c>
      <c r="B1420" s="24" t="s">
        <v>9043</v>
      </c>
      <c r="C1420" s="24" t="s">
        <v>9614</v>
      </c>
      <c r="D1420" s="24" t="s">
        <v>7654</v>
      </c>
      <c r="E1420" s="24" t="s">
        <v>9045</v>
      </c>
      <c r="F1420" s="24" t="s">
        <v>3060</v>
      </c>
      <c r="G1420" s="24" t="b">
        <v>1</v>
      </c>
    </row>
    <row r="1421" spans="1:7" ht="12.5" customHeight="1">
      <c r="A1421" s="27">
        <v>39940</v>
      </c>
      <c r="B1421" s="24" t="s">
        <v>9046</v>
      </c>
      <c r="C1421" s="24" t="s">
        <v>9615</v>
      </c>
      <c r="D1421" s="24" t="s">
        <v>7503</v>
      </c>
      <c r="E1421" s="24" t="s">
        <v>7638</v>
      </c>
      <c r="F1421" s="24" t="s">
        <v>7505</v>
      </c>
      <c r="G1421" s="24" t="b">
        <v>0</v>
      </c>
    </row>
    <row r="1422" spans="1:7" ht="12.5" customHeight="1">
      <c r="A1422" s="27">
        <v>39940</v>
      </c>
      <c r="B1422" s="24" t="s">
        <v>9046</v>
      </c>
      <c r="C1422" s="24" t="s">
        <v>9615</v>
      </c>
      <c r="D1422" s="24" t="s">
        <v>7503</v>
      </c>
      <c r="E1422" s="24" t="s">
        <v>7295</v>
      </c>
      <c r="F1422" s="24" t="s">
        <v>7505</v>
      </c>
      <c r="G1422" s="24" t="b">
        <v>1</v>
      </c>
    </row>
    <row r="1423" spans="1:7" ht="12.5" customHeight="1">
      <c r="A1423" s="27">
        <v>39980</v>
      </c>
      <c r="B1423" s="24" t="s">
        <v>9047</v>
      </c>
      <c r="C1423" s="24" t="s">
        <v>9615</v>
      </c>
      <c r="D1423" s="24" t="s">
        <v>7816</v>
      </c>
      <c r="E1423" s="24" t="s">
        <v>7918</v>
      </c>
      <c r="F1423" s="24" t="s">
        <v>4460</v>
      </c>
      <c r="G1423" s="24" t="b">
        <v>1</v>
      </c>
    </row>
    <row r="1424" spans="1:7" ht="12.5" customHeight="1">
      <c r="A1424" s="27">
        <v>40060</v>
      </c>
      <c r="B1424" s="24" t="s">
        <v>9048</v>
      </c>
      <c r="C1424" s="24" t="s">
        <v>9614</v>
      </c>
      <c r="D1424" s="24" t="s">
        <v>7138</v>
      </c>
      <c r="E1424" s="24" t="s">
        <v>9049</v>
      </c>
      <c r="F1424" s="24" t="s">
        <v>2920</v>
      </c>
      <c r="G1424" s="24" t="b">
        <v>0</v>
      </c>
    </row>
    <row r="1425" spans="1:7" ht="12.5" customHeight="1">
      <c r="A1425" s="27">
        <v>40060</v>
      </c>
      <c r="B1425" s="24" t="s">
        <v>9048</v>
      </c>
      <c r="C1425" s="24" t="s">
        <v>9614</v>
      </c>
      <c r="D1425" s="24" t="s">
        <v>7138</v>
      </c>
      <c r="E1425" s="24" t="s">
        <v>9050</v>
      </c>
      <c r="F1425" s="24" t="s">
        <v>2920</v>
      </c>
      <c r="G1425" s="24" t="b">
        <v>0</v>
      </c>
    </row>
    <row r="1426" spans="1:7" ht="12.5" customHeight="1">
      <c r="A1426" s="27">
        <v>40060</v>
      </c>
      <c r="B1426" s="24" t="s">
        <v>9048</v>
      </c>
      <c r="C1426" s="24" t="s">
        <v>9614</v>
      </c>
      <c r="D1426" s="24" t="s">
        <v>7138</v>
      </c>
      <c r="E1426" s="24" t="s">
        <v>9051</v>
      </c>
      <c r="F1426" s="24" t="s">
        <v>2920</v>
      </c>
      <c r="G1426" s="24" t="b">
        <v>1</v>
      </c>
    </row>
    <row r="1427" spans="1:7" ht="12.5" customHeight="1">
      <c r="A1427" s="27">
        <v>40060</v>
      </c>
      <c r="B1427" s="24" t="s">
        <v>9048</v>
      </c>
      <c r="C1427" s="24" t="s">
        <v>9614</v>
      </c>
      <c r="D1427" s="24" t="s">
        <v>7138</v>
      </c>
      <c r="E1427" s="24" t="s">
        <v>9052</v>
      </c>
      <c r="F1427" s="24" t="s">
        <v>2920</v>
      </c>
      <c r="G1427" s="24" t="b">
        <v>1</v>
      </c>
    </row>
    <row r="1428" spans="1:7" ht="12.5" customHeight="1">
      <c r="A1428" s="27">
        <v>40060</v>
      </c>
      <c r="B1428" s="24" t="s">
        <v>9048</v>
      </c>
      <c r="C1428" s="24" t="s">
        <v>9614</v>
      </c>
      <c r="D1428" s="24" t="s">
        <v>7138</v>
      </c>
      <c r="E1428" s="24" t="s">
        <v>9053</v>
      </c>
      <c r="F1428" s="24" t="s">
        <v>2920</v>
      </c>
      <c r="G1428" s="24" t="b">
        <v>0</v>
      </c>
    </row>
    <row r="1429" spans="1:7" ht="12.5" customHeight="1">
      <c r="A1429" s="27">
        <v>40060</v>
      </c>
      <c r="B1429" s="24" t="s">
        <v>9048</v>
      </c>
      <c r="C1429" s="24" t="s">
        <v>9614</v>
      </c>
      <c r="D1429" s="24" t="s">
        <v>7138</v>
      </c>
      <c r="E1429" s="24" t="s">
        <v>9054</v>
      </c>
      <c r="F1429" s="24" t="s">
        <v>2920</v>
      </c>
      <c r="G1429" s="24" t="b">
        <v>1</v>
      </c>
    </row>
    <row r="1430" spans="1:7" ht="12.5" customHeight="1">
      <c r="A1430" s="27">
        <v>40060</v>
      </c>
      <c r="B1430" s="24" t="s">
        <v>9048</v>
      </c>
      <c r="C1430" s="24" t="s">
        <v>9614</v>
      </c>
      <c r="D1430" s="24" t="s">
        <v>7138</v>
      </c>
      <c r="E1430" s="24" t="s">
        <v>9055</v>
      </c>
      <c r="F1430" s="24" t="s">
        <v>2920</v>
      </c>
      <c r="G1430" s="24" t="b">
        <v>1</v>
      </c>
    </row>
    <row r="1431" spans="1:7" ht="12.5" customHeight="1">
      <c r="A1431" s="27">
        <v>40060</v>
      </c>
      <c r="B1431" s="24" t="s">
        <v>9048</v>
      </c>
      <c r="C1431" s="24" t="s">
        <v>9614</v>
      </c>
      <c r="D1431" s="24" t="s">
        <v>7138</v>
      </c>
      <c r="E1431" s="24" t="s">
        <v>9056</v>
      </c>
      <c r="F1431" s="24" t="s">
        <v>2920</v>
      </c>
      <c r="G1431" s="24" t="b">
        <v>0</v>
      </c>
    </row>
    <row r="1432" spans="1:7" ht="12.5" customHeight="1">
      <c r="A1432" s="27">
        <v>40060</v>
      </c>
      <c r="B1432" s="24" t="s">
        <v>9048</v>
      </c>
      <c r="C1432" s="24" t="s">
        <v>9614</v>
      </c>
      <c r="D1432" s="24" t="s">
        <v>7138</v>
      </c>
      <c r="E1432" s="24" t="s">
        <v>9057</v>
      </c>
      <c r="F1432" s="24" t="s">
        <v>2920</v>
      </c>
      <c r="G1432" s="24" t="b">
        <v>0</v>
      </c>
    </row>
    <row r="1433" spans="1:7" ht="12.5" customHeight="1">
      <c r="A1433" s="27">
        <v>40060</v>
      </c>
      <c r="B1433" s="24" t="s">
        <v>9048</v>
      </c>
      <c r="C1433" s="24" t="s">
        <v>9614</v>
      </c>
      <c r="D1433" s="24" t="s">
        <v>7138</v>
      </c>
      <c r="E1433" s="24" t="s">
        <v>9058</v>
      </c>
      <c r="F1433" s="24" t="s">
        <v>2920</v>
      </c>
      <c r="G1433" s="24" t="b">
        <v>0</v>
      </c>
    </row>
    <row r="1434" spans="1:7" ht="12.5" customHeight="1">
      <c r="A1434" s="27">
        <v>40060</v>
      </c>
      <c r="B1434" s="24" t="s">
        <v>9048</v>
      </c>
      <c r="C1434" s="24" t="s">
        <v>9614</v>
      </c>
      <c r="D1434" s="24" t="s">
        <v>7138</v>
      </c>
      <c r="E1434" s="24" t="s">
        <v>9059</v>
      </c>
      <c r="F1434" s="24" t="s">
        <v>2920</v>
      </c>
      <c r="G1434" s="24" t="b">
        <v>0</v>
      </c>
    </row>
    <row r="1435" spans="1:7" ht="12.5" customHeight="1">
      <c r="A1435" s="27">
        <v>40060</v>
      </c>
      <c r="B1435" s="24" t="s">
        <v>9048</v>
      </c>
      <c r="C1435" s="24" t="s">
        <v>9614</v>
      </c>
      <c r="D1435" s="24" t="s">
        <v>7138</v>
      </c>
      <c r="E1435" s="24" t="s">
        <v>9060</v>
      </c>
      <c r="F1435" s="24" t="s">
        <v>2920</v>
      </c>
      <c r="G1435" s="24" t="b">
        <v>1</v>
      </c>
    </row>
    <row r="1436" spans="1:7" ht="12.5" customHeight="1">
      <c r="A1436" s="27">
        <v>40060</v>
      </c>
      <c r="B1436" s="24" t="s">
        <v>9048</v>
      </c>
      <c r="C1436" s="24" t="s">
        <v>9614</v>
      </c>
      <c r="D1436" s="24" t="s">
        <v>7138</v>
      </c>
      <c r="E1436" s="24" t="s">
        <v>8805</v>
      </c>
      <c r="F1436" s="24" t="s">
        <v>2920</v>
      </c>
      <c r="G1436" s="24" t="b">
        <v>0</v>
      </c>
    </row>
    <row r="1437" spans="1:7" ht="12.5" customHeight="1">
      <c r="A1437" s="27">
        <v>40060</v>
      </c>
      <c r="B1437" s="24" t="s">
        <v>9048</v>
      </c>
      <c r="C1437" s="24" t="s">
        <v>9614</v>
      </c>
      <c r="D1437" s="24" t="s">
        <v>7138</v>
      </c>
      <c r="E1437" s="24" t="s">
        <v>9061</v>
      </c>
      <c r="F1437" s="24" t="s">
        <v>2920</v>
      </c>
      <c r="G1437" s="24" t="b">
        <v>1</v>
      </c>
    </row>
    <row r="1438" spans="1:7" ht="12.5" customHeight="1">
      <c r="A1438" s="27">
        <v>40060</v>
      </c>
      <c r="B1438" s="24" t="s">
        <v>9048</v>
      </c>
      <c r="C1438" s="24" t="s">
        <v>9614</v>
      </c>
      <c r="D1438" s="24" t="s">
        <v>7138</v>
      </c>
      <c r="E1438" s="24" t="s">
        <v>9062</v>
      </c>
      <c r="F1438" s="24" t="s">
        <v>2920</v>
      </c>
      <c r="G1438" s="24" t="b">
        <v>1</v>
      </c>
    </row>
    <row r="1439" spans="1:7" ht="12.5" customHeight="1">
      <c r="A1439" s="27">
        <v>40060</v>
      </c>
      <c r="B1439" s="24" t="s">
        <v>9048</v>
      </c>
      <c r="C1439" s="24" t="s">
        <v>9614</v>
      </c>
      <c r="D1439" s="24" t="s">
        <v>7138</v>
      </c>
      <c r="E1439" s="24" t="s">
        <v>9063</v>
      </c>
      <c r="F1439" s="24" t="s">
        <v>2920</v>
      </c>
      <c r="G1439" s="24" t="b">
        <v>1</v>
      </c>
    </row>
    <row r="1440" spans="1:7" ht="12.5" customHeight="1">
      <c r="A1440" s="27">
        <v>40060</v>
      </c>
      <c r="B1440" s="24" t="s">
        <v>9048</v>
      </c>
      <c r="C1440" s="24" t="s">
        <v>9614</v>
      </c>
      <c r="D1440" s="24" t="s">
        <v>7138</v>
      </c>
      <c r="E1440" s="24" t="s">
        <v>9064</v>
      </c>
      <c r="F1440" s="24" t="s">
        <v>2920</v>
      </c>
      <c r="G1440" s="24" t="b">
        <v>1</v>
      </c>
    </row>
    <row r="1441" spans="1:7" ht="12.5" customHeight="1">
      <c r="A1441" s="27">
        <v>40080</v>
      </c>
      <c r="B1441" s="24" t="s">
        <v>9065</v>
      </c>
      <c r="C1441" s="24" t="s">
        <v>9615</v>
      </c>
      <c r="D1441" s="24" t="s">
        <v>8099</v>
      </c>
      <c r="E1441" s="24" t="s">
        <v>9066</v>
      </c>
      <c r="F1441" s="24" t="s">
        <v>7404</v>
      </c>
      <c r="G1441" s="24" t="b">
        <v>0</v>
      </c>
    </row>
    <row r="1442" spans="1:7" ht="12.5" customHeight="1">
      <c r="A1442" s="27">
        <v>40080</v>
      </c>
      <c r="B1442" s="24" t="s">
        <v>9065</v>
      </c>
      <c r="C1442" s="24" t="s">
        <v>9615</v>
      </c>
      <c r="D1442" s="24" t="s">
        <v>8099</v>
      </c>
      <c r="E1442" s="24" t="s">
        <v>7295</v>
      </c>
      <c r="F1442" s="24" t="s">
        <v>7404</v>
      </c>
      <c r="G1442" s="24" t="b">
        <v>1</v>
      </c>
    </row>
    <row r="1443" spans="1:7" ht="12.5" customHeight="1">
      <c r="A1443" s="27">
        <v>40100</v>
      </c>
      <c r="B1443" s="24" t="s">
        <v>9067</v>
      </c>
      <c r="C1443" s="24" t="s">
        <v>9615</v>
      </c>
      <c r="D1443" s="24" t="s">
        <v>8627</v>
      </c>
      <c r="E1443" s="24" t="s">
        <v>9068</v>
      </c>
      <c r="F1443" s="24" t="s">
        <v>7147</v>
      </c>
      <c r="G1443" s="24" t="b">
        <v>1</v>
      </c>
    </row>
    <row r="1444" spans="1:7" ht="12.5" customHeight="1">
      <c r="A1444" s="27">
        <v>40140</v>
      </c>
      <c r="B1444" s="24" t="s">
        <v>9069</v>
      </c>
      <c r="C1444" s="24" t="s">
        <v>9614</v>
      </c>
      <c r="D1444" s="24" t="s">
        <v>8541</v>
      </c>
      <c r="E1444" s="24" t="s">
        <v>9070</v>
      </c>
      <c r="F1444" s="24" t="s">
        <v>7386</v>
      </c>
      <c r="G1444" s="24" t="b">
        <v>1</v>
      </c>
    </row>
    <row r="1445" spans="1:7" ht="12.5" customHeight="1">
      <c r="A1445" s="27">
        <v>40140</v>
      </c>
      <c r="B1445" s="24" t="s">
        <v>9069</v>
      </c>
      <c r="C1445" s="24" t="s">
        <v>9614</v>
      </c>
      <c r="D1445" s="24" t="s">
        <v>8541</v>
      </c>
      <c r="E1445" s="24" t="s">
        <v>9071</v>
      </c>
      <c r="F1445" s="24" t="s">
        <v>7386</v>
      </c>
      <c r="G1445" s="24" t="b">
        <v>1</v>
      </c>
    </row>
    <row r="1446" spans="1:7" ht="12.5" customHeight="1">
      <c r="A1446" s="27">
        <v>40180</v>
      </c>
      <c r="B1446" s="24" t="s">
        <v>9072</v>
      </c>
      <c r="C1446" s="24" t="s">
        <v>9615</v>
      </c>
      <c r="D1446" s="24" t="s">
        <v>7138</v>
      </c>
      <c r="E1446" s="24" t="s">
        <v>7638</v>
      </c>
      <c r="F1446" s="24" t="s">
        <v>2842</v>
      </c>
      <c r="G1446" s="24" t="b">
        <v>1</v>
      </c>
    </row>
    <row r="1447" spans="1:7" ht="12.5" customHeight="1">
      <c r="A1447" s="27">
        <v>40220</v>
      </c>
      <c r="B1447" s="24" t="s">
        <v>9073</v>
      </c>
      <c r="C1447" s="24" t="s">
        <v>9614</v>
      </c>
      <c r="D1447" s="24" t="s">
        <v>7138</v>
      </c>
      <c r="E1447" s="24" t="s">
        <v>9074</v>
      </c>
      <c r="F1447" s="24" t="s">
        <v>2920</v>
      </c>
      <c r="G1447" s="24" t="b">
        <v>1</v>
      </c>
    </row>
    <row r="1448" spans="1:7" ht="12.5" customHeight="1">
      <c r="A1448" s="27">
        <v>40220</v>
      </c>
      <c r="B1448" s="24" t="s">
        <v>9073</v>
      </c>
      <c r="C1448" s="24" t="s">
        <v>9614</v>
      </c>
      <c r="D1448" s="24" t="s">
        <v>7138</v>
      </c>
      <c r="E1448" s="24" t="s">
        <v>9075</v>
      </c>
      <c r="F1448" s="24" t="s">
        <v>2920</v>
      </c>
      <c r="G1448" s="24" t="b">
        <v>0</v>
      </c>
    </row>
    <row r="1449" spans="1:7" ht="12.5" customHeight="1">
      <c r="A1449" s="27">
        <v>40220</v>
      </c>
      <c r="B1449" s="24" t="s">
        <v>9073</v>
      </c>
      <c r="C1449" s="24" t="s">
        <v>9614</v>
      </c>
      <c r="D1449" s="24" t="s">
        <v>7138</v>
      </c>
      <c r="E1449" s="24" t="s">
        <v>7616</v>
      </c>
      <c r="F1449" s="24" t="s">
        <v>2920</v>
      </c>
      <c r="G1449" s="24" t="b">
        <v>0</v>
      </c>
    </row>
    <row r="1450" spans="1:7" ht="12.5" customHeight="1">
      <c r="A1450" s="27">
        <v>40220</v>
      </c>
      <c r="B1450" s="24" t="s">
        <v>9073</v>
      </c>
      <c r="C1450" s="24" t="s">
        <v>9614</v>
      </c>
      <c r="D1450" s="24" t="s">
        <v>7138</v>
      </c>
      <c r="E1450" s="24" t="s">
        <v>9076</v>
      </c>
      <c r="F1450" s="24" t="s">
        <v>2920</v>
      </c>
      <c r="G1450" s="24" t="b">
        <v>1</v>
      </c>
    </row>
    <row r="1451" spans="1:7" ht="12.5" customHeight="1">
      <c r="A1451" s="27">
        <v>40220</v>
      </c>
      <c r="B1451" s="24" t="s">
        <v>9073</v>
      </c>
      <c r="C1451" s="24" t="s">
        <v>9614</v>
      </c>
      <c r="D1451" s="24" t="s">
        <v>7138</v>
      </c>
      <c r="E1451" s="24" t="s">
        <v>9077</v>
      </c>
      <c r="F1451" s="24" t="s">
        <v>2920</v>
      </c>
      <c r="G1451" s="24" t="b">
        <v>1</v>
      </c>
    </row>
    <row r="1452" spans="1:7" ht="12.5" customHeight="1">
      <c r="A1452" s="27">
        <v>40220</v>
      </c>
      <c r="B1452" s="24" t="s">
        <v>9073</v>
      </c>
      <c r="C1452" s="24" t="s">
        <v>9614</v>
      </c>
      <c r="D1452" s="24" t="s">
        <v>7138</v>
      </c>
      <c r="E1452" s="24" t="s">
        <v>9078</v>
      </c>
      <c r="F1452" s="24" t="s">
        <v>2920</v>
      </c>
      <c r="G1452" s="24" t="b">
        <v>1</v>
      </c>
    </row>
    <row r="1453" spans="1:7" ht="12.5" customHeight="1">
      <c r="A1453" s="27">
        <v>40260</v>
      </c>
      <c r="B1453" s="24" t="s">
        <v>9079</v>
      </c>
      <c r="C1453" s="24" t="s">
        <v>9615</v>
      </c>
      <c r="D1453" s="24" t="s">
        <v>9080</v>
      </c>
      <c r="E1453" s="24" t="s">
        <v>9081</v>
      </c>
      <c r="F1453" s="24" t="s">
        <v>7195</v>
      </c>
      <c r="G1453" s="24" t="b">
        <v>1</v>
      </c>
    </row>
    <row r="1454" spans="1:7" ht="12.5" customHeight="1">
      <c r="A1454" s="27">
        <v>40260</v>
      </c>
      <c r="B1454" s="24" t="s">
        <v>9079</v>
      </c>
      <c r="C1454" s="24" t="s">
        <v>9615</v>
      </c>
      <c r="D1454" s="24" t="s">
        <v>9080</v>
      </c>
      <c r="E1454" s="24" t="s">
        <v>7228</v>
      </c>
      <c r="F1454" s="24" t="s">
        <v>7195</v>
      </c>
      <c r="G1454" s="24" t="b">
        <v>0</v>
      </c>
    </row>
    <row r="1455" spans="1:7" ht="12.5" customHeight="1">
      <c r="A1455" s="27">
        <v>40300</v>
      </c>
      <c r="B1455" s="24" t="s">
        <v>9082</v>
      </c>
      <c r="C1455" s="24" t="s">
        <v>9615</v>
      </c>
      <c r="D1455" s="24" t="s">
        <v>8105</v>
      </c>
      <c r="E1455" s="24" t="s">
        <v>9083</v>
      </c>
      <c r="F1455" s="24" t="s">
        <v>7513</v>
      </c>
      <c r="G1455" s="24" t="b">
        <v>1</v>
      </c>
    </row>
    <row r="1456" spans="1:7" ht="12.5" customHeight="1">
      <c r="A1456" s="27">
        <v>40340</v>
      </c>
      <c r="B1456" s="24" t="s">
        <v>9084</v>
      </c>
      <c r="C1456" s="24" t="s">
        <v>9614</v>
      </c>
      <c r="D1456" s="24" t="s">
        <v>7374</v>
      </c>
      <c r="E1456" s="24" t="s">
        <v>7450</v>
      </c>
      <c r="F1456" s="24" t="s">
        <v>7198</v>
      </c>
      <c r="G1456" s="24" t="b">
        <v>0</v>
      </c>
    </row>
    <row r="1457" spans="1:7" ht="12.5" customHeight="1">
      <c r="A1457" s="27">
        <v>40340</v>
      </c>
      <c r="B1457" s="24" t="s">
        <v>9084</v>
      </c>
      <c r="C1457" s="24" t="s">
        <v>9614</v>
      </c>
      <c r="D1457" s="24" t="s">
        <v>7374</v>
      </c>
      <c r="E1457" s="24" t="s">
        <v>9085</v>
      </c>
      <c r="F1457" s="24" t="s">
        <v>7198</v>
      </c>
      <c r="G1457" s="24" t="b">
        <v>0</v>
      </c>
    </row>
    <row r="1458" spans="1:7" ht="12.5" customHeight="1">
      <c r="A1458" s="27">
        <v>40340</v>
      </c>
      <c r="B1458" s="24" t="s">
        <v>9084</v>
      </c>
      <c r="C1458" s="24" t="s">
        <v>9614</v>
      </c>
      <c r="D1458" s="24" t="s">
        <v>7374</v>
      </c>
      <c r="E1458" s="24" t="s">
        <v>9086</v>
      </c>
      <c r="F1458" s="24" t="s">
        <v>7198</v>
      </c>
      <c r="G1458" s="24" t="b">
        <v>1</v>
      </c>
    </row>
    <row r="1459" spans="1:7" ht="12.5" customHeight="1">
      <c r="A1459" s="27">
        <v>40340</v>
      </c>
      <c r="B1459" s="24" t="s">
        <v>9084</v>
      </c>
      <c r="C1459" s="24" t="s">
        <v>9614</v>
      </c>
      <c r="D1459" s="24" t="s">
        <v>7374</v>
      </c>
      <c r="E1459" s="24" t="s">
        <v>9087</v>
      </c>
      <c r="F1459" s="24" t="s">
        <v>7198</v>
      </c>
      <c r="G1459" s="24" t="b">
        <v>0</v>
      </c>
    </row>
    <row r="1460" spans="1:7" ht="12.5" customHeight="1">
      <c r="A1460" s="27">
        <v>40380</v>
      </c>
      <c r="B1460" s="24" t="s">
        <v>9088</v>
      </c>
      <c r="C1460" s="24" t="s">
        <v>9614</v>
      </c>
      <c r="D1460" s="24" t="s">
        <v>7416</v>
      </c>
      <c r="E1460" s="24" t="s">
        <v>7920</v>
      </c>
      <c r="F1460" s="24" t="s">
        <v>3775</v>
      </c>
      <c r="G1460" s="24" t="b">
        <v>0</v>
      </c>
    </row>
    <row r="1461" spans="1:7" ht="12.5" customHeight="1">
      <c r="A1461" s="27">
        <v>40380</v>
      </c>
      <c r="B1461" s="24" t="s">
        <v>9088</v>
      </c>
      <c r="C1461" s="24" t="s">
        <v>9614</v>
      </c>
      <c r="D1461" s="24" t="s">
        <v>7416</v>
      </c>
      <c r="E1461" s="24" t="s">
        <v>7515</v>
      </c>
      <c r="F1461" s="24" t="s">
        <v>3775</v>
      </c>
      <c r="G1461" s="24" t="b">
        <v>1</v>
      </c>
    </row>
    <row r="1462" spans="1:7" ht="12.5" customHeight="1">
      <c r="A1462" s="27">
        <v>40380</v>
      </c>
      <c r="B1462" s="24" t="s">
        <v>9088</v>
      </c>
      <c r="C1462" s="24" t="s">
        <v>9614</v>
      </c>
      <c r="D1462" s="24" t="s">
        <v>7416</v>
      </c>
      <c r="E1462" s="24" t="s">
        <v>9089</v>
      </c>
      <c r="F1462" s="24" t="s">
        <v>3775</v>
      </c>
      <c r="G1462" s="24" t="b">
        <v>1</v>
      </c>
    </row>
    <row r="1463" spans="1:7" ht="12.5" customHeight="1">
      <c r="A1463" s="27">
        <v>40380</v>
      </c>
      <c r="B1463" s="24" t="s">
        <v>9088</v>
      </c>
      <c r="C1463" s="24" t="s">
        <v>9614</v>
      </c>
      <c r="D1463" s="24" t="s">
        <v>7416</v>
      </c>
      <c r="E1463" s="24" t="s">
        <v>9090</v>
      </c>
      <c r="F1463" s="24" t="s">
        <v>3775</v>
      </c>
      <c r="G1463" s="24" t="b">
        <v>0</v>
      </c>
    </row>
    <row r="1464" spans="1:7" ht="12.5" customHeight="1">
      <c r="A1464" s="27">
        <v>40380</v>
      </c>
      <c r="B1464" s="24" t="s">
        <v>9088</v>
      </c>
      <c r="C1464" s="24" t="s">
        <v>9614</v>
      </c>
      <c r="D1464" s="24" t="s">
        <v>7416</v>
      </c>
      <c r="E1464" s="24" t="s">
        <v>7918</v>
      </c>
      <c r="F1464" s="24" t="s">
        <v>3775</v>
      </c>
      <c r="G1464" s="24" t="b">
        <v>0</v>
      </c>
    </row>
    <row r="1465" spans="1:7" ht="12.5" customHeight="1">
      <c r="A1465" s="27">
        <v>40380</v>
      </c>
      <c r="B1465" s="24" t="s">
        <v>9088</v>
      </c>
      <c r="C1465" s="24" t="s">
        <v>9614</v>
      </c>
      <c r="D1465" s="24" t="s">
        <v>7416</v>
      </c>
      <c r="E1465" s="24" t="s">
        <v>9091</v>
      </c>
      <c r="F1465" s="24" t="s">
        <v>3775</v>
      </c>
      <c r="G1465" s="24" t="b">
        <v>0</v>
      </c>
    </row>
    <row r="1466" spans="1:7" ht="12.5" customHeight="1">
      <c r="A1466" s="27">
        <v>40420</v>
      </c>
      <c r="B1466" s="24" t="s">
        <v>9092</v>
      </c>
      <c r="C1466" s="24" t="s">
        <v>9614</v>
      </c>
      <c r="D1466" s="24" t="s">
        <v>8105</v>
      </c>
      <c r="E1466" s="24" t="s">
        <v>7251</v>
      </c>
      <c r="F1466" s="24" t="s">
        <v>7513</v>
      </c>
      <c r="G1466" s="24" t="b">
        <v>1</v>
      </c>
    </row>
    <row r="1467" spans="1:7" ht="12.5" customHeight="1">
      <c r="A1467" s="27">
        <v>40420</v>
      </c>
      <c r="B1467" s="24" t="s">
        <v>9092</v>
      </c>
      <c r="C1467" s="24" t="s">
        <v>9614</v>
      </c>
      <c r="D1467" s="24" t="s">
        <v>8105</v>
      </c>
      <c r="E1467" s="24" t="s">
        <v>8882</v>
      </c>
      <c r="F1467" s="24" t="s">
        <v>7513</v>
      </c>
      <c r="G1467" s="24" t="b">
        <v>1</v>
      </c>
    </row>
    <row r="1468" spans="1:7" ht="12.5" customHeight="1">
      <c r="A1468" s="27">
        <v>40460</v>
      </c>
      <c r="B1468" s="24" t="s">
        <v>9093</v>
      </c>
      <c r="C1468" s="24" t="s">
        <v>9615</v>
      </c>
      <c r="D1468" s="24" t="s">
        <v>7138</v>
      </c>
      <c r="E1468" s="24" t="s">
        <v>7366</v>
      </c>
      <c r="F1468" s="24" t="s">
        <v>7195</v>
      </c>
      <c r="G1468" s="24" t="b">
        <v>1</v>
      </c>
    </row>
    <row r="1469" spans="1:7" ht="12.5" customHeight="1">
      <c r="A1469" s="27">
        <v>40530</v>
      </c>
      <c r="B1469" s="24" t="s">
        <v>9094</v>
      </c>
      <c r="C1469" s="24" t="s">
        <v>9615</v>
      </c>
      <c r="D1469" s="24" t="s">
        <v>7219</v>
      </c>
      <c r="E1469" s="24" t="s">
        <v>9095</v>
      </c>
      <c r="F1469" s="24" t="s">
        <v>7147</v>
      </c>
      <c r="G1469" s="24" t="b">
        <v>1</v>
      </c>
    </row>
    <row r="1470" spans="1:7" ht="12.5" customHeight="1">
      <c r="A1470" s="27">
        <v>40540</v>
      </c>
      <c r="B1470" s="24" t="s">
        <v>9096</v>
      </c>
      <c r="C1470" s="24" t="s">
        <v>9615</v>
      </c>
      <c r="D1470" s="24" t="s">
        <v>7138</v>
      </c>
      <c r="E1470" s="24" t="s">
        <v>9097</v>
      </c>
      <c r="F1470" s="24" t="s">
        <v>2842</v>
      </c>
      <c r="G1470" s="24" t="b">
        <v>1</v>
      </c>
    </row>
    <row r="1471" spans="1:7" ht="12.5" customHeight="1">
      <c r="A1471" s="27">
        <v>40580</v>
      </c>
      <c r="B1471" s="24" t="s">
        <v>9098</v>
      </c>
      <c r="C1471" s="24" t="s">
        <v>9614</v>
      </c>
      <c r="D1471" s="24" t="s">
        <v>9080</v>
      </c>
      <c r="E1471" s="24" t="s">
        <v>9099</v>
      </c>
      <c r="F1471" s="24" t="s">
        <v>7195</v>
      </c>
      <c r="G1471" s="24" t="b">
        <v>1</v>
      </c>
    </row>
    <row r="1472" spans="1:7" ht="12.5" customHeight="1">
      <c r="A1472" s="27">
        <v>40580</v>
      </c>
      <c r="B1472" s="24" t="s">
        <v>9098</v>
      </c>
      <c r="C1472" s="24" t="s">
        <v>9614</v>
      </c>
      <c r="D1472" s="24" t="s">
        <v>9080</v>
      </c>
      <c r="E1472" s="24" t="s">
        <v>9100</v>
      </c>
      <c r="F1472" s="24" t="s">
        <v>7195</v>
      </c>
      <c r="G1472" s="24" t="b">
        <v>1</v>
      </c>
    </row>
    <row r="1473" spans="1:7" ht="12.5" customHeight="1">
      <c r="A1473" s="27">
        <v>40620</v>
      </c>
      <c r="B1473" s="24" t="s">
        <v>9101</v>
      </c>
      <c r="C1473" s="24" t="s">
        <v>9615</v>
      </c>
      <c r="D1473" s="24" t="s">
        <v>7138</v>
      </c>
      <c r="E1473" s="24" t="s">
        <v>9102</v>
      </c>
      <c r="F1473" s="24" t="s">
        <v>7570</v>
      </c>
      <c r="G1473" s="24" t="b">
        <v>1</v>
      </c>
    </row>
    <row r="1474" spans="1:7" ht="12.5" customHeight="1">
      <c r="A1474" s="27">
        <v>40660</v>
      </c>
      <c r="B1474" s="24" t="s">
        <v>9103</v>
      </c>
      <c r="C1474" s="24" t="s">
        <v>9614</v>
      </c>
      <c r="D1474" s="24" t="s">
        <v>7316</v>
      </c>
      <c r="E1474" s="24" t="s">
        <v>8544</v>
      </c>
      <c r="F1474" s="24" t="s">
        <v>7178</v>
      </c>
      <c r="G1474" s="24" t="b">
        <v>1</v>
      </c>
    </row>
    <row r="1475" spans="1:7" ht="12.5" customHeight="1">
      <c r="A1475" s="27">
        <v>40700</v>
      </c>
      <c r="B1475" s="24" t="s">
        <v>9104</v>
      </c>
      <c r="C1475" s="24" t="s">
        <v>9615</v>
      </c>
      <c r="D1475" s="24" t="s">
        <v>7138</v>
      </c>
      <c r="E1475" s="24" t="s">
        <v>7217</v>
      </c>
      <c r="F1475" s="24" t="s">
        <v>4053</v>
      </c>
      <c r="G1475" s="24" t="b">
        <v>1</v>
      </c>
    </row>
    <row r="1476" spans="1:7" ht="12.5" customHeight="1">
      <c r="A1476" s="27">
        <v>40740</v>
      </c>
      <c r="B1476" s="24" t="s">
        <v>9105</v>
      </c>
      <c r="C1476" s="24" t="s">
        <v>9615</v>
      </c>
      <c r="D1476" s="24" t="s">
        <v>7138</v>
      </c>
      <c r="E1476" s="24" t="s">
        <v>9106</v>
      </c>
      <c r="F1476" s="24" t="s">
        <v>7175</v>
      </c>
      <c r="G1476" s="24" t="b">
        <v>1</v>
      </c>
    </row>
    <row r="1477" spans="1:7" ht="12.5" customHeight="1">
      <c r="A1477" s="27">
        <v>40760</v>
      </c>
      <c r="B1477" s="24" t="s">
        <v>9107</v>
      </c>
      <c r="C1477" s="24" t="s">
        <v>9615</v>
      </c>
      <c r="D1477" s="24" t="s">
        <v>7138</v>
      </c>
      <c r="E1477" s="24" t="s">
        <v>7364</v>
      </c>
      <c r="F1477" s="24" t="s">
        <v>7175</v>
      </c>
      <c r="G1477" s="24" t="b">
        <v>1</v>
      </c>
    </row>
    <row r="1478" spans="1:7" ht="12.5" customHeight="1">
      <c r="A1478" s="27">
        <v>40780</v>
      </c>
      <c r="B1478" s="24" t="s">
        <v>9108</v>
      </c>
      <c r="C1478" s="24" t="s">
        <v>9615</v>
      </c>
      <c r="D1478" s="24" t="s">
        <v>7138</v>
      </c>
      <c r="E1478" s="24" t="s">
        <v>9109</v>
      </c>
      <c r="F1478" s="24" t="s">
        <v>7289</v>
      </c>
      <c r="G1478" s="24" t="b">
        <v>1</v>
      </c>
    </row>
    <row r="1479" spans="1:7" ht="12.5" customHeight="1">
      <c r="A1479" s="27">
        <v>40780</v>
      </c>
      <c r="B1479" s="24" t="s">
        <v>9108</v>
      </c>
      <c r="C1479" s="24" t="s">
        <v>9615</v>
      </c>
      <c r="D1479" s="24" t="s">
        <v>7138</v>
      </c>
      <c r="E1479" s="24" t="s">
        <v>9110</v>
      </c>
      <c r="F1479" s="24" t="s">
        <v>7289</v>
      </c>
      <c r="G1479" s="24" t="b">
        <v>0</v>
      </c>
    </row>
    <row r="1480" spans="1:7" ht="12.5" customHeight="1">
      <c r="A1480" s="27">
        <v>40820</v>
      </c>
      <c r="B1480" s="24" t="s">
        <v>9111</v>
      </c>
      <c r="C1480" s="24" t="s">
        <v>9615</v>
      </c>
      <c r="D1480" s="24" t="s">
        <v>8699</v>
      </c>
      <c r="E1480" s="24" t="s">
        <v>9112</v>
      </c>
      <c r="F1480" s="24" t="s">
        <v>7214</v>
      </c>
      <c r="G1480" s="24" t="b">
        <v>1</v>
      </c>
    </row>
    <row r="1481" spans="1:7" ht="12.5" customHeight="1">
      <c r="A1481" s="27">
        <v>40860</v>
      </c>
      <c r="B1481" s="24" t="s">
        <v>9113</v>
      </c>
      <c r="C1481" s="24" t="s">
        <v>9615</v>
      </c>
      <c r="D1481" s="24" t="s">
        <v>7138</v>
      </c>
      <c r="E1481" s="24" t="s">
        <v>9114</v>
      </c>
      <c r="F1481" s="24" t="s">
        <v>7412</v>
      </c>
      <c r="G1481" s="24" t="b">
        <v>1</v>
      </c>
    </row>
    <row r="1482" spans="1:7" ht="12.5" customHeight="1">
      <c r="A1482" s="27">
        <v>40900</v>
      </c>
      <c r="B1482" s="24" t="s">
        <v>9115</v>
      </c>
      <c r="C1482" s="24" t="s">
        <v>9614</v>
      </c>
      <c r="D1482" s="24" t="s">
        <v>9116</v>
      </c>
      <c r="E1482" s="24" t="s">
        <v>9117</v>
      </c>
      <c r="F1482" s="24" t="s">
        <v>7386</v>
      </c>
      <c r="G1482" s="24" t="b">
        <v>1</v>
      </c>
    </row>
    <row r="1483" spans="1:7" ht="12.5" customHeight="1">
      <c r="A1483" s="27">
        <v>40900</v>
      </c>
      <c r="B1483" s="24" t="s">
        <v>9115</v>
      </c>
      <c r="C1483" s="24" t="s">
        <v>9614</v>
      </c>
      <c r="D1483" s="24" t="s">
        <v>9116</v>
      </c>
      <c r="E1483" s="24" t="s">
        <v>9118</v>
      </c>
      <c r="F1483" s="24" t="s">
        <v>7386</v>
      </c>
      <c r="G1483" s="24" t="b">
        <v>1</v>
      </c>
    </row>
    <row r="1484" spans="1:7" ht="12.5" customHeight="1">
      <c r="A1484" s="27">
        <v>40900</v>
      </c>
      <c r="B1484" s="24" t="s">
        <v>9115</v>
      </c>
      <c r="C1484" s="24" t="s">
        <v>9614</v>
      </c>
      <c r="D1484" s="24" t="s">
        <v>9116</v>
      </c>
      <c r="E1484" s="24" t="s">
        <v>9119</v>
      </c>
      <c r="F1484" s="24" t="s">
        <v>7386</v>
      </c>
      <c r="G1484" s="24" t="b">
        <v>1</v>
      </c>
    </row>
    <row r="1485" spans="1:7" ht="12.5" customHeight="1">
      <c r="A1485" s="27">
        <v>40900</v>
      </c>
      <c r="B1485" s="24" t="s">
        <v>9115</v>
      </c>
      <c r="C1485" s="24" t="s">
        <v>9614</v>
      </c>
      <c r="D1485" s="24" t="s">
        <v>9116</v>
      </c>
      <c r="E1485" s="24" t="s">
        <v>9120</v>
      </c>
      <c r="F1485" s="24" t="s">
        <v>7386</v>
      </c>
      <c r="G1485" s="24" t="b">
        <v>0</v>
      </c>
    </row>
    <row r="1486" spans="1:7" ht="12.5" customHeight="1">
      <c r="A1486" s="27">
        <v>40940</v>
      </c>
      <c r="B1486" s="24" t="s">
        <v>9121</v>
      </c>
      <c r="C1486" s="24" t="s">
        <v>9615</v>
      </c>
      <c r="D1486" s="24" t="s">
        <v>7138</v>
      </c>
      <c r="E1486" s="24" t="s">
        <v>9122</v>
      </c>
      <c r="F1486" s="24" t="s">
        <v>8065</v>
      </c>
      <c r="G1486" s="24" t="b">
        <v>1</v>
      </c>
    </row>
    <row r="1487" spans="1:7" ht="12.5" customHeight="1">
      <c r="A1487" s="27">
        <v>40980</v>
      </c>
      <c r="B1487" s="24" t="s">
        <v>9123</v>
      </c>
      <c r="C1487" s="24" t="s">
        <v>9614</v>
      </c>
      <c r="D1487" s="24" t="s">
        <v>7435</v>
      </c>
      <c r="E1487" s="24" t="s">
        <v>9124</v>
      </c>
      <c r="F1487" s="24" t="s">
        <v>7156</v>
      </c>
      <c r="G1487" s="24" t="b">
        <v>1</v>
      </c>
    </row>
    <row r="1488" spans="1:7" ht="12.5" customHeight="1">
      <c r="A1488" s="27">
        <v>41060</v>
      </c>
      <c r="B1488" s="24" t="s">
        <v>9125</v>
      </c>
      <c r="C1488" s="24" t="s">
        <v>9614</v>
      </c>
      <c r="D1488" s="24" t="s">
        <v>8044</v>
      </c>
      <c r="E1488" s="24" t="s">
        <v>7662</v>
      </c>
      <c r="F1488" s="24" t="s">
        <v>7198</v>
      </c>
      <c r="G1488" s="24" t="b">
        <v>1</v>
      </c>
    </row>
    <row r="1489" spans="1:7" ht="12.5" customHeight="1">
      <c r="A1489" s="27">
        <v>41060</v>
      </c>
      <c r="B1489" s="24" t="s">
        <v>9125</v>
      </c>
      <c r="C1489" s="24" t="s">
        <v>9614</v>
      </c>
      <c r="D1489" s="24" t="s">
        <v>8044</v>
      </c>
      <c r="E1489" s="24" t="s">
        <v>9126</v>
      </c>
      <c r="F1489" s="24" t="s">
        <v>7198</v>
      </c>
      <c r="G1489" s="24" t="b">
        <v>1</v>
      </c>
    </row>
    <row r="1490" spans="1:7" ht="12.5" customHeight="1">
      <c r="A1490" s="27">
        <v>41100</v>
      </c>
      <c r="B1490" s="24" t="s">
        <v>9127</v>
      </c>
      <c r="C1490" s="24" t="s">
        <v>9614</v>
      </c>
      <c r="D1490" s="24" t="s">
        <v>7138</v>
      </c>
      <c r="E1490" s="24" t="s">
        <v>7411</v>
      </c>
      <c r="F1490" s="24" t="s">
        <v>7659</v>
      </c>
      <c r="G1490" s="24" t="b">
        <v>1</v>
      </c>
    </row>
    <row r="1491" spans="1:7" ht="12.5" customHeight="1">
      <c r="A1491" s="27">
        <v>41140</v>
      </c>
      <c r="B1491" s="24" t="s">
        <v>9128</v>
      </c>
      <c r="C1491" s="24" t="s">
        <v>9614</v>
      </c>
      <c r="D1491" s="24" t="s">
        <v>7304</v>
      </c>
      <c r="E1491" s="24" t="s">
        <v>9129</v>
      </c>
      <c r="F1491" s="24" t="s">
        <v>7306</v>
      </c>
      <c r="G1491" s="24" t="b">
        <v>0</v>
      </c>
    </row>
    <row r="1492" spans="1:7" ht="12.5" customHeight="1">
      <c r="A1492" s="27">
        <v>41140</v>
      </c>
      <c r="B1492" s="24" t="s">
        <v>9128</v>
      </c>
      <c r="C1492" s="24" t="s">
        <v>9614</v>
      </c>
      <c r="D1492" s="24" t="s">
        <v>7304</v>
      </c>
      <c r="E1492" s="24" t="s">
        <v>9130</v>
      </c>
      <c r="F1492" s="24" t="s">
        <v>7570</v>
      </c>
      <c r="G1492" s="24" t="b">
        <v>0</v>
      </c>
    </row>
    <row r="1493" spans="1:7" ht="12.5" customHeight="1">
      <c r="A1493" s="27">
        <v>41140</v>
      </c>
      <c r="B1493" s="24" t="s">
        <v>9128</v>
      </c>
      <c r="C1493" s="24" t="s">
        <v>9614</v>
      </c>
      <c r="D1493" s="24" t="s">
        <v>7304</v>
      </c>
      <c r="E1493" s="24" t="s">
        <v>9131</v>
      </c>
      <c r="F1493" s="24" t="s">
        <v>7570</v>
      </c>
      <c r="G1493" s="24" t="b">
        <v>1</v>
      </c>
    </row>
    <row r="1494" spans="1:7" ht="12.5" customHeight="1">
      <c r="A1494" s="27">
        <v>41140</v>
      </c>
      <c r="B1494" s="24" t="s">
        <v>9128</v>
      </c>
      <c r="C1494" s="24" t="s">
        <v>9614</v>
      </c>
      <c r="D1494" s="24" t="s">
        <v>7304</v>
      </c>
      <c r="E1494" s="24" t="s">
        <v>7330</v>
      </c>
      <c r="F1494" s="24" t="s">
        <v>7570</v>
      </c>
      <c r="G1494" s="24" t="b">
        <v>0</v>
      </c>
    </row>
    <row r="1495" spans="1:7" ht="12.5" customHeight="1">
      <c r="A1495" s="27">
        <v>41180</v>
      </c>
      <c r="B1495" s="24" t="s">
        <v>9132</v>
      </c>
      <c r="C1495" s="24" t="s">
        <v>9614</v>
      </c>
      <c r="D1495" s="24" t="s">
        <v>7670</v>
      </c>
      <c r="E1495" s="24" t="s">
        <v>9133</v>
      </c>
      <c r="F1495" s="24" t="s">
        <v>7513</v>
      </c>
      <c r="G1495" s="24" t="b">
        <v>0</v>
      </c>
    </row>
    <row r="1496" spans="1:7" ht="12.5" customHeight="1">
      <c r="A1496" s="27">
        <v>41180</v>
      </c>
      <c r="B1496" s="24" t="s">
        <v>9132</v>
      </c>
      <c r="C1496" s="24" t="s">
        <v>9614</v>
      </c>
      <c r="D1496" s="24" t="s">
        <v>7670</v>
      </c>
      <c r="E1496" s="24" t="s">
        <v>7268</v>
      </c>
      <c r="F1496" s="24" t="s">
        <v>7513</v>
      </c>
      <c r="G1496" s="24" t="b">
        <v>0</v>
      </c>
    </row>
    <row r="1497" spans="1:7" ht="12.5" customHeight="1">
      <c r="A1497" s="27">
        <v>41180</v>
      </c>
      <c r="B1497" s="24" t="s">
        <v>9132</v>
      </c>
      <c r="C1497" s="24" t="s">
        <v>9614</v>
      </c>
      <c r="D1497" s="24" t="s">
        <v>7670</v>
      </c>
      <c r="E1497" s="24" t="s">
        <v>7762</v>
      </c>
      <c r="F1497" s="24" t="s">
        <v>7513</v>
      </c>
      <c r="G1497" s="24" t="b">
        <v>0</v>
      </c>
    </row>
    <row r="1498" spans="1:7" ht="12.5" customHeight="1">
      <c r="A1498" s="27">
        <v>41180</v>
      </c>
      <c r="B1498" s="24" t="s">
        <v>9132</v>
      </c>
      <c r="C1498" s="24" t="s">
        <v>9614</v>
      </c>
      <c r="D1498" s="24" t="s">
        <v>7670</v>
      </c>
      <c r="E1498" s="24" t="s">
        <v>9134</v>
      </c>
      <c r="F1498" s="24" t="s">
        <v>7513</v>
      </c>
      <c r="G1498" s="24" t="b">
        <v>0</v>
      </c>
    </row>
    <row r="1499" spans="1:7" ht="12.5" customHeight="1">
      <c r="A1499" s="27">
        <v>41180</v>
      </c>
      <c r="B1499" s="24" t="s">
        <v>9132</v>
      </c>
      <c r="C1499" s="24" t="s">
        <v>9614</v>
      </c>
      <c r="D1499" s="24" t="s">
        <v>7670</v>
      </c>
      <c r="E1499" s="24" t="s">
        <v>9135</v>
      </c>
      <c r="F1499" s="24" t="s">
        <v>7513</v>
      </c>
      <c r="G1499" s="24" t="b">
        <v>0</v>
      </c>
    </row>
    <row r="1500" spans="1:7" ht="12.5" customHeight="1">
      <c r="A1500" s="27">
        <v>41180</v>
      </c>
      <c r="B1500" s="24" t="s">
        <v>9132</v>
      </c>
      <c r="C1500" s="24" t="s">
        <v>9614</v>
      </c>
      <c r="D1500" s="24" t="s">
        <v>7670</v>
      </c>
      <c r="E1500" s="24" t="s">
        <v>7295</v>
      </c>
      <c r="F1500" s="24" t="s">
        <v>7513</v>
      </c>
      <c r="G1500" s="24" t="b">
        <v>1</v>
      </c>
    </row>
    <row r="1501" spans="1:7" ht="12.5" customHeight="1">
      <c r="A1501" s="27">
        <v>41180</v>
      </c>
      <c r="B1501" s="24" t="s">
        <v>9132</v>
      </c>
      <c r="C1501" s="24" t="s">
        <v>9614</v>
      </c>
      <c r="D1501" s="24" t="s">
        <v>7670</v>
      </c>
      <c r="E1501" s="24" t="s">
        <v>7515</v>
      </c>
      <c r="F1501" s="24" t="s">
        <v>7513</v>
      </c>
      <c r="G1501" s="24" t="b">
        <v>1</v>
      </c>
    </row>
    <row r="1502" spans="1:7" ht="12.5" customHeight="1">
      <c r="A1502" s="27">
        <v>41180</v>
      </c>
      <c r="B1502" s="24" t="s">
        <v>9132</v>
      </c>
      <c r="C1502" s="24" t="s">
        <v>9614</v>
      </c>
      <c r="D1502" s="24" t="s">
        <v>7670</v>
      </c>
      <c r="E1502" s="24" t="s">
        <v>7495</v>
      </c>
      <c r="F1502" s="24" t="s">
        <v>7513</v>
      </c>
      <c r="G1502" s="24" t="b">
        <v>1</v>
      </c>
    </row>
    <row r="1503" spans="1:7" ht="12.5" customHeight="1">
      <c r="A1503" s="27">
        <v>41180</v>
      </c>
      <c r="B1503" s="24" t="s">
        <v>9132</v>
      </c>
      <c r="C1503" s="24" t="s">
        <v>9614</v>
      </c>
      <c r="D1503" s="24" t="s">
        <v>7670</v>
      </c>
      <c r="E1503" s="24" t="s">
        <v>7616</v>
      </c>
      <c r="F1503" s="24" t="s">
        <v>7570</v>
      </c>
      <c r="G1503" s="24" t="b">
        <v>0</v>
      </c>
    </row>
    <row r="1504" spans="1:7" ht="12.5" customHeight="1">
      <c r="A1504" s="27">
        <v>41180</v>
      </c>
      <c r="B1504" s="24" t="s">
        <v>9132</v>
      </c>
      <c r="C1504" s="24" t="s">
        <v>9614</v>
      </c>
      <c r="D1504" s="24" t="s">
        <v>7670</v>
      </c>
      <c r="E1504" s="24" t="s">
        <v>7446</v>
      </c>
      <c r="F1504" s="24" t="s">
        <v>7570</v>
      </c>
      <c r="G1504" s="24" t="b">
        <v>1</v>
      </c>
    </row>
    <row r="1505" spans="1:7" ht="12.5" customHeight="1">
      <c r="A1505" s="27">
        <v>41180</v>
      </c>
      <c r="B1505" s="24" t="s">
        <v>9132</v>
      </c>
      <c r="C1505" s="24" t="s">
        <v>9614</v>
      </c>
      <c r="D1505" s="24" t="s">
        <v>7670</v>
      </c>
      <c r="E1505" s="24" t="s">
        <v>7364</v>
      </c>
      <c r="F1505" s="24" t="s">
        <v>7570</v>
      </c>
      <c r="G1505" s="24" t="b">
        <v>0</v>
      </c>
    </row>
    <row r="1506" spans="1:7" ht="12.5" customHeight="1">
      <c r="A1506" s="27">
        <v>41180</v>
      </c>
      <c r="B1506" s="24" t="s">
        <v>9132</v>
      </c>
      <c r="C1506" s="24" t="s">
        <v>9614</v>
      </c>
      <c r="D1506" s="24" t="s">
        <v>7670</v>
      </c>
      <c r="E1506" s="24" t="s">
        <v>9136</v>
      </c>
      <c r="F1506" s="24" t="s">
        <v>7570</v>
      </c>
      <c r="G1506" s="24" t="b">
        <v>1</v>
      </c>
    </row>
    <row r="1507" spans="1:7" ht="12.5" customHeight="1">
      <c r="A1507" s="27">
        <v>41180</v>
      </c>
      <c r="B1507" s="24" t="s">
        <v>9132</v>
      </c>
      <c r="C1507" s="24" t="s">
        <v>9614</v>
      </c>
      <c r="D1507" s="24" t="s">
        <v>7670</v>
      </c>
      <c r="E1507" s="24" t="s">
        <v>7948</v>
      </c>
      <c r="F1507" s="24" t="s">
        <v>7570</v>
      </c>
      <c r="G1507" s="24" t="b">
        <v>1</v>
      </c>
    </row>
    <row r="1508" spans="1:7" ht="12.5" customHeight="1">
      <c r="A1508" s="27">
        <v>41180</v>
      </c>
      <c r="B1508" s="24" t="s">
        <v>9132</v>
      </c>
      <c r="C1508" s="24" t="s">
        <v>9614</v>
      </c>
      <c r="D1508" s="24" t="s">
        <v>7670</v>
      </c>
      <c r="E1508" s="24" t="s">
        <v>7223</v>
      </c>
      <c r="F1508" s="24" t="s">
        <v>7570</v>
      </c>
      <c r="G1508" s="24" t="b">
        <v>0</v>
      </c>
    </row>
    <row r="1509" spans="1:7" ht="12.5" customHeight="1">
      <c r="A1509" s="27">
        <v>41180</v>
      </c>
      <c r="B1509" s="24" t="s">
        <v>9132</v>
      </c>
      <c r="C1509" s="24" t="s">
        <v>9614</v>
      </c>
      <c r="D1509" s="24" t="s">
        <v>7670</v>
      </c>
      <c r="E1509" s="24" t="s">
        <v>9137</v>
      </c>
      <c r="F1509" s="24" t="s">
        <v>7570</v>
      </c>
      <c r="G1509" s="24" t="b">
        <v>1</v>
      </c>
    </row>
    <row r="1510" spans="1:7" ht="12.5" customHeight="1">
      <c r="A1510" s="27">
        <v>41220</v>
      </c>
      <c r="B1510" s="24" t="s">
        <v>9138</v>
      </c>
      <c r="C1510" s="24" t="s">
        <v>9615</v>
      </c>
      <c r="D1510" s="24" t="s">
        <v>8335</v>
      </c>
      <c r="E1510" s="24" t="s">
        <v>8940</v>
      </c>
      <c r="F1510" s="24" t="s">
        <v>7178</v>
      </c>
      <c r="G1510" s="24" t="b">
        <v>1</v>
      </c>
    </row>
    <row r="1511" spans="1:7" ht="12.5" customHeight="1">
      <c r="A1511" s="27">
        <v>41260</v>
      </c>
      <c r="B1511" s="24" t="s">
        <v>9139</v>
      </c>
      <c r="C1511" s="24" t="s">
        <v>9615</v>
      </c>
      <c r="D1511" s="24" t="s">
        <v>7138</v>
      </c>
      <c r="E1511" s="24" t="s">
        <v>9140</v>
      </c>
      <c r="F1511" s="24" t="s">
        <v>7226</v>
      </c>
      <c r="G1511" s="24" t="b">
        <v>1</v>
      </c>
    </row>
    <row r="1512" spans="1:7" ht="12.5" customHeight="1">
      <c r="A1512" s="27">
        <v>41400</v>
      </c>
      <c r="B1512" s="24" t="s">
        <v>9141</v>
      </c>
      <c r="C1512" s="24" t="s">
        <v>9615</v>
      </c>
      <c r="D1512" s="24" t="s">
        <v>9142</v>
      </c>
      <c r="E1512" s="24" t="s">
        <v>9143</v>
      </c>
      <c r="F1512" s="24" t="s">
        <v>7171</v>
      </c>
      <c r="G1512" s="24" t="b">
        <v>1</v>
      </c>
    </row>
    <row r="1513" spans="1:7" ht="12.5" customHeight="1">
      <c r="A1513" s="27">
        <v>41420</v>
      </c>
      <c r="B1513" s="24" t="s">
        <v>9144</v>
      </c>
      <c r="C1513" s="24" t="s">
        <v>9614</v>
      </c>
      <c r="D1513" s="24" t="s">
        <v>7183</v>
      </c>
      <c r="E1513" s="24" t="s">
        <v>7671</v>
      </c>
      <c r="F1513" s="24" t="s">
        <v>4053</v>
      </c>
      <c r="G1513" s="24" t="b">
        <v>1</v>
      </c>
    </row>
    <row r="1514" spans="1:7" ht="12.5" customHeight="1">
      <c r="A1514" s="27">
        <v>41420</v>
      </c>
      <c r="B1514" s="24" t="s">
        <v>9144</v>
      </c>
      <c r="C1514" s="24" t="s">
        <v>9614</v>
      </c>
      <c r="D1514" s="24" t="s">
        <v>7183</v>
      </c>
      <c r="E1514" s="24" t="s">
        <v>7664</v>
      </c>
      <c r="F1514" s="24" t="s">
        <v>4053</v>
      </c>
      <c r="G1514" s="24" t="b">
        <v>1</v>
      </c>
    </row>
    <row r="1515" spans="1:7" ht="12.5" customHeight="1">
      <c r="A1515" s="27">
        <v>41460</v>
      </c>
      <c r="B1515" s="24" t="s">
        <v>9145</v>
      </c>
      <c r="C1515" s="24" t="s">
        <v>9615</v>
      </c>
      <c r="D1515" s="24" t="s">
        <v>7138</v>
      </c>
      <c r="E1515" s="24" t="s">
        <v>8164</v>
      </c>
      <c r="F1515" s="24" t="s">
        <v>7306</v>
      </c>
      <c r="G1515" s="24" t="b">
        <v>0</v>
      </c>
    </row>
    <row r="1516" spans="1:7" ht="12.5" customHeight="1">
      <c r="A1516" s="27">
        <v>41460</v>
      </c>
      <c r="B1516" s="24" t="s">
        <v>9145</v>
      </c>
      <c r="C1516" s="24" t="s">
        <v>9615</v>
      </c>
      <c r="D1516" s="24" t="s">
        <v>7138</v>
      </c>
      <c r="E1516" s="24" t="s">
        <v>8524</v>
      </c>
      <c r="F1516" s="24" t="s">
        <v>7306</v>
      </c>
      <c r="G1516" s="24" t="b">
        <v>1</v>
      </c>
    </row>
    <row r="1517" spans="1:7" ht="12.5" customHeight="1">
      <c r="A1517" s="27">
        <v>41500</v>
      </c>
      <c r="B1517" s="24" t="s">
        <v>9146</v>
      </c>
      <c r="C1517" s="24" t="s">
        <v>9614</v>
      </c>
      <c r="D1517" s="24" t="s">
        <v>7138</v>
      </c>
      <c r="E1517" s="24" t="s">
        <v>9147</v>
      </c>
      <c r="F1517" s="24" t="s">
        <v>7386</v>
      </c>
      <c r="G1517" s="24" t="b">
        <v>1</v>
      </c>
    </row>
    <row r="1518" spans="1:7" ht="12.5" customHeight="1">
      <c r="A1518" s="27">
        <v>41540</v>
      </c>
      <c r="B1518" s="24" t="s">
        <v>9148</v>
      </c>
      <c r="C1518" s="24" t="s">
        <v>9614</v>
      </c>
      <c r="D1518" s="24" t="s">
        <v>7628</v>
      </c>
      <c r="E1518" s="24" t="s">
        <v>8805</v>
      </c>
      <c r="F1518" s="24" t="s">
        <v>4088</v>
      </c>
      <c r="G1518" s="24" t="b">
        <v>1</v>
      </c>
    </row>
    <row r="1519" spans="1:7" ht="12.5" customHeight="1">
      <c r="A1519" s="27">
        <v>41540</v>
      </c>
      <c r="B1519" s="24" t="s">
        <v>9148</v>
      </c>
      <c r="C1519" s="24" t="s">
        <v>9614</v>
      </c>
      <c r="D1519" s="24" t="s">
        <v>7628</v>
      </c>
      <c r="E1519" s="24" t="s">
        <v>8808</v>
      </c>
      <c r="F1519" s="24" t="s">
        <v>7390</v>
      </c>
      <c r="G1519" s="24" t="b">
        <v>0</v>
      </c>
    </row>
    <row r="1520" spans="1:7" ht="12.5" customHeight="1">
      <c r="A1520" s="27">
        <v>41540</v>
      </c>
      <c r="B1520" s="24" t="s">
        <v>9148</v>
      </c>
      <c r="C1520" s="24" t="s">
        <v>9614</v>
      </c>
      <c r="D1520" s="24" t="s">
        <v>7628</v>
      </c>
      <c r="E1520" s="24" t="s">
        <v>9149</v>
      </c>
      <c r="F1520" s="24" t="s">
        <v>7390</v>
      </c>
      <c r="G1520" s="24" t="b">
        <v>1</v>
      </c>
    </row>
    <row r="1521" spans="1:7" ht="12.5" customHeight="1">
      <c r="A1521" s="27">
        <v>41540</v>
      </c>
      <c r="B1521" s="24" t="s">
        <v>9148</v>
      </c>
      <c r="C1521" s="24" t="s">
        <v>9614</v>
      </c>
      <c r="D1521" s="24" t="s">
        <v>7628</v>
      </c>
      <c r="E1521" s="24" t="s">
        <v>9150</v>
      </c>
      <c r="F1521" s="24" t="s">
        <v>7390</v>
      </c>
      <c r="G1521" s="24" t="b">
        <v>0</v>
      </c>
    </row>
    <row r="1522" spans="1:7" ht="12.5" customHeight="1">
      <c r="A1522" s="27">
        <v>41620</v>
      </c>
      <c r="B1522" s="24" t="s">
        <v>9151</v>
      </c>
      <c r="C1522" s="24" t="s">
        <v>9614</v>
      </c>
      <c r="D1522" s="24" t="s">
        <v>8234</v>
      </c>
      <c r="E1522" s="24" t="s">
        <v>9152</v>
      </c>
      <c r="F1522" s="24" t="s">
        <v>7659</v>
      </c>
      <c r="G1522" s="24" t="b">
        <v>1</v>
      </c>
    </row>
    <row r="1523" spans="1:7" ht="12.5" customHeight="1">
      <c r="A1523" s="27">
        <v>41620</v>
      </c>
      <c r="B1523" s="24" t="s">
        <v>9151</v>
      </c>
      <c r="C1523" s="24" t="s">
        <v>9614</v>
      </c>
      <c r="D1523" s="24" t="s">
        <v>8234</v>
      </c>
      <c r="E1523" s="24" t="s">
        <v>9153</v>
      </c>
      <c r="F1523" s="24" t="s">
        <v>7659</v>
      </c>
      <c r="G1523" s="24" t="b">
        <v>0</v>
      </c>
    </row>
    <row r="1524" spans="1:7" ht="12.5" customHeight="1">
      <c r="A1524" s="27">
        <v>41660</v>
      </c>
      <c r="B1524" s="24" t="s">
        <v>9154</v>
      </c>
      <c r="C1524" s="24" t="s">
        <v>9614</v>
      </c>
      <c r="D1524" s="24" t="s">
        <v>7138</v>
      </c>
      <c r="E1524" s="24" t="s">
        <v>9155</v>
      </c>
      <c r="F1524" s="24" t="s">
        <v>7147</v>
      </c>
      <c r="G1524" s="24" t="b">
        <v>0</v>
      </c>
    </row>
    <row r="1525" spans="1:7" ht="12.5" customHeight="1">
      <c r="A1525" s="27">
        <v>41660</v>
      </c>
      <c r="B1525" s="24" t="s">
        <v>9154</v>
      </c>
      <c r="C1525" s="24" t="s">
        <v>9614</v>
      </c>
      <c r="D1525" s="24" t="s">
        <v>7138</v>
      </c>
      <c r="E1525" s="24" t="s">
        <v>9156</v>
      </c>
      <c r="F1525" s="24" t="s">
        <v>7147</v>
      </c>
      <c r="G1525" s="24" t="b">
        <v>0</v>
      </c>
    </row>
    <row r="1526" spans="1:7" ht="12.5" customHeight="1">
      <c r="A1526" s="27">
        <v>41660</v>
      </c>
      <c r="B1526" s="24" t="s">
        <v>9154</v>
      </c>
      <c r="C1526" s="24" t="s">
        <v>9614</v>
      </c>
      <c r="D1526" s="24" t="s">
        <v>7138</v>
      </c>
      <c r="E1526" s="24" t="s">
        <v>9157</v>
      </c>
      <c r="F1526" s="24" t="s">
        <v>7147</v>
      </c>
      <c r="G1526" s="24" t="b">
        <v>1</v>
      </c>
    </row>
    <row r="1527" spans="1:7" ht="12.5" customHeight="1">
      <c r="A1527" s="27">
        <v>41700</v>
      </c>
      <c r="B1527" s="24" t="s">
        <v>9158</v>
      </c>
      <c r="C1527" s="24" t="s">
        <v>9614</v>
      </c>
      <c r="D1527" s="24" t="s">
        <v>8927</v>
      </c>
      <c r="E1527" s="24" t="s">
        <v>9159</v>
      </c>
      <c r="F1527" s="24" t="s">
        <v>7147</v>
      </c>
      <c r="G1527" s="24" t="b">
        <v>0</v>
      </c>
    </row>
    <row r="1528" spans="1:7" ht="12.5" customHeight="1">
      <c r="A1528" s="27">
        <v>41700</v>
      </c>
      <c r="B1528" s="24" t="s">
        <v>9158</v>
      </c>
      <c r="C1528" s="24" t="s">
        <v>9614</v>
      </c>
      <c r="D1528" s="24" t="s">
        <v>8927</v>
      </c>
      <c r="E1528" s="24" t="s">
        <v>9160</v>
      </c>
      <c r="F1528" s="24" t="s">
        <v>7147</v>
      </c>
      <c r="G1528" s="24" t="b">
        <v>0</v>
      </c>
    </row>
    <row r="1529" spans="1:7" ht="12.5" customHeight="1">
      <c r="A1529" s="27">
        <v>41700</v>
      </c>
      <c r="B1529" s="24" t="s">
        <v>9158</v>
      </c>
      <c r="C1529" s="24" t="s">
        <v>9614</v>
      </c>
      <c r="D1529" s="24" t="s">
        <v>8927</v>
      </c>
      <c r="E1529" s="24" t="s">
        <v>9161</v>
      </c>
      <c r="F1529" s="24" t="s">
        <v>7147</v>
      </c>
      <c r="G1529" s="24" t="b">
        <v>1</v>
      </c>
    </row>
    <row r="1530" spans="1:7" ht="12.5" customHeight="1">
      <c r="A1530" s="27">
        <v>41700</v>
      </c>
      <c r="B1530" s="24" t="s">
        <v>9158</v>
      </c>
      <c r="C1530" s="24" t="s">
        <v>9614</v>
      </c>
      <c r="D1530" s="24" t="s">
        <v>8927</v>
      </c>
      <c r="E1530" s="24" t="s">
        <v>9162</v>
      </c>
      <c r="F1530" s="24" t="s">
        <v>7147</v>
      </c>
      <c r="G1530" s="24" t="b">
        <v>1</v>
      </c>
    </row>
    <row r="1531" spans="1:7" ht="12.5" customHeight="1">
      <c r="A1531" s="27">
        <v>41700</v>
      </c>
      <c r="B1531" s="24" t="s">
        <v>9158</v>
      </c>
      <c r="C1531" s="24" t="s">
        <v>9614</v>
      </c>
      <c r="D1531" s="24" t="s">
        <v>8927</v>
      </c>
      <c r="E1531" s="24" t="s">
        <v>9163</v>
      </c>
      <c r="F1531" s="24" t="s">
        <v>7147</v>
      </c>
      <c r="G1531" s="24" t="b">
        <v>1</v>
      </c>
    </row>
    <row r="1532" spans="1:7" ht="12.5" customHeight="1">
      <c r="A1532" s="27">
        <v>41700</v>
      </c>
      <c r="B1532" s="24" t="s">
        <v>9158</v>
      </c>
      <c r="C1532" s="24" t="s">
        <v>9614</v>
      </c>
      <c r="D1532" s="24" t="s">
        <v>8927</v>
      </c>
      <c r="E1532" s="24" t="s">
        <v>7720</v>
      </c>
      <c r="F1532" s="24" t="s">
        <v>7147</v>
      </c>
      <c r="G1532" s="24" t="b">
        <v>0</v>
      </c>
    </row>
    <row r="1533" spans="1:7" ht="12.5" customHeight="1">
      <c r="A1533" s="27">
        <v>41700</v>
      </c>
      <c r="B1533" s="24" t="s">
        <v>9158</v>
      </c>
      <c r="C1533" s="24" t="s">
        <v>9614</v>
      </c>
      <c r="D1533" s="24" t="s">
        <v>8927</v>
      </c>
      <c r="E1533" s="24" t="s">
        <v>7757</v>
      </c>
      <c r="F1533" s="24" t="s">
        <v>7147</v>
      </c>
      <c r="G1533" s="24" t="b">
        <v>0</v>
      </c>
    </row>
    <row r="1534" spans="1:7" ht="12.5" customHeight="1">
      <c r="A1534" s="27">
        <v>41700</v>
      </c>
      <c r="B1534" s="24" t="s">
        <v>9158</v>
      </c>
      <c r="C1534" s="24" t="s">
        <v>9614</v>
      </c>
      <c r="D1534" s="24" t="s">
        <v>8927</v>
      </c>
      <c r="E1534" s="24" t="s">
        <v>8773</v>
      </c>
      <c r="F1534" s="24" t="s">
        <v>7147</v>
      </c>
      <c r="G1534" s="24" t="b">
        <v>0</v>
      </c>
    </row>
    <row r="1535" spans="1:7" ht="12.5" customHeight="1">
      <c r="A1535" s="27">
        <v>41740</v>
      </c>
      <c r="B1535" s="24" t="s">
        <v>9164</v>
      </c>
      <c r="C1535" s="24" t="s">
        <v>9614</v>
      </c>
      <c r="D1535" s="24" t="s">
        <v>7138</v>
      </c>
      <c r="E1535" s="24" t="s">
        <v>9165</v>
      </c>
      <c r="F1535" s="24" t="s">
        <v>7386</v>
      </c>
      <c r="G1535" s="24" t="b">
        <v>1</v>
      </c>
    </row>
    <row r="1536" spans="1:7" ht="12.5" customHeight="1">
      <c r="A1536" s="27">
        <v>41760</v>
      </c>
      <c r="B1536" s="24" t="s">
        <v>9166</v>
      </c>
      <c r="C1536" s="24" t="s">
        <v>9615</v>
      </c>
      <c r="D1536" s="24" t="s">
        <v>7138</v>
      </c>
      <c r="E1536" s="24" t="s">
        <v>9167</v>
      </c>
      <c r="F1536" s="24" t="s">
        <v>7505</v>
      </c>
      <c r="G1536" s="24" t="b">
        <v>1</v>
      </c>
    </row>
    <row r="1537" spans="1:7" ht="12.5" customHeight="1">
      <c r="A1537" s="27">
        <v>41780</v>
      </c>
      <c r="B1537" s="24" t="s">
        <v>9168</v>
      </c>
      <c r="C1537" s="24" t="s">
        <v>9615</v>
      </c>
      <c r="D1537" s="24" t="s">
        <v>7169</v>
      </c>
      <c r="E1537" s="24" t="s">
        <v>7603</v>
      </c>
      <c r="F1537" s="24" t="s">
        <v>7171</v>
      </c>
      <c r="G1537" s="24" t="b">
        <v>1</v>
      </c>
    </row>
    <row r="1538" spans="1:7" ht="12.5" customHeight="1">
      <c r="A1538" s="27">
        <v>41820</v>
      </c>
      <c r="B1538" s="24" t="s">
        <v>9169</v>
      </c>
      <c r="C1538" s="24" t="s">
        <v>9615</v>
      </c>
      <c r="D1538" s="24" t="s">
        <v>8051</v>
      </c>
      <c r="E1538" s="24" t="s">
        <v>7179</v>
      </c>
      <c r="F1538" s="24" t="s">
        <v>7195</v>
      </c>
      <c r="G1538" s="24" t="b">
        <v>1</v>
      </c>
    </row>
    <row r="1539" spans="1:7" ht="12.5" customHeight="1">
      <c r="A1539" s="27">
        <v>41860</v>
      </c>
      <c r="B1539" s="24" t="s">
        <v>9170</v>
      </c>
      <c r="C1539" s="24" t="s">
        <v>9614</v>
      </c>
      <c r="D1539" s="24" t="s">
        <v>8643</v>
      </c>
      <c r="E1539" s="24" t="s">
        <v>9171</v>
      </c>
      <c r="F1539" s="24" t="s">
        <v>7386</v>
      </c>
      <c r="G1539" s="24" t="b">
        <v>1</v>
      </c>
    </row>
    <row r="1540" spans="1:7" ht="12.5" customHeight="1">
      <c r="A1540" s="27">
        <v>41860</v>
      </c>
      <c r="B1540" s="24" t="s">
        <v>9170</v>
      </c>
      <c r="C1540" s="24" t="s">
        <v>9614</v>
      </c>
      <c r="D1540" s="24" t="s">
        <v>8643</v>
      </c>
      <c r="E1540" s="24" t="s">
        <v>9172</v>
      </c>
      <c r="F1540" s="24" t="s">
        <v>7386</v>
      </c>
      <c r="G1540" s="24" t="b">
        <v>0</v>
      </c>
    </row>
    <row r="1541" spans="1:7" ht="12.5" customHeight="1">
      <c r="A1541" s="27">
        <v>41860</v>
      </c>
      <c r="B1541" s="24" t="s">
        <v>9170</v>
      </c>
      <c r="C1541" s="24" t="s">
        <v>9614</v>
      </c>
      <c r="D1541" s="24" t="s">
        <v>8643</v>
      </c>
      <c r="E1541" s="24" t="s">
        <v>9173</v>
      </c>
      <c r="F1541" s="24" t="s">
        <v>7386</v>
      </c>
      <c r="G1541" s="24" t="b">
        <v>1</v>
      </c>
    </row>
    <row r="1542" spans="1:7" ht="12.5" customHeight="1">
      <c r="A1542" s="27">
        <v>41860</v>
      </c>
      <c r="B1542" s="24" t="s">
        <v>9170</v>
      </c>
      <c r="C1542" s="24" t="s">
        <v>9614</v>
      </c>
      <c r="D1542" s="24" t="s">
        <v>8643</v>
      </c>
      <c r="E1542" s="24" t="s">
        <v>9174</v>
      </c>
      <c r="F1542" s="24" t="s">
        <v>7386</v>
      </c>
      <c r="G1542" s="24" t="b">
        <v>1</v>
      </c>
    </row>
    <row r="1543" spans="1:7" ht="12.5" customHeight="1">
      <c r="A1543" s="27">
        <v>41860</v>
      </c>
      <c r="B1543" s="24" t="s">
        <v>9170</v>
      </c>
      <c r="C1543" s="24" t="s">
        <v>9614</v>
      </c>
      <c r="D1543" s="24" t="s">
        <v>8643</v>
      </c>
      <c r="E1543" s="24" t="s">
        <v>9175</v>
      </c>
      <c r="F1543" s="24" t="s">
        <v>7386</v>
      </c>
      <c r="G1543" s="24" t="b">
        <v>1</v>
      </c>
    </row>
    <row r="1544" spans="1:7" ht="12.5" customHeight="1">
      <c r="A1544" s="27">
        <v>41900</v>
      </c>
      <c r="B1544" s="24" t="s">
        <v>9176</v>
      </c>
      <c r="C1544" s="24" t="s">
        <v>9614</v>
      </c>
      <c r="D1544" s="24" t="s">
        <v>8616</v>
      </c>
      <c r="E1544" s="24" t="s">
        <v>9177</v>
      </c>
      <c r="F1544" s="24" t="s">
        <v>7159</v>
      </c>
      <c r="G1544" s="24" t="b">
        <v>1</v>
      </c>
    </row>
    <row r="1545" spans="1:7" ht="12.5" customHeight="1">
      <c r="A1545" s="27">
        <v>41900</v>
      </c>
      <c r="B1545" s="24" t="s">
        <v>9176</v>
      </c>
      <c r="C1545" s="24" t="s">
        <v>9614</v>
      </c>
      <c r="D1545" s="24" t="s">
        <v>8616</v>
      </c>
      <c r="E1545" s="24" t="s">
        <v>9178</v>
      </c>
      <c r="F1545" s="24" t="s">
        <v>7159</v>
      </c>
      <c r="G1545" s="24" t="b">
        <v>1</v>
      </c>
    </row>
    <row r="1546" spans="1:7" ht="12.5" customHeight="1">
      <c r="A1546" s="27">
        <v>41900</v>
      </c>
      <c r="B1546" s="24" t="s">
        <v>9176</v>
      </c>
      <c r="C1546" s="24" t="s">
        <v>9614</v>
      </c>
      <c r="D1546" s="24" t="s">
        <v>8616</v>
      </c>
      <c r="E1546" s="24" t="s">
        <v>9179</v>
      </c>
      <c r="F1546" s="24" t="s">
        <v>7159</v>
      </c>
      <c r="G1546" s="24" t="b">
        <v>1</v>
      </c>
    </row>
    <row r="1547" spans="1:7" ht="12.5" customHeight="1">
      <c r="A1547" s="27">
        <v>41900</v>
      </c>
      <c r="B1547" s="24" t="s">
        <v>9176</v>
      </c>
      <c r="C1547" s="24" t="s">
        <v>9614</v>
      </c>
      <c r="D1547" s="24" t="s">
        <v>8616</v>
      </c>
      <c r="E1547" s="24" t="s">
        <v>9180</v>
      </c>
      <c r="F1547" s="24" t="s">
        <v>7159</v>
      </c>
      <c r="G1547" s="24" t="b">
        <v>1</v>
      </c>
    </row>
    <row r="1548" spans="1:7" ht="12.5" customHeight="1">
      <c r="A1548" s="27">
        <v>41940</v>
      </c>
      <c r="B1548" s="24" t="s">
        <v>9181</v>
      </c>
      <c r="C1548" s="24" t="s">
        <v>9614</v>
      </c>
      <c r="D1548" s="24" t="s">
        <v>8643</v>
      </c>
      <c r="E1548" s="24" t="s">
        <v>9182</v>
      </c>
      <c r="F1548" s="24" t="s">
        <v>7386</v>
      </c>
      <c r="G1548" s="24" t="b">
        <v>0</v>
      </c>
    </row>
    <row r="1549" spans="1:7" ht="12.5" customHeight="1">
      <c r="A1549" s="27">
        <v>41940</v>
      </c>
      <c r="B1549" s="24" t="s">
        <v>9181</v>
      </c>
      <c r="C1549" s="24" t="s">
        <v>9614</v>
      </c>
      <c r="D1549" s="24" t="s">
        <v>8643</v>
      </c>
      <c r="E1549" s="24" t="s">
        <v>9183</v>
      </c>
      <c r="F1549" s="24" t="s">
        <v>7386</v>
      </c>
      <c r="G1549" s="24" t="b">
        <v>1</v>
      </c>
    </row>
    <row r="1550" spans="1:7" ht="12.5" customHeight="1">
      <c r="A1550" s="27">
        <v>41980</v>
      </c>
      <c r="B1550" s="24" t="s">
        <v>9184</v>
      </c>
      <c r="C1550" s="24" t="s">
        <v>9614</v>
      </c>
      <c r="D1550" s="24" t="s">
        <v>7282</v>
      </c>
      <c r="E1550" s="24" t="s">
        <v>9185</v>
      </c>
      <c r="F1550" s="24" t="s">
        <v>7159</v>
      </c>
      <c r="G1550" s="24" t="b">
        <v>1</v>
      </c>
    </row>
    <row r="1551" spans="1:7" ht="12.5" customHeight="1">
      <c r="A1551" s="27">
        <v>41980</v>
      </c>
      <c r="B1551" s="24" t="s">
        <v>9184</v>
      </c>
      <c r="C1551" s="24" t="s">
        <v>9614</v>
      </c>
      <c r="D1551" s="24" t="s">
        <v>7282</v>
      </c>
      <c r="E1551" s="24" t="s">
        <v>9186</v>
      </c>
      <c r="F1551" s="24" t="s">
        <v>7159</v>
      </c>
      <c r="G1551" s="24" t="b">
        <v>1</v>
      </c>
    </row>
    <row r="1552" spans="1:7" ht="12.5" customHeight="1">
      <c r="A1552" s="27">
        <v>41980</v>
      </c>
      <c r="B1552" s="24" t="s">
        <v>9184</v>
      </c>
      <c r="C1552" s="24" t="s">
        <v>9614</v>
      </c>
      <c r="D1552" s="24" t="s">
        <v>7282</v>
      </c>
      <c r="E1552" s="24" t="s">
        <v>9187</v>
      </c>
      <c r="F1552" s="24" t="s">
        <v>7159</v>
      </c>
      <c r="G1552" s="24" t="b">
        <v>0</v>
      </c>
    </row>
    <row r="1553" spans="1:7" ht="12.5" customHeight="1">
      <c r="A1553" s="27">
        <v>41980</v>
      </c>
      <c r="B1553" s="24" t="s">
        <v>9184</v>
      </c>
      <c r="C1553" s="24" t="s">
        <v>9614</v>
      </c>
      <c r="D1553" s="24" t="s">
        <v>7282</v>
      </c>
      <c r="E1553" s="24" t="s">
        <v>9188</v>
      </c>
      <c r="F1553" s="24" t="s">
        <v>7159</v>
      </c>
      <c r="G1553" s="24" t="b">
        <v>1</v>
      </c>
    </row>
    <row r="1554" spans="1:7" ht="12.5" customHeight="1">
      <c r="A1554" s="27">
        <v>41980</v>
      </c>
      <c r="B1554" s="24" t="s">
        <v>9184</v>
      </c>
      <c r="C1554" s="24" t="s">
        <v>9614</v>
      </c>
      <c r="D1554" s="24" t="s">
        <v>7282</v>
      </c>
      <c r="E1554" s="24" t="s">
        <v>9189</v>
      </c>
      <c r="F1554" s="24" t="s">
        <v>7159</v>
      </c>
      <c r="G1554" s="24" t="b">
        <v>1</v>
      </c>
    </row>
    <row r="1555" spans="1:7" ht="12.5" customHeight="1">
      <c r="A1555" s="27">
        <v>41980</v>
      </c>
      <c r="B1555" s="24" t="s">
        <v>9184</v>
      </c>
      <c r="C1555" s="24" t="s">
        <v>9614</v>
      </c>
      <c r="D1555" s="24" t="s">
        <v>7282</v>
      </c>
      <c r="E1555" s="24" t="s">
        <v>9190</v>
      </c>
      <c r="F1555" s="24" t="s">
        <v>7159</v>
      </c>
      <c r="G1555" s="24" t="b">
        <v>1</v>
      </c>
    </row>
    <row r="1556" spans="1:7" ht="12.5" customHeight="1">
      <c r="A1556" s="27">
        <v>41980</v>
      </c>
      <c r="B1556" s="24" t="s">
        <v>9184</v>
      </c>
      <c r="C1556" s="24" t="s">
        <v>9614</v>
      </c>
      <c r="D1556" s="24" t="s">
        <v>7282</v>
      </c>
      <c r="E1556" s="24" t="s">
        <v>9191</v>
      </c>
      <c r="F1556" s="24" t="s">
        <v>7159</v>
      </c>
      <c r="G1556" s="24" t="b">
        <v>1</v>
      </c>
    </row>
    <row r="1557" spans="1:7" ht="12.5" customHeight="1">
      <c r="A1557" s="27">
        <v>41980</v>
      </c>
      <c r="B1557" s="24" t="s">
        <v>9184</v>
      </c>
      <c r="C1557" s="24" t="s">
        <v>9614</v>
      </c>
      <c r="D1557" s="24" t="s">
        <v>7282</v>
      </c>
      <c r="E1557" s="24" t="s">
        <v>9192</v>
      </c>
      <c r="F1557" s="24" t="s">
        <v>7159</v>
      </c>
      <c r="G1557" s="24" t="b">
        <v>1</v>
      </c>
    </row>
    <row r="1558" spans="1:7" ht="12.5" customHeight="1">
      <c r="A1558" s="27">
        <v>41980</v>
      </c>
      <c r="B1558" s="24" t="s">
        <v>9184</v>
      </c>
      <c r="C1558" s="24" t="s">
        <v>9614</v>
      </c>
      <c r="D1558" s="24" t="s">
        <v>7282</v>
      </c>
      <c r="E1558" s="24" t="s">
        <v>9193</v>
      </c>
      <c r="F1558" s="24" t="s">
        <v>7159</v>
      </c>
      <c r="G1558" s="24" t="b">
        <v>1</v>
      </c>
    </row>
    <row r="1559" spans="1:7" ht="12.5" customHeight="1">
      <c r="A1559" s="27">
        <v>41980</v>
      </c>
      <c r="B1559" s="24" t="s">
        <v>9184</v>
      </c>
      <c r="C1559" s="24" t="s">
        <v>9614</v>
      </c>
      <c r="D1559" s="24" t="s">
        <v>7282</v>
      </c>
      <c r="E1559" s="24" t="s">
        <v>9194</v>
      </c>
      <c r="F1559" s="24" t="s">
        <v>7159</v>
      </c>
      <c r="G1559" s="24" t="b">
        <v>1</v>
      </c>
    </row>
    <row r="1560" spans="1:7" ht="12.5" customHeight="1">
      <c r="A1560" s="27">
        <v>41980</v>
      </c>
      <c r="B1560" s="24" t="s">
        <v>9184</v>
      </c>
      <c r="C1560" s="24" t="s">
        <v>9614</v>
      </c>
      <c r="D1560" s="24" t="s">
        <v>7282</v>
      </c>
      <c r="E1560" s="24" t="s">
        <v>9195</v>
      </c>
      <c r="F1560" s="24" t="s">
        <v>7159</v>
      </c>
      <c r="G1560" s="24" t="b">
        <v>0</v>
      </c>
    </row>
    <row r="1561" spans="1:7" ht="12.5" customHeight="1">
      <c r="A1561" s="27">
        <v>41980</v>
      </c>
      <c r="B1561" s="24" t="s">
        <v>9184</v>
      </c>
      <c r="C1561" s="24" t="s">
        <v>9614</v>
      </c>
      <c r="D1561" s="24" t="s">
        <v>7282</v>
      </c>
      <c r="E1561" s="24" t="s">
        <v>9196</v>
      </c>
      <c r="F1561" s="24" t="s">
        <v>7159</v>
      </c>
      <c r="G1561" s="24" t="b">
        <v>1</v>
      </c>
    </row>
    <row r="1562" spans="1:7" ht="12.5" customHeight="1">
      <c r="A1562" s="27">
        <v>41980</v>
      </c>
      <c r="B1562" s="24" t="s">
        <v>9184</v>
      </c>
      <c r="C1562" s="24" t="s">
        <v>9614</v>
      </c>
      <c r="D1562" s="24" t="s">
        <v>7282</v>
      </c>
      <c r="E1562" s="24" t="s">
        <v>9197</v>
      </c>
      <c r="F1562" s="24" t="s">
        <v>7159</v>
      </c>
      <c r="G1562" s="24" t="b">
        <v>1</v>
      </c>
    </row>
    <row r="1563" spans="1:7" ht="12.5" customHeight="1">
      <c r="A1563" s="27">
        <v>41980</v>
      </c>
      <c r="B1563" s="24" t="s">
        <v>9184</v>
      </c>
      <c r="C1563" s="24" t="s">
        <v>9614</v>
      </c>
      <c r="D1563" s="24" t="s">
        <v>7282</v>
      </c>
      <c r="E1563" s="24" t="s">
        <v>9198</v>
      </c>
      <c r="F1563" s="24" t="s">
        <v>7159</v>
      </c>
      <c r="G1563" s="24" t="b">
        <v>1</v>
      </c>
    </row>
    <row r="1564" spans="1:7" ht="12.5" customHeight="1">
      <c r="A1564" s="27">
        <v>41980</v>
      </c>
      <c r="B1564" s="24" t="s">
        <v>9184</v>
      </c>
      <c r="C1564" s="24" t="s">
        <v>9614</v>
      </c>
      <c r="D1564" s="24" t="s">
        <v>7282</v>
      </c>
      <c r="E1564" s="24" t="s">
        <v>9199</v>
      </c>
      <c r="F1564" s="24" t="s">
        <v>7159</v>
      </c>
      <c r="G1564" s="24" t="b">
        <v>1</v>
      </c>
    </row>
    <row r="1565" spans="1:7" ht="12.5" customHeight="1">
      <c r="A1565" s="27">
        <v>41980</v>
      </c>
      <c r="B1565" s="24" t="s">
        <v>9184</v>
      </c>
      <c r="C1565" s="24" t="s">
        <v>9614</v>
      </c>
      <c r="D1565" s="24" t="s">
        <v>7282</v>
      </c>
      <c r="E1565" s="24" t="s">
        <v>9200</v>
      </c>
      <c r="F1565" s="24" t="s">
        <v>7159</v>
      </c>
      <c r="G1565" s="24" t="b">
        <v>1</v>
      </c>
    </row>
    <row r="1566" spans="1:7" ht="12.5" customHeight="1">
      <c r="A1566" s="27">
        <v>41980</v>
      </c>
      <c r="B1566" s="24" t="s">
        <v>9184</v>
      </c>
      <c r="C1566" s="24" t="s">
        <v>9614</v>
      </c>
      <c r="D1566" s="24" t="s">
        <v>7282</v>
      </c>
      <c r="E1566" s="24" t="s">
        <v>9201</v>
      </c>
      <c r="F1566" s="24" t="s">
        <v>7159</v>
      </c>
      <c r="G1566" s="24" t="b">
        <v>0</v>
      </c>
    </row>
    <row r="1567" spans="1:7" ht="12.5" customHeight="1">
      <c r="A1567" s="27">
        <v>41980</v>
      </c>
      <c r="B1567" s="24" t="s">
        <v>9184</v>
      </c>
      <c r="C1567" s="24" t="s">
        <v>9614</v>
      </c>
      <c r="D1567" s="24" t="s">
        <v>7282</v>
      </c>
      <c r="E1567" s="24" t="s">
        <v>9202</v>
      </c>
      <c r="F1567" s="24" t="s">
        <v>7159</v>
      </c>
      <c r="G1567" s="24" t="b">
        <v>0</v>
      </c>
    </row>
    <row r="1568" spans="1:7" ht="12.5" customHeight="1">
      <c r="A1568" s="27">
        <v>41980</v>
      </c>
      <c r="B1568" s="24" t="s">
        <v>9184</v>
      </c>
      <c r="C1568" s="24" t="s">
        <v>9614</v>
      </c>
      <c r="D1568" s="24" t="s">
        <v>7282</v>
      </c>
      <c r="E1568" s="24" t="s">
        <v>9203</v>
      </c>
      <c r="F1568" s="24" t="s">
        <v>7159</v>
      </c>
      <c r="G1568" s="24" t="b">
        <v>1</v>
      </c>
    </row>
    <row r="1569" spans="1:7" ht="12.5" customHeight="1">
      <c r="A1569" s="27">
        <v>41980</v>
      </c>
      <c r="B1569" s="24" t="s">
        <v>9184</v>
      </c>
      <c r="C1569" s="24" t="s">
        <v>9614</v>
      </c>
      <c r="D1569" s="24" t="s">
        <v>7282</v>
      </c>
      <c r="E1569" s="24" t="s">
        <v>9204</v>
      </c>
      <c r="F1569" s="24" t="s">
        <v>7159</v>
      </c>
      <c r="G1569" s="24" t="b">
        <v>1</v>
      </c>
    </row>
    <row r="1570" spans="1:7" ht="12.5" customHeight="1">
      <c r="A1570" s="27">
        <v>41980</v>
      </c>
      <c r="B1570" s="24" t="s">
        <v>9184</v>
      </c>
      <c r="C1570" s="24" t="s">
        <v>9614</v>
      </c>
      <c r="D1570" s="24" t="s">
        <v>7282</v>
      </c>
      <c r="E1570" s="24" t="s">
        <v>9205</v>
      </c>
      <c r="F1570" s="24" t="s">
        <v>7159</v>
      </c>
      <c r="G1570" s="24" t="b">
        <v>1</v>
      </c>
    </row>
    <row r="1571" spans="1:7" ht="12.5" customHeight="1">
      <c r="A1571" s="27">
        <v>41980</v>
      </c>
      <c r="B1571" s="24" t="s">
        <v>9184</v>
      </c>
      <c r="C1571" s="24" t="s">
        <v>9614</v>
      </c>
      <c r="D1571" s="24" t="s">
        <v>7282</v>
      </c>
      <c r="E1571" s="24" t="s">
        <v>9206</v>
      </c>
      <c r="F1571" s="24" t="s">
        <v>7159</v>
      </c>
      <c r="G1571" s="24" t="b">
        <v>1</v>
      </c>
    </row>
    <row r="1572" spans="1:7" ht="12.5" customHeight="1">
      <c r="A1572" s="27">
        <v>41980</v>
      </c>
      <c r="B1572" s="24" t="s">
        <v>9184</v>
      </c>
      <c r="C1572" s="24" t="s">
        <v>9614</v>
      </c>
      <c r="D1572" s="24" t="s">
        <v>7282</v>
      </c>
      <c r="E1572" s="24" t="s">
        <v>9207</v>
      </c>
      <c r="F1572" s="24" t="s">
        <v>7159</v>
      </c>
      <c r="G1572" s="24" t="b">
        <v>1</v>
      </c>
    </row>
    <row r="1573" spans="1:7" ht="12.5" customHeight="1">
      <c r="A1573" s="27">
        <v>41980</v>
      </c>
      <c r="B1573" s="24" t="s">
        <v>9184</v>
      </c>
      <c r="C1573" s="24" t="s">
        <v>9614</v>
      </c>
      <c r="D1573" s="24" t="s">
        <v>7282</v>
      </c>
      <c r="E1573" s="24" t="s">
        <v>9208</v>
      </c>
      <c r="F1573" s="24" t="s">
        <v>7159</v>
      </c>
      <c r="G1573" s="24" t="b">
        <v>1</v>
      </c>
    </row>
    <row r="1574" spans="1:7" ht="12.5" customHeight="1">
      <c r="A1574" s="27">
        <v>41980</v>
      </c>
      <c r="B1574" s="24" t="s">
        <v>9184</v>
      </c>
      <c r="C1574" s="24" t="s">
        <v>9614</v>
      </c>
      <c r="D1574" s="24" t="s">
        <v>7282</v>
      </c>
      <c r="E1574" s="24" t="s">
        <v>9209</v>
      </c>
      <c r="F1574" s="24" t="s">
        <v>7159</v>
      </c>
      <c r="G1574" s="24" t="b">
        <v>0</v>
      </c>
    </row>
    <row r="1575" spans="1:7" ht="12.5" customHeight="1">
      <c r="A1575" s="27">
        <v>41980</v>
      </c>
      <c r="B1575" s="24" t="s">
        <v>9184</v>
      </c>
      <c r="C1575" s="24" t="s">
        <v>9614</v>
      </c>
      <c r="D1575" s="24" t="s">
        <v>7282</v>
      </c>
      <c r="E1575" s="24" t="s">
        <v>9210</v>
      </c>
      <c r="F1575" s="24" t="s">
        <v>7159</v>
      </c>
      <c r="G1575" s="24" t="b">
        <v>1</v>
      </c>
    </row>
    <row r="1576" spans="1:7" ht="12.5" customHeight="1">
      <c r="A1576" s="27">
        <v>41980</v>
      </c>
      <c r="B1576" s="24" t="s">
        <v>9184</v>
      </c>
      <c r="C1576" s="24" t="s">
        <v>9614</v>
      </c>
      <c r="D1576" s="24" t="s">
        <v>7282</v>
      </c>
      <c r="E1576" s="24" t="s">
        <v>9211</v>
      </c>
      <c r="F1576" s="24" t="s">
        <v>7159</v>
      </c>
      <c r="G1576" s="24" t="b">
        <v>0</v>
      </c>
    </row>
    <row r="1577" spans="1:7" ht="12.5" customHeight="1">
      <c r="A1577" s="27">
        <v>41980</v>
      </c>
      <c r="B1577" s="24" t="s">
        <v>9184</v>
      </c>
      <c r="C1577" s="24" t="s">
        <v>9614</v>
      </c>
      <c r="D1577" s="24" t="s">
        <v>7282</v>
      </c>
      <c r="E1577" s="24" t="s">
        <v>9212</v>
      </c>
      <c r="F1577" s="24" t="s">
        <v>7159</v>
      </c>
      <c r="G1577" s="24" t="b">
        <v>1</v>
      </c>
    </row>
    <row r="1578" spans="1:7" ht="12.5" customHeight="1">
      <c r="A1578" s="27">
        <v>41980</v>
      </c>
      <c r="B1578" s="24" t="s">
        <v>9184</v>
      </c>
      <c r="C1578" s="24" t="s">
        <v>9614</v>
      </c>
      <c r="D1578" s="24" t="s">
        <v>7282</v>
      </c>
      <c r="E1578" s="24" t="s">
        <v>9213</v>
      </c>
      <c r="F1578" s="24" t="s">
        <v>7159</v>
      </c>
      <c r="G1578" s="24" t="b">
        <v>0</v>
      </c>
    </row>
    <row r="1579" spans="1:7" ht="12.5" customHeight="1">
      <c r="A1579" s="27">
        <v>41980</v>
      </c>
      <c r="B1579" s="24" t="s">
        <v>9184</v>
      </c>
      <c r="C1579" s="24" t="s">
        <v>9614</v>
      </c>
      <c r="D1579" s="24" t="s">
        <v>7282</v>
      </c>
      <c r="E1579" s="24" t="s">
        <v>9214</v>
      </c>
      <c r="F1579" s="24" t="s">
        <v>7159</v>
      </c>
      <c r="G1579" s="24" t="b">
        <v>1</v>
      </c>
    </row>
    <row r="1580" spans="1:7" ht="12.5" customHeight="1">
      <c r="A1580" s="27">
        <v>41980</v>
      </c>
      <c r="B1580" s="24" t="s">
        <v>9184</v>
      </c>
      <c r="C1580" s="24" t="s">
        <v>9614</v>
      </c>
      <c r="D1580" s="24" t="s">
        <v>7282</v>
      </c>
      <c r="E1580" s="24" t="s">
        <v>9215</v>
      </c>
      <c r="F1580" s="24" t="s">
        <v>7159</v>
      </c>
      <c r="G1580" s="24" t="b">
        <v>1</v>
      </c>
    </row>
    <row r="1581" spans="1:7" ht="12.5" customHeight="1">
      <c r="A1581" s="27">
        <v>41980</v>
      </c>
      <c r="B1581" s="24" t="s">
        <v>9184</v>
      </c>
      <c r="C1581" s="24" t="s">
        <v>9614</v>
      </c>
      <c r="D1581" s="24" t="s">
        <v>7282</v>
      </c>
      <c r="E1581" s="24" t="s">
        <v>9216</v>
      </c>
      <c r="F1581" s="24" t="s">
        <v>7159</v>
      </c>
      <c r="G1581" s="24" t="b">
        <v>1</v>
      </c>
    </row>
    <row r="1582" spans="1:7" ht="12.5" customHeight="1">
      <c r="A1582" s="27">
        <v>41980</v>
      </c>
      <c r="B1582" s="24" t="s">
        <v>9184</v>
      </c>
      <c r="C1582" s="24" t="s">
        <v>9614</v>
      </c>
      <c r="D1582" s="24" t="s">
        <v>7282</v>
      </c>
      <c r="E1582" s="24" t="s">
        <v>9217</v>
      </c>
      <c r="F1582" s="24" t="s">
        <v>7159</v>
      </c>
      <c r="G1582" s="24" t="b">
        <v>1</v>
      </c>
    </row>
    <row r="1583" spans="1:7" ht="12.5" customHeight="1">
      <c r="A1583" s="27">
        <v>41980</v>
      </c>
      <c r="B1583" s="24" t="s">
        <v>9184</v>
      </c>
      <c r="C1583" s="24" t="s">
        <v>9614</v>
      </c>
      <c r="D1583" s="24" t="s">
        <v>7282</v>
      </c>
      <c r="E1583" s="24" t="s">
        <v>9218</v>
      </c>
      <c r="F1583" s="24" t="s">
        <v>7159</v>
      </c>
      <c r="G1583" s="24" t="b">
        <v>1</v>
      </c>
    </row>
    <row r="1584" spans="1:7" ht="12.5" customHeight="1">
      <c r="A1584" s="27">
        <v>41980</v>
      </c>
      <c r="B1584" s="24" t="s">
        <v>9184</v>
      </c>
      <c r="C1584" s="24" t="s">
        <v>9614</v>
      </c>
      <c r="D1584" s="24" t="s">
        <v>7282</v>
      </c>
      <c r="E1584" s="24" t="s">
        <v>9219</v>
      </c>
      <c r="F1584" s="24" t="s">
        <v>7159</v>
      </c>
      <c r="G1584" s="24" t="b">
        <v>1</v>
      </c>
    </row>
    <row r="1585" spans="1:7" ht="12.5" customHeight="1">
      <c r="A1585" s="27">
        <v>41980</v>
      </c>
      <c r="B1585" s="24" t="s">
        <v>9184</v>
      </c>
      <c r="C1585" s="24" t="s">
        <v>9614</v>
      </c>
      <c r="D1585" s="24" t="s">
        <v>7282</v>
      </c>
      <c r="E1585" s="24" t="s">
        <v>9220</v>
      </c>
      <c r="F1585" s="24" t="s">
        <v>7159</v>
      </c>
      <c r="G1585" s="24" t="b">
        <v>1</v>
      </c>
    </row>
    <row r="1586" spans="1:7" ht="12.5" customHeight="1">
      <c r="A1586" s="27">
        <v>41980</v>
      </c>
      <c r="B1586" s="24" t="s">
        <v>9184</v>
      </c>
      <c r="C1586" s="24" t="s">
        <v>9614</v>
      </c>
      <c r="D1586" s="24" t="s">
        <v>7282</v>
      </c>
      <c r="E1586" s="24" t="s">
        <v>9221</v>
      </c>
      <c r="F1586" s="24" t="s">
        <v>7159</v>
      </c>
      <c r="G1586" s="24" t="b">
        <v>1</v>
      </c>
    </row>
    <row r="1587" spans="1:7" ht="12.5" customHeight="1">
      <c r="A1587" s="27">
        <v>41980</v>
      </c>
      <c r="B1587" s="24" t="s">
        <v>9184</v>
      </c>
      <c r="C1587" s="24" t="s">
        <v>9614</v>
      </c>
      <c r="D1587" s="24" t="s">
        <v>7282</v>
      </c>
      <c r="E1587" s="24" t="s">
        <v>9222</v>
      </c>
      <c r="F1587" s="24" t="s">
        <v>7159</v>
      </c>
      <c r="G1587" s="24" t="b">
        <v>1</v>
      </c>
    </row>
    <row r="1588" spans="1:7" ht="12.5" customHeight="1">
      <c r="A1588" s="27">
        <v>41980</v>
      </c>
      <c r="B1588" s="24" t="s">
        <v>9184</v>
      </c>
      <c r="C1588" s="24" t="s">
        <v>9614</v>
      </c>
      <c r="D1588" s="24" t="s">
        <v>7282</v>
      </c>
      <c r="E1588" s="24" t="s">
        <v>9223</v>
      </c>
      <c r="F1588" s="24" t="s">
        <v>7159</v>
      </c>
      <c r="G1588" s="24" t="b">
        <v>1</v>
      </c>
    </row>
    <row r="1589" spans="1:7" ht="12.5" customHeight="1">
      <c r="A1589" s="27">
        <v>41980</v>
      </c>
      <c r="B1589" s="24" t="s">
        <v>9184</v>
      </c>
      <c r="C1589" s="24" t="s">
        <v>9614</v>
      </c>
      <c r="D1589" s="24" t="s">
        <v>7282</v>
      </c>
      <c r="E1589" s="24" t="s">
        <v>9224</v>
      </c>
      <c r="F1589" s="24" t="s">
        <v>7159</v>
      </c>
      <c r="G1589" s="24" t="b">
        <v>1</v>
      </c>
    </row>
    <row r="1590" spans="1:7" ht="12.5" customHeight="1">
      <c r="A1590" s="27">
        <v>42020</v>
      </c>
      <c r="B1590" s="24" t="s">
        <v>9225</v>
      </c>
      <c r="C1590" s="24" t="s">
        <v>9614</v>
      </c>
      <c r="D1590" s="24" t="s">
        <v>7138</v>
      </c>
      <c r="E1590" s="24" t="s">
        <v>9226</v>
      </c>
      <c r="F1590" s="24" t="s">
        <v>7386</v>
      </c>
      <c r="G1590" s="24" t="b">
        <v>1</v>
      </c>
    </row>
    <row r="1591" spans="1:7" ht="12.5" customHeight="1">
      <c r="A1591" s="27">
        <v>42100</v>
      </c>
      <c r="B1591" s="24" t="s">
        <v>9227</v>
      </c>
      <c r="C1591" s="24" t="s">
        <v>9614</v>
      </c>
      <c r="D1591" s="24" t="s">
        <v>8643</v>
      </c>
      <c r="E1591" s="24" t="s">
        <v>8821</v>
      </c>
      <c r="F1591" s="24" t="s">
        <v>7386</v>
      </c>
      <c r="G1591" s="24" t="b">
        <v>1</v>
      </c>
    </row>
    <row r="1592" spans="1:7" ht="12.5" customHeight="1">
      <c r="A1592" s="27">
        <v>42140</v>
      </c>
      <c r="B1592" s="24" t="s">
        <v>9228</v>
      </c>
      <c r="C1592" s="24" t="s">
        <v>9614</v>
      </c>
      <c r="D1592" s="24" t="s">
        <v>7203</v>
      </c>
      <c r="E1592" s="24" t="s">
        <v>9229</v>
      </c>
      <c r="F1592" s="24" t="s">
        <v>7175</v>
      </c>
      <c r="G1592" s="24" t="b">
        <v>1</v>
      </c>
    </row>
    <row r="1593" spans="1:7" ht="12.5" customHeight="1">
      <c r="A1593" s="27">
        <v>42180</v>
      </c>
      <c r="B1593" s="24" t="s">
        <v>9230</v>
      </c>
      <c r="C1593" s="24" t="s">
        <v>9615</v>
      </c>
      <c r="D1593" s="24" t="s">
        <v>7766</v>
      </c>
      <c r="E1593" s="24" t="s">
        <v>9231</v>
      </c>
      <c r="F1593" s="24" t="s">
        <v>7159</v>
      </c>
      <c r="G1593" s="24" t="b">
        <v>1</v>
      </c>
    </row>
    <row r="1594" spans="1:7" ht="12.5" customHeight="1">
      <c r="A1594" s="27">
        <v>42200</v>
      </c>
      <c r="B1594" s="24" t="s">
        <v>9232</v>
      </c>
      <c r="C1594" s="24" t="s">
        <v>9614</v>
      </c>
      <c r="D1594" s="24" t="s">
        <v>7138</v>
      </c>
      <c r="E1594" s="24" t="s">
        <v>9233</v>
      </c>
      <c r="F1594" s="24" t="s">
        <v>7386</v>
      </c>
      <c r="G1594" s="24" t="b">
        <v>1</v>
      </c>
    </row>
    <row r="1595" spans="1:7" ht="12.5" customHeight="1">
      <c r="A1595" s="27">
        <v>42220</v>
      </c>
      <c r="B1595" s="24" t="s">
        <v>9234</v>
      </c>
      <c r="C1595" s="24" t="s">
        <v>9614</v>
      </c>
      <c r="D1595" s="24" t="s">
        <v>8643</v>
      </c>
      <c r="E1595" s="24" t="s">
        <v>9235</v>
      </c>
      <c r="F1595" s="24" t="s">
        <v>7386</v>
      </c>
      <c r="G1595" s="24" t="b">
        <v>1</v>
      </c>
    </row>
    <row r="1596" spans="1:7" ht="12.5" customHeight="1">
      <c r="A1596" s="27">
        <v>42300</v>
      </c>
      <c r="B1596" s="24" t="s">
        <v>9236</v>
      </c>
      <c r="C1596" s="24" t="s">
        <v>9615</v>
      </c>
      <c r="D1596" s="24" t="s">
        <v>7138</v>
      </c>
      <c r="E1596" s="24" t="s">
        <v>7971</v>
      </c>
      <c r="F1596" s="24" t="s">
        <v>7156</v>
      </c>
      <c r="G1596" s="24" t="b">
        <v>1</v>
      </c>
    </row>
    <row r="1597" spans="1:7" ht="12.5" customHeight="1">
      <c r="A1597" s="27">
        <v>42340</v>
      </c>
      <c r="B1597" s="24" t="s">
        <v>9237</v>
      </c>
      <c r="C1597" s="24" t="s">
        <v>9614</v>
      </c>
      <c r="D1597" s="24" t="s">
        <v>8256</v>
      </c>
      <c r="E1597" s="24" t="s">
        <v>7956</v>
      </c>
      <c r="F1597" s="24" t="s">
        <v>7178</v>
      </c>
      <c r="G1597" s="24" t="b">
        <v>1</v>
      </c>
    </row>
    <row r="1598" spans="1:7" ht="12.5" customHeight="1">
      <c r="A1598" s="27">
        <v>42340</v>
      </c>
      <c r="B1598" s="24" t="s">
        <v>9237</v>
      </c>
      <c r="C1598" s="24" t="s">
        <v>9614</v>
      </c>
      <c r="D1598" s="24" t="s">
        <v>8256</v>
      </c>
      <c r="E1598" s="24" t="s">
        <v>7959</v>
      </c>
      <c r="F1598" s="24" t="s">
        <v>7178</v>
      </c>
      <c r="G1598" s="24" t="b">
        <v>1</v>
      </c>
    </row>
    <row r="1599" spans="1:7" ht="12.5" customHeight="1">
      <c r="A1599" s="27">
        <v>42340</v>
      </c>
      <c r="B1599" s="24" t="s">
        <v>9237</v>
      </c>
      <c r="C1599" s="24" t="s">
        <v>9614</v>
      </c>
      <c r="D1599" s="24" t="s">
        <v>8256</v>
      </c>
      <c r="E1599" s="24" t="s">
        <v>7977</v>
      </c>
      <c r="F1599" s="24" t="s">
        <v>7178</v>
      </c>
      <c r="G1599" s="24" t="b">
        <v>0</v>
      </c>
    </row>
    <row r="1600" spans="1:7" ht="12.5" customHeight="1">
      <c r="A1600" s="27">
        <v>42380</v>
      </c>
      <c r="B1600" s="24" t="s">
        <v>9238</v>
      </c>
      <c r="C1600" s="24" t="s">
        <v>9615</v>
      </c>
      <c r="D1600" s="24" t="s">
        <v>7138</v>
      </c>
      <c r="E1600" s="24" t="s">
        <v>9239</v>
      </c>
      <c r="F1600" s="24" t="s">
        <v>7226</v>
      </c>
      <c r="G1600" s="24" t="b">
        <v>1</v>
      </c>
    </row>
    <row r="1601" spans="1:7" ht="12.5" customHeight="1">
      <c r="A1601" s="27">
        <v>42420</v>
      </c>
      <c r="B1601" s="24" t="s">
        <v>9240</v>
      </c>
      <c r="C1601" s="24" t="s">
        <v>9615</v>
      </c>
      <c r="D1601" s="24" t="s">
        <v>7138</v>
      </c>
      <c r="E1601" s="24" t="s">
        <v>9241</v>
      </c>
      <c r="F1601" s="24" t="s">
        <v>7443</v>
      </c>
      <c r="G1601" s="24" t="b">
        <v>0</v>
      </c>
    </row>
    <row r="1602" spans="1:7" ht="12.5" customHeight="1">
      <c r="A1602" s="27">
        <v>42420</v>
      </c>
      <c r="B1602" s="24" t="s">
        <v>9240</v>
      </c>
      <c r="C1602" s="24" t="s">
        <v>9615</v>
      </c>
      <c r="D1602" s="24" t="s">
        <v>7138</v>
      </c>
      <c r="E1602" s="24" t="s">
        <v>9242</v>
      </c>
      <c r="F1602" s="24" t="s">
        <v>7443</v>
      </c>
      <c r="G1602" s="24" t="b">
        <v>1</v>
      </c>
    </row>
    <row r="1603" spans="1:7" ht="12.5" customHeight="1">
      <c r="A1603" s="27">
        <v>42420</v>
      </c>
      <c r="B1603" s="24" t="s">
        <v>9240</v>
      </c>
      <c r="C1603" s="24" t="s">
        <v>9615</v>
      </c>
      <c r="D1603" s="24" t="s">
        <v>7138</v>
      </c>
      <c r="E1603" s="24" t="s">
        <v>9243</v>
      </c>
      <c r="F1603" s="24" t="s">
        <v>7443</v>
      </c>
      <c r="G1603" s="24" t="b">
        <v>0</v>
      </c>
    </row>
    <row r="1604" spans="1:7" ht="12.5" customHeight="1">
      <c r="A1604" s="27">
        <v>42460</v>
      </c>
      <c r="B1604" s="24" t="s">
        <v>9244</v>
      </c>
      <c r="C1604" s="24" t="s">
        <v>9615</v>
      </c>
      <c r="D1604" s="24" t="s">
        <v>8088</v>
      </c>
      <c r="E1604" s="24" t="s">
        <v>7238</v>
      </c>
      <c r="F1604" s="24" t="s">
        <v>7201</v>
      </c>
      <c r="G1604" s="24" t="b">
        <v>1</v>
      </c>
    </row>
    <row r="1605" spans="1:7" ht="12.5" customHeight="1">
      <c r="A1605" s="27">
        <v>42500</v>
      </c>
      <c r="B1605" s="24" t="s">
        <v>9245</v>
      </c>
      <c r="C1605" s="24" t="s">
        <v>9615</v>
      </c>
      <c r="D1605" s="24" t="s">
        <v>7402</v>
      </c>
      <c r="E1605" s="24" t="s">
        <v>7882</v>
      </c>
      <c r="F1605" s="24" t="s">
        <v>4460</v>
      </c>
      <c r="G1605" s="24" t="b">
        <v>1</v>
      </c>
    </row>
    <row r="1606" spans="1:7" ht="12.5" customHeight="1">
      <c r="A1606" s="27">
        <v>42540</v>
      </c>
      <c r="B1606" s="24" t="s">
        <v>9246</v>
      </c>
      <c r="C1606" s="24" t="s">
        <v>9614</v>
      </c>
      <c r="D1606" s="24" t="s">
        <v>7138</v>
      </c>
      <c r="E1606" s="24" t="s">
        <v>9247</v>
      </c>
      <c r="F1606" s="24" t="s">
        <v>7226</v>
      </c>
      <c r="G1606" s="24" t="b">
        <v>1</v>
      </c>
    </row>
    <row r="1607" spans="1:7" ht="12.5" customHeight="1">
      <c r="A1607" s="27">
        <v>42540</v>
      </c>
      <c r="B1607" s="24" t="s">
        <v>9246</v>
      </c>
      <c r="C1607" s="24" t="s">
        <v>9614</v>
      </c>
      <c r="D1607" s="24" t="s">
        <v>7138</v>
      </c>
      <c r="E1607" s="24" t="s">
        <v>9248</v>
      </c>
      <c r="F1607" s="24" t="s">
        <v>7226</v>
      </c>
      <c r="G1607" s="24" t="b">
        <v>1</v>
      </c>
    </row>
    <row r="1608" spans="1:7" ht="12.5" customHeight="1">
      <c r="A1608" s="27">
        <v>42540</v>
      </c>
      <c r="B1608" s="24" t="s">
        <v>9246</v>
      </c>
      <c r="C1608" s="24" t="s">
        <v>9614</v>
      </c>
      <c r="D1608" s="24" t="s">
        <v>7138</v>
      </c>
      <c r="E1608" s="24" t="s">
        <v>9249</v>
      </c>
      <c r="F1608" s="24" t="s">
        <v>7226</v>
      </c>
      <c r="G1608" s="24" t="b">
        <v>0</v>
      </c>
    </row>
    <row r="1609" spans="1:7" ht="12.5" customHeight="1">
      <c r="A1609" s="27">
        <v>42620</v>
      </c>
      <c r="B1609" s="24" t="s">
        <v>9250</v>
      </c>
      <c r="C1609" s="24" t="s">
        <v>9615</v>
      </c>
      <c r="D1609" s="24" t="s">
        <v>8521</v>
      </c>
      <c r="E1609" s="24" t="s">
        <v>9251</v>
      </c>
      <c r="F1609" s="24" t="s">
        <v>7289</v>
      </c>
      <c r="G1609" s="24" t="b">
        <v>1</v>
      </c>
    </row>
    <row r="1610" spans="1:7" ht="12.5" customHeight="1">
      <c r="A1610" s="27">
        <v>42660</v>
      </c>
      <c r="B1610" s="24" t="s">
        <v>9252</v>
      </c>
      <c r="C1610" s="24" t="s">
        <v>9614</v>
      </c>
      <c r="D1610" s="24" t="s">
        <v>7573</v>
      </c>
      <c r="E1610" s="24" t="s">
        <v>9253</v>
      </c>
      <c r="F1610" s="24" t="s">
        <v>1134</v>
      </c>
      <c r="G1610" s="24" t="b">
        <v>1</v>
      </c>
    </row>
    <row r="1611" spans="1:7" ht="12.5" customHeight="1">
      <c r="A1611" s="27">
        <v>42660</v>
      </c>
      <c r="B1611" s="24" t="s">
        <v>9252</v>
      </c>
      <c r="C1611" s="24" t="s">
        <v>9614</v>
      </c>
      <c r="D1611" s="24" t="s">
        <v>7573</v>
      </c>
      <c r="E1611" s="24" t="s">
        <v>9254</v>
      </c>
      <c r="F1611" s="24" t="s">
        <v>1134</v>
      </c>
      <c r="G1611" s="24" t="b">
        <v>1</v>
      </c>
    </row>
    <row r="1612" spans="1:7" ht="12.5" customHeight="1">
      <c r="A1612" s="27">
        <v>42660</v>
      </c>
      <c r="B1612" s="24" t="s">
        <v>9252</v>
      </c>
      <c r="C1612" s="24" t="s">
        <v>9614</v>
      </c>
      <c r="D1612" s="24" t="s">
        <v>7573</v>
      </c>
      <c r="E1612" s="24" t="s">
        <v>8683</v>
      </c>
      <c r="F1612" s="24" t="s">
        <v>1134</v>
      </c>
      <c r="G1612" s="24" t="b">
        <v>1</v>
      </c>
    </row>
    <row r="1613" spans="1:7" ht="12.5" customHeight="1">
      <c r="A1613" s="27">
        <v>42680</v>
      </c>
      <c r="B1613" s="24" t="s">
        <v>9255</v>
      </c>
      <c r="C1613" s="24" t="s">
        <v>9614</v>
      </c>
      <c r="D1613" s="24" t="s">
        <v>8412</v>
      </c>
      <c r="E1613" s="24" t="s">
        <v>9256</v>
      </c>
      <c r="F1613" s="24" t="s">
        <v>7277</v>
      </c>
      <c r="G1613" s="24" t="b">
        <v>1</v>
      </c>
    </row>
    <row r="1614" spans="1:7" ht="12.5" customHeight="1">
      <c r="A1614" s="27">
        <v>42700</v>
      </c>
      <c r="B1614" s="24" t="s">
        <v>9257</v>
      </c>
      <c r="C1614" s="24" t="s">
        <v>9614</v>
      </c>
      <c r="D1614" s="24" t="s">
        <v>7138</v>
      </c>
      <c r="E1614" s="24" t="s">
        <v>9258</v>
      </c>
      <c r="F1614" s="24" t="s">
        <v>7277</v>
      </c>
      <c r="G1614" s="24" t="b">
        <v>1</v>
      </c>
    </row>
    <row r="1615" spans="1:7" ht="12.5" customHeight="1">
      <c r="A1615" s="27">
        <v>42740</v>
      </c>
      <c r="B1615" s="24" t="s">
        <v>9259</v>
      </c>
      <c r="C1615" s="24" t="s">
        <v>9615</v>
      </c>
      <c r="D1615" s="24" t="s">
        <v>7138</v>
      </c>
      <c r="E1615" s="24" t="s">
        <v>9260</v>
      </c>
      <c r="F1615" s="24" t="s">
        <v>7570</v>
      </c>
      <c r="G1615" s="24" t="b">
        <v>1</v>
      </c>
    </row>
    <row r="1616" spans="1:7" ht="12.5" customHeight="1">
      <c r="A1616" s="27">
        <v>42780</v>
      </c>
      <c r="B1616" s="24" t="s">
        <v>9261</v>
      </c>
      <c r="C1616" s="24" t="s">
        <v>9615</v>
      </c>
      <c r="D1616" s="24" t="s">
        <v>7518</v>
      </c>
      <c r="E1616" s="24" t="s">
        <v>9262</v>
      </c>
      <c r="F1616" s="24" t="s">
        <v>7226</v>
      </c>
      <c r="G1616" s="24" t="b">
        <v>1</v>
      </c>
    </row>
    <row r="1617" spans="1:7" ht="12.5" customHeight="1">
      <c r="A1617" s="27">
        <v>42820</v>
      </c>
      <c r="B1617" s="24" t="s">
        <v>9263</v>
      </c>
      <c r="C1617" s="24" t="s">
        <v>9615</v>
      </c>
      <c r="D1617" s="24" t="s">
        <v>7209</v>
      </c>
      <c r="E1617" s="24" t="s">
        <v>7859</v>
      </c>
      <c r="F1617" s="24" t="s">
        <v>7201</v>
      </c>
      <c r="G1617" s="24" t="b">
        <v>1</v>
      </c>
    </row>
    <row r="1618" spans="1:7" ht="12.5" customHeight="1">
      <c r="A1618" s="27">
        <v>42860</v>
      </c>
      <c r="B1618" s="24" t="s">
        <v>9264</v>
      </c>
      <c r="C1618" s="24" t="s">
        <v>9615</v>
      </c>
      <c r="D1618" s="24" t="s">
        <v>8117</v>
      </c>
      <c r="E1618" s="24" t="s">
        <v>7318</v>
      </c>
      <c r="F1618" s="24" t="s">
        <v>7368</v>
      </c>
      <c r="G1618" s="24" t="b">
        <v>1</v>
      </c>
    </row>
    <row r="1619" spans="1:7" ht="12.5" customHeight="1">
      <c r="A1619" s="27">
        <v>42900</v>
      </c>
      <c r="B1619" s="24" t="s">
        <v>9265</v>
      </c>
      <c r="C1619" s="24" t="s">
        <v>9615</v>
      </c>
      <c r="D1619" s="24" t="s">
        <v>7416</v>
      </c>
      <c r="E1619" s="24" t="s">
        <v>9266</v>
      </c>
      <c r="F1619" s="24" t="s">
        <v>3775</v>
      </c>
      <c r="G1619" s="24" t="b">
        <v>1</v>
      </c>
    </row>
    <row r="1620" spans="1:7" ht="12.5" customHeight="1">
      <c r="A1620" s="27">
        <v>42940</v>
      </c>
      <c r="B1620" s="24" t="s">
        <v>9267</v>
      </c>
      <c r="C1620" s="24" t="s">
        <v>9615</v>
      </c>
      <c r="D1620" s="24" t="s">
        <v>8436</v>
      </c>
      <c r="E1620" s="24" t="s">
        <v>9268</v>
      </c>
      <c r="F1620" s="24" t="s">
        <v>7312</v>
      </c>
      <c r="G1620" s="24" t="b">
        <v>1</v>
      </c>
    </row>
    <row r="1621" spans="1:7" ht="12.5" customHeight="1">
      <c r="A1621" s="27">
        <v>42980</v>
      </c>
      <c r="B1621" s="24" t="s">
        <v>9269</v>
      </c>
      <c r="C1621" s="24" t="s">
        <v>9615</v>
      </c>
      <c r="D1621" s="24" t="s">
        <v>7799</v>
      </c>
      <c r="E1621" s="24" t="s">
        <v>7238</v>
      </c>
      <c r="F1621" s="24" t="s">
        <v>4460</v>
      </c>
      <c r="G1621" s="24" t="b">
        <v>1</v>
      </c>
    </row>
    <row r="1622" spans="1:7" ht="12.5" customHeight="1">
      <c r="A1622" s="27">
        <v>43020</v>
      </c>
      <c r="B1622" s="24" t="s">
        <v>9270</v>
      </c>
      <c r="C1622" s="24" t="s">
        <v>9615</v>
      </c>
      <c r="D1622" s="24" t="s">
        <v>8177</v>
      </c>
      <c r="E1622" s="24" t="s">
        <v>8595</v>
      </c>
      <c r="F1622" s="24" t="s">
        <v>7272</v>
      </c>
      <c r="G1622" s="24" t="b">
        <v>0</v>
      </c>
    </row>
    <row r="1623" spans="1:7" ht="12.5" customHeight="1">
      <c r="A1623" s="27">
        <v>43020</v>
      </c>
      <c r="B1623" s="24" t="s">
        <v>9270</v>
      </c>
      <c r="C1623" s="24" t="s">
        <v>9615</v>
      </c>
      <c r="D1623" s="24" t="s">
        <v>8177</v>
      </c>
      <c r="E1623" s="24" t="s">
        <v>9271</v>
      </c>
      <c r="F1623" s="24" t="s">
        <v>7272</v>
      </c>
      <c r="G1623" s="24" t="b">
        <v>1</v>
      </c>
    </row>
    <row r="1624" spans="1:7" ht="12.5" customHeight="1">
      <c r="A1624" s="27">
        <v>43060</v>
      </c>
      <c r="B1624" s="24" t="s">
        <v>9272</v>
      </c>
      <c r="C1624" s="24" t="s">
        <v>9615</v>
      </c>
      <c r="D1624" s="24" t="s">
        <v>8854</v>
      </c>
      <c r="E1624" s="24" t="s">
        <v>8583</v>
      </c>
      <c r="F1624" s="24" t="s">
        <v>7152</v>
      </c>
      <c r="G1624" s="24" t="b">
        <v>1</v>
      </c>
    </row>
    <row r="1625" spans="1:7" ht="12.5" customHeight="1">
      <c r="A1625" s="27">
        <v>43100</v>
      </c>
      <c r="B1625" s="24" t="s">
        <v>9273</v>
      </c>
      <c r="C1625" s="24" t="s">
        <v>9614</v>
      </c>
      <c r="D1625" s="24" t="s">
        <v>7138</v>
      </c>
      <c r="E1625" s="24" t="s">
        <v>9274</v>
      </c>
      <c r="F1625" s="24" t="s">
        <v>7272</v>
      </c>
      <c r="G1625" s="24" t="b">
        <v>1</v>
      </c>
    </row>
    <row r="1626" spans="1:7" ht="12.5" customHeight="1">
      <c r="A1626" s="27">
        <v>43140</v>
      </c>
      <c r="B1626" s="24" t="s">
        <v>9275</v>
      </c>
      <c r="C1626" s="24" t="s">
        <v>9615</v>
      </c>
      <c r="D1626" s="24" t="s">
        <v>7193</v>
      </c>
      <c r="E1626" s="24" t="s">
        <v>8856</v>
      </c>
      <c r="F1626" s="24" t="s">
        <v>7195</v>
      </c>
      <c r="G1626" s="24" t="b">
        <v>1</v>
      </c>
    </row>
    <row r="1627" spans="1:7" ht="12.5" customHeight="1">
      <c r="A1627" s="27">
        <v>43180</v>
      </c>
      <c r="B1627" s="24" t="s">
        <v>9276</v>
      </c>
      <c r="C1627" s="24" t="s">
        <v>9615</v>
      </c>
      <c r="D1627" s="24" t="s">
        <v>8485</v>
      </c>
      <c r="E1627" s="24" t="s">
        <v>8560</v>
      </c>
      <c r="F1627" s="24" t="s">
        <v>7312</v>
      </c>
      <c r="G1627" s="24" t="b">
        <v>1</v>
      </c>
    </row>
    <row r="1628" spans="1:7" ht="12.5" customHeight="1">
      <c r="A1628" s="27">
        <v>43220</v>
      </c>
      <c r="B1628" s="24" t="s">
        <v>9277</v>
      </c>
      <c r="C1628" s="24" t="s">
        <v>9615</v>
      </c>
      <c r="D1628" s="24" t="s">
        <v>7573</v>
      </c>
      <c r="E1628" s="24" t="s">
        <v>8552</v>
      </c>
      <c r="F1628" s="24" t="s">
        <v>1134</v>
      </c>
      <c r="G1628" s="24" t="b">
        <v>1</v>
      </c>
    </row>
    <row r="1629" spans="1:7" ht="12.5" customHeight="1">
      <c r="A1629" s="27">
        <v>43260</v>
      </c>
      <c r="B1629" s="24" t="s">
        <v>9278</v>
      </c>
      <c r="C1629" s="24" t="s">
        <v>9615</v>
      </c>
      <c r="D1629" s="24" t="s">
        <v>7138</v>
      </c>
      <c r="E1629" s="24" t="s">
        <v>9279</v>
      </c>
      <c r="F1629" s="24" t="s">
        <v>2842</v>
      </c>
      <c r="G1629" s="24" t="b">
        <v>1</v>
      </c>
    </row>
    <row r="1630" spans="1:7" ht="12.5" customHeight="1">
      <c r="A1630" s="27">
        <v>43300</v>
      </c>
      <c r="B1630" s="24" t="s">
        <v>9280</v>
      </c>
      <c r="C1630" s="24" t="s">
        <v>9614</v>
      </c>
      <c r="D1630" s="24" t="s">
        <v>7314</v>
      </c>
      <c r="E1630" s="24" t="s">
        <v>9281</v>
      </c>
      <c r="F1630" s="24" t="s">
        <v>7147</v>
      </c>
      <c r="G1630" s="24" t="b">
        <v>1</v>
      </c>
    </row>
    <row r="1631" spans="1:7" ht="12.5" customHeight="1">
      <c r="A1631" s="27">
        <v>43320</v>
      </c>
      <c r="B1631" s="24" t="s">
        <v>9282</v>
      </c>
      <c r="C1631" s="24" t="s">
        <v>9615</v>
      </c>
      <c r="D1631" s="24" t="s">
        <v>7138</v>
      </c>
      <c r="E1631" s="24" t="s">
        <v>9283</v>
      </c>
      <c r="F1631" s="24" t="s">
        <v>8065</v>
      </c>
      <c r="G1631" s="24" t="b">
        <v>1</v>
      </c>
    </row>
    <row r="1632" spans="1:7" ht="12.5" customHeight="1">
      <c r="A1632" s="27">
        <v>43340</v>
      </c>
      <c r="B1632" s="24" t="s">
        <v>9284</v>
      </c>
      <c r="C1632" s="24" t="s">
        <v>9614</v>
      </c>
      <c r="D1632" s="24" t="s">
        <v>8667</v>
      </c>
      <c r="E1632" s="24" t="s">
        <v>9285</v>
      </c>
      <c r="F1632" s="24" t="s">
        <v>7214</v>
      </c>
      <c r="G1632" s="24" t="b">
        <v>1</v>
      </c>
    </row>
    <row r="1633" spans="1:7" ht="12.5" customHeight="1">
      <c r="A1633" s="27">
        <v>43340</v>
      </c>
      <c r="B1633" s="24" t="s">
        <v>9284</v>
      </c>
      <c r="C1633" s="24" t="s">
        <v>9614</v>
      </c>
      <c r="D1633" s="24" t="s">
        <v>8667</v>
      </c>
      <c r="E1633" s="24" t="s">
        <v>9286</v>
      </c>
      <c r="F1633" s="24" t="s">
        <v>7214</v>
      </c>
      <c r="G1633" s="24" t="b">
        <v>1</v>
      </c>
    </row>
    <row r="1634" spans="1:7" ht="12.5" customHeight="1">
      <c r="A1634" s="27">
        <v>43340</v>
      </c>
      <c r="B1634" s="24" t="s">
        <v>9284</v>
      </c>
      <c r="C1634" s="24" t="s">
        <v>9614</v>
      </c>
      <c r="D1634" s="24" t="s">
        <v>8667</v>
      </c>
      <c r="E1634" s="24" t="s">
        <v>9287</v>
      </c>
      <c r="F1634" s="24" t="s">
        <v>7214</v>
      </c>
      <c r="G1634" s="24" t="b">
        <v>0</v>
      </c>
    </row>
    <row r="1635" spans="1:7" ht="12.5" customHeight="1">
      <c r="A1635" s="27">
        <v>43380</v>
      </c>
      <c r="B1635" s="24" t="s">
        <v>9288</v>
      </c>
      <c r="C1635" s="24" t="s">
        <v>9615</v>
      </c>
      <c r="D1635" s="24" t="s">
        <v>7886</v>
      </c>
      <c r="E1635" s="24" t="s">
        <v>7496</v>
      </c>
      <c r="F1635" s="24" t="s">
        <v>7171</v>
      </c>
      <c r="G1635" s="24" t="b">
        <v>1</v>
      </c>
    </row>
    <row r="1636" spans="1:7" ht="12.5" customHeight="1">
      <c r="A1636" s="27">
        <v>43420</v>
      </c>
      <c r="B1636" s="24" t="s">
        <v>9289</v>
      </c>
      <c r="C1636" s="24" t="s">
        <v>9614</v>
      </c>
      <c r="D1636" s="24" t="s">
        <v>7138</v>
      </c>
      <c r="E1636" s="24" t="s">
        <v>9290</v>
      </c>
      <c r="F1636" s="24" t="s">
        <v>8065</v>
      </c>
      <c r="G1636" s="24" t="b">
        <v>1</v>
      </c>
    </row>
    <row r="1637" spans="1:7" ht="12.5" customHeight="1">
      <c r="A1637" s="27">
        <v>43460</v>
      </c>
      <c r="B1637" s="24" t="s">
        <v>9291</v>
      </c>
      <c r="C1637" s="24" t="s">
        <v>9615</v>
      </c>
      <c r="D1637" s="24" t="s">
        <v>7644</v>
      </c>
      <c r="E1637" s="24" t="s">
        <v>7882</v>
      </c>
      <c r="F1637" s="24" t="s">
        <v>7570</v>
      </c>
      <c r="G1637" s="24" t="b">
        <v>1</v>
      </c>
    </row>
    <row r="1638" spans="1:7" ht="12.5" customHeight="1">
      <c r="A1638" s="27">
        <v>43500</v>
      </c>
      <c r="B1638" s="24" t="s">
        <v>9292</v>
      </c>
      <c r="C1638" s="24" t="s">
        <v>9615</v>
      </c>
      <c r="D1638" s="24" t="s">
        <v>7138</v>
      </c>
      <c r="E1638" s="24" t="s">
        <v>7734</v>
      </c>
      <c r="F1638" s="24" t="s">
        <v>7175</v>
      </c>
      <c r="G1638" s="24" t="b">
        <v>1</v>
      </c>
    </row>
    <row r="1639" spans="1:7" ht="12.5" customHeight="1">
      <c r="A1639" s="27">
        <v>43580</v>
      </c>
      <c r="B1639" s="24" t="s">
        <v>9293</v>
      </c>
      <c r="C1639" s="24" t="s">
        <v>9614</v>
      </c>
      <c r="D1639" s="24" t="s">
        <v>7138</v>
      </c>
      <c r="E1639" s="24" t="s">
        <v>9294</v>
      </c>
      <c r="F1639" s="24" t="s">
        <v>7252</v>
      </c>
      <c r="G1639" s="24" t="b">
        <v>1</v>
      </c>
    </row>
    <row r="1640" spans="1:7" ht="12.5" customHeight="1">
      <c r="A1640" s="27">
        <v>43580</v>
      </c>
      <c r="B1640" s="24" t="s">
        <v>9293</v>
      </c>
      <c r="C1640" s="24" t="s">
        <v>9614</v>
      </c>
      <c r="D1640" s="24" t="s">
        <v>7138</v>
      </c>
      <c r="E1640" s="24" t="s">
        <v>8675</v>
      </c>
      <c r="F1640" s="24" t="s">
        <v>7443</v>
      </c>
      <c r="G1640" s="24" t="b">
        <v>1</v>
      </c>
    </row>
    <row r="1641" spans="1:7" ht="12.5" customHeight="1">
      <c r="A1641" s="27">
        <v>43580</v>
      </c>
      <c r="B1641" s="24" t="s">
        <v>9293</v>
      </c>
      <c r="C1641" s="24" t="s">
        <v>9614</v>
      </c>
      <c r="D1641" s="24" t="s">
        <v>7138</v>
      </c>
      <c r="E1641" s="24" t="s">
        <v>9295</v>
      </c>
      <c r="F1641" s="24" t="s">
        <v>7443</v>
      </c>
      <c r="G1641" s="24" t="b">
        <v>0</v>
      </c>
    </row>
    <row r="1642" spans="1:7" ht="12.5" customHeight="1">
      <c r="A1642" s="27">
        <v>43580</v>
      </c>
      <c r="B1642" s="24" t="s">
        <v>9293</v>
      </c>
      <c r="C1642" s="24" t="s">
        <v>9614</v>
      </c>
      <c r="D1642" s="24" t="s">
        <v>7138</v>
      </c>
      <c r="E1642" s="24" t="s">
        <v>7695</v>
      </c>
      <c r="F1642" s="24" t="s">
        <v>7141</v>
      </c>
      <c r="G1642" s="24" t="b">
        <v>1</v>
      </c>
    </row>
    <row r="1643" spans="1:7" ht="12.5" customHeight="1">
      <c r="A1643" s="27">
        <v>43620</v>
      </c>
      <c r="B1643" s="24" t="s">
        <v>9296</v>
      </c>
      <c r="C1643" s="24" t="s">
        <v>9614</v>
      </c>
      <c r="D1643" s="24" t="s">
        <v>7138</v>
      </c>
      <c r="E1643" s="24" t="s">
        <v>7364</v>
      </c>
      <c r="F1643" s="24" t="s">
        <v>7141</v>
      </c>
      <c r="G1643" s="24" t="b">
        <v>1</v>
      </c>
    </row>
    <row r="1644" spans="1:7" ht="12.5" customHeight="1">
      <c r="A1644" s="27">
        <v>43620</v>
      </c>
      <c r="B1644" s="24" t="s">
        <v>9296</v>
      </c>
      <c r="C1644" s="24" t="s">
        <v>9614</v>
      </c>
      <c r="D1644" s="24" t="s">
        <v>7138</v>
      </c>
      <c r="E1644" s="24" t="s">
        <v>9297</v>
      </c>
      <c r="F1644" s="24" t="s">
        <v>7141</v>
      </c>
      <c r="G1644" s="24" t="b">
        <v>0</v>
      </c>
    </row>
    <row r="1645" spans="1:7" ht="12.5" customHeight="1">
      <c r="A1645" s="27">
        <v>43620</v>
      </c>
      <c r="B1645" s="24" t="s">
        <v>9296</v>
      </c>
      <c r="C1645" s="24" t="s">
        <v>9614</v>
      </c>
      <c r="D1645" s="24" t="s">
        <v>7138</v>
      </c>
      <c r="E1645" s="24" t="s">
        <v>9298</v>
      </c>
      <c r="F1645" s="24" t="s">
        <v>7141</v>
      </c>
      <c r="G1645" s="24" t="b">
        <v>1</v>
      </c>
    </row>
    <row r="1646" spans="1:7" ht="12.5" customHeight="1">
      <c r="A1646" s="27">
        <v>43620</v>
      </c>
      <c r="B1646" s="24" t="s">
        <v>9296</v>
      </c>
      <c r="C1646" s="24" t="s">
        <v>9614</v>
      </c>
      <c r="D1646" s="24" t="s">
        <v>7138</v>
      </c>
      <c r="E1646" s="24" t="s">
        <v>9299</v>
      </c>
      <c r="F1646" s="24" t="s">
        <v>7141</v>
      </c>
      <c r="G1646" s="24" t="b">
        <v>0</v>
      </c>
    </row>
    <row r="1647" spans="1:7" ht="12.5" customHeight="1">
      <c r="A1647" s="27">
        <v>43660</v>
      </c>
      <c r="B1647" s="24" t="s">
        <v>9300</v>
      </c>
      <c r="C1647" s="24" t="s">
        <v>9615</v>
      </c>
      <c r="D1647" s="24" t="s">
        <v>7138</v>
      </c>
      <c r="E1647" s="24" t="s">
        <v>9301</v>
      </c>
      <c r="F1647" s="24" t="s">
        <v>7147</v>
      </c>
      <c r="G1647" s="24" t="b">
        <v>1</v>
      </c>
    </row>
    <row r="1648" spans="1:7" ht="12.5" customHeight="1">
      <c r="A1648" s="27">
        <v>43700</v>
      </c>
      <c r="B1648" s="24" t="s">
        <v>9302</v>
      </c>
      <c r="C1648" s="24" t="s">
        <v>9615</v>
      </c>
      <c r="D1648" s="24" t="s">
        <v>7138</v>
      </c>
      <c r="E1648" s="24" t="s">
        <v>7508</v>
      </c>
      <c r="F1648" s="24" t="s">
        <v>7404</v>
      </c>
      <c r="G1648" s="24" t="b">
        <v>1</v>
      </c>
    </row>
    <row r="1649" spans="1:7" ht="12.5" customHeight="1">
      <c r="A1649" s="27">
        <v>43740</v>
      </c>
      <c r="B1649" s="24" t="s">
        <v>9303</v>
      </c>
      <c r="C1649" s="24" t="s">
        <v>9615</v>
      </c>
      <c r="D1649" s="24" t="s">
        <v>8370</v>
      </c>
      <c r="E1649" s="24" t="s">
        <v>8808</v>
      </c>
      <c r="F1649" s="24" t="s">
        <v>7226</v>
      </c>
      <c r="G1649" s="24" t="b">
        <v>1</v>
      </c>
    </row>
    <row r="1650" spans="1:7" ht="12.5" customHeight="1">
      <c r="A1650" s="27">
        <v>43760</v>
      </c>
      <c r="B1650" s="24" t="s">
        <v>9304</v>
      </c>
      <c r="C1650" s="24" t="s">
        <v>9615</v>
      </c>
      <c r="D1650" s="24" t="s">
        <v>7138</v>
      </c>
      <c r="E1650" s="24" t="s">
        <v>9305</v>
      </c>
      <c r="F1650" s="24" t="s">
        <v>7386</v>
      </c>
      <c r="G1650" s="24" t="b">
        <v>1</v>
      </c>
    </row>
    <row r="1651" spans="1:7" ht="12.5" customHeight="1">
      <c r="A1651" s="27">
        <v>43780</v>
      </c>
      <c r="B1651" s="24" t="s">
        <v>9306</v>
      </c>
      <c r="C1651" s="24" t="s">
        <v>9614</v>
      </c>
      <c r="D1651" s="24" t="s">
        <v>7993</v>
      </c>
      <c r="E1651" s="24" t="s">
        <v>9307</v>
      </c>
      <c r="F1651" s="24" t="s">
        <v>4460</v>
      </c>
      <c r="G1651" s="24" t="b">
        <v>1</v>
      </c>
    </row>
    <row r="1652" spans="1:7" ht="12.5" customHeight="1">
      <c r="A1652" s="27">
        <v>43780</v>
      </c>
      <c r="B1652" s="24" t="s">
        <v>9306</v>
      </c>
      <c r="C1652" s="24" t="s">
        <v>9614</v>
      </c>
      <c r="D1652" s="24" t="s">
        <v>7993</v>
      </c>
      <c r="E1652" s="24" t="s">
        <v>7566</v>
      </c>
      <c r="F1652" s="24" t="s">
        <v>7156</v>
      </c>
      <c r="G1652" s="24" t="b">
        <v>1</v>
      </c>
    </row>
    <row r="1653" spans="1:7" ht="12.5" customHeight="1">
      <c r="A1653" s="27">
        <v>43900</v>
      </c>
      <c r="B1653" s="24" t="s">
        <v>9308</v>
      </c>
      <c r="C1653" s="24" t="s">
        <v>9614</v>
      </c>
      <c r="D1653" s="24" t="s">
        <v>8117</v>
      </c>
      <c r="E1653" s="24" t="s">
        <v>9309</v>
      </c>
      <c r="F1653" s="24" t="s">
        <v>7368</v>
      </c>
      <c r="G1653" s="24" t="b">
        <v>1</v>
      </c>
    </row>
    <row r="1654" spans="1:7" ht="12.5" customHeight="1">
      <c r="A1654" s="27">
        <v>43940</v>
      </c>
      <c r="B1654" s="24" t="s">
        <v>9310</v>
      </c>
      <c r="C1654" s="24" t="s">
        <v>9615</v>
      </c>
      <c r="D1654" s="24" t="s">
        <v>9030</v>
      </c>
      <c r="E1654" s="24" t="s">
        <v>7456</v>
      </c>
      <c r="F1654" s="24" t="s">
        <v>7141</v>
      </c>
      <c r="G1654" s="24" t="b">
        <v>1</v>
      </c>
    </row>
    <row r="1655" spans="1:7" ht="12.5" customHeight="1">
      <c r="A1655" s="27">
        <v>43980</v>
      </c>
      <c r="B1655" s="24" t="s">
        <v>9311</v>
      </c>
      <c r="C1655" s="24" t="s">
        <v>9615</v>
      </c>
      <c r="D1655" s="24" t="s">
        <v>9312</v>
      </c>
      <c r="E1655" s="24" t="s">
        <v>7680</v>
      </c>
      <c r="F1655" s="24" t="s">
        <v>7252</v>
      </c>
      <c r="G1655" s="24" t="b">
        <v>1</v>
      </c>
    </row>
    <row r="1656" spans="1:7" ht="12.5" customHeight="1">
      <c r="A1656" s="27">
        <v>44020</v>
      </c>
      <c r="B1656" s="24" t="s">
        <v>9313</v>
      </c>
      <c r="C1656" s="24" t="s">
        <v>9615</v>
      </c>
      <c r="D1656" s="24" t="s">
        <v>9312</v>
      </c>
      <c r="E1656" s="24" t="s">
        <v>8317</v>
      </c>
      <c r="F1656" s="24" t="s">
        <v>7252</v>
      </c>
      <c r="G1656" s="24" t="b">
        <v>1</v>
      </c>
    </row>
    <row r="1657" spans="1:7" ht="12.5" customHeight="1">
      <c r="A1657" s="27">
        <v>44060</v>
      </c>
      <c r="B1657" s="24" t="s">
        <v>9314</v>
      </c>
      <c r="C1657" s="24" t="s">
        <v>9614</v>
      </c>
      <c r="D1657" s="24" t="s">
        <v>7771</v>
      </c>
      <c r="E1657" s="24" t="s">
        <v>9315</v>
      </c>
      <c r="F1657" s="24" t="s">
        <v>1134</v>
      </c>
      <c r="G1657" s="24" t="b">
        <v>1</v>
      </c>
    </row>
    <row r="1658" spans="1:7" ht="12.5" customHeight="1">
      <c r="A1658" s="27">
        <v>44060</v>
      </c>
      <c r="B1658" s="24" t="s">
        <v>9314</v>
      </c>
      <c r="C1658" s="24" t="s">
        <v>9614</v>
      </c>
      <c r="D1658" s="24" t="s">
        <v>7771</v>
      </c>
      <c r="E1658" s="24" t="s">
        <v>9316</v>
      </c>
      <c r="F1658" s="24" t="s">
        <v>1134</v>
      </c>
      <c r="G1658" s="24" t="b">
        <v>0</v>
      </c>
    </row>
    <row r="1659" spans="1:7" ht="12.5" customHeight="1">
      <c r="A1659" s="27">
        <v>44100</v>
      </c>
      <c r="B1659" s="24" t="s">
        <v>9317</v>
      </c>
      <c r="C1659" s="24" t="s">
        <v>9614</v>
      </c>
      <c r="D1659" s="24" t="s">
        <v>8340</v>
      </c>
      <c r="E1659" s="24" t="s">
        <v>9318</v>
      </c>
      <c r="F1659" s="24" t="s">
        <v>7513</v>
      </c>
      <c r="G1659" s="24" t="b">
        <v>0</v>
      </c>
    </row>
    <row r="1660" spans="1:7" ht="12.5" customHeight="1">
      <c r="A1660" s="27">
        <v>44100</v>
      </c>
      <c r="B1660" s="24" t="s">
        <v>9317</v>
      </c>
      <c r="C1660" s="24" t="s">
        <v>9614</v>
      </c>
      <c r="D1660" s="24" t="s">
        <v>8340</v>
      </c>
      <c r="E1660" s="24" t="s">
        <v>9319</v>
      </c>
      <c r="F1660" s="24" t="s">
        <v>7513</v>
      </c>
      <c r="G1660" s="24" t="b">
        <v>1</v>
      </c>
    </row>
    <row r="1661" spans="1:7" ht="12.5" customHeight="1">
      <c r="A1661" s="27">
        <v>44140</v>
      </c>
      <c r="B1661" s="24" t="s">
        <v>9320</v>
      </c>
      <c r="C1661" s="24" t="s">
        <v>9614</v>
      </c>
      <c r="D1661" s="24" t="s">
        <v>7138</v>
      </c>
      <c r="E1661" s="24" t="s">
        <v>7616</v>
      </c>
      <c r="F1661" s="24" t="s">
        <v>7408</v>
      </c>
      <c r="G1661" s="24" t="b">
        <v>0</v>
      </c>
    </row>
    <row r="1662" spans="1:7" ht="12.5" customHeight="1">
      <c r="A1662" s="27">
        <v>44140</v>
      </c>
      <c r="B1662" s="24" t="s">
        <v>9320</v>
      </c>
      <c r="C1662" s="24" t="s">
        <v>9614</v>
      </c>
      <c r="D1662" s="24" t="s">
        <v>7138</v>
      </c>
      <c r="E1662" s="24" t="s">
        <v>9321</v>
      </c>
      <c r="F1662" s="24" t="s">
        <v>7408</v>
      </c>
      <c r="G1662" s="24" t="b">
        <v>1</v>
      </c>
    </row>
    <row r="1663" spans="1:7" ht="12.5" customHeight="1">
      <c r="A1663" s="27">
        <v>44140</v>
      </c>
      <c r="B1663" s="24" t="s">
        <v>9320</v>
      </c>
      <c r="C1663" s="24" t="s">
        <v>9614</v>
      </c>
      <c r="D1663" s="24" t="s">
        <v>7138</v>
      </c>
      <c r="E1663" s="24" t="s">
        <v>9322</v>
      </c>
      <c r="F1663" s="24" t="s">
        <v>7408</v>
      </c>
      <c r="G1663" s="24" t="b">
        <v>1</v>
      </c>
    </row>
    <row r="1664" spans="1:7" ht="12.5" customHeight="1">
      <c r="A1664" s="27">
        <v>44180</v>
      </c>
      <c r="B1664" s="24" t="s">
        <v>9323</v>
      </c>
      <c r="C1664" s="24" t="s">
        <v>9614</v>
      </c>
      <c r="D1664" s="24" t="s">
        <v>7138</v>
      </c>
      <c r="E1664" s="24" t="s">
        <v>7744</v>
      </c>
      <c r="F1664" s="24" t="s">
        <v>7570</v>
      </c>
      <c r="G1664" s="24" t="b">
        <v>1</v>
      </c>
    </row>
    <row r="1665" spans="1:7" ht="12.5" customHeight="1">
      <c r="A1665" s="27">
        <v>44180</v>
      </c>
      <c r="B1665" s="24" t="s">
        <v>9323</v>
      </c>
      <c r="C1665" s="24" t="s">
        <v>9614</v>
      </c>
      <c r="D1665" s="24" t="s">
        <v>7138</v>
      </c>
      <c r="E1665" s="24" t="s">
        <v>7859</v>
      </c>
      <c r="F1665" s="24" t="s">
        <v>7570</v>
      </c>
      <c r="G1665" s="24" t="b">
        <v>0</v>
      </c>
    </row>
    <row r="1666" spans="1:7" ht="12.5" customHeight="1">
      <c r="A1666" s="27">
        <v>44180</v>
      </c>
      <c r="B1666" s="24" t="s">
        <v>9323</v>
      </c>
      <c r="C1666" s="24" t="s">
        <v>9614</v>
      </c>
      <c r="D1666" s="24" t="s">
        <v>7138</v>
      </c>
      <c r="E1666" s="24" t="s">
        <v>7702</v>
      </c>
      <c r="F1666" s="24" t="s">
        <v>7570</v>
      </c>
      <c r="G1666" s="24" t="b">
        <v>1</v>
      </c>
    </row>
    <row r="1667" spans="1:7" ht="12.5" customHeight="1">
      <c r="A1667" s="27">
        <v>44180</v>
      </c>
      <c r="B1667" s="24" t="s">
        <v>9323</v>
      </c>
      <c r="C1667" s="24" t="s">
        <v>9614</v>
      </c>
      <c r="D1667" s="24" t="s">
        <v>7138</v>
      </c>
      <c r="E1667" s="24" t="s">
        <v>7664</v>
      </c>
      <c r="F1667" s="24" t="s">
        <v>7570</v>
      </c>
      <c r="G1667" s="24" t="b">
        <v>0</v>
      </c>
    </row>
    <row r="1668" spans="1:7" ht="12.5" customHeight="1">
      <c r="A1668" s="27">
        <v>44180</v>
      </c>
      <c r="B1668" s="24" t="s">
        <v>9323</v>
      </c>
      <c r="C1668" s="24" t="s">
        <v>9614</v>
      </c>
      <c r="D1668" s="24" t="s">
        <v>7138</v>
      </c>
      <c r="E1668" s="24" t="s">
        <v>8083</v>
      </c>
      <c r="F1668" s="24" t="s">
        <v>7570</v>
      </c>
      <c r="G1668" s="24" t="b">
        <v>0</v>
      </c>
    </row>
    <row r="1669" spans="1:7" ht="12.5" customHeight="1">
      <c r="A1669" s="27">
        <v>44220</v>
      </c>
      <c r="B1669" s="24" t="s">
        <v>9324</v>
      </c>
      <c r="C1669" s="24" t="s">
        <v>9614</v>
      </c>
      <c r="D1669" s="24" t="s">
        <v>7886</v>
      </c>
      <c r="E1669" s="24" t="s">
        <v>7288</v>
      </c>
      <c r="F1669" s="24" t="s">
        <v>7171</v>
      </c>
      <c r="G1669" s="24" t="b">
        <v>1</v>
      </c>
    </row>
    <row r="1670" spans="1:7" ht="12.5" customHeight="1">
      <c r="A1670" s="27">
        <v>44260</v>
      </c>
      <c r="B1670" s="24" t="s">
        <v>9325</v>
      </c>
      <c r="C1670" s="24" t="s">
        <v>9615</v>
      </c>
      <c r="D1670" s="24" t="s">
        <v>7138</v>
      </c>
      <c r="E1670" s="24" t="s">
        <v>9326</v>
      </c>
      <c r="F1670" s="24" t="s">
        <v>7584</v>
      </c>
      <c r="G1670" s="24" t="b">
        <v>1</v>
      </c>
    </row>
    <row r="1671" spans="1:7" ht="12.5" customHeight="1">
      <c r="A1671" s="27">
        <v>44260</v>
      </c>
      <c r="B1671" s="24" t="s">
        <v>9325</v>
      </c>
      <c r="C1671" s="24" t="s">
        <v>9615</v>
      </c>
      <c r="D1671" s="24" t="s">
        <v>7138</v>
      </c>
      <c r="E1671" s="24" t="s">
        <v>8083</v>
      </c>
      <c r="F1671" s="24" t="s">
        <v>7584</v>
      </c>
      <c r="G1671" s="24" t="b">
        <v>0</v>
      </c>
    </row>
    <row r="1672" spans="1:7" ht="12.5" customHeight="1">
      <c r="A1672" s="27">
        <v>44300</v>
      </c>
      <c r="B1672" s="24" t="s">
        <v>9327</v>
      </c>
      <c r="C1672" s="24" t="s">
        <v>9614</v>
      </c>
      <c r="D1672" s="24" t="s">
        <v>7942</v>
      </c>
      <c r="E1672" s="24" t="s">
        <v>9328</v>
      </c>
      <c r="F1672" s="24" t="s">
        <v>7226</v>
      </c>
      <c r="G1672" s="24" t="b">
        <v>1</v>
      </c>
    </row>
    <row r="1673" spans="1:7" ht="12.5" customHeight="1">
      <c r="A1673" s="27">
        <v>44340</v>
      </c>
      <c r="B1673" s="24" t="s">
        <v>9329</v>
      </c>
      <c r="C1673" s="24" t="s">
        <v>9615</v>
      </c>
      <c r="D1673" s="24" t="s">
        <v>8256</v>
      </c>
      <c r="E1673" s="24" t="s">
        <v>9330</v>
      </c>
      <c r="F1673" s="24" t="s">
        <v>7178</v>
      </c>
      <c r="G1673" s="24" t="b">
        <v>1</v>
      </c>
    </row>
    <row r="1674" spans="1:7" ht="12.5" customHeight="1">
      <c r="A1674" s="27">
        <v>44420</v>
      </c>
      <c r="B1674" s="24" t="s">
        <v>9331</v>
      </c>
      <c r="C1674" s="24" t="s">
        <v>9614</v>
      </c>
      <c r="D1674" s="24" t="s">
        <v>8221</v>
      </c>
      <c r="E1674" s="24" t="s">
        <v>9332</v>
      </c>
      <c r="F1674" s="24" t="s">
        <v>2920</v>
      </c>
      <c r="G1674" s="24" t="b">
        <v>1</v>
      </c>
    </row>
    <row r="1675" spans="1:7" ht="12.5" customHeight="1">
      <c r="A1675" s="27">
        <v>44420</v>
      </c>
      <c r="B1675" s="24" t="s">
        <v>9331</v>
      </c>
      <c r="C1675" s="24" t="s">
        <v>9614</v>
      </c>
      <c r="D1675" s="24" t="s">
        <v>8221</v>
      </c>
      <c r="E1675" s="24" t="s">
        <v>9333</v>
      </c>
      <c r="F1675" s="24" t="s">
        <v>2920</v>
      </c>
      <c r="G1675" s="24" t="b">
        <v>1</v>
      </c>
    </row>
    <row r="1676" spans="1:7" ht="12.5" customHeight="1">
      <c r="A1676" s="27">
        <v>44420</v>
      </c>
      <c r="B1676" s="24" t="s">
        <v>9331</v>
      </c>
      <c r="C1676" s="24" t="s">
        <v>9614</v>
      </c>
      <c r="D1676" s="24" t="s">
        <v>8221</v>
      </c>
      <c r="E1676" s="24" t="s">
        <v>9334</v>
      </c>
      <c r="F1676" s="24" t="s">
        <v>2920</v>
      </c>
      <c r="G1676" s="24" t="b">
        <v>1</v>
      </c>
    </row>
    <row r="1677" spans="1:7" ht="12.5" customHeight="1">
      <c r="A1677" s="27">
        <v>44460</v>
      </c>
      <c r="B1677" s="24" t="s">
        <v>9335</v>
      </c>
      <c r="C1677" s="24" t="s">
        <v>9615</v>
      </c>
      <c r="D1677" s="24" t="s">
        <v>7842</v>
      </c>
      <c r="E1677" s="24" t="s">
        <v>9336</v>
      </c>
      <c r="F1677" s="24" t="s">
        <v>7555</v>
      </c>
      <c r="G1677" s="24" t="b">
        <v>1</v>
      </c>
    </row>
    <row r="1678" spans="1:7" ht="12.5" customHeight="1">
      <c r="A1678" s="27">
        <v>44500</v>
      </c>
      <c r="B1678" s="24" t="s">
        <v>9337</v>
      </c>
      <c r="C1678" s="24" t="s">
        <v>9615</v>
      </c>
      <c r="D1678" s="24" t="s">
        <v>7138</v>
      </c>
      <c r="E1678" s="24" t="s">
        <v>9338</v>
      </c>
      <c r="F1678" s="24" t="s">
        <v>7147</v>
      </c>
      <c r="G1678" s="24" t="b">
        <v>1</v>
      </c>
    </row>
    <row r="1679" spans="1:7" ht="12.5" customHeight="1">
      <c r="A1679" s="27">
        <v>44540</v>
      </c>
      <c r="B1679" s="24" t="s">
        <v>9339</v>
      </c>
      <c r="C1679" s="24" t="s">
        <v>9615</v>
      </c>
      <c r="D1679" s="24" t="s">
        <v>7138</v>
      </c>
      <c r="E1679" s="24" t="s">
        <v>7461</v>
      </c>
      <c r="F1679" s="24" t="s">
        <v>7555</v>
      </c>
      <c r="G1679" s="24" t="b">
        <v>1</v>
      </c>
    </row>
    <row r="1680" spans="1:7" ht="12.5" customHeight="1">
      <c r="A1680" s="27">
        <v>44580</v>
      </c>
      <c r="B1680" s="24" t="s">
        <v>9340</v>
      </c>
      <c r="C1680" s="24" t="s">
        <v>9615</v>
      </c>
      <c r="D1680" s="24" t="s">
        <v>7926</v>
      </c>
      <c r="E1680" s="24" t="s">
        <v>9341</v>
      </c>
      <c r="F1680" s="24" t="s">
        <v>7513</v>
      </c>
      <c r="G1680" s="24" t="b">
        <v>1</v>
      </c>
    </row>
    <row r="1681" spans="1:7" ht="12.5" customHeight="1">
      <c r="A1681" s="27">
        <v>44620</v>
      </c>
      <c r="B1681" s="24" t="s">
        <v>9342</v>
      </c>
      <c r="C1681" s="24" t="s">
        <v>9615</v>
      </c>
      <c r="D1681" s="24" t="s">
        <v>9343</v>
      </c>
      <c r="E1681" s="24" t="s">
        <v>7170</v>
      </c>
      <c r="F1681" s="24" t="s">
        <v>7272</v>
      </c>
      <c r="G1681" s="24" t="b">
        <v>1</v>
      </c>
    </row>
    <row r="1682" spans="1:7" ht="12.5" customHeight="1">
      <c r="A1682" s="27">
        <v>44660</v>
      </c>
      <c r="B1682" s="24" t="s">
        <v>9344</v>
      </c>
      <c r="C1682" s="24" t="s">
        <v>9615</v>
      </c>
      <c r="D1682" s="24" t="s">
        <v>7138</v>
      </c>
      <c r="E1682" s="24" t="s">
        <v>9345</v>
      </c>
      <c r="F1682" s="24" t="s">
        <v>7152</v>
      </c>
      <c r="G1682" s="24" t="b">
        <v>1</v>
      </c>
    </row>
    <row r="1683" spans="1:7" ht="12.5" customHeight="1">
      <c r="A1683" s="27">
        <v>44700</v>
      </c>
      <c r="B1683" s="24" t="s">
        <v>9346</v>
      </c>
      <c r="C1683" s="24" t="s">
        <v>9614</v>
      </c>
      <c r="D1683" s="24" t="s">
        <v>8643</v>
      </c>
      <c r="E1683" s="24" t="s">
        <v>9347</v>
      </c>
      <c r="F1683" s="24" t="s">
        <v>7386</v>
      </c>
      <c r="G1683" s="24" t="b">
        <v>1</v>
      </c>
    </row>
    <row r="1684" spans="1:7" ht="12.5" customHeight="1">
      <c r="A1684" s="27">
        <v>44740</v>
      </c>
      <c r="B1684" s="24" t="s">
        <v>9348</v>
      </c>
      <c r="C1684" s="24" t="s">
        <v>9615</v>
      </c>
      <c r="D1684" s="24" t="s">
        <v>7138</v>
      </c>
      <c r="E1684" s="24" t="s">
        <v>9349</v>
      </c>
      <c r="F1684" s="24" t="s">
        <v>7252</v>
      </c>
      <c r="G1684" s="24" t="b">
        <v>1</v>
      </c>
    </row>
    <row r="1685" spans="1:7" ht="12.5" customHeight="1">
      <c r="A1685" s="27">
        <v>44780</v>
      </c>
      <c r="B1685" s="24" t="s">
        <v>9350</v>
      </c>
      <c r="C1685" s="24" t="s">
        <v>9615</v>
      </c>
      <c r="D1685" s="24" t="s">
        <v>7433</v>
      </c>
      <c r="E1685" s="24" t="s">
        <v>9307</v>
      </c>
      <c r="F1685" s="24" t="s">
        <v>7156</v>
      </c>
      <c r="G1685" s="24" t="b">
        <v>1</v>
      </c>
    </row>
    <row r="1686" spans="1:7" ht="12.5" customHeight="1">
      <c r="A1686" s="27">
        <v>44860</v>
      </c>
      <c r="B1686" s="24" t="s">
        <v>9351</v>
      </c>
      <c r="C1686" s="24" t="s">
        <v>9615</v>
      </c>
      <c r="D1686" s="24" t="s">
        <v>7138</v>
      </c>
      <c r="E1686" s="24" t="s">
        <v>8574</v>
      </c>
      <c r="F1686" s="24" t="s">
        <v>7147</v>
      </c>
      <c r="G1686" s="24" t="b">
        <v>1</v>
      </c>
    </row>
    <row r="1687" spans="1:7" ht="12.5" customHeight="1">
      <c r="A1687" s="27">
        <v>44900</v>
      </c>
      <c r="B1687" s="24" t="s">
        <v>9352</v>
      </c>
      <c r="C1687" s="24" t="s">
        <v>9615</v>
      </c>
      <c r="D1687" s="24" t="s">
        <v>7310</v>
      </c>
      <c r="E1687" s="24" t="s">
        <v>9353</v>
      </c>
      <c r="F1687" s="24" t="s">
        <v>7178</v>
      </c>
      <c r="G1687" s="24" t="b">
        <v>1</v>
      </c>
    </row>
    <row r="1688" spans="1:7" ht="12.5" customHeight="1">
      <c r="A1688" s="27">
        <v>44940</v>
      </c>
      <c r="B1688" s="24" t="s">
        <v>9354</v>
      </c>
      <c r="C1688" s="24" t="s">
        <v>9614</v>
      </c>
      <c r="D1688" s="24" t="s">
        <v>7138</v>
      </c>
      <c r="E1688" s="24" t="s">
        <v>9355</v>
      </c>
      <c r="F1688" s="24" t="s">
        <v>7368</v>
      </c>
      <c r="G1688" s="24" t="b">
        <v>0</v>
      </c>
    </row>
    <row r="1689" spans="1:7" ht="12.5" customHeight="1">
      <c r="A1689" s="27">
        <v>44940</v>
      </c>
      <c r="B1689" s="24" t="s">
        <v>9354</v>
      </c>
      <c r="C1689" s="24" t="s">
        <v>9614</v>
      </c>
      <c r="D1689" s="24" t="s">
        <v>7138</v>
      </c>
      <c r="E1689" s="24" t="s">
        <v>7248</v>
      </c>
      <c r="F1689" s="24" t="s">
        <v>7368</v>
      </c>
      <c r="G1689" s="24" t="b">
        <v>1</v>
      </c>
    </row>
    <row r="1690" spans="1:7" ht="12.5" customHeight="1">
      <c r="A1690" s="27">
        <v>44980</v>
      </c>
      <c r="B1690" s="24" t="s">
        <v>9356</v>
      </c>
      <c r="C1690" s="24" t="s">
        <v>9615</v>
      </c>
      <c r="D1690" s="24" t="s">
        <v>7518</v>
      </c>
      <c r="E1690" s="24" t="s">
        <v>9357</v>
      </c>
      <c r="F1690" s="24" t="s">
        <v>7226</v>
      </c>
      <c r="G1690" s="24" t="b">
        <v>1</v>
      </c>
    </row>
    <row r="1691" spans="1:7" ht="12.5" customHeight="1">
      <c r="A1691" s="27">
        <v>45000</v>
      </c>
      <c r="B1691" s="24" t="s">
        <v>9358</v>
      </c>
      <c r="C1691" s="24" t="s">
        <v>9615</v>
      </c>
      <c r="D1691" s="24" t="s">
        <v>7138</v>
      </c>
      <c r="E1691" s="24" t="s">
        <v>9359</v>
      </c>
      <c r="F1691" s="24" t="s">
        <v>7386</v>
      </c>
      <c r="G1691" s="24" t="b">
        <v>1</v>
      </c>
    </row>
    <row r="1692" spans="1:7" ht="12.5" customHeight="1">
      <c r="A1692" s="27">
        <v>45020</v>
      </c>
      <c r="B1692" s="24" t="s">
        <v>9360</v>
      </c>
      <c r="C1692" s="24" t="s">
        <v>9615</v>
      </c>
      <c r="D1692" s="24" t="s">
        <v>7138</v>
      </c>
      <c r="E1692" s="24" t="s">
        <v>9361</v>
      </c>
      <c r="F1692" s="24" t="s">
        <v>7147</v>
      </c>
      <c r="G1692" s="24" t="b">
        <v>1</v>
      </c>
    </row>
    <row r="1693" spans="1:7" ht="12.5" customHeight="1">
      <c r="A1693" s="27">
        <v>45060</v>
      </c>
      <c r="B1693" s="24" t="s">
        <v>9362</v>
      </c>
      <c r="C1693" s="24" t="s">
        <v>9614</v>
      </c>
      <c r="D1693" s="24" t="s">
        <v>7357</v>
      </c>
      <c r="E1693" s="24" t="s">
        <v>7295</v>
      </c>
      <c r="F1693" s="24" t="s">
        <v>3775</v>
      </c>
      <c r="G1693" s="24" t="b">
        <v>0</v>
      </c>
    </row>
    <row r="1694" spans="1:7" ht="12.5" customHeight="1">
      <c r="A1694" s="27">
        <v>45060</v>
      </c>
      <c r="B1694" s="24" t="s">
        <v>9362</v>
      </c>
      <c r="C1694" s="24" t="s">
        <v>9614</v>
      </c>
      <c r="D1694" s="24" t="s">
        <v>7357</v>
      </c>
      <c r="E1694" s="24" t="s">
        <v>9363</v>
      </c>
      <c r="F1694" s="24" t="s">
        <v>3775</v>
      </c>
      <c r="G1694" s="24" t="b">
        <v>1</v>
      </c>
    </row>
    <row r="1695" spans="1:7" ht="12.5" customHeight="1">
      <c r="A1695" s="27">
        <v>45060</v>
      </c>
      <c r="B1695" s="24" t="s">
        <v>9362</v>
      </c>
      <c r="C1695" s="24" t="s">
        <v>9614</v>
      </c>
      <c r="D1695" s="24" t="s">
        <v>7357</v>
      </c>
      <c r="E1695" s="24" t="s">
        <v>9364</v>
      </c>
      <c r="F1695" s="24" t="s">
        <v>3775</v>
      </c>
      <c r="G1695" s="24" t="b">
        <v>0</v>
      </c>
    </row>
    <row r="1696" spans="1:7" ht="12.5" customHeight="1">
      <c r="A1696" s="27">
        <v>45140</v>
      </c>
      <c r="B1696" s="24" t="s">
        <v>9365</v>
      </c>
      <c r="C1696" s="24" t="s">
        <v>9615</v>
      </c>
      <c r="D1696" s="24" t="s">
        <v>7138</v>
      </c>
      <c r="E1696" s="24" t="s">
        <v>7325</v>
      </c>
      <c r="F1696" s="24" t="s">
        <v>7152</v>
      </c>
      <c r="G1696" s="24" t="b">
        <v>1</v>
      </c>
    </row>
    <row r="1697" spans="1:7" ht="12.5" customHeight="1">
      <c r="A1697" s="27">
        <v>45180</v>
      </c>
      <c r="B1697" s="24" t="s">
        <v>9366</v>
      </c>
      <c r="C1697" s="24" t="s">
        <v>9615</v>
      </c>
      <c r="D1697" s="24" t="s">
        <v>7491</v>
      </c>
      <c r="E1697" s="24" t="s">
        <v>9367</v>
      </c>
      <c r="F1697" s="24" t="s">
        <v>7201</v>
      </c>
      <c r="G1697" s="24" t="b">
        <v>1</v>
      </c>
    </row>
    <row r="1698" spans="1:7" ht="12.5" customHeight="1">
      <c r="A1698" s="27">
        <v>45220</v>
      </c>
      <c r="B1698" s="24" t="s">
        <v>9368</v>
      </c>
      <c r="C1698" s="24" t="s">
        <v>9614</v>
      </c>
      <c r="D1698" s="24" t="s">
        <v>7138</v>
      </c>
      <c r="E1698" s="24" t="s">
        <v>9369</v>
      </c>
      <c r="F1698" s="24" t="s">
        <v>7277</v>
      </c>
      <c r="G1698" s="24" t="b">
        <v>0</v>
      </c>
    </row>
    <row r="1699" spans="1:7" ht="12.5" customHeight="1">
      <c r="A1699" s="27">
        <v>45220</v>
      </c>
      <c r="B1699" s="24" t="s">
        <v>9368</v>
      </c>
      <c r="C1699" s="24" t="s">
        <v>9614</v>
      </c>
      <c r="D1699" s="24" t="s">
        <v>7138</v>
      </c>
      <c r="E1699" s="24" t="s">
        <v>7446</v>
      </c>
      <c r="F1699" s="24" t="s">
        <v>7277</v>
      </c>
      <c r="G1699" s="24" t="b">
        <v>0</v>
      </c>
    </row>
    <row r="1700" spans="1:7" ht="12.5" customHeight="1">
      <c r="A1700" s="27">
        <v>45220</v>
      </c>
      <c r="B1700" s="24" t="s">
        <v>9368</v>
      </c>
      <c r="C1700" s="24" t="s">
        <v>9614</v>
      </c>
      <c r="D1700" s="24" t="s">
        <v>7138</v>
      </c>
      <c r="E1700" s="24" t="s">
        <v>9370</v>
      </c>
      <c r="F1700" s="24" t="s">
        <v>7277</v>
      </c>
      <c r="G1700" s="24" t="b">
        <v>1</v>
      </c>
    </row>
    <row r="1701" spans="1:7" ht="12.5" customHeight="1">
      <c r="A1701" s="27">
        <v>45220</v>
      </c>
      <c r="B1701" s="24" t="s">
        <v>9368</v>
      </c>
      <c r="C1701" s="24" t="s">
        <v>9614</v>
      </c>
      <c r="D1701" s="24" t="s">
        <v>7138</v>
      </c>
      <c r="E1701" s="24" t="s">
        <v>9371</v>
      </c>
      <c r="F1701" s="24" t="s">
        <v>7277</v>
      </c>
      <c r="G1701" s="24" t="b">
        <v>0</v>
      </c>
    </row>
    <row r="1702" spans="1:7" ht="12.5" customHeight="1">
      <c r="A1702" s="27">
        <v>45300</v>
      </c>
      <c r="B1702" s="24" t="s">
        <v>9372</v>
      </c>
      <c r="C1702" s="24" t="s">
        <v>9614</v>
      </c>
      <c r="D1702" s="24" t="s">
        <v>7138</v>
      </c>
      <c r="E1702" s="24" t="s">
        <v>9373</v>
      </c>
      <c r="F1702" s="24" t="s">
        <v>7277</v>
      </c>
      <c r="G1702" s="24" t="b">
        <v>0</v>
      </c>
    </row>
    <row r="1703" spans="1:7" ht="12.5" customHeight="1">
      <c r="A1703" s="27">
        <v>45300</v>
      </c>
      <c r="B1703" s="24" t="s">
        <v>9372</v>
      </c>
      <c r="C1703" s="24" t="s">
        <v>9614</v>
      </c>
      <c r="D1703" s="24" t="s">
        <v>7138</v>
      </c>
      <c r="E1703" s="24" t="s">
        <v>8580</v>
      </c>
      <c r="F1703" s="24" t="s">
        <v>7277</v>
      </c>
      <c r="G1703" s="24" t="b">
        <v>1</v>
      </c>
    </row>
    <row r="1704" spans="1:7" ht="12.5" customHeight="1">
      <c r="A1704" s="27">
        <v>45300</v>
      </c>
      <c r="B1704" s="24" t="s">
        <v>9372</v>
      </c>
      <c r="C1704" s="24" t="s">
        <v>9614</v>
      </c>
      <c r="D1704" s="24" t="s">
        <v>7138</v>
      </c>
      <c r="E1704" s="24" t="s">
        <v>9374</v>
      </c>
      <c r="F1704" s="24" t="s">
        <v>7277</v>
      </c>
      <c r="G1704" s="24" t="b">
        <v>1</v>
      </c>
    </row>
    <row r="1705" spans="1:7" ht="12.5" customHeight="1">
      <c r="A1705" s="27">
        <v>45300</v>
      </c>
      <c r="B1705" s="24" t="s">
        <v>9372</v>
      </c>
      <c r="C1705" s="24" t="s">
        <v>9614</v>
      </c>
      <c r="D1705" s="24" t="s">
        <v>7138</v>
      </c>
      <c r="E1705" s="24" t="s">
        <v>9375</v>
      </c>
      <c r="F1705" s="24" t="s">
        <v>7277</v>
      </c>
      <c r="G1705" s="24" t="b">
        <v>1</v>
      </c>
    </row>
    <row r="1706" spans="1:7" ht="12.5" customHeight="1">
      <c r="A1706" s="27">
        <v>45340</v>
      </c>
      <c r="B1706" s="24" t="s">
        <v>9376</v>
      </c>
      <c r="C1706" s="24" t="s">
        <v>9615</v>
      </c>
      <c r="D1706" s="24" t="s">
        <v>7138</v>
      </c>
      <c r="E1706" s="24" t="s">
        <v>9377</v>
      </c>
      <c r="F1706" s="24" t="s">
        <v>7175</v>
      </c>
      <c r="G1706" s="24" t="b">
        <v>1</v>
      </c>
    </row>
    <row r="1707" spans="1:7" ht="12.5" customHeight="1">
      <c r="A1707" s="27">
        <v>45380</v>
      </c>
      <c r="B1707" s="24" t="s">
        <v>9378</v>
      </c>
      <c r="C1707" s="24" t="s">
        <v>9615</v>
      </c>
      <c r="D1707" s="24" t="s">
        <v>8340</v>
      </c>
      <c r="E1707" s="24" t="s">
        <v>7744</v>
      </c>
      <c r="F1707" s="24" t="s">
        <v>7513</v>
      </c>
      <c r="G1707" s="24" t="b">
        <v>1</v>
      </c>
    </row>
    <row r="1708" spans="1:7" ht="12.5" customHeight="1">
      <c r="A1708" s="27">
        <v>45460</v>
      </c>
      <c r="B1708" s="24" t="s">
        <v>9379</v>
      </c>
      <c r="C1708" s="24" t="s">
        <v>9614</v>
      </c>
      <c r="D1708" s="24" t="s">
        <v>7138</v>
      </c>
      <c r="E1708" s="24" t="s">
        <v>7680</v>
      </c>
      <c r="F1708" s="24" t="s">
        <v>4460</v>
      </c>
      <c r="G1708" s="24" t="b">
        <v>1</v>
      </c>
    </row>
    <row r="1709" spans="1:7" ht="12.5" customHeight="1">
      <c r="A1709" s="27">
        <v>45460</v>
      </c>
      <c r="B1709" s="24" t="s">
        <v>9379</v>
      </c>
      <c r="C1709" s="24" t="s">
        <v>9614</v>
      </c>
      <c r="D1709" s="24" t="s">
        <v>7138</v>
      </c>
      <c r="E1709" s="24" t="s">
        <v>9380</v>
      </c>
      <c r="F1709" s="24" t="s">
        <v>4460</v>
      </c>
      <c r="G1709" s="24" t="b">
        <v>0</v>
      </c>
    </row>
    <row r="1710" spans="1:7" ht="12.5" customHeight="1">
      <c r="A1710" s="27">
        <v>45460</v>
      </c>
      <c r="B1710" s="24" t="s">
        <v>9379</v>
      </c>
      <c r="C1710" s="24" t="s">
        <v>9614</v>
      </c>
      <c r="D1710" s="24" t="s">
        <v>7138</v>
      </c>
      <c r="E1710" s="24" t="s">
        <v>8421</v>
      </c>
      <c r="F1710" s="24" t="s">
        <v>4460</v>
      </c>
      <c r="G1710" s="24" t="b">
        <v>0</v>
      </c>
    </row>
    <row r="1711" spans="1:7" ht="12.5" customHeight="1">
      <c r="A1711" s="27">
        <v>45460</v>
      </c>
      <c r="B1711" s="24" t="s">
        <v>9379</v>
      </c>
      <c r="C1711" s="24" t="s">
        <v>9614</v>
      </c>
      <c r="D1711" s="24" t="s">
        <v>7138</v>
      </c>
      <c r="E1711" s="24" t="s">
        <v>9381</v>
      </c>
      <c r="F1711" s="24" t="s">
        <v>4460</v>
      </c>
      <c r="G1711" s="24" t="b">
        <v>0</v>
      </c>
    </row>
    <row r="1712" spans="1:7" ht="12.5" customHeight="1">
      <c r="A1712" s="27">
        <v>45460</v>
      </c>
      <c r="B1712" s="24" t="s">
        <v>9379</v>
      </c>
      <c r="C1712" s="24" t="s">
        <v>9614</v>
      </c>
      <c r="D1712" s="24" t="s">
        <v>7138</v>
      </c>
      <c r="E1712" s="24" t="s">
        <v>9382</v>
      </c>
      <c r="F1712" s="24" t="s">
        <v>4460</v>
      </c>
      <c r="G1712" s="24" t="b">
        <v>1</v>
      </c>
    </row>
    <row r="1713" spans="1:7" ht="12.5" customHeight="1">
      <c r="A1713" s="27">
        <v>45500</v>
      </c>
      <c r="B1713" s="24" t="s">
        <v>9383</v>
      </c>
      <c r="C1713" s="24" t="s">
        <v>9614</v>
      </c>
      <c r="D1713" s="24" t="s">
        <v>7138</v>
      </c>
      <c r="E1713" s="24" t="s">
        <v>9384</v>
      </c>
      <c r="F1713" s="24" t="s">
        <v>7289</v>
      </c>
      <c r="G1713" s="24" t="b">
        <v>0</v>
      </c>
    </row>
    <row r="1714" spans="1:7" ht="12.5" customHeight="1">
      <c r="A1714" s="27">
        <v>45500</v>
      </c>
      <c r="B1714" s="24" t="s">
        <v>9383</v>
      </c>
      <c r="C1714" s="24" t="s">
        <v>9614</v>
      </c>
      <c r="D1714" s="24" t="s">
        <v>7138</v>
      </c>
      <c r="E1714" s="24" t="s">
        <v>9385</v>
      </c>
      <c r="F1714" s="24" t="s">
        <v>7289</v>
      </c>
      <c r="G1714" s="24" t="b">
        <v>1</v>
      </c>
    </row>
    <row r="1715" spans="1:7" ht="12.5" customHeight="1">
      <c r="A1715" s="27">
        <v>45500</v>
      </c>
      <c r="B1715" s="24" t="s">
        <v>9383</v>
      </c>
      <c r="C1715" s="24" t="s">
        <v>9614</v>
      </c>
      <c r="D1715" s="24" t="s">
        <v>7138</v>
      </c>
      <c r="E1715" s="24" t="s">
        <v>9386</v>
      </c>
      <c r="F1715" s="24" t="s">
        <v>7147</v>
      </c>
      <c r="G1715" s="24" t="b">
        <v>1</v>
      </c>
    </row>
    <row r="1716" spans="1:7" ht="12.5" customHeight="1">
      <c r="A1716" s="27">
        <v>45520</v>
      </c>
      <c r="B1716" s="24" t="s">
        <v>9387</v>
      </c>
      <c r="C1716" s="24" t="s">
        <v>9615</v>
      </c>
      <c r="D1716" s="24" t="s">
        <v>7138</v>
      </c>
      <c r="E1716" s="24" t="s">
        <v>9388</v>
      </c>
      <c r="F1716" s="24" t="s">
        <v>4053</v>
      </c>
      <c r="G1716" s="24" t="b">
        <v>1</v>
      </c>
    </row>
    <row r="1717" spans="1:7" ht="12.5" customHeight="1">
      <c r="A1717" s="27">
        <v>45540</v>
      </c>
      <c r="B1717" s="24" t="s">
        <v>9389</v>
      </c>
      <c r="C1717" s="24" t="s">
        <v>9614</v>
      </c>
      <c r="D1717" s="24" t="s">
        <v>7899</v>
      </c>
      <c r="E1717" s="24" t="s">
        <v>7248</v>
      </c>
      <c r="F1717" s="24" t="s">
        <v>7277</v>
      </c>
      <c r="G1717" s="24" t="b">
        <v>1</v>
      </c>
    </row>
    <row r="1718" spans="1:7" ht="12.5" customHeight="1">
      <c r="A1718" s="27">
        <v>45580</v>
      </c>
      <c r="B1718" s="24" t="s">
        <v>9390</v>
      </c>
      <c r="C1718" s="24" t="s">
        <v>9615</v>
      </c>
      <c r="D1718" s="24" t="s">
        <v>7316</v>
      </c>
      <c r="E1718" s="24" t="s">
        <v>9391</v>
      </c>
      <c r="F1718" s="24" t="s">
        <v>7178</v>
      </c>
      <c r="G1718" s="24" t="b">
        <v>1</v>
      </c>
    </row>
    <row r="1719" spans="1:7" ht="12.5" customHeight="1">
      <c r="A1719" s="27">
        <v>45620</v>
      </c>
      <c r="B1719" s="24" t="s">
        <v>9392</v>
      </c>
      <c r="C1719" s="24" t="s">
        <v>9615</v>
      </c>
      <c r="D1719" s="24" t="s">
        <v>7138</v>
      </c>
      <c r="E1719" s="24" t="s">
        <v>9393</v>
      </c>
      <c r="F1719" s="24" t="s">
        <v>7178</v>
      </c>
      <c r="G1719" s="24" t="b">
        <v>1</v>
      </c>
    </row>
    <row r="1720" spans="1:7" ht="12.5" customHeight="1">
      <c r="A1720" s="27">
        <v>45660</v>
      </c>
      <c r="B1720" s="24" t="s">
        <v>9394</v>
      </c>
      <c r="C1720" s="24" t="s">
        <v>9615</v>
      </c>
      <c r="D1720" s="24" t="s">
        <v>8059</v>
      </c>
      <c r="E1720" s="24" t="s">
        <v>9266</v>
      </c>
      <c r="F1720" s="24" t="s">
        <v>7171</v>
      </c>
      <c r="G1720" s="24" t="b">
        <v>1</v>
      </c>
    </row>
    <row r="1721" spans="1:7" ht="12.5" customHeight="1">
      <c r="A1721" s="27">
        <v>45700</v>
      </c>
      <c r="B1721" s="24" t="s">
        <v>9395</v>
      </c>
      <c r="C1721" s="24" t="s">
        <v>9615</v>
      </c>
      <c r="D1721" s="24" t="s">
        <v>7138</v>
      </c>
      <c r="E1721" s="24" t="s">
        <v>9396</v>
      </c>
      <c r="F1721" s="24" t="s">
        <v>7178</v>
      </c>
      <c r="G1721" s="24" t="b">
        <v>1</v>
      </c>
    </row>
    <row r="1722" spans="1:7" ht="12.5" customHeight="1">
      <c r="A1722" s="27">
        <v>45740</v>
      </c>
      <c r="B1722" s="24" t="s">
        <v>9397</v>
      </c>
      <c r="C1722" s="24" t="s">
        <v>9615</v>
      </c>
      <c r="D1722" s="24" t="s">
        <v>7316</v>
      </c>
      <c r="E1722" s="24" t="s">
        <v>7952</v>
      </c>
      <c r="F1722" s="24" t="s">
        <v>7178</v>
      </c>
      <c r="G1722" s="24" t="b">
        <v>1</v>
      </c>
    </row>
    <row r="1723" spans="1:7" ht="12.5" customHeight="1">
      <c r="A1723" s="27">
        <v>45780</v>
      </c>
      <c r="B1723" s="24" t="s">
        <v>9398</v>
      </c>
      <c r="C1723" s="24" t="s">
        <v>9614</v>
      </c>
      <c r="D1723" s="24" t="s">
        <v>8059</v>
      </c>
      <c r="E1723" s="24" t="s">
        <v>7333</v>
      </c>
      <c r="F1723" s="24" t="s">
        <v>7171</v>
      </c>
      <c r="G1723" s="24" t="b">
        <v>0</v>
      </c>
    </row>
    <row r="1724" spans="1:7" ht="12.5" customHeight="1">
      <c r="A1724" s="27">
        <v>45780</v>
      </c>
      <c r="B1724" s="24" t="s">
        <v>9398</v>
      </c>
      <c r="C1724" s="24" t="s">
        <v>9614</v>
      </c>
      <c r="D1724" s="24" t="s">
        <v>8059</v>
      </c>
      <c r="E1724" s="24" t="s">
        <v>9399</v>
      </c>
      <c r="F1724" s="24" t="s">
        <v>7171</v>
      </c>
      <c r="G1724" s="24" t="b">
        <v>1</v>
      </c>
    </row>
    <row r="1725" spans="1:7" ht="12.5" customHeight="1">
      <c r="A1725" s="27">
        <v>45780</v>
      </c>
      <c r="B1725" s="24" t="s">
        <v>9398</v>
      </c>
      <c r="C1725" s="24" t="s">
        <v>9614</v>
      </c>
      <c r="D1725" s="24" t="s">
        <v>8059</v>
      </c>
      <c r="E1725" s="24" t="s">
        <v>8164</v>
      </c>
      <c r="F1725" s="24" t="s">
        <v>7171</v>
      </c>
      <c r="G1725" s="24" t="b">
        <v>0</v>
      </c>
    </row>
    <row r="1726" spans="1:7" ht="12.5" customHeight="1">
      <c r="A1726" s="27">
        <v>45780</v>
      </c>
      <c r="B1726" s="24" t="s">
        <v>9398</v>
      </c>
      <c r="C1726" s="24" t="s">
        <v>9614</v>
      </c>
      <c r="D1726" s="24" t="s">
        <v>8059</v>
      </c>
      <c r="E1726" s="24" t="s">
        <v>8920</v>
      </c>
      <c r="F1726" s="24" t="s">
        <v>7171</v>
      </c>
      <c r="G1726" s="24" t="b">
        <v>1</v>
      </c>
    </row>
    <row r="1727" spans="1:7" ht="12.5" customHeight="1">
      <c r="A1727" s="27">
        <v>45820</v>
      </c>
      <c r="B1727" s="24" t="s">
        <v>9400</v>
      </c>
      <c r="C1727" s="24" t="s">
        <v>9614</v>
      </c>
      <c r="D1727" s="24" t="s">
        <v>7138</v>
      </c>
      <c r="E1727" s="24" t="s">
        <v>7238</v>
      </c>
      <c r="F1727" s="24" t="s">
        <v>7306</v>
      </c>
      <c r="G1727" s="24" t="b">
        <v>0</v>
      </c>
    </row>
    <row r="1728" spans="1:7" ht="12.5" customHeight="1">
      <c r="A1728" s="27">
        <v>45820</v>
      </c>
      <c r="B1728" s="24" t="s">
        <v>9400</v>
      </c>
      <c r="C1728" s="24" t="s">
        <v>9614</v>
      </c>
      <c r="D1728" s="24" t="s">
        <v>7138</v>
      </c>
      <c r="E1728" s="24" t="s">
        <v>7446</v>
      </c>
      <c r="F1728" s="24" t="s">
        <v>7306</v>
      </c>
      <c r="G1728" s="24" t="b">
        <v>0</v>
      </c>
    </row>
    <row r="1729" spans="1:7" ht="12.5" customHeight="1">
      <c r="A1729" s="27">
        <v>45820</v>
      </c>
      <c r="B1729" s="24" t="s">
        <v>9400</v>
      </c>
      <c r="C1729" s="24" t="s">
        <v>9614</v>
      </c>
      <c r="D1729" s="24" t="s">
        <v>7138</v>
      </c>
      <c r="E1729" s="24" t="s">
        <v>8361</v>
      </c>
      <c r="F1729" s="24" t="s">
        <v>7306</v>
      </c>
      <c r="G1729" s="24" t="b">
        <v>0</v>
      </c>
    </row>
    <row r="1730" spans="1:7" ht="12.5" customHeight="1">
      <c r="A1730" s="27">
        <v>45820</v>
      </c>
      <c r="B1730" s="24" t="s">
        <v>9400</v>
      </c>
      <c r="C1730" s="24" t="s">
        <v>9614</v>
      </c>
      <c r="D1730" s="24" t="s">
        <v>7138</v>
      </c>
      <c r="E1730" s="24" t="s">
        <v>9401</v>
      </c>
      <c r="F1730" s="24" t="s">
        <v>7306</v>
      </c>
      <c r="G1730" s="24" t="b">
        <v>1</v>
      </c>
    </row>
    <row r="1731" spans="1:7" ht="12.5" customHeight="1">
      <c r="A1731" s="27">
        <v>45820</v>
      </c>
      <c r="B1731" s="24" t="s">
        <v>9400</v>
      </c>
      <c r="C1731" s="24" t="s">
        <v>9614</v>
      </c>
      <c r="D1731" s="24" t="s">
        <v>7138</v>
      </c>
      <c r="E1731" s="24" t="s">
        <v>9402</v>
      </c>
      <c r="F1731" s="24" t="s">
        <v>7306</v>
      </c>
      <c r="G1731" s="24" t="b">
        <v>0</v>
      </c>
    </row>
    <row r="1732" spans="1:7" ht="12.5" customHeight="1">
      <c r="A1732" s="27">
        <v>45860</v>
      </c>
      <c r="B1732" s="24" t="s">
        <v>9403</v>
      </c>
      <c r="C1732" s="24" t="s">
        <v>9615</v>
      </c>
      <c r="D1732" s="24" t="s">
        <v>7579</v>
      </c>
      <c r="E1732" s="24" t="s">
        <v>9404</v>
      </c>
      <c r="F1732" s="24" t="s">
        <v>7581</v>
      </c>
      <c r="G1732" s="24" t="b">
        <v>1</v>
      </c>
    </row>
    <row r="1733" spans="1:7" ht="12.5" customHeight="1">
      <c r="A1733" s="27">
        <v>45900</v>
      </c>
      <c r="B1733" s="24" t="s">
        <v>9405</v>
      </c>
      <c r="C1733" s="24" t="s">
        <v>9615</v>
      </c>
      <c r="D1733" s="24" t="s">
        <v>7138</v>
      </c>
      <c r="E1733" s="24" t="s">
        <v>9406</v>
      </c>
      <c r="F1733" s="24" t="s">
        <v>7156</v>
      </c>
      <c r="G1733" s="24" t="b">
        <v>0</v>
      </c>
    </row>
    <row r="1734" spans="1:7" ht="12.5" customHeight="1">
      <c r="A1734" s="27">
        <v>45900</v>
      </c>
      <c r="B1734" s="24" t="s">
        <v>9405</v>
      </c>
      <c r="C1734" s="24" t="s">
        <v>9615</v>
      </c>
      <c r="D1734" s="24" t="s">
        <v>7138</v>
      </c>
      <c r="E1734" s="24" t="s">
        <v>9407</v>
      </c>
      <c r="F1734" s="24" t="s">
        <v>7156</v>
      </c>
      <c r="G1734" s="24" t="b">
        <v>1</v>
      </c>
    </row>
    <row r="1735" spans="1:7" ht="12.5" customHeight="1">
      <c r="A1735" s="27">
        <v>45900</v>
      </c>
      <c r="B1735" s="24" t="s">
        <v>9405</v>
      </c>
      <c r="C1735" s="24" t="s">
        <v>9615</v>
      </c>
      <c r="D1735" s="24" t="s">
        <v>7138</v>
      </c>
      <c r="E1735" s="24" t="s">
        <v>9408</v>
      </c>
      <c r="F1735" s="24" t="s">
        <v>7156</v>
      </c>
      <c r="G1735" s="24" t="b">
        <v>0</v>
      </c>
    </row>
    <row r="1736" spans="1:7" ht="12.5" customHeight="1">
      <c r="A1736" s="27">
        <v>45900</v>
      </c>
      <c r="B1736" s="24" t="s">
        <v>9405</v>
      </c>
      <c r="C1736" s="24" t="s">
        <v>9615</v>
      </c>
      <c r="D1736" s="24" t="s">
        <v>7138</v>
      </c>
      <c r="E1736" s="24" t="s">
        <v>9409</v>
      </c>
      <c r="F1736" s="24" t="s">
        <v>7156</v>
      </c>
      <c r="G1736" s="24" t="b">
        <v>0</v>
      </c>
    </row>
    <row r="1737" spans="1:7" ht="12.5" customHeight="1">
      <c r="A1737" s="27">
        <v>45940</v>
      </c>
      <c r="B1737" s="24" t="s">
        <v>9410</v>
      </c>
      <c r="C1737" s="24" t="s">
        <v>9614</v>
      </c>
      <c r="D1737" s="24" t="s">
        <v>7579</v>
      </c>
      <c r="E1737" s="24" t="s">
        <v>7523</v>
      </c>
      <c r="F1737" s="24" t="s">
        <v>7224</v>
      </c>
      <c r="G1737" s="24" t="b">
        <v>1</v>
      </c>
    </row>
    <row r="1738" spans="1:7" ht="12.5" customHeight="1">
      <c r="A1738" s="27">
        <v>45980</v>
      </c>
      <c r="B1738" s="24" t="s">
        <v>9411</v>
      </c>
      <c r="C1738" s="24" t="s">
        <v>9615</v>
      </c>
      <c r="D1738" s="24" t="s">
        <v>7138</v>
      </c>
      <c r="E1738" s="24" t="s">
        <v>7345</v>
      </c>
      <c r="F1738" s="24" t="s">
        <v>7201</v>
      </c>
      <c r="G1738" s="24" t="b">
        <v>1</v>
      </c>
    </row>
    <row r="1739" spans="1:7" ht="12.5" customHeight="1">
      <c r="A1739" s="27">
        <v>46020</v>
      </c>
      <c r="B1739" s="24" t="s">
        <v>9412</v>
      </c>
      <c r="C1739" s="24" t="s">
        <v>9615</v>
      </c>
      <c r="D1739" s="24" t="s">
        <v>9116</v>
      </c>
      <c r="E1739" s="24" t="s">
        <v>8269</v>
      </c>
      <c r="F1739" s="24" t="s">
        <v>7386</v>
      </c>
      <c r="G1739" s="24" t="b">
        <v>1</v>
      </c>
    </row>
    <row r="1740" spans="1:7" ht="12.5" customHeight="1">
      <c r="A1740" s="27">
        <v>46060</v>
      </c>
      <c r="B1740" s="24" t="s">
        <v>9413</v>
      </c>
      <c r="C1740" s="24" t="s">
        <v>9614</v>
      </c>
      <c r="D1740" s="24" t="s">
        <v>8820</v>
      </c>
      <c r="E1740" s="24" t="s">
        <v>9414</v>
      </c>
      <c r="F1740" s="24" t="s">
        <v>8065</v>
      </c>
      <c r="G1740" s="24" t="b">
        <v>1</v>
      </c>
    </row>
    <row r="1741" spans="1:7" ht="12.5" customHeight="1">
      <c r="A1741" s="27">
        <v>46100</v>
      </c>
      <c r="B1741" s="24" t="s">
        <v>9415</v>
      </c>
      <c r="C1741" s="24" t="s">
        <v>9615</v>
      </c>
      <c r="D1741" s="24" t="s">
        <v>7138</v>
      </c>
      <c r="E1741" s="24" t="s">
        <v>7935</v>
      </c>
      <c r="F1741" s="24" t="s">
        <v>7312</v>
      </c>
      <c r="G1741" s="24" t="b">
        <v>1</v>
      </c>
    </row>
    <row r="1742" spans="1:7" ht="12.5" customHeight="1">
      <c r="A1742" s="27">
        <v>46100</v>
      </c>
      <c r="B1742" s="24" t="s">
        <v>9415</v>
      </c>
      <c r="C1742" s="24" t="s">
        <v>9615</v>
      </c>
      <c r="D1742" s="24" t="s">
        <v>7138</v>
      </c>
      <c r="E1742" s="24" t="s">
        <v>7616</v>
      </c>
      <c r="F1742" s="24" t="s">
        <v>7312</v>
      </c>
      <c r="G1742" s="24" t="b">
        <v>0</v>
      </c>
    </row>
    <row r="1743" spans="1:7" ht="12.5" customHeight="1">
      <c r="A1743" s="27">
        <v>46100</v>
      </c>
      <c r="B1743" s="24" t="s">
        <v>9415</v>
      </c>
      <c r="C1743" s="24" t="s">
        <v>9615</v>
      </c>
      <c r="D1743" s="24" t="s">
        <v>7138</v>
      </c>
      <c r="E1743" s="24" t="s">
        <v>7950</v>
      </c>
      <c r="F1743" s="24" t="s">
        <v>7312</v>
      </c>
      <c r="G1743" s="24" t="b">
        <v>0</v>
      </c>
    </row>
    <row r="1744" spans="1:7" ht="12.5" customHeight="1">
      <c r="A1744" s="27">
        <v>46140</v>
      </c>
      <c r="B1744" s="24" t="s">
        <v>9416</v>
      </c>
      <c r="C1744" s="24" t="s">
        <v>9614</v>
      </c>
      <c r="D1744" s="24" t="s">
        <v>7414</v>
      </c>
      <c r="E1744" s="24" t="s">
        <v>9417</v>
      </c>
      <c r="F1744" s="24" t="s">
        <v>7152</v>
      </c>
      <c r="G1744" s="24" t="b">
        <v>1</v>
      </c>
    </row>
    <row r="1745" spans="1:7" ht="12.5" customHeight="1">
      <c r="A1745" s="27">
        <v>46140</v>
      </c>
      <c r="B1745" s="24" t="s">
        <v>9416</v>
      </c>
      <c r="C1745" s="24" t="s">
        <v>9614</v>
      </c>
      <c r="D1745" s="24" t="s">
        <v>7414</v>
      </c>
      <c r="E1745" s="24" t="s">
        <v>9418</v>
      </c>
      <c r="F1745" s="24" t="s">
        <v>7152</v>
      </c>
      <c r="G1745" s="24" t="b">
        <v>0</v>
      </c>
    </row>
    <row r="1746" spans="1:7" ht="12.5" customHeight="1">
      <c r="A1746" s="27">
        <v>46140</v>
      </c>
      <c r="B1746" s="24" t="s">
        <v>9416</v>
      </c>
      <c r="C1746" s="24" t="s">
        <v>9614</v>
      </c>
      <c r="D1746" s="24" t="s">
        <v>7414</v>
      </c>
      <c r="E1746" s="24" t="s">
        <v>8361</v>
      </c>
      <c r="F1746" s="24" t="s">
        <v>7152</v>
      </c>
      <c r="G1746" s="24" t="b">
        <v>1</v>
      </c>
    </row>
    <row r="1747" spans="1:7" ht="12.5" customHeight="1">
      <c r="A1747" s="27">
        <v>46140</v>
      </c>
      <c r="B1747" s="24" t="s">
        <v>9416</v>
      </c>
      <c r="C1747" s="24" t="s">
        <v>9614</v>
      </c>
      <c r="D1747" s="24" t="s">
        <v>7414</v>
      </c>
      <c r="E1747" s="24" t="s">
        <v>9419</v>
      </c>
      <c r="F1747" s="24" t="s">
        <v>7152</v>
      </c>
      <c r="G1747" s="24" t="b">
        <v>0</v>
      </c>
    </row>
    <row r="1748" spans="1:7" ht="12.5" customHeight="1">
      <c r="A1748" s="27">
        <v>46140</v>
      </c>
      <c r="B1748" s="24" t="s">
        <v>9416</v>
      </c>
      <c r="C1748" s="24" t="s">
        <v>9614</v>
      </c>
      <c r="D1748" s="24" t="s">
        <v>7414</v>
      </c>
      <c r="E1748" s="24" t="s">
        <v>9420</v>
      </c>
      <c r="F1748" s="24" t="s">
        <v>7152</v>
      </c>
      <c r="G1748" s="24" t="b">
        <v>0</v>
      </c>
    </row>
    <row r="1749" spans="1:7" ht="12.5" customHeight="1">
      <c r="A1749" s="27">
        <v>46140</v>
      </c>
      <c r="B1749" s="24" t="s">
        <v>9416</v>
      </c>
      <c r="C1749" s="24" t="s">
        <v>9614</v>
      </c>
      <c r="D1749" s="24" t="s">
        <v>7414</v>
      </c>
      <c r="E1749" s="24" t="s">
        <v>9421</v>
      </c>
      <c r="F1749" s="24" t="s">
        <v>7152</v>
      </c>
      <c r="G1749" s="24" t="b">
        <v>1</v>
      </c>
    </row>
    <row r="1750" spans="1:7" ht="12.5" customHeight="1">
      <c r="A1750" s="27">
        <v>46140</v>
      </c>
      <c r="B1750" s="24" t="s">
        <v>9416</v>
      </c>
      <c r="C1750" s="24" t="s">
        <v>9614</v>
      </c>
      <c r="D1750" s="24" t="s">
        <v>7414</v>
      </c>
      <c r="E1750" s="24" t="s">
        <v>9422</v>
      </c>
      <c r="F1750" s="24" t="s">
        <v>7152</v>
      </c>
      <c r="G1750" s="24" t="b">
        <v>1</v>
      </c>
    </row>
    <row r="1751" spans="1:7" ht="12.5" customHeight="1">
      <c r="A1751" s="27">
        <v>46180</v>
      </c>
      <c r="B1751" s="24" t="s">
        <v>9423</v>
      </c>
      <c r="C1751" s="24" t="s">
        <v>9615</v>
      </c>
      <c r="D1751" s="24" t="s">
        <v>7824</v>
      </c>
      <c r="E1751" s="24" t="s">
        <v>9424</v>
      </c>
      <c r="F1751" s="24" t="s">
        <v>7584</v>
      </c>
      <c r="G1751" s="24" t="b">
        <v>0</v>
      </c>
    </row>
    <row r="1752" spans="1:7" ht="12.5" customHeight="1">
      <c r="A1752" s="27">
        <v>46180</v>
      </c>
      <c r="B1752" s="24" t="s">
        <v>9423</v>
      </c>
      <c r="C1752" s="24" t="s">
        <v>9615</v>
      </c>
      <c r="D1752" s="24" t="s">
        <v>7824</v>
      </c>
      <c r="E1752" s="24" t="s">
        <v>7179</v>
      </c>
      <c r="F1752" s="24" t="s">
        <v>7584</v>
      </c>
      <c r="G1752" s="24" t="b">
        <v>1</v>
      </c>
    </row>
    <row r="1753" spans="1:7" ht="12.5" customHeight="1">
      <c r="A1753" s="27">
        <v>46180</v>
      </c>
      <c r="B1753" s="24" t="s">
        <v>9423</v>
      </c>
      <c r="C1753" s="24" t="s">
        <v>9615</v>
      </c>
      <c r="D1753" s="24" t="s">
        <v>7824</v>
      </c>
      <c r="E1753" s="24" t="s">
        <v>7151</v>
      </c>
      <c r="F1753" s="24" t="s">
        <v>7584</v>
      </c>
      <c r="G1753" s="24" t="b">
        <v>0</v>
      </c>
    </row>
    <row r="1754" spans="1:7" ht="12.5" customHeight="1">
      <c r="A1754" s="27">
        <v>46180</v>
      </c>
      <c r="B1754" s="24" t="s">
        <v>9423</v>
      </c>
      <c r="C1754" s="24" t="s">
        <v>9615</v>
      </c>
      <c r="D1754" s="24" t="s">
        <v>7824</v>
      </c>
      <c r="E1754" s="24" t="s">
        <v>9425</v>
      </c>
      <c r="F1754" s="24" t="s">
        <v>7584</v>
      </c>
      <c r="G1754" s="24" t="b">
        <v>0</v>
      </c>
    </row>
    <row r="1755" spans="1:7" ht="12.5" customHeight="1">
      <c r="A1755" s="27">
        <v>46220</v>
      </c>
      <c r="B1755" s="24" t="s">
        <v>9426</v>
      </c>
      <c r="C1755" s="24" t="s">
        <v>9614</v>
      </c>
      <c r="D1755" s="24" t="s">
        <v>7138</v>
      </c>
      <c r="E1755" s="24" t="s">
        <v>7702</v>
      </c>
      <c r="F1755" s="24" t="s">
        <v>7201</v>
      </c>
      <c r="G1755" s="24" t="b">
        <v>0</v>
      </c>
    </row>
    <row r="1756" spans="1:7" ht="12.5" customHeight="1">
      <c r="A1756" s="27">
        <v>46220</v>
      </c>
      <c r="B1756" s="24" t="s">
        <v>9426</v>
      </c>
      <c r="C1756" s="24" t="s">
        <v>9614</v>
      </c>
      <c r="D1756" s="24" t="s">
        <v>7138</v>
      </c>
      <c r="E1756" s="24" t="s">
        <v>8965</v>
      </c>
      <c r="F1756" s="24" t="s">
        <v>7201</v>
      </c>
      <c r="G1756" s="24" t="b">
        <v>0</v>
      </c>
    </row>
    <row r="1757" spans="1:7" ht="12.5" customHeight="1">
      <c r="A1757" s="27">
        <v>46220</v>
      </c>
      <c r="B1757" s="24" t="s">
        <v>9426</v>
      </c>
      <c r="C1757" s="24" t="s">
        <v>9614</v>
      </c>
      <c r="D1757" s="24" t="s">
        <v>7138</v>
      </c>
      <c r="E1757" s="24" t="s">
        <v>7344</v>
      </c>
      <c r="F1757" s="24" t="s">
        <v>7201</v>
      </c>
      <c r="G1757" s="24" t="b">
        <v>0</v>
      </c>
    </row>
    <row r="1758" spans="1:7" ht="12.5" customHeight="1">
      <c r="A1758" s="27">
        <v>46220</v>
      </c>
      <c r="B1758" s="24" t="s">
        <v>9426</v>
      </c>
      <c r="C1758" s="24" t="s">
        <v>9614</v>
      </c>
      <c r="D1758" s="24" t="s">
        <v>7138</v>
      </c>
      <c r="E1758" s="24" t="s">
        <v>9427</v>
      </c>
      <c r="F1758" s="24" t="s">
        <v>7201</v>
      </c>
      <c r="G1758" s="24" t="b">
        <v>1</v>
      </c>
    </row>
    <row r="1759" spans="1:7" ht="12.5" customHeight="1">
      <c r="A1759" s="27">
        <v>46300</v>
      </c>
      <c r="B1759" s="24" t="s">
        <v>9428</v>
      </c>
      <c r="C1759" s="24" t="s">
        <v>9614</v>
      </c>
      <c r="D1759" s="24" t="s">
        <v>7138</v>
      </c>
      <c r="E1759" s="24" t="s">
        <v>9429</v>
      </c>
      <c r="F1759" s="24" t="s">
        <v>7505</v>
      </c>
      <c r="G1759" s="24" t="b">
        <v>0</v>
      </c>
    </row>
    <row r="1760" spans="1:7" ht="12.5" customHeight="1">
      <c r="A1760" s="27">
        <v>46300</v>
      </c>
      <c r="B1760" s="24" t="s">
        <v>9428</v>
      </c>
      <c r="C1760" s="24" t="s">
        <v>9614</v>
      </c>
      <c r="D1760" s="24" t="s">
        <v>7138</v>
      </c>
      <c r="E1760" s="24" t="s">
        <v>9430</v>
      </c>
      <c r="F1760" s="24" t="s">
        <v>7505</v>
      </c>
      <c r="G1760" s="24" t="b">
        <v>1</v>
      </c>
    </row>
    <row r="1761" spans="1:7" ht="12.5" customHeight="1">
      <c r="A1761" s="27">
        <v>46340</v>
      </c>
      <c r="B1761" s="24" t="s">
        <v>9431</v>
      </c>
      <c r="C1761" s="24" t="s">
        <v>9614</v>
      </c>
      <c r="D1761" s="24" t="s">
        <v>8344</v>
      </c>
      <c r="E1761" s="24" t="s">
        <v>8770</v>
      </c>
      <c r="F1761" s="24" t="s">
        <v>7147</v>
      </c>
      <c r="G1761" s="24" t="b">
        <v>1</v>
      </c>
    </row>
    <row r="1762" spans="1:7" ht="12.5" customHeight="1">
      <c r="A1762" s="27">
        <v>46380</v>
      </c>
      <c r="B1762" s="24" t="s">
        <v>9432</v>
      </c>
      <c r="C1762" s="24" t="s">
        <v>9615</v>
      </c>
      <c r="D1762" s="24" t="s">
        <v>7138</v>
      </c>
      <c r="E1762" s="24" t="s">
        <v>9433</v>
      </c>
      <c r="F1762" s="24" t="s">
        <v>7386</v>
      </c>
      <c r="G1762" s="24" t="b">
        <v>1</v>
      </c>
    </row>
    <row r="1763" spans="1:7" ht="12.5" customHeight="1">
      <c r="A1763" s="27">
        <v>46420</v>
      </c>
      <c r="B1763" s="24" t="s">
        <v>9434</v>
      </c>
      <c r="C1763" s="24" t="s">
        <v>9615</v>
      </c>
      <c r="D1763" s="24" t="s">
        <v>8117</v>
      </c>
      <c r="E1763" s="24" t="s">
        <v>7695</v>
      </c>
      <c r="F1763" s="24" t="s">
        <v>7368</v>
      </c>
      <c r="G1763" s="24" t="b">
        <v>1</v>
      </c>
    </row>
    <row r="1764" spans="1:7" ht="12.5" customHeight="1">
      <c r="A1764" s="27">
        <v>46460</v>
      </c>
      <c r="B1764" s="24" t="s">
        <v>9435</v>
      </c>
      <c r="C1764" s="24" t="s">
        <v>9615</v>
      </c>
      <c r="D1764" s="24" t="s">
        <v>8607</v>
      </c>
      <c r="E1764" s="24" t="s">
        <v>9436</v>
      </c>
      <c r="F1764" s="24" t="s">
        <v>7312</v>
      </c>
      <c r="G1764" s="24" t="b">
        <v>1</v>
      </c>
    </row>
    <row r="1765" spans="1:7" ht="12.5" customHeight="1">
      <c r="A1765" s="27">
        <v>46500</v>
      </c>
      <c r="B1765" s="24" t="s">
        <v>9437</v>
      </c>
      <c r="C1765" s="24" t="s">
        <v>9615</v>
      </c>
      <c r="D1765" s="24" t="s">
        <v>7886</v>
      </c>
      <c r="E1765" s="24" t="s">
        <v>7676</v>
      </c>
      <c r="F1765" s="24" t="s">
        <v>7171</v>
      </c>
      <c r="G1765" s="24" t="b">
        <v>1</v>
      </c>
    </row>
    <row r="1766" spans="1:7" ht="12.5" customHeight="1">
      <c r="A1766" s="27">
        <v>46520</v>
      </c>
      <c r="B1766" s="24" t="s">
        <v>9438</v>
      </c>
      <c r="C1766" s="24" t="s">
        <v>9614</v>
      </c>
      <c r="D1766" s="24" t="s">
        <v>7138</v>
      </c>
      <c r="E1766" s="24" t="s">
        <v>9439</v>
      </c>
      <c r="F1766" s="24" t="s">
        <v>8252</v>
      </c>
      <c r="G1766" s="24" t="b">
        <v>1</v>
      </c>
    </row>
    <row r="1767" spans="1:7" ht="12.5" customHeight="1">
      <c r="A1767" s="27">
        <v>46540</v>
      </c>
      <c r="B1767" s="24" t="s">
        <v>9440</v>
      </c>
      <c r="C1767" s="24" t="s">
        <v>9614</v>
      </c>
      <c r="D1767" s="24" t="s">
        <v>7138</v>
      </c>
      <c r="E1767" s="24" t="s">
        <v>9441</v>
      </c>
      <c r="F1767" s="24" t="s">
        <v>3775</v>
      </c>
      <c r="G1767" s="24" t="b">
        <v>0</v>
      </c>
    </row>
    <row r="1768" spans="1:7" ht="12.5" customHeight="1">
      <c r="A1768" s="27">
        <v>46540</v>
      </c>
      <c r="B1768" s="24" t="s">
        <v>9440</v>
      </c>
      <c r="C1768" s="24" t="s">
        <v>9614</v>
      </c>
      <c r="D1768" s="24" t="s">
        <v>7138</v>
      </c>
      <c r="E1768" s="24" t="s">
        <v>9442</v>
      </c>
      <c r="F1768" s="24" t="s">
        <v>3775</v>
      </c>
      <c r="G1768" s="24" t="b">
        <v>1</v>
      </c>
    </row>
    <row r="1769" spans="1:7" ht="12.5" customHeight="1">
      <c r="A1769" s="27">
        <v>46620</v>
      </c>
      <c r="B1769" s="24" t="s">
        <v>9443</v>
      </c>
      <c r="C1769" s="24" t="s">
        <v>9615</v>
      </c>
      <c r="D1769" s="24" t="s">
        <v>7138</v>
      </c>
      <c r="E1769" s="24" t="s">
        <v>9444</v>
      </c>
      <c r="F1769" s="24" t="s">
        <v>7147</v>
      </c>
      <c r="G1769" s="24" t="b">
        <v>1</v>
      </c>
    </row>
    <row r="1770" spans="1:7" ht="12.5" customHeight="1">
      <c r="A1770" s="27">
        <v>46660</v>
      </c>
      <c r="B1770" s="24" t="s">
        <v>9445</v>
      </c>
      <c r="C1770" s="24" t="s">
        <v>9614</v>
      </c>
      <c r="D1770" s="24" t="s">
        <v>7138</v>
      </c>
      <c r="E1770" s="24" t="s">
        <v>9446</v>
      </c>
      <c r="F1770" s="24" t="s">
        <v>7178</v>
      </c>
      <c r="G1770" s="24" t="b">
        <v>0</v>
      </c>
    </row>
    <row r="1771" spans="1:7" ht="12.5" customHeight="1">
      <c r="A1771" s="27">
        <v>46660</v>
      </c>
      <c r="B1771" s="24" t="s">
        <v>9445</v>
      </c>
      <c r="C1771" s="24" t="s">
        <v>9614</v>
      </c>
      <c r="D1771" s="24" t="s">
        <v>7138</v>
      </c>
      <c r="E1771" s="24" t="s">
        <v>9447</v>
      </c>
      <c r="F1771" s="24" t="s">
        <v>7178</v>
      </c>
      <c r="G1771" s="24" t="b">
        <v>0</v>
      </c>
    </row>
    <row r="1772" spans="1:7" ht="12.5" customHeight="1">
      <c r="A1772" s="27">
        <v>46660</v>
      </c>
      <c r="B1772" s="24" t="s">
        <v>9445</v>
      </c>
      <c r="C1772" s="24" t="s">
        <v>9614</v>
      </c>
      <c r="D1772" s="24" t="s">
        <v>7138</v>
      </c>
      <c r="E1772" s="24" t="s">
        <v>9448</v>
      </c>
      <c r="F1772" s="24" t="s">
        <v>7178</v>
      </c>
      <c r="G1772" s="24" t="b">
        <v>0</v>
      </c>
    </row>
    <row r="1773" spans="1:7" ht="12.5" customHeight="1">
      <c r="A1773" s="27">
        <v>46660</v>
      </c>
      <c r="B1773" s="24" t="s">
        <v>9445</v>
      </c>
      <c r="C1773" s="24" t="s">
        <v>9614</v>
      </c>
      <c r="D1773" s="24" t="s">
        <v>7138</v>
      </c>
      <c r="E1773" s="24" t="s">
        <v>7803</v>
      </c>
      <c r="F1773" s="24" t="s">
        <v>7178</v>
      </c>
      <c r="G1773" s="24" t="b">
        <v>1</v>
      </c>
    </row>
    <row r="1774" spans="1:7" ht="12.5" customHeight="1">
      <c r="A1774" s="27">
        <v>46700</v>
      </c>
      <c r="B1774" s="24" t="s">
        <v>9449</v>
      </c>
      <c r="C1774" s="24" t="s">
        <v>9614</v>
      </c>
      <c r="D1774" s="24" t="s">
        <v>8643</v>
      </c>
      <c r="E1774" s="24" t="s">
        <v>9450</v>
      </c>
      <c r="F1774" s="24" t="s">
        <v>7386</v>
      </c>
      <c r="G1774" s="24" t="b">
        <v>1</v>
      </c>
    </row>
    <row r="1775" spans="1:7" ht="12.5" customHeight="1">
      <c r="A1775" s="27">
        <v>46780</v>
      </c>
      <c r="B1775" s="24" t="s">
        <v>9451</v>
      </c>
      <c r="C1775" s="24" t="s">
        <v>9615</v>
      </c>
      <c r="D1775" s="24" t="s">
        <v>7666</v>
      </c>
      <c r="E1775" s="24" t="s">
        <v>9452</v>
      </c>
      <c r="F1775" s="24" t="s">
        <v>7171</v>
      </c>
      <c r="G1775" s="24" t="b">
        <v>1</v>
      </c>
    </row>
    <row r="1776" spans="1:7" ht="12.5" customHeight="1">
      <c r="A1776" s="27">
        <v>46820</v>
      </c>
      <c r="B1776" s="24" t="s">
        <v>9453</v>
      </c>
      <c r="C1776" s="24" t="s">
        <v>9615</v>
      </c>
      <c r="D1776" s="24" t="s">
        <v>7138</v>
      </c>
      <c r="E1776" s="24" t="s">
        <v>7680</v>
      </c>
      <c r="F1776" s="24" t="s">
        <v>7141</v>
      </c>
      <c r="G1776" s="24" t="b">
        <v>1</v>
      </c>
    </row>
    <row r="1777" spans="1:7" ht="12.5" customHeight="1">
      <c r="A1777" s="27">
        <v>46860</v>
      </c>
      <c r="B1777" s="24" t="s">
        <v>9454</v>
      </c>
      <c r="C1777" s="24" t="s">
        <v>9615</v>
      </c>
      <c r="D1777" s="24" t="s">
        <v>7138</v>
      </c>
      <c r="E1777" s="24" t="s">
        <v>9455</v>
      </c>
      <c r="F1777" s="24" t="s">
        <v>7659</v>
      </c>
      <c r="G1777" s="24" t="b">
        <v>1</v>
      </c>
    </row>
    <row r="1778" spans="1:7" ht="12.5" customHeight="1">
      <c r="A1778" s="27">
        <v>46900</v>
      </c>
      <c r="B1778" s="24" t="s">
        <v>9456</v>
      </c>
      <c r="C1778" s="24" t="s">
        <v>9615</v>
      </c>
      <c r="D1778" s="24" t="s">
        <v>7138</v>
      </c>
      <c r="E1778" s="24" t="s">
        <v>9457</v>
      </c>
      <c r="F1778" s="24" t="s">
        <v>7147</v>
      </c>
      <c r="G1778" s="24" t="b">
        <v>1</v>
      </c>
    </row>
    <row r="1779" spans="1:7" ht="12.5" customHeight="1">
      <c r="A1779" s="27">
        <v>46980</v>
      </c>
      <c r="B1779" s="24" t="s">
        <v>9458</v>
      </c>
      <c r="C1779" s="24" t="s">
        <v>9615</v>
      </c>
      <c r="D1779" s="24" t="s">
        <v>7583</v>
      </c>
      <c r="E1779" s="24" t="s">
        <v>7223</v>
      </c>
      <c r="F1779" s="24" t="s">
        <v>7584</v>
      </c>
      <c r="G1779" s="24" t="b">
        <v>1</v>
      </c>
    </row>
    <row r="1780" spans="1:7" ht="12.5" customHeight="1">
      <c r="A1780" s="27">
        <v>47020</v>
      </c>
      <c r="B1780" s="24" t="s">
        <v>9459</v>
      </c>
      <c r="C1780" s="24" t="s">
        <v>9614</v>
      </c>
      <c r="D1780" s="24" t="s">
        <v>8996</v>
      </c>
      <c r="E1780" s="24" t="s">
        <v>9460</v>
      </c>
      <c r="F1780" s="24" t="s">
        <v>7147</v>
      </c>
      <c r="G1780" s="24" t="b">
        <v>0</v>
      </c>
    </row>
    <row r="1781" spans="1:7" ht="12.5" customHeight="1">
      <c r="A1781" s="27">
        <v>47020</v>
      </c>
      <c r="B1781" s="24" t="s">
        <v>9459</v>
      </c>
      <c r="C1781" s="24" t="s">
        <v>9614</v>
      </c>
      <c r="D1781" s="24" t="s">
        <v>8996</v>
      </c>
      <c r="E1781" s="24" t="s">
        <v>9461</v>
      </c>
      <c r="F1781" s="24" t="s">
        <v>7147</v>
      </c>
      <c r="G1781" s="24" t="b">
        <v>1</v>
      </c>
    </row>
    <row r="1782" spans="1:7" ht="12.5" customHeight="1">
      <c r="A1782" s="27">
        <v>47080</v>
      </c>
      <c r="B1782" s="24" t="s">
        <v>9462</v>
      </c>
      <c r="C1782" s="24" t="s">
        <v>9615</v>
      </c>
      <c r="D1782" s="24" t="s">
        <v>7138</v>
      </c>
      <c r="E1782" s="24" t="s">
        <v>7255</v>
      </c>
      <c r="F1782" s="24" t="s">
        <v>7178</v>
      </c>
      <c r="G1782" s="24" t="b">
        <v>0</v>
      </c>
    </row>
    <row r="1783" spans="1:7" ht="12.5" customHeight="1">
      <c r="A1783" s="27">
        <v>47080</v>
      </c>
      <c r="B1783" s="24" t="s">
        <v>9462</v>
      </c>
      <c r="C1783" s="24" t="s">
        <v>9615</v>
      </c>
      <c r="D1783" s="24" t="s">
        <v>7138</v>
      </c>
      <c r="E1783" s="24" t="s">
        <v>9463</v>
      </c>
      <c r="F1783" s="24" t="s">
        <v>7178</v>
      </c>
      <c r="G1783" s="24" t="b">
        <v>1</v>
      </c>
    </row>
    <row r="1784" spans="1:7" ht="12.5" customHeight="1">
      <c r="A1784" s="27">
        <v>47180</v>
      </c>
      <c r="B1784" s="24" t="s">
        <v>9464</v>
      </c>
      <c r="C1784" s="24" t="s">
        <v>9615</v>
      </c>
      <c r="D1784" s="24" t="s">
        <v>7138</v>
      </c>
      <c r="E1784" s="24" t="s">
        <v>8128</v>
      </c>
      <c r="F1784" s="24" t="s">
        <v>4460</v>
      </c>
      <c r="G1784" s="24" t="b">
        <v>1</v>
      </c>
    </row>
    <row r="1785" spans="1:7" ht="12.5" customHeight="1">
      <c r="A1785" s="27">
        <v>47220</v>
      </c>
      <c r="B1785" s="24" t="s">
        <v>9465</v>
      </c>
      <c r="C1785" s="24" t="s">
        <v>9614</v>
      </c>
      <c r="D1785" s="24" t="s">
        <v>7350</v>
      </c>
      <c r="E1785" s="24" t="s">
        <v>7684</v>
      </c>
      <c r="F1785" s="24" t="s">
        <v>7224</v>
      </c>
      <c r="G1785" s="24" t="b">
        <v>1</v>
      </c>
    </row>
    <row r="1786" spans="1:7" ht="12.5" customHeight="1">
      <c r="A1786" s="27">
        <v>47240</v>
      </c>
      <c r="B1786" s="24" t="s">
        <v>9466</v>
      </c>
      <c r="C1786" s="24" t="s">
        <v>9615</v>
      </c>
      <c r="D1786" s="24" t="s">
        <v>7138</v>
      </c>
      <c r="E1786" s="24" t="s">
        <v>9467</v>
      </c>
      <c r="F1786" s="24" t="s">
        <v>7408</v>
      </c>
      <c r="G1786" s="24" t="b">
        <v>1</v>
      </c>
    </row>
    <row r="1787" spans="1:7" ht="12.5" customHeight="1">
      <c r="A1787" s="27">
        <v>47260</v>
      </c>
      <c r="B1787" s="24" t="s">
        <v>9468</v>
      </c>
      <c r="C1787" s="24" t="s">
        <v>9614</v>
      </c>
      <c r="D1787" s="24" t="s">
        <v>7984</v>
      </c>
      <c r="E1787" s="24" t="s">
        <v>8940</v>
      </c>
      <c r="F1787" s="24" t="s">
        <v>7195</v>
      </c>
      <c r="G1787" s="24" t="b">
        <v>0</v>
      </c>
    </row>
    <row r="1788" spans="1:7" ht="12.5" customHeight="1">
      <c r="A1788" s="27">
        <v>47260</v>
      </c>
      <c r="B1788" s="24" t="s">
        <v>9468</v>
      </c>
      <c r="C1788" s="24" t="s">
        <v>9614</v>
      </c>
      <c r="D1788" s="24" t="s">
        <v>7984</v>
      </c>
      <c r="E1788" s="24" t="s">
        <v>9469</v>
      </c>
      <c r="F1788" s="24" t="s">
        <v>7195</v>
      </c>
      <c r="G1788" s="24" t="b">
        <v>0</v>
      </c>
    </row>
    <row r="1789" spans="1:7" ht="12.5" customHeight="1">
      <c r="A1789" s="27">
        <v>47260</v>
      </c>
      <c r="B1789" s="24" t="s">
        <v>9468</v>
      </c>
      <c r="C1789" s="24" t="s">
        <v>9614</v>
      </c>
      <c r="D1789" s="24" t="s">
        <v>7984</v>
      </c>
      <c r="E1789" s="24" t="s">
        <v>9470</v>
      </c>
      <c r="F1789" s="24" t="s">
        <v>7195</v>
      </c>
      <c r="G1789" s="24" t="b">
        <v>0</v>
      </c>
    </row>
    <row r="1790" spans="1:7" ht="12.5" customHeight="1">
      <c r="A1790" s="27">
        <v>47260</v>
      </c>
      <c r="B1790" s="24" t="s">
        <v>9468</v>
      </c>
      <c r="C1790" s="24" t="s">
        <v>9614</v>
      </c>
      <c r="D1790" s="24" t="s">
        <v>7984</v>
      </c>
      <c r="E1790" s="24" t="s">
        <v>8941</v>
      </c>
      <c r="F1790" s="24" t="s">
        <v>2920</v>
      </c>
      <c r="G1790" s="24" t="b">
        <v>1</v>
      </c>
    </row>
    <row r="1791" spans="1:7" ht="12.5" customHeight="1">
      <c r="A1791" s="27">
        <v>47260</v>
      </c>
      <c r="B1791" s="24" t="s">
        <v>9468</v>
      </c>
      <c r="C1791" s="24" t="s">
        <v>9614</v>
      </c>
      <c r="D1791" s="24" t="s">
        <v>7984</v>
      </c>
      <c r="E1791" s="24" t="s">
        <v>9471</v>
      </c>
      <c r="F1791" s="24" t="s">
        <v>2920</v>
      </c>
      <c r="G1791" s="24" t="b">
        <v>0</v>
      </c>
    </row>
    <row r="1792" spans="1:7" ht="12.5" customHeight="1">
      <c r="A1792" s="27">
        <v>47260</v>
      </c>
      <c r="B1792" s="24" t="s">
        <v>9468</v>
      </c>
      <c r="C1792" s="24" t="s">
        <v>9614</v>
      </c>
      <c r="D1792" s="24" t="s">
        <v>7984</v>
      </c>
      <c r="E1792" s="24" t="s">
        <v>9472</v>
      </c>
      <c r="F1792" s="24" t="s">
        <v>2920</v>
      </c>
      <c r="G1792" s="24" t="b">
        <v>0</v>
      </c>
    </row>
    <row r="1793" spans="1:7" ht="12.5" customHeight="1">
      <c r="A1793" s="27">
        <v>47260</v>
      </c>
      <c r="B1793" s="24" t="s">
        <v>9468</v>
      </c>
      <c r="C1793" s="24" t="s">
        <v>9614</v>
      </c>
      <c r="D1793" s="24" t="s">
        <v>7984</v>
      </c>
      <c r="E1793" s="24" t="s">
        <v>9473</v>
      </c>
      <c r="F1793" s="24" t="s">
        <v>2920</v>
      </c>
      <c r="G1793" s="24" t="b">
        <v>0</v>
      </c>
    </row>
    <row r="1794" spans="1:7" ht="12.5" customHeight="1">
      <c r="A1794" s="27">
        <v>47260</v>
      </c>
      <c r="B1794" s="24" t="s">
        <v>9468</v>
      </c>
      <c r="C1794" s="24" t="s">
        <v>9614</v>
      </c>
      <c r="D1794" s="24" t="s">
        <v>7984</v>
      </c>
      <c r="E1794" s="24" t="s">
        <v>9474</v>
      </c>
      <c r="F1794" s="24" t="s">
        <v>2920</v>
      </c>
      <c r="G1794" s="24" t="b">
        <v>0</v>
      </c>
    </row>
    <row r="1795" spans="1:7" ht="12.5" customHeight="1">
      <c r="A1795" s="27">
        <v>47260</v>
      </c>
      <c r="B1795" s="24" t="s">
        <v>9468</v>
      </c>
      <c r="C1795" s="24" t="s">
        <v>9614</v>
      </c>
      <c r="D1795" s="24" t="s">
        <v>7984</v>
      </c>
      <c r="E1795" s="24" t="s">
        <v>7698</v>
      </c>
      <c r="F1795" s="24" t="s">
        <v>2920</v>
      </c>
      <c r="G1795" s="24" t="b">
        <v>1</v>
      </c>
    </row>
    <row r="1796" spans="1:7" ht="12.5" customHeight="1">
      <c r="A1796" s="27">
        <v>47260</v>
      </c>
      <c r="B1796" s="24" t="s">
        <v>9468</v>
      </c>
      <c r="C1796" s="24" t="s">
        <v>9614</v>
      </c>
      <c r="D1796" s="24" t="s">
        <v>7984</v>
      </c>
      <c r="E1796" s="24" t="s">
        <v>9475</v>
      </c>
      <c r="F1796" s="24" t="s">
        <v>2920</v>
      </c>
      <c r="G1796" s="24" t="b">
        <v>1</v>
      </c>
    </row>
    <row r="1797" spans="1:7" ht="12.5" customHeight="1">
      <c r="A1797" s="27">
        <v>47260</v>
      </c>
      <c r="B1797" s="24" t="s">
        <v>9468</v>
      </c>
      <c r="C1797" s="24" t="s">
        <v>9614</v>
      </c>
      <c r="D1797" s="24" t="s">
        <v>7984</v>
      </c>
      <c r="E1797" s="24" t="s">
        <v>9476</v>
      </c>
      <c r="F1797" s="24" t="s">
        <v>2920</v>
      </c>
      <c r="G1797" s="24" t="b">
        <v>0</v>
      </c>
    </row>
    <row r="1798" spans="1:7" ht="12.5" customHeight="1">
      <c r="A1798" s="27">
        <v>47260</v>
      </c>
      <c r="B1798" s="24" t="s">
        <v>9468</v>
      </c>
      <c r="C1798" s="24" t="s">
        <v>9614</v>
      </c>
      <c r="D1798" s="24" t="s">
        <v>7984</v>
      </c>
      <c r="E1798" s="24" t="s">
        <v>9477</v>
      </c>
      <c r="F1798" s="24" t="s">
        <v>2920</v>
      </c>
      <c r="G1798" s="24" t="b">
        <v>1</v>
      </c>
    </row>
    <row r="1799" spans="1:7" ht="12.5" customHeight="1">
      <c r="A1799" s="27">
        <v>47260</v>
      </c>
      <c r="B1799" s="24" t="s">
        <v>9468</v>
      </c>
      <c r="C1799" s="24" t="s">
        <v>9614</v>
      </c>
      <c r="D1799" s="24" t="s">
        <v>7984</v>
      </c>
      <c r="E1799" s="24" t="s">
        <v>9478</v>
      </c>
      <c r="F1799" s="24" t="s">
        <v>2920</v>
      </c>
      <c r="G1799" s="24" t="b">
        <v>1</v>
      </c>
    </row>
    <row r="1800" spans="1:7" ht="12.5" customHeight="1">
      <c r="A1800" s="27">
        <v>47260</v>
      </c>
      <c r="B1800" s="24" t="s">
        <v>9468</v>
      </c>
      <c r="C1800" s="24" t="s">
        <v>9614</v>
      </c>
      <c r="D1800" s="24" t="s">
        <v>7984</v>
      </c>
      <c r="E1800" s="24" t="s">
        <v>9479</v>
      </c>
      <c r="F1800" s="24" t="s">
        <v>2920</v>
      </c>
      <c r="G1800" s="24" t="b">
        <v>1</v>
      </c>
    </row>
    <row r="1801" spans="1:7" ht="12.5" customHeight="1">
      <c r="A1801" s="27">
        <v>47260</v>
      </c>
      <c r="B1801" s="24" t="s">
        <v>9468</v>
      </c>
      <c r="C1801" s="24" t="s">
        <v>9614</v>
      </c>
      <c r="D1801" s="24" t="s">
        <v>7984</v>
      </c>
      <c r="E1801" s="24" t="s">
        <v>9480</v>
      </c>
      <c r="F1801" s="24" t="s">
        <v>2920</v>
      </c>
      <c r="G1801" s="24" t="b">
        <v>1</v>
      </c>
    </row>
    <row r="1802" spans="1:7" ht="12.5" customHeight="1">
      <c r="A1802" s="27">
        <v>47260</v>
      </c>
      <c r="B1802" s="24" t="s">
        <v>9468</v>
      </c>
      <c r="C1802" s="24" t="s">
        <v>9614</v>
      </c>
      <c r="D1802" s="24" t="s">
        <v>7984</v>
      </c>
      <c r="E1802" s="24" t="s">
        <v>9481</v>
      </c>
      <c r="F1802" s="24" t="s">
        <v>2920</v>
      </c>
      <c r="G1802" s="24" t="b">
        <v>1</v>
      </c>
    </row>
    <row r="1803" spans="1:7" ht="12.5" customHeight="1">
      <c r="A1803" s="27">
        <v>47260</v>
      </c>
      <c r="B1803" s="24" t="s">
        <v>9468</v>
      </c>
      <c r="C1803" s="24" t="s">
        <v>9614</v>
      </c>
      <c r="D1803" s="24" t="s">
        <v>7984</v>
      </c>
      <c r="E1803" s="24" t="s">
        <v>9482</v>
      </c>
      <c r="F1803" s="24" t="s">
        <v>2920</v>
      </c>
      <c r="G1803" s="24" t="b">
        <v>1</v>
      </c>
    </row>
    <row r="1804" spans="1:7" ht="12.5" customHeight="1">
      <c r="A1804" s="27">
        <v>47260</v>
      </c>
      <c r="B1804" s="24" t="s">
        <v>9468</v>
      </c>
      <c r="C1804" s="24" t="s">
        <v>9614</v>
      </c>
      <c r="D1804" s="24" t="s">
        <v>7984</v>
      </c>
      <c r="E1804" s="24" t="s">
        <v>9483</v>
      </c>
      <c r="F1804" s="24" t="s">
        <v>2920</v>
      </c>
      <c r="G1804" s="24" t="b">
        <v>1</v>
      </c>
    </row>
    <row r="1805" spans="1:7" ht="12.5" customHeight="1">
      <c r="A1805" s="27">
        <v>47260</v>
      </c>
      <c r="B1805" s="24" t="s">
        <v>9468</v>
      </c>
      <c r="C1805" s="24" t="s">
        <v>9614</v>
      </c>
      <c r="D1805" s="24" t="s">
        <v>7984</v>
      </c>
      <c r="E1805" s="24" t="s">
        <v>9484</v>
      </c>
      <c r="F1805" s="24" t="s">
        <v>2920</v>
      </c>
      <c r="G1805" s="24" t="b">
        <v>0</v>
      </c>
    </row>
    <row r="1806" spans="1:7" ht="12.5" customHeight="1">
      <c r="A1806" s="27">
        <v>47300</v>
      </c>
      <c r="B1806" s="24" t="s">
        <v>9485</v>
      </c>
      <c r="C1806" s="24" t="s">
        <v>9614</v>
      </c>
      <c r="D1806" s="24" t="s">
        <v>7138</v>
      </c>
      <c r="E1806" s="24" t="s">
        <v>9486</v>
      </c>
      <c r="F1806" s="24" t="s">
        <v>7386</v>
      </c>
      <c r="G1806" s="24" t="b">
        <v>1</v>
      </c>
    </row>
    <row r="1807" spans="1:7" ht="12.5" customHeight="1">
      <c r="A1807" s="27">
        <v>47340</v>
      </c>
      <c r="B1807" s="24" t="s">
        <v>9487</v>
      </c>
      <c r="C1807" s="24" t="s">
        <v>9615</v>
      </c>
      <c r="D1807" s="24" t="s">
        <v>7138</v>
      </c>
      <c r="E1807" s="24" t="s">
        <v>9488</v>
      </c>
      <c r="F1807" s="24" t="s">
        <v>4460</v>
      </c>
      <c r="G1807" s="24" t="b">
        <v>1</v>
      </c>
    </row>
    <row r="1808" spans="1:7" ht="12.5" customHeight="1">
      <c r="A1808" s="27">
        <v>47380</v>
      </c>
      <c r="B1808" s="24" t="s">
        <v>9489</v>
      </c>
      <c r="C1808" s="24" t="s">
        <v>9614</v>
      </c>
      <c r="D1808" s="24" t="s">
        <v>7138</v>
      </c>
      <c r="E1808" s="24" t="s">
        <v>9490</v>
      </c>
      <c r="F1808" s="24" t="s">
        <v>7147</v>
      </c>
      <c r="G1808" s="24" t="b">
        <v>0</v>
      </c>
    </row>
    <row r="1809" spans="1:7" ht="12.5" customHeight="1">
      <c r="A1809" s="27">
        <v>47380</v>
      </c>
      <c r="B1809" s="24" t="s">
        <v>9489</v>
      </c>
      <c r="C1809" s="24" t="s">
        <v>9614</v>
      </c>
      <c r="D1809" s="24" t="s">
        <v>7138</v>
      </c>
      <c r="E1809" s="24" t="s">
        <v>9491</v>
      </c>
      <c r="F1809" s="24" t="s">
        <v>7147</v>
      </c>
      <c r="G1809" s="24" t="b">
        <v>1</v>
      </c>
    </row>
    <row r="1810" spans="1:7" ht="12.5" customHeight="1">
      <c r="A1810" s="27">
        <v>47420</v>
      </c>
      <c r="B1810" s="24" t="s">
        <v>9492</v>
      </c>
      <c r="C1810" s="24" t="s">
        <v>9615</v>
      </c>
      <c r="D1810" s="24" t="s">
        <v>8042</v>
      </c>
      <c r="E1810" s="24" t="s">
        <v>9493</v>
      </c>
      <c r="F1810" s="24" t="s">
        <v>7198</v>
      </c>
      <c r="G1810" s="24" t="b">
        <v>0</v>
      </c>
    </row>
    <row r="1811" spans="1:7" ht="12.5" customHeight="1">
      <c r="A1811" s="27">
        <v>47420</v>
      </c>
      <c r="B1811" s="24" t="s">
        <v>9492</v>
      </c>
      <c r="C1811" s="24" t="s">
        <v>9615</v>
      </c>
      <c r="D1811" s="24" t="s">
        <v>8042</v>
      </c>
      <c r="E1811" s="24" t="s">
        <v>7790</v>
      </c>
      <c r="F1811" s="24" t="s">
        <v>7499</v>
      </c>
      <c r="G1811" s="24" t="b">
        <v>1</v>
      </c>
    </row>
    <row r="1812" spans="1:7" ht="12.5" customHeight="1">
      <c r="A1812" s="27">
        <v>47460</v>
      </c>
      <c r="B1812" s="24" t="s">
        <v>9494</v>
      </c>
      <c r="C1812" s="24" t="s">
        <v>9614</v>
      </c>
      <c r="D1812" s="24" t="s">
        <v>8406</v>
      </c>
      <c r="E1812" s="24" t="s">
        <v>9495</v>
      </c>
      <c r="F1812" s="24" t="s">
        <v>1134</v>
      </c>
      <c r="G1812" s="24" t="b">
        <v>1</v>
      </c>
    </row>
    <row r="1813" spans="1:7" ht="12.5" customHeight="1">
      <c r="A1813" s="27">
        <v>47540</v>
      </c>
      <c r="B1813" s="24" t="s">
        <v>9496</v>
      </c>
      <c r="C1813" s="24" t="s">
        <v>9615</v>
      </c>
      <c r="D1813" s="24" t="s">
        <v>7666</v>
      </c>
      <c r="E1813" s="24" t="s">
        <v>9497</v>
      </c>
      <c r="F1813" s="24" t="s">
        <v>7171</v>
      </c>
      <c r="G1813" s="24" t="b">
        <v>1</v>
      </c>
    </row>
    <row r="1814" spans="1:7" ht="12.5" customHeight="1">
      <c r="A1814" s="27">
        <v>47580</v>
      </c>
      <c r="B1814" s="24" t="s">
        <v>9498</v>
      </c>
      <c r="C1814" s="24" t="s">
        <v>9614</v>
      </c>
      <c r="D1814" s="24" t="s">
        <v>8565</v>
      </c>
      <c r="E1814" s="24" t="s">
        <v>7932</v>
      </c>
      <c r="F1814" s="24" t="s">
        <v>7178</v>
      </c>
      <c r="G1814" s="24" t="b">
        <v>1</v>
      </c>
    </row>
    <row r="1815" spans="1:7" ht="12.5" customHeight="1">
      <c r="A1815" s="27">
        <v>47580</v>
      </c>
      <c r="B1815" s="24" t="s">
        <v>9498</v>
      </c>
      <c r="C1815" s="24" t="s">
        <v>9614</v>
      </c>
      <c r="D1815" s="24" t="s">
        <v>8565</v>
      </c>
      <c r="E1815" s="24" t="s">
        <v>9499</v>
      </c>
      <c r="F1815" s="24" t="s">
        <v>7178</v>
      </c>
      <c r="G1815" s="24" t="b">
        <v>0</v>
      </c>
    </row>
    <row r="1816" spans="1:7" ht="12.5" customHeight="1">
      <c r="A1816" s="27">
        <v>47620</v>
      </c>
      <c r="B1816" s="24" t="s">
        <v>9500</v>
      </c>
      <c r="C1816" s="24" t="s">
        <v>9615</v>
      </c>
      <c r="D1816" s="24" t="s">
        <v>7138</v>
      </c>
      <c r="E1816" s="24" t="s">
        <v>7223</v>
      </c>
      <c r="F1816" s="24" t="s">
        <v>7226</v>
      </c>
      <c r="G1816" s="24" t="b">
        <v>1</v>
      </c>
    </row>
    <row r="1817" spans="1:7" ht="12.5" customHeight="1">
      <c r="A1817" s="27">
        <v>47660</v>
      </c>
      <c r="B1817" s="24" t="s">
        <v>9501</v>
      </c>
      <c r="C1817" s="24" t="s">
        <v>9615</v>
      </c>
      <c r="D1817" s="24" t="s">
        <v>7304</v>
      </c>
      <c r="E1817" s="24" t="s">
        <v>7649</v>
      </c>
      <c r="F1817" s="24" t="s">
        <v>7570</v>
      </c>
      <c r="G1817" s="24" t="b">
        <v>1</v>
      </c>
    </row>
    <row r="1818" spans="1:7" ht="12.5" customHeight="1">
      <c r="A1818" s="27">
        <v>47700</v>
      </c>
      <c r="B1818" s="24" t="s">
        <v>9502</v>
      </c>
      <c r="C1818" s="24" t="s">
        <v>9615</v>
      </c>
      <c r="D1818" s="24" t="s">
        <v>7993</v>
      </c>
      <c r="E1818" s="24" t="s">
        <v>9503</v>
      </c>
      <c r="F1818" s="24" t="s">
        <v>4460</v>
      </c>
      <c r="G1818" s="24" t="b">
        <v>1</v>
      </c>
    </row>
    <row r="1819" spans="1:7" ht="12.5" customHeight="1">
      <c r="A1819" s="27">
        <v>47780</v>
      </c>
      <c r="B1819" s="24" t="s">
        <v>9504</v>
      </c>
      <c r="C1819" s="24" t="s">
        <v>9615</v>
      </c>
      <c r="D1819" s="24" t="s">
        <v>7138</v>
      </c>
      <c r="E1819" s="24" t="s">
        <v>8895</v>
      </c>
      <c r="F1819" s="24" t="s">
        <v>4460</v>
      </c>
      <c r="G1819" s="24" t="b">
        <v>1</v>
      </c>
    </row>
    <row r="1820" spans="1:7" ht="12.5" customHeight="1">
      <c r="A1820" s="27">
        <v>47820</v>
      </c>
      <c r="B1820" s="24" t="s">
        <v>9505</v>
      </c>
      <c r="C1820" s="24" t="s">
        <v>9615</v>
      </c>
      <c r="D1820" s="24" t="s">
        <v>8186</v>
      </c>
      <c r="E1820" s="24" t="s">
        <v>8254</v>
      </c>
      <c r="F1820" s="24" t="s">
        <v>7195</v>
      </c>
      <c r="G1820" s="24" t="b">
        <v>1</v>
      </c>
    </row>
    <row r="1821" spans="1:7" ht="12.5" customHeight="1">
      <c r="A1821" s="27">
        <v>47900</v>
      </c>
      <c r="B1821" s="24" t="s">
        <v>9506</v>
      </c>
      <c r="C1821" s="24" t="s">
        <v>9614</v>
      </c>
      <c r="D1821" s="24" t="s">
        <v>7388</v>
      </c>
      <c r="E1821" s="24" t="s">
        <v>9507</v>
      </c>
      <c r="F1821" s="24" t="s">
        <v>7390</v>
      </c>
      <c r="G1821" s="24" t="b">
        <v>0</v>
      </c>
    </row>
    <row r="1822" spans="1:7" ht="12.5" customHeight="1">
      <c r="A1822" s="27">
        <v>47900</v>
      </c>
      <c r="B1822" s="24" t="s">
        <v>9506</v>
      </c>
      <c r="C1822" s="24" t="s">
        <v>9614</v>
      </c>
      <c r="D1822" s="24" t="s">
        <v>7388</v>
      </c>
      <c r="E1822" s="24" t="s">
        <v>7255</v>
      </c>
      <c r="F1822" s="24" t="s">
        <v>7390</v>
      </c>
      <c r="G1822" s="24" t="b">
        <v>1</v>
      </c>
    </row>
    <row r="1823" spans="1:7" ht="12.5" customHeight="1">
      <c r="A1823" s="27">
        <v>47900</v>
      </c>
      <c r="B1823" s="24" t="s">
        <v>9506</v>
      </c>
      <c r="C1823" s="24" t="s">
        <v>9614</v>
      </c>
      <c r="D1823" s="24" t="s">
        <v>7388</v>
      </c>
      <c r="E1823" s="24" t="s">
        <v>9508</v>
      </c>
      <c r="F1823" s="24" t="s">
        <v>9508</v>
      </c>
      <c r="G1823" s="24" t="b">
        <v>1</v>
      </c>
    </row>
    <row r="1824" spans="1:7" ht="12.5" customHeight="1">
      <c r="A1824" s="27">
        <v>47900</v>
      </c>
      <c r="B1824" s="24" t="s">
        <v>9506</v>
      </c>
      <c r="C1824" s="24" t="s">
        <v>9614</v>
      </c>
      <c r="D1824" s="24" t="s">
        <v>7388</v>
      </c>
      <c r="E1824" s="24" t="s">
        <v>9509</v>
      </c>
      <c r="F1824" s="24" t="s">
        <v>7390</v>
      </c>
      <c r="G1824" s="24" t="b">
        <v>0</v>
      </c>
    </row>
    <row r="1825" spans="1:7" ht="12.5" customHeight="1">
      <c r="A1825" s="27">
        <v>47900</v>
      </c>
      <c r="B1825" s="24" t="s">
        <v>9506</v>
      </c>
      <c r="C1825" s="24" t="s">
        <v>9614</v>
      </c>
      <c r="D1825" s="24" t="s">
        <v>7388</v>
      </c>
      <c r="E1825" s="24" t="s">
        <v>9510</v>
      </c>
      <c r="F1825" s="24" t="s">
        <v>7390</v>
      </c>
      <c r="G1825" s="24" t="b">
        <v>0</v>
      </c>
    </row>
    <row r="1826" spans="1:7" ht="12.5" customHeight="1">
      <c r="A1826" s="27">
        <v>47900</v>
      </c>
      <c r="B1826" s="24" t="s">
        <v>9506</v>
      </c>
      <c r="C1826" s="24" t="s">
        <v>9614</v>
      </c>
      <c r="D1826" s="24" t="s">
        <v>7388</v>
      </c>
      <c r="E1826" s="24" t="s">
        <v>9511</v>
      </c>
      <c r="F1826" s="24" t="s">
        <v>7390</v>
      </c>
      <c r="G1826" s="24" t="b">
        <v>1</v>
      </c>
    </row>
    <row r="1827" spans="1:7" ht="12.5" customHeight="1">
      <c r="A1827" s="27">
        <v>47900</v>
      </c>
      <c r="B1827" s="24" t="s">
        <v>9506</v>
      </c>
      <c r="C1827" s="24" t="s">
        <v>9614</v>
      </c>
      <c r="D1827" s="24" t="s">
        <v>7388</v>
      </c>
      <c r="E1827" s="24" t="s">
        <v>9512</v>
      </c>
      <c r="F1827" s="24" t="s">
        <v>2920</v>
      </c>
      <c r="G1827" s="24" t="b">
        <v>1</v>
      </c>
    </row>
    <row r="1828" spans="1:7" ht="12.5" customHeight="1">
      <c r="A1828" s="27">
        <v>47900</v>
      </c>
      <c r="B1828" s="24" t="s">
        <v>9506</v>
      </c>
      <c r="C1828" s="24" t="s">
        <v>9614</v>
      </c>
      <c r="D1828" s="24" t="s">
        <v>7388</v>
      </c>
      <c r="E1828" s="24" t="s">
        <v>7317</v>
      </c>
      <c r="F1828" s="24" t="s">
        <v>2920</v>
      </c>
      <c r="G1828" s="24" t="b">
        <v>0</v>
      </c>
    </row>
    <row r="1829" spans="1:7" ht="12.5" customHeight="1">
      <c r="A1829" s="27">
        <v>47900</v>
      </c>
      <c r="B1829" s="24" t="s">
        <v>9506</v>
      </c>
      <c r="C1829" s="24" t="s">
        <v>9614</v>
      </c>
      <c r="D1829" s="24" t="s">
        <v>7388</v>
      </c>
      <c r="E1829" s="24" t="s">
        <v>9513</v>
      </c>
      <c r="F1829" s="24" t="s">
        <v>2920</v>
      </c>
      <c r="G1829" s="24" t="b">
        <v>0</v>
      </c>
    </row>
    <row r="1830" spans="1:7" ht="12.5" customHeight="1">
      <c r="A1830" s="27">
        <v>47900</v>
      </c>
      <c r="B1830" s="24" t="s">
        <v>9506</v>
      </c>
      <c r="C1830" s="24" t="s">
        <v>9614</v>
      </c>
      <c r="D1830" s="24" t="s">
        <v>7388</v>
      </c>
      <c r="E1830" s="24" t="s">
        <v>9514</v>
      </c>
      <c r="F1830" s="24" t="s">
        <v>2920</v>
      </c>
      <c r="G1830" s="24" t="b">
        <v>1</v>
      </c>
    </row>
    <row r="1831" spans="1:7" ht="12.5" customHeight="1">
      <c r="A1831" s="27">
        <v>47900</v>
      </c>
      <c r="B1831" s="24" t="s">
        <v>9506</v>
      </c>
      <c r="C1831" s="24" t="s">
        <v>9614</v>
      </c>
      <c r="D1831" s="24" t="s">
        <v>7388</v>
      </c>
      <c r="E1831" s="24" t="s">
        <v>9515</v>
      </c>
      <c r="F1831" s="24" t="s">
        <v>2920</v>
      </c>
      <c r="G1831" s="24" t="b">
        <v>1</v>
      </c>
    </row>
    <row r="1832" spans="1:7" ht="12.5" customHeight="1">
      <c r="A1832" s="27">
        <v>47900</v>
      </c>
      <c r="B1832" s="24" t="s">
        <v>9506</v>
      </c>
      <c r="C1832" s="24" t="s">
        <v>9614</v>
      </c>
      <c r="D1832" s="24" t="s">
        <v>7388</v>
      </c>
      <c r="E1832" s="24" t="s">
        <v>9516</v>
      </c>
      <c r="F1832" s="24" t="s">
        <v>2920</v>
      </c>
      <c r="G1832" s="24" t="b">
        <v>1</v>
      </c>
    </row>
    <row r="1833" spans="1:7" ht="12.5" customHeight="1">
      <c r="A1833" s="27">
        <v>47900</v>
      </c>
      <c r="B1833" s="24" t="s">
        <v>9506</v>
      </c>
      <c r="C1833" s="24" t="s">
        <v>9614</v>
      </c>
      <c r="D1833" s="24" t="s">
        <v>7388</v>
      </c>
      <c r="E1833" s="24" t="s">
        <v>7295</v>
      </c>
      <c r="F1833" s="24" t="s">
        <v>2920</v>
      </c>
      <c r="G1833" s="24" t="b">
        <v>0</v>
      </c>
    </row>
    <row r="1834" spans="1:7" ht="12.5" customHeight="1">
      <c r="A1834" s="27">
        <v>47900</v>
      </c>
      <c r="B1834" s="24" t="s">
        <v>9506</v>
      </c>
      <c r="C1834" s="24" t="s">
        <v>9614</v>
      </c>
      <c r="D1834" s="24" t="s">
        <v>7388</v>
      </c>
      <c r="E1834" s="24" t="s">
        <v>9517</v>
      </c>
      <c r="F1834" s="24" t="s">
        <v>2920</v>
      </c>
      <c r="G1834" s="24" t="b">
        <v>1</v>
      </c>
    </row>
    <row r="1835" spans="1:7" ht="12.5" customHeight="1">
      <c r="A1835" s="27">
        <v>47900</v>
      </c>
      <c r="B1835" s="24" t="s">
        <v>9506</v>
      </c>
      <c r="C1835" s="24" t="s">
        <v>9614</v>
      </c>
      <c r="D1835" s="24" t="s">
        <v>7388</v>
      </c>
      <c r="E1835" s="24" t="s">
        <v>9518</v>
      </c>
      <c r="F1835" s="24" t="s">
        <v>2920</v>
      </c>
      <c r="G1835" s="24" t="b">
        <v>0</v>
      </c>
    </row>
    <row r="1836" spans="1:7" ht="12.5" customHeight="1">
      <c r="A1836" s="27">
        <v>47900</v>
      </c>
      <c r="B1836" s="24" t="s">
        <v>9506</v>
      </c>
      <c r="C1836" s="24" t="s">
        <v>9614</v>
      </c>
      <c r="D1836" s="24" t="s">
        <v>7388</v>
      </c>
      <c r="E1836" s="24" t="s">
        <v>9519</v>
      </c>
      <c r="F1836" s="24" t="s">
        <v>2920</v>
      </c>
      <c r="G1836" s="24" t="b">
        <v>0</v>
      </c>
    </row>
    <row r="1837" spans="1:7" ht="12.5" customHeight="1">
      <c r="A1837" s="27">
        <v>47900</v>
      </c>
      <c r="B1837" s="24" t="s">
        <v>9506</v>
      </c>
      <c r="C1837" s="24" t="s">
        <v>9614</v>
      </c>
      <c r="D1837" s="24" t="s">
        <v>7388</v>
      </c>
      <c r="E1837" s="24" t="s">
        <v>9520</v>
      </c>
      <c r="F1837" s="24" t="s">
        <v>2920</v>
      </c>
      <c r="G1837" s="24" t="b">
        <v>1</v>
      </c>
    </row>
    <row r="1838" spans="1:7" ht="12.5" customHeight="1">
      <c r="A1838" s="27">
        <v>47900</v>
      </c>
      <c r="B1838" s="24" t="s">
        <v>9506</v>
      </c>
      <c r="C1838" s="24" t="s">
        <v>9614</v>
      </c>
      <c r="D1838" s="24" t="s">
        <v>7388</v>
      </c>
      <c r="E1838" s="24" t="s">
        <v>7223</v>
      </c>
      <c r="F1838" s="24" t="s">
        <v>2920</v>
      </c>
      <c r="G1838" s="24" t="b">
        <v>0</v>
      </c>
    </row>
    <row r="1839" spans="1:7" ht="12.5" customHeight="1">
      <c r="A1839" s="27">
        <v>47900</v>
      </c>
      <c r="B1839" s="24" t="s">
        <v>9506</v>
      </c>
      <c r="C1839" s="24" t="s">
        <v>9614</v>
      </c>
      <c r="D1839" s="24" t="s">
        <v>7388</v>
      </c>
      <c r="E1839" s="24" t="s">
        <v>9521</v>
      </c>
      <c r="F1839" s="24" t="s">
        <v>2920</v>
      </c>
      <c r="G1839" s="24" t="b">
        <v>1</v>
      </c>
    </row>
    <row r="1840" spans="1:7" ht="12.5" customHeight="1">
      <c r="A1840" s="27">
        <v>47900</v>
      </c>
      <c r="B1840" s="24" t="s">
        <v>9506</v>
      </c>
      <c r="C1840" s="24" t="s">
        <v>9614</v>
      </c>
      <c r="D1840" s="24" t="s">
        <v>7388</v>
      </c>
      <c r="E1840" s="24" t="s">
        <v>9522</v>
      </c>
      <c r="F1840" s="24" t="s">
        <v>2920</v>
      </c>
      <c r="G1840" s="24" t="b">
        <v>1</v>
      </c>
    </row>
    <row r="1841" spans="1:7" ht="12.5" customHeight="1">
      <c r="A1841" s="27">
        <v>47900</v>
      </c>
      <c r="B1841" s="24" t="s">
        <v>9506</v>
      </c>
      <c r="C1841" s="24" t="s">
        <v>9614</v>
      </c>
      <c r="D1841" s="24" t="s">
        <v>7388</v>
      </c>
      <c r="E1841" s="24" t="s">
        <v>9523</v>
      </c>
      <c r="F1841" s="24" t="s">
        <v>2920</v>
      </c>
      <c r="G1841" s="24" t="b">
        <v>1</v>
      </c>
    </row>
    <row r="1842" spans="1:7" ht="12.5" customHeight="1">
      <c r="A1842" s="27">
        <v>47900</v>
      </c>
      <c r="B1842" s="24" t="s">
        <v>9506</v>
      </c>
      <c r="C1842" s="24" t="s">
        <v>9614</v>
      </c>
      <c r="D1842" s="24" t="s">
        <v>7388</v>
      </c>
      <c r="E1842" s="24" t="s">
        <v>9524</v>
      </c>
      <c r="F1842" s="24" t="s">
        <v>2920</v>
      </c>
      <c r="G1842" s="24" t="b">
        <v>0</v>
      </c>
    </row>
    <row r="1843" spans="1:7" ht="12.5" customHeight="1">
      <c r="A1843" s="27">
        <v>47900</v>
      </c>
      <c r="B1843" s="24" t="s">
        <v>9506</v>
      </c>
      <c r="C1843" s="24" t="s">
        <v>9614</v>
      </c>
      <c r="D1843" s="24" t="s">
        <v>7388</v>
      </c>
      <c r="E1843" s="24" t="s">
        <v>9525</v>
      </c>
      <c r="F1843" s="24" t="s">
        <v>2920</v>
      </c>
      <c r="G1843" s="24" t="b">
        <v>1</v>
      </c>
    </row>
    <row r="1844" spans="1:7" ht="12.5" customHeight="1">
      <c r="A1844" s="27">
        <v>47900</v>
      </c>
      <c r="B1844" s="24" t="s">
        <v>9506</v>
      </c>
      <c r="C1844" s="24" t="s">
        <v>9614</v>
      </c>
      <c r="D1844" s="24" t="s">
        <v>7388</v>
      </c>
      <c r="E1844" s="24" t="s">
        <v>9526</v>
      </c>
      <c r="F1844" s="24" t="s">
        <v>2920</v>
      </c>
      <c r="G1844" s="24" t="b">
        <v>1</v>
      </c>
    </row>
    <row r="1845" spans="1:7" ht="12.5" customHeight="1">
      <c r="A1845" s="27">
        <v>47900</v>
      </c>
      <c r="B1845" s="24" t="s">
        <v>9506</v>
      </c>
      <c r="C1845" s="24" t="s">
        <v>9614</v>
      </c>
      <c r="D1845" s="24" t="s">
        <v>7388</v>
      </c>
      <c r="E1845" s="24" t="s">
        <v>7446</v>
      </c>
      <c r="F1845" s="24" t="s">
        <v>7452</v>
      </c>
      <c r="G1845" s="24" t="b">
        <v>0</v>
      </c>
    </row>
    <row r="1846" spans="1:7" ht="12.5" customHeight="1">
      <c r="A1846" s="27">
        <v>47920</v>
      </c>
      <c r="B1846" s="24" t="s">
        <v>9527</v>
      </c>
      <c r="C1846" s="24" t="s">
        <v>9615</v>
      </c>
      <c r="D1846" s="24" t="s">
        <v>7460</v>
      </c>
      <c r="E1846" s="24" t="s">
        <v>7331</v>
      </c>
      <c r="F1846" s="24" t="s">
        <v>7171</v>
      </c>
      <c r="G1846" s="24" t="b">
        <v>1</v>
      </c>
    </row>
    <row r="1847" spans="1:7" ht="12.5" customHeight="1">
      <c r="A1847" s="27">
        <v>47940</v>
      </c>
      <c r="B1847" s="24" t="s">
        <v>9528</v>
      </c>
      <c r="C1847" s="24" t="s">
        <v>9614</v>
      </c>
      <c r="D1847" s="24" t="s">
        <v>7138</v>
      </c>
      <c r="E1847" s="24" t="s">
        <v>9529</v>
      </c>
      <c r="F1847" s="24" t="s">
        <v>7252</v>
      </c>
      <c r="G1847" s="24" t="b">
        <v>1</v>
      </c>
    </row>
    <row r="1848" spans="1:7" ht="12.5" customHeight="1">
      <c r="A1848" s="27">
        <v>47940</v>
      </c>
      <c r="B1848" s="24" t="s">
        <v>9528</v>
      </c>
      <c r="C1848" s="24" t="s">
        <v>9614</v>
      </c>
      <c r="D1848" s="24" t="s">
        <v>7138</v>
      </c>
      <c r="E1848" s="24" t="s">
        <v>9530</v>
      </c>
      <c r="F1848" s="24" t="s">
        <v>7252</v>
      </c>
      <c r="G1848" s="24" t="b">
        <v>0</v>
      </c>
    </row>
    <row r="1849" spans="1:7" ht="12.5" customHeight="1">
      <c r="A1849" s="27">
        <v>47940</v>
      </c>
      <c r="B1849" s="24" t="s">
        <v>9528</v>
      </c>
      <c r="C1849" s="24" t="s">
        <v>9614</v>
      </c>
      <c r="D1849" s="24" t="s">
        <v>7138</v>
      </c>
      <c r="E1849" s="24" t="s">
        <v>7716</v>
      </c>
      <c r="F1849" s="24" t="s">
        <v>7252</v>
      </c>
      <c r="G1849" s="24" t="b">
        <v>0</v>
      </c>
    </row>
    <row r="1850" spans="1:7" ht="12.5" customHeight="1">
      <c r="A1850" s="27">
        <v>47980</v>
      </c>
      <c r="B1850" s="24" t="s">
        <v>9531</v>
      </c>
      <c r="C1850" s="24" t="s">
        <v>9615</v>
      </c>
      <c r="D1850" s="24" t="s">
        <v>7138</v>
      </c>
      <c r="E1850" s="24" t="s">
        <v>9532</v>
      </c>
      <c r="F1850" s="24" t="s">
        <v>7141</v>
      </c>
      <c r="G1850" s="24" t="b">
        <v>1</v>
      </c>
    </row>
    <row r="1851" spans="1:7" ht="12.5" customHeight="1">
      <c r="A1851" s="27">
        <v>47980</v>
      </c>
      <c r="B1851" s="24" t="s">
        <v>9531</v>
      </c>
      <c r="C1851" s="24" t="s">
        <v>9615</v>
      </c>
      <c r="D1851" s="24" t="s">
        <v>7138</v>
      </c>
      <c r="E1851" s="24" t="s">
        <v>9533</v>
      </c>
      <c r="F1851" s="24" t="s">
        <v>7141</v>
      </c>
      <c r="G1851" s="24" t="b">
        <v>0</v>
      </c>
    </row>
    <row r="1852" spans="1:7" ht="12.5" customHeight="1">
      <c r="A1852" s="27">
        <v>48020</v>
      </c>
      <c r="B1852" s="24" t="s">
        <v>9534</v>
      </c>
      <c r="C1852" s="24" t="s">
        <v>9615</v>
      </c>
      <c r="D1852" s="24" t="s">
        <v>7449</v>
      </c>
      <c r="E1852" s="24" t="s">
        <v>7446</v>
      </c>
      <c r="F1852" s="24" t="s">
        <v>7272</v>
      </c>
      <c r="G1852" s="24" t="b">
        <v>1</v>
      </c>
    </row>
    <row r="1853" spans="1:7" ht="12.5" customHeight="1">
      <c r="A1853" s="27">
        <v>48060</v>
      </c>
      <c r="B1853" s="24" t="s">
        <v>9535</v>
      </c>
      <c r="C1853" s="24" t="s">
        <v>9614</v>
      </c>
      <c r="D1853" s="24" t="s">
        <v>7138</v>
      </c>
      <c r="E1853" s="24" t="s">
        <v>7446</v>
      </c>
      <c r="F1853" s="24" t="s">
        <v>3775</v>
      </c>
      <c r="G1853" s="24" t="b">
        <v>1</v>
      </c>
    </row>
    <row r="1854" spans="1:7" ht="12.5" customHeight="1">
      <c r="A1854" s="27">
        <v>48100</v>
      </c>
      <c r="B1854" s="24" t="s">
        <v>9536</v>
      </c>
      <c r="C1854" s="24" t="s">
        <v>9615</v>
      </c>
      <c r="D1854" s="24" t="s">
        <v>7899</v>
      </c>
      <c r="E1854" s="24" t="s">
        <v>9537</v>
      </c>
      <c r="F1854" s="24" t="s">
        <v>7277</v>
      </c>
      <c r="G1854" s="24" t="b">
        <v>1</v>
      </c>
    </row>
    <row r="1855" spans="1:7" ht="12.5" customHeight="1">
      <c r="A1855" s="27">
        <v>48140</v>
      </c>
      <c r="B1855" s="24" t="s">
        <v>9538</v>
      </c>
      <c r="C1855" s="24" t="s">
        <v>9614</v>
      </c>
      <c r="D1855" s="24" t="s">
        <v>9343</v>
      </c>
      <c r="E1855" s="24" t="s">
        <v>7364</v>
      </c>
      <c r="F1855" s="24" t="s">
        <v>7272</v>
      </c>
      <c r="G1855" s="24" t="b">
        <v>0</v>
      </c>
    </row>
    <row r="1856" spans="1:7" ht="12.5" customHeight="1">
      <c r="A1856" s="27">
        <v>48140</v>
      </c>
      <c r="B1856" s="24" t="s">
        <v>9538</v>
      </c>
      <c r="C1856" s="24" t="s">
        <v>9614</v>
      </c>
      <c r="D1856" s="24" t="s">
        <v>9343</v>
      </c>
      <c r="E1856" s="24" t="s">
        <v>9539</v>
      </c>
      <c r="F1856" s="24" t="s">
        <v>7272</v>
      </c>
      <c r="G1856" s="24" t="b">
        <v>1</v>
      </c>
    </row>
    <row r="1857" spans="1:7" ht="12.5" customHeight="1">
      <c r="A1857" s="27">
        <v>48180</v>
      </c>
      <c r="B1857" s="24" t="s">
        <v>9540</v>
      </c>
      <c r="C1857" s="24" t="s">
        <v>9615</v>
      </c>
      <c r="D1857" s="24" t="s">
        <v>7138</v>
      </c>
      <c r="E1857" s="24" t="s">
        <v>8683</v>
      </c>
      <c r="F1857" s="24" t="s">
        <v>7178</v>
      </c>
      <c r="G1857" s="24" t="b">
        <v>0</v>
      </c>
    </row>
    <row r="1858" spans="1:7" ht="12.5" customHeight="1">
      <c r="A1858" s="27">
        <v>48180</v>
      </c>
      <c r="B1858" s="24" t="s">
        <v>9540</v>
      </c>
      <c r="C1858" s="24" t="s">
        <v>9615</v>
      </c>
      <c r="D1858" s="24" t="s">
        <v>7138</v>
      </c>
      <c r="E1858" s="24" t="s">
        <v>9541</v>
      </c>
      <c r="F1858" s="24" t="s">
        <v>7178</v>
      </c>
      <c r="G1858" s="24" t="b">
        <v>1</v>
      </c>
    </row>
    <row r="1859" spans="1:7" ht="12.5" customHeight="1">
      <c r="A1859" s="27">
        <v>48220</v>
      </c>
      <c r="B1859" s="24" t="s">
        <v>9542</v>
      </c>
      <c r="C1859" s="24" t="s">
        <v>9615</v>
      </c>
      <c r="D1859" s="24" t="s">
        <v>7138</v>
      </c>
      <c r="E1859" s="24" t="s">
        <v>9543</v>
      </c>
      <c r="F1859" s="24" t="s">
        <v>7152</v>
      </c>
      <c r="G1859" s="24" t="b">
        <v>1</v>
      </c>
    </row>
    <row r="1860" spans="1:7" ht="12.5" customHeight="1">
      <c r="A1860" s="27">
        <v>48260</v>
      </c>
      <c r="B1860" s="24" t="s">
        <v>9544</v>
      </c>
      <c r="C1860" s="24" t="s">
        <v>9614</v>
      </c>
      <c r="D1860" s="24" t="s">
        <v>8308</v>
      </c>
      <c r="E1860" s="24" t="s">
        <v>7446</v>
      </c>
      <c r="F1860" s="24" t="s">
        <v>7171</v>
      </c>
      <c r="G1860" s="24" t="b">
        <v>1</v>
      </c>
    </row>
    <row r="1861" spans="1:7" ht="12.5" customHeight="1">
      <c r="A1861" s="27">
        <v>48260</v>
      </c>
      <c r="B1861" s="24" t="s">
        <v>9544</v>
      </c>
      <c r="C1861" s="24" t="s">
        <v>9614</v>
      </c>
      <c r="D1861" s="24" t="s">
        <v>8308</v>
      </c>
      <c r="E1861" s="24" t="s">
        <v>9545</v>
      </c>
      <c r="F1861" s="24" t="s">
        <v>7452</v>
      </c>
      <c r="G1861" s="24" t="b">
        <v>1</v>
      </c>
    </row>
    <row r="1862" spans="1:7" ht="12.5" customHeight="1">
      <c r="A1862" s="27">
        <v>48260</v>
      </c>
      <c r="B1862" s="24" t="s">
        <v>9544</v>
      </c>
      <c r="C1862" s="24" t="s">
        <v>9614</v>
      </c>
      <c r="D1862" s="24" t="s">
        <v>8308</v>
      </c>
      <c r="E1862" s="24" t="s">
        <v>8060</v>
      </c>
      <c r="F1862" s="24" t="s">
        <v>7452</v>
      </c>
      <c r="G1862" s="24" t="b">
        <v>1</v>
      </c>
    </row>
    <row r="1863" spans="1:7" ht="12.5" customHeight="1">
      <c r="A1863" s="27">
        <v>48300</v>
      </c>
      <c r="B1863" s="24" t="s">
        <v>9546</v>
      </c>
      <c r="C1863" s="24" t="s">
        <v>9614</v>
      </c>
      <c r="D1863" s="24" t="s">
        <v>7138</v>
      </c>
      <c r="E1863" s="24" t="s">
        <v>9547</v>
      </c>
      <c r="F1863" s="24" t="s">
        <v>1134</v>
      </c>
      <c r="G1863" s="24" t="b">
        <v>1</v>
      </c>
    </row>
    <row r="1864" spans="1:7" ht="12.5" customHeight="1">
      <c r="A1864" s="27">
        <v>48300</v>
      </c>
      <c r="B1864" s="24" t="s">
        <v>9546</v>
      </c>
      <c r="C1864" s="24" t="s">
        <v>9614</v>
      </c>
      <c r="D1864" s="24" t="s">
        <v>7138</v>
      </c>
      <c r="E1864" s="24" t="s">
        <v>7217</v>
      </c>
      <c r="F1864" s="24" t="s">
        <v>1134</v>
      </c>
      <c r="G1864" s="24" t="b">
        <v>1</v>
      </c>
    </row>
    <row r="1865" spans="1:7" ht="12.5" customHeight="1">
      <c r="A1865" s="27">
        <v>48460</v>
      </c>
      <c r="B1865" s="24" t="s">
        <v>9548</v>
      </c>
      <c r="C1865" s="24" t="s">
        <v>9615</v>
      </c>
      <c r="D1865" s="24" t="s">
        <v>7138</v>
      </c>
      <c r="E1865" s="24" t="s">
        <v>9549</v>
      </c>
      <c r="F1865" s="24" t="s">
        <v>7570</v>
      </c>
      <c r="G1865" s="24" t="b">
        <v>1</v>
      </c>
    </row>
    <row r="1866" spans="1:7" ht="12.5" customHeight="1">
      <c r="A1866" s="27">
        <v>48500</v>
      </c>
      <c r="B1866" s="24" t="s">
        <v>9550</v>
      </c>
      <c r="C1866" s="24" t="s">
        <v>9615</v>
      </c>
      <c r="D1866" s="24" t="s">
        <v>7802</v>
      </c>
      <c r="E1866" s="24" t="s">
        <v>7680</v>
      </c>
      <c r="F1866" s="24" t="s">
        <v>7584</v>
      </c>
      <c r="G1866" s="24" t="b">
        <v>1</v>
      </c>
    </row>
    <row r="1867" spans="1:7" ht="12.5" customHeight="1">
      <c r="A1867" s="27">
        <v>48540</v>
      </c>
      <c r="B1867" s="24" t="s">
        <v>9551</v>
      </c>
      <c r="C1867" s="24" t="s">
        <v>9614</v>
      </c>
      <c r="D1867" s="24" t="s">
        <v>7138</v>
      </c>
      <c r="E1867" s="24" t="s">
        <v>9552</v>
      </c>
      <c r="F1867" s="24" t="s">
        <v>7171</v>
      </c>
      <c r="G1867" s="24" t="b">
        <v>1</v>
      </c>
    </row>
    <row r="1868" spans="1:7" ht="12.5" customHeight="1">
      <c r="A1868" s="27">
        <v>48540</v>
      </c>
      <c r="B1868" s="24" t="s">
        <v>9551</v>
      </c>
      <c r="C1868" s="24" t="s">
        <v>9614</v>
      </c>
      <c r="D1868" s="24" t="s">
        <v>7138</v>
      </c>
      <c r="E1868" s="24" t="s">
        <v>7200</v>
      </c>
      <c r="F1868" s="24" t="s">
        <v>7452</v>
      </c>
      <c r="G1868" s="24" t="b">
        <v>1</v>
      </c>
    </row>
    <row r="1869" spans="1:7" ht="12.5" customHeight="1">
      <c r="A1869" s="27">
        <v>48540</v>
      </c>
      <c r="B1869" s="24" t="s">
        <v>9551</v>
      </c>
      <c r="C1869" s="24" t="s">
        <v>9614</v>
      </c>
      <c r="D1869" s="24" t="s">
        <v>7138</v>
      </c>
      <c r="E1869" s="24" t="s">
        <v>7731</v>
      </c>
      <c r="F1869" s="24" t="s">
        <v>7452</v>
      </c>
      <c r="G1869" s="24" t="b">
        <v>1</v>
      </c>
    </row>
    <row r="1870" spans="1:7" ht="12.5" customHeight="1">
      <c r="A1870" s="27">
        <v>48580</v>
      </c>
      <c r="B1870" s="24" t="s">
        <v>9553</v>
      </c>
      <c r="C1870" s="24" t="s">
        <v>9615</v>
      </c>
      <c r="D1870" s="24" t="s">
        <v>7449</v>
      </c>
      <c r="E1870" s="24" t="s">
        <v>9554</v>
      </c>
      <c r="F1870" s="24" t="s">
        <v>7272</v>
      </c>
      <c r="G1870" s="24" t="b">
        <v>1</v>
      </c>
    </row>
    <row r="1871" spans="1:7" ht="12.5" customHeight="1">
      <c r="A1871" s="27">
        <v>48620</v>
      </c>
      <c r="B1871" s="24" t="s">
        <v>9555</v>
      </c>
      <c r="C1871" s="24" t="s">
        <v>9614</v>
      </c>
      <c r="D1871" s="24" t="s">
        <v>9556</v>
      </c>
      <c r="E1871" s="24" t="s">
        <v>7559</v>
      </c>
      <c r="F1871" s="24" t="s">
        <v>7306</v>
      </c>
      <c r="G1871" s="24" t="b">
        <v>0</v>
      </c>
    </row>
    <row r="1872" spans="1:7" ht="12.5" customHeight="1">
      <c r="A1872" s="27">
        <v>48620</v>
      </c>
      <c r="B1872" s="24" t="s">
        <v>9555</v>
      </c>
      <c r="C1872" s="24" t="s">
        <v>9614</v>
      </c>
      <c r="D1872" s="24" t="s">
        <v>9556</v>
      </c>
      <c r="E1872" s="24" t="s">
        <v>9557</v>
      </c>
      <c r="F1872" s="24" t="s">
        <v>7306</v>
      </c>
      <c r="G1872" s="24" t="b">
        <v>0</v>
      </c>
    </row>
    <row r="1873" spans="1:7" ht="12.5" customHeight="1">
      <c r="A1873" s="27">
        <v>48620</v>
      </c>
      <c r="B1873" s="24" t="s">
        <v>9555</v>
      </c>
      <c r="C1873" s="24" t="s">
        <v>9614</v>
      </c>
      <c r="D1873" s="24" t="s">
        <v>9556</v>
      </c>
      <c r="E1873" s="24" t="s">
        <v>9558</v>
      </c>
      <c r="F1873" s="24" t="s">
        <v>7306</v>
      </c>
      <c r="G1873" s="24" t="b">
        <v>1</v>
      </c>
    </row>
    <row r="1874" spans="1:7" ht="12.5" customHeight="1">
      <c r="A1874" s="27">
        <v>48620</v>
      </c>
      <c r="B1874" s="24" t="s">
        <v>9555</v>
      </c>
      <c r="C1874" s="24" t="s">
        <v>9614</v>
      </c>
      <c r="D1874" s="24" t="s">
        <v>9556</v>
      </c>
      <c r="E1874" s="24" t="s">
        <v>8771</v>
      </c>
      <c r="F1874" s="24" t="s">
        <v>7306</v>
      </c>
      <c r="G1874" s="24" t="b">
        <v>0</v>
      </c>
    </row>
    <row r="1875" spans="1:7" ht="12.5" customHeight="1">
      <c r="A1875" s="27">
        <v>48660</v>
      </c>
      <c r="B1875" s="24" t="s">
        <v>9559</v>
      </c>
      <c r="C1875" s="24" t="s">
        <v>9614</v>
      </c>
      <c r="D1875" s="24" t="s">
        <v>7138</v>
      </c>
      <c r="E1875" s="24" t="s">
        <v>9560</v>
      </c>
      <c r="F1875" s="24" t="s">
        <v>7147</v>
      </c>
      <c r="G1875" s="24" t="b">
        <v>0</v>
      </c>
    </row>
    <row r="1876" spans="1:7" ht="12.5" customHeight="1">
      <c r="A1876" s="27">
        <v>48660</v>
      </c>
      <c r="B1876" s="24" t="s">
        <v>9559</v>
      </c>
      <c r="C1876" s="24" t="s">
        <v>9614</v>
      </c>
      <c r="D1876" s="24" t="s">
        <v>7138</v>
      </c>
      <c r="E1876" s="24" t="s">
        <v>7680</v>
      </c>
      <c r="F1876" s="24" t="s">
        <v>7147</v>
      </c>
      <c r="G1876" s="24" t="b">
        <v>0</v>
      </c>
    </row>
    <row r="1877" spans="1:7" ht="12.5" customHeight="1">
      <c r="A1877" s="27">
        <v>48660</v>
      </c>
      <c r="B1877" s="24" t="s">
        <v>9559</v>
      </c>
      <c r="C1877" s="24" t="s">
        <v>9614</v>
      </c>
      <c r="D1877" s="24" t="s">
        <v>7138</v>
      </c>
      <c r="E1877" s="24" t="s">
        <v>9561</v>
      </c>
      <c r="F1877" s="24" t="s">
        <v>7147</v>
      </c>
      <c r="G1877" s="24" t="b">
        <v>1</v>
      </c>
    </row>
    <row r="1878" spans="1:7" ht="12.5" customHeight="1">
      <c r="A1878" s="27">
        <v>48700</v>
      </c>
      <c r="B1878" s="24" t="s">
        <v>9562</v>
      </c>
      <c r="C1878" s="24" t="s">
        <v>9614</v>
      </c>
      <c r="D1878" s="24" t="s">
        <v>8526</v>
      </c>
      <c r="E1878" s="24" t="s">
        <v>9563</v>
      </c>
      <c r="F1878" s="24" t="s">
        <v>7226</v>
      </c>
      <c r="G1878" s="24" t="b">
        <v>1</v>
      </c>
    </row>
    <row r="1879" spans="1:7" ht="12.5" customHeight="1">
      <c r="A1879" s="27">
        <v>48780</v>
      </c>
      <c r="B1879" s="24" t="s">
        <v>9564</v>
      </c>
      <c r="C1879" s="24" t="s">
        <v>9615</v>
      </c>
      <c r="D1879" s="24" t="s">
        <v>7138</v>
      </c>
      <c r="E1879" s="24" t="s">
        <v>9565</v>
      </c>
      <c r="F1879" s="24" t="s">
        <v>7499</v>
      </c>
      <c r="G1879" s="24" t="b">
        <v>1</v>
      </c>
    </row>
    <row r="1880" spans="1:7" ht="12.5" customHeight="1">
      <c r="A1880" s="27">
        <v>48820</v>
      </c>
      <c r="B1880" s="24" t="s">
        <v>9566</v>
      </c>
      <c r="C1880" s="24" t="s">
        <v>9615</v>
      </c>
      <c r="D1880" s="24" t="s">
        <v>7138</v>
      </c>
      <c r="E1880" s="24" t="s">
        <v>9567</v>
      </c>
      <c r="F1880" s="24" t="s">
        <v>7198</v>
      </c>
      <c r="G1880" s="24" t="b">
        <v>1</v>
      </c>
    </row>
    <row r="1881" spans="1:7" ht="12.5" customHeight="1">
      <c r="A1881" s="27">
        <v>48900</v>
      </c>
      <c r="B1881" s="24" t="s">
        <v>9568</v>
      </c>
      <c r="C1881" s="24" t="s">
        <v>9614</v>
      </c>
      <c r="D1881" s="24" t="s">
        <v>7138</v>
      </c>
      <c r="E1881" s="24" t="s">
        <v>9569</v>
      </c>
      <c r="F1881" s="24" t="s">
        <v>7195</v>
      </c>
      <c r="G1881" s="24" t="b">
        <v>1</v>
      </c>
    </row>
    <row r="1882" spans="1:7" ht="12.5" customHeight="1">
      <c r="A1882" s="27">
        <v>48900</v>
      </c>
      <c r="B1882" s="24" t="s">
        <v>9568</v>
      </c>
      <c r="C1882" s="24" t="s">
        <v>9614</v>
      </c>
      <c r="D1882" s="24" t="s">
        <v>7138</v>
      </c>
      <c r="E1882" s="24" t="s">
        <v>9570</v>
      </c>
      <c r="F1882" s="24" t="s">
        <v>7195</v>
      </c>
      <c r="G1882" s="24" t="b">
        <v>0</v>
      </c>
    </row>
    <row r="1883" spans="1:7" ht="12.5" customHeight="1">
      <c r="A1883" s="27">
        <v>48940</v>
      </c>
      <c r="B1883" s="24" t="s">
        <v>9571</v>
      </c>
      <c r="C1883" s="24" t="s">
        <v>9615</v>
      </c>
      <c r="D1883" s="24" t="s">
        <v>7729</v>
      </c>
      <c r="E1883" s="24" t="s">
        <v>7762</v>
      </c>
      <c r="F1883" s="24" t="s">
        <v>7171</v>
      </c>
      <c r="G1883" s="24" t="b">
        <v>1</v>
      </c>
    </row>
    <row r="1884" spans="1:7" ht="12.5" customHeight="1">
      <c r="A1884" s="27">
        <v>48980</v>
      </c>
      <c r="B1884" s="24" t="s">
        <v>9572</v>
      </c>
      <c r="C1884" s="24" t="s">
        <v>9615</v>
      </c>
      <c r="D1884" s="24" t="s">
        <v>9080</v>
      </c>
      <c r="E1884" s="24" t="s">
        <v>8773</v>
      </c>
      <c r="F1884" s="24" t="s">
        <v>7195</v>
      </c>
      <c r="G1884" s="24" t="b">
        <v>1</v>
      </c>
    </row>
    <row r="1885" spans="1:7" ht="12.5" customHeight="1">
      <c r="A1885" s="27">
        <v>49020</v>
      </c>
      <c r="B1885" s="24" t="s">
        <v>9573</v>
      </c>
      <c r="C1885" s="24" t="s">
        <v>9614</v>
      </c>
      <c r="D1885" s="24" t="s">
        <v>7388</v>
      </c>
      <c r="E1885" s="24" t="s">
        <v>9507</v>
      </c>
      <c r="F1885" s="24" t="s">
        <v>2920</v>
      </c>
      <c r="G1885" s="24" t="b">
        <v>1</v>
      </c>
    </row>
    <row r="1886" spans="1:7" ht="12.5" customHeight="1">
      <c r="A1886" s="27">
        <v>49020</v>
      </c>
      <c r="B1886" s="24" t="s">
        <v>9573</v>
      </c>
      <c r="C1886" s="24" t="s">
        <v>9614</v>
      </c>
      <c r="D1886" s="24" t="s">
        <v>7388</v>
      </c>
      <c r="E1886" s="24" t="s">
        <v>9574</v>
      </c>
      <c r="F1886" s="24" t="s">
        <v>2920</v>
      </c>
      <c r="G1886" s="24" t="b">
        <v>1</v>
      </c>
    </row>
    <row r="1887" spans="1:7" ht="12.5" customHeight="1">
      <c r="A1887" s="27">
        <v>49020</v>
      </c>
      <c r="B1887" s="24" t="s">
        <v>9573</v>
      </c>
      <c r="C1887" s="24" t="s">
        <v>9614</v>
      </c>
      <c r="D1887" s="24" t="s">
        <v>7388</v>
      </c>
      <c r="E1887" s="24" t="s">
        <v>9322</v>
      </c>
      <c r="F1887" s="24" t="s">
        <v>7452</v>
      </c>
      <c r="G1887" s="24" t="b">
        <v>0</v>
      </c>
    </row>
    <row r="1888" spans="1:7" ht="12.5" customHeight="1">
      <c r="A1888" s="27">
        <v>49060</v>
      </c>
      <c r="B1888" s="24" t="s">
        <v>9575</v>
      </c>
      <c r="C1888" s="24" t="s">
        <v>9615</v>
      </c>
      <c r="D1888" s="24" t="s">
        <v>9556</v>
      </c>
      <c r="E1888" s="24" t="s">
        <v>9576</v>
      </c>
      <c r="F1888" s="24" t="s">
        <v>7306</v>
      </c>
      <c r="G1888" s="24" t="b">
        <v>1</v>
      </c>
    </row>
    <row r="1889" spans="1:7" ht="12.5" customHeight="1">
      <c r="A1889" s="27">
        <v>49080</v>
      </c>
      <c r="B1889" s="24" t="s">
        <v>9577</v>
      </c>
      <c r="C1889" s="24" t="s">
        <v>9615</v>
      </c>
      <c r="D1889" s="24" t="s">
        <v>7138</v>
      </c>
      <c r="E1889" s="24" t="s">
        <v>8025</v>
      </c>
      <c r="F1889" s="24" t="s">
        <v>3060</v>
      </c>
      <c r="G1889" s="24" t="b">
        <v>1</v>
      </c>
    </row>
    <row r="1890" spans="1:7" ht="12.5" customHeight="1">
      <c r="A1890" s="27">
        <v>49100</v>
      </c>
      <c r="B1890" s="24" t="s">
        <v>9578</v>
      </c>
      <c r="C1890" s="24" t="s">
        <v>9615</v>
      </c>
      <c r="D1890" s="24" t="s">
        <v>7138</v>
      </c>
      <c r="E1890" s="24" t="s">
        <v>9579</v>
      </c>
      <c r="F1890" s="24" t="s">
        <v>7198</v>
      </c>
      <c r="G1890" s="24" t="b">
        <v>1</v>
      </c>
    </row>
    <row r="1891" spans="1:7" ht="12.5" customHeight="1">
      <c r="A1891" s="27">
        <v>49180</v>
      </c>
      <c r="B1891" s="24" t="s">
        <v>9580</v>
      </c>
      <c r="C1891" s="24" t="s">
        <v>9614</v>
      </c>
      <c r="D1891" s="24" t="s">
        <v>7612</v>
      </c>
      <c r="E1891" s="24" t="s">
        <v>8767</v>
      </c>
      <c r="F1891" s="24" t="s">
        <v>7195</v>
      </c>
      <c r="G1891" s="24" t="b">
        <v>1</v>
      </c>
    </row>
    <row r="1892" spans="1:7" ht="12.5" customHeight="1">
      <c r="A1892" s="27">
        <v>49180</v>
      </c>
      <c r="B1892" s="24" t="s">
        <v>9580</v>
      </c>
      <c r="C1892" s="24" t="s">
        <v>9614</v>
      </c>
      <c r="D1892" s="24" t="s">
        <v>7612</v>
      </c>
      <c r="E1892" s="24" t="s">
        <v>9581</v>
      </c>
      <c r="F1892" s="24" t="s">
        <v>7195</v>
      </c>
      <c r="G1892" s="24" t="b">
        <v>1</v>
      </c>
    </row>
    <row r="1893" spans="1:7" ht="12.5" customHeight="1">
      <c r="A1893" s="27">
        <v>49180</v>
      </c>
      <c r="B1893" s="24" t="s">
        <v>9580</v>
      </c>
      <c r="C1893" s="24" t="s">
        <v>9614</v>
      </c>
      <c r="D1893" s="24" t="s">
        <v>7612</v>
      </c>
      <c r="E1893" s="24" t="s">
        <v>7332</v>
      </c>
      <c r="F1893" s="24" t="s">
        <v>7195</v>
      </c>
      <c r="G1893" s="24" t="b">
        <v>1</v>
      </c>
    </row>
    <row r="1894" spans="1:7" ht="12.5" customHeight="1">
      <c r="A1894" s="27">
        <v>49180</v>
      </c>
      <c r="B1894" s="24" t="s">
        <v>9580</v>
      </c>
      <c r="C1894" s="24" t="s">
        <v>9614</v>
      </c>
      <c r="D1894" s="24" t="s">
        <v>7612</v>
      </c>
      <c r="E1894" s="24" t="s">
        <v>9582</v>
      </c>
      <c r="F1894" s="24" t="s">
        <v>7195</v>
      </c>
      <c r="G1894" s="24" t="b">
        <v>1</v>
      </c>
    </row>
    <row r="1895" spans="1:7" ht="12.5" customHeight="1">
      <c r="A1895" s="27">
        <v>49180</v>
      </c>
      <c r="B1895" s="24" t="s">
        <v>9580</v>
      </c>
      <c r="C1895" s="24" t="s">
        <v>9614</v>
      </c>
      <c r="D1895" s="24" t="s">
        <v>7612</v>
      </c>
      <c r="E1895" s="24" t="s">
        <v>9583</v>
      </c>
      <c r="F1895" s="24" t="s">
        <v>7195</v>
      </c>
      <c r="G1895" s="24" t="b">
        <v>0</v>
      </c>
    </row>
    <row r="1896" spans="1:7" ht="12.5" customHeight="1">
      <c r="A1896" s="27">
        <v>49220</v>
      </c>
      <c r="B1896" s="24" t="s">
        <v>9584</v>
      </c>
      <c r="C1896" s="24" t="s">
        <v>9615</v>
      </c>
      <c r="D1896" s="24" t="s">
        <v>9343</v>
      </c>
      <c r="E1896" s="24" t="s">
        <v>8920</v>
      </c>
      <c r="F1896" s="24" t="s">
        <v>7272</v>
      </c>
      <c r="G1896" s="24" t="b">
        <v>1</v>
      </c>
    </row>
    <row r="1897" spans="1:7" ht="12.5" customHeight="1">
      <c r="A1897" s="27">
        <v>49260</v>
      </c>
      <c r="B1897" s="24" t="s">
        <v>9585</v>
      </c>
      <c r="C1897" s="24" t="s">
        <v>9615</v>
      </c>
      <c r="D1897" s="24" t="s">
        <v>7138</v>
      </c>
      <c r="E1897" s="24" t="s">
        <v>7861</v>
      </c>
      <c r="F1897" s="24" t="s">
        <v>7152</v>
      </c>
      <c r="G1897" s="24" t="b">
        <v>0</v>
      </c>
    </row>
    <row r="1898" spans="1:7" ht="12.5" customHeight="1">
      <c r="A1898" s="27">
        <v>49260</v>
      </c>
      <c r="B1898" s="24" t="s">
        <v>9585</v>
      </c>
      <c r="C1898" s="24" t="s">
        <v>9615</v>
      </c>
      <c r="D1898" s="24" t="s">
        <v>7138</v>
      </c>
      <c r="E1898" s="24" t="s">
        <v>9586</v>
      </c>
      <c r="F1898" s="24" t="s">
        <v>7152</v>
      </c>
      <c r="G1898" s="24" t="b">
        <v>1</v>
      </c>
    </row>
    <row r="1899" spans="1:7" ht="12.5" customHeight="1">
      <c r="A1899" s="27">
        <v>49300</v>
      </c>
      <c r="B1899" s="24" t="s">
        <v>9587</v>
      </c>
      <c r="C1899" s="24" t="s">
        <v>9615</v>
      </c>
      <c r="D1899" s="24" t="s">
        <v>7169</v>
      </c>
      <c r="E1899" s="24" t="s">
        <v>7918</v>
      </c>
      <c r="F1899" s="24" t="s">
        <v>7171</v>
      </c>
      <c r="G1899" s="24" t="b">
        <v>1</v>
      </c>
    </row>
    <row r="1900" spans="1:7" ht="12.5" customHeight="1">
      <c r="A1900" s="27">
        <v>49340</v>
      </c>
      <c r="B1900" s="24" t="s">
        <v>9588</v>
      </c>
      <c r="C1900" s="24" t="s">
        <v>9614</v>
      </c>
      <c r="D1900" s="24" t="s">
        <v>7406</v>
      </c>
      <c r="E1900" s="24" t="s">
        <v>9589</v>
      </c>
      <c r="F1900" s="24" t="s">
        <v>7581</v>
      </c>
      <c r="G1900" s="24" t="b">
        <v>1</v>
      </c>
    </row>
    <row r="1901" spans="1:7" ht="12.5" customHeight="1">
      <c r="A1901" s="27">
        <v>49340</v>
      </c>
      <c r="B1901" s="24" t="s">
        <v>9588</v>
      </c>
      <c r="C1901" s="24" t="s">
        <v>9614</v>
      </c>
      <c r="D1901" s="24" t="s">
        <v>7406</v>
      </c>
      <c r="E1901" s="24" t="s">
        <v>9150</v>
      </c>
      <c r="F1901" s="24" t="s">
        <v>7408</v>
      </c>
      <c r="G1901" s="24" t="b">
        <v>1</v>
      </c>
    </row>
    <row r="1902" spans="1:7" ht="12.5" customHeight="1">
      <c r="A1902" s="27">
        <v>49380</v>
      </c>
      <c r="B1902" s="24" t="s">
        <v>9590</v>
      </c>
      <c r="C1902" s="24" t="s">
        <v>9615</v>
      </c>
      <c r="D1902" s="24" t="s">
        <v>7138</v>
      </c>
      <c r="E1902" s="24" t="s">
        <v>9591</v>
      </c>
      <c r="F1902" s="24" t="s">
        <v>7198</v>
      </c>
      <c r="G1902" s="24" t="b">
        <v>1</v>
      </c>
    </row>
    <row r="1903" spans="1:7" ht="12.5" customHeight="1">
      <c r="A1903" s="27">
        <v>49420</v>
      </c>
      <c r="B1903" s="24" t="s">
        <v>9592</v>
      </c>
      <c r="C1903" s="24" t="s">
        <v>9614</v>
      </c>
      <c r="D1903" s="24" t="s">
        <v>7138</v>
      </c>
      <c r="E1903" s="24" t="s">
        <v>9593</v>
      </c>
      <c r="F1903" s="24" t="s">
        <v>1134</v>
      </c>
      <c r="G1903" s="24" t="b">
        <v>1</v>
      </c>
    </row>
    <row r="1904" spans="1:7" ht="12.5" customHeight="1">
      <c r="A1904" s="27">
        <v>49460</v>
      </c>
      <c r="B1904" s="24" t="s">
        <v>9594</v>
      </c>
      <c r="C1904" s="24" t="s">
        <v>9615</v>
      </c>
      <c r="D1904" s="24" t="s">
        <v>7138</v>
      </c>
      <c r="E1904" s="24" t="s">
        <v>9595</v>
      </c>
      <c r="F1904" s="24" t="s">
        <v>7141</v>
      </c>
      <c r="G1904" s="24" t="b">
        <v>1</v>
      </c>
    </row>
    <row r="1905" spans="1:7" ht="12.5" customHeight="1">
      <c r="A1905" s="27">
        <v>49500</v>
      </c>
      <c r="B1905" s="24" t="s">
        <v>9596</v>
      </c>
      <c r="C1905" s="24" t="s">
        <v>9614</v>
      </c>
      <c r="D1905" s="24" t="s">
        <v>7766</v>
      </c>
      <c r="E1905" s="24" t="s">
        <v>9597</v>
      </c>
      <c r="F1905" s="24" t="s">
        <v>7159</v>
      </c>
      <c r="G1905" s="24" t="b">
        <v>1</v>
      </c>
    </row>
    <row r="1906" spans="1:7" ht="12.5" customHeight="1">
      <c r="A1906" s="27">
        <v>49500</v>
      </c>
      <c r="B1906" s="24" t="s">
        <v>9596</v>
      </c>
      <c r="C1906" s="24" t="s">
        <v>9614</v>
      </c>
      <c r="D1906" s="24" t="s">
        <v>7766</v>
      </c>
      <c r="E1906" s="24" t="s">
        <v>9598</v>
      </c>
      <c r="F1906" s="24" t="s">
        <v>7159</v>
      </c>
      <c r="G1906" s="24" t="b">
        <v>1</v>
      </c>
    </row>
    <row r="1907" spans="1:7" ht="12.5" customHeight="1">
      <c r="A1907" s="27">
        <v>49500</v>
      </c>
      <c r="B1907" s="24" t="s">
        <v>9596</v>
      </c>
      <c r="C1907" s="24" t="s">
        <v>9614</v>
      </c>
      <c r="D1907" s="24" t="s">
        <v>7766</v>
      </c>
      <c r="E1907" s="24" t="s">
        <v>9599</v>
      </c>
      <c r="F1907" s="24" t="s">
        <v>7159</v>
      </c>
      <c r="G1907" s="24" t="b">
        <v>1</v>
      </c>
    </row>
    <row r="1908" spans="1:7" ht="12.5" customHeight="1">
      <c r="A1908" s="27">
        <v>49500</v>
      </c>
      <c r="B1908" s="24" t="s">
        <v>9596</v>
      </c>
      <c r="C1908" s="24" t="s">
        <v>9614</v>
      </c>
      <c r="D1908" s="24" t="s">
        <v>7766</v>
      </c>
      <c r="E1908" s="24" t="s">
        <v>9600</v>
      </c>
      <c r="F1908" s="24" t="s">
        <v>7159</v>
      </c>
      <c r="G1908" s="24" t="b">
        <v>1</v>
      </c>
    </row>
    <row r="1909" spans="1:7" ht="12.5" customHeight="1">
      <c r="A1909" s="27">
        <v>49620</v>
      </c>
      <c r="B1909" s="24" t="s">
        <v>9601</v>
      </c>
      <c r="C1909" s="24" t="s">
        <v>9614</v>
      </c>
      <c r="D1909" s="24" t="s">
        <v>8139</v>
      </c>
      <c r="E1909" s="24" t="s">
        <v>7698</v>
      </c>
      <c r="F1909" s="24" t="s">
        <v>7226</v>
      </c>
      <c r="G1909" s="24" t="b">
        <v>1</v>
      </c>
    </row>
    <row r="1910" spans="1:7" ht="12.5" customHeight="1">
      <c r="A1910" s="27">
        <v>49660</v>
      </c>
      <c r="B1910" s="24" t="s">
        <v>9602</v>
      </c>
      <c r="C1910" s="24" t="s">
        <v>9614</v>
      </c>
      <c r="D1910" s="24" t="s">
        <v>9142</v>
      </c>
      <c r="E1910" s="24" t="s">
        <v>9603</v>
      </c>
      <c r="F1910" s="24" t="s">
        <v>7171</v>
      </c>
      <c r="G1910" s="24" t="b">
        <v>1</v>
      </c>
    </row>
    <row r="1911" spans="1:7" ht="12.5" customHeight="1">
      <c r="A1911" s="27">
        <v>49660</v>
      </c>
      <c r="B1911" s="24" t="s">
        <v>9602</v>
      </c>
      <c r="C1911" s="24" t="s">
        <v>9614</v>
      </c>
      <c r="D1911" s="24" t="s">
        <v>9142</v>
      </c>
      <c r="E1911" s="24" t="s">
        <v>9604</v>
      </c>
      <c r="F1911" s="24" t="s">
        <v>7171</v>
      </c>
      <c r="G1911" s="24" t="b">
        <v>1</v>
      </c>
    </row>
    <row r="1912" spans="1:7" ht="12.5" customHeight="1">
      <c r="A1912" s="27">
        <v>49660</v>
      </c>
      <c r="B1912" s="24" t="s">
        <v>9602</v>
      </c>
      <c r="C1912" s="24" t="s">
        <v>9614</v>
      </c>
      <c r="D1912" s="24" t="s">
        <v>9142</v>
      </c>
      <c r="E1912" s="24" t="s">
        <v>7523</v>
      </c>
      <c r="F1912" s="24" t="s">
        <v>7226</v>
      </c>
      <c r="G1912" s="24" t="b">
        <v>1</v>
      </c>
    </row>
    <row r="1913" spans="1:7" ht="12.5" customHeight="1">
      <c r="A1913" s="27">
        <v>49700</v>
      </c>
      <c r="B1913" s="24" t="s">
        <v>9605</v>
      </c>
      <c r="C1913" s="24" t="s">
        <v>9614</v>
      </c>
      <c r="D1913" s="24" t="s">
        <v>9116</v>
      </c>
      <c r="E1913" s="24" t="s">
        <v>9606</v>
      </c>
      <c r="F1913" s="24" t="s">
        <v>7386</v>
      </c>
      <c r="G1913" s="24" t="b">
        <v>1</v>
      </c>
    </row>
    <row r="1914" spans="1:7" ht="12.5" customHeight="1">
      <c r="A1914" s="27">
        <v>49700</v>
      </c>
      <c r="B1914" s="24" t="s">
        <v>9605</v>
      </c>
      <c r="C1914" s="24" t="s">
        <v>9614</v>
      </c>
      <c r="D1914" s="24" t="s">
        <v>9116</v>
      </c>
      <c r="E1914" s="24" t="s">
        <v>9607</v>
      </c>
      <c r="F1914" s="24" t="s">
        <v>7386</v>
      </c>
      <c r="G1914" s="24" t="b">
        <v>1</v>
      </c>
    </row>
    <row r="1915" spans="1:7" ht="12.5" customHeight="1">
      <c r="A1915" s="26">
        <v>49740</v>
      </c>
      <c r="B1915" s="24" t="s">
        <v>9608</v>
      </c>
      <c r="C1915" s="24" t="s">
        <v>9614</v>
      </c>
      <c r="D1915" s="24" t="s">
        <v>7138</v>
      </c>
      <c r="E1915" s="24" t="s">
        <v>9609</v>
      </c>
      <c r="F1915" s="24" t="s">
        <v>8065</v>
      </c>
      <c r="G1915" s="24" t="b">
        <v>1</v>
      </c>
    </row>
    <row r="1916" spans="1:7" ht="12.5" customHeight="1">
      <c r="A1916" s="27">
        <v>49780</v>
      </c>
      <c r="B1916" s="24" t="s">
        <v>9610</v>
      </c>
      <c r="C1916" s="24" t="s">
        <v>9615</v>
      </c>
      <c r="D1916" s="24" t="s">
        <v>7460</v>
      </c>
      <c r="E1916" s="24" t="s">
        <v>9611</v>
      </c>
      <c r="F1916" s="24" t="s">
        <v>7171</v>
      </c>
      <c r="G1916" s="24" t="b">
        <v>1</v>
      </c>
    </row>
    <row r="1917" spans="1:7" ht="12.5" customHeight="1">
      <c r="A1917" s="29">
        <v>49820</v>
      </c>
      <c r="B1917" s="25" t="s">
        <v>9612</v>
      </c>
      <c r="C1917" s="25" t="s">
        <v>9615</v>
      </c>
      <c r="D1917" s="25" t="s">
        <v>7138</v>
      </c>
      <c r="E1917" s="25" t="s">
        <v>9613</v>
      </c>
      <c r="F1917" s="25" t="s">
        <v>7147</v>
      </c>
      <c r="G1917" s="25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Sheet1</vt:lpstr>
      <vt:lpstr>AK</vt:lpstr>
      <vt:lpstr>AL</vt:lpstr>
      <vt:lpstr>AR</vt:lpstr>
      <vt:lpstr>AZ</vt:lpstr>
      <vt:lpstr>CA</vt:lpstr>
      <vt:lpstr>CO</vt:lpstr>
      <vt:lpstr>CT</vt:lpstr>
      <vt:lpstr>DC</vt:lpstr>
      <vt:lpstr>DE</vt:lpstr>
      <vt:lpstr>FL</vt:lpstr>
      <vt:lpstr>GA</vt:lpstr>
      <vt:lpstr>HI</vt:lpstr>
      <vt:lpstr>IA</vt:lpstr>
      <vt:lpstr>ID</vt:lpstr>
      <vt:lpstr>IL</vt:lpstr>
      <vt:lpstr>IN</vt:lpstr>
      <vt:lpstr>KS</vt:lpstr>
      <vt:lpstr>KY</vt:lpstr>
      <vt:lpstr>LA</vt:lpstr>
      <vt:lpstr>MA</vt:lpstr>
      <vt:lpstr>MD</vt:lpstr>
      <vt:lpstr>ME</vt:lpstr>
      <vt:lpstr>MI</vt:lpstr>
      <vt:lpstr>MN</vt:lpstr>
      <vt:lpstr>MO</vt:lpstr>
      <vt:lpstr>MS</vt:lpstr>
      <vt:lpstr>MT</vt:lpstr>
      <vt:lpstr>NC</vt:lpstr>
      <vt:lpstr>ND</vt:lpstr>
      <vt:lpstr>NE</vt:lpstr>
      <vt:lpstr>NH</vt:lpstr>
      <vt:lpstr>NJ</vt:lpstr>
      <vt:lpstr>NM</vt:lpstr>
      <vt:lpstr>NV</vt:lpstr>
      <vt:lpstr>NY</vt:lpstr>
      <vt:lpstr>OH</vt:lpstr>
      <vt:lpstr>OK</vt:lpstr>
      <vt:lpstr>OR</vt:lpstr>
      <vt:lpstr>PA</vt:lpstr>
      <vt:lpstr>RI</vt:lpstr>
      <vt:lpstr>SC</vt:lpstr>
      <vt:lpstr>SD</vt:lpstr>
      <vt:lpstr>TN</vt:lpstr>
      <vt:lpstr>TX</vt:lpstr>
      <vt:lpstr>UT</vt:lpstr>
      <vt:lpstr>VA</vt:lpstr>
      <vt:lpstr>VT</vt:lpstr>
      <vt:lpstr>WA</vt:lpstr>
      <vt:lpstr>WI</vt:lpstr>
      <vt:lpstr>WV</vt:lpstr>
      <vt:lpstr>WY</vt:lpstr>
      <vt:lpstr>CBSA</vt:lpstr>
      <vt:lpstr>Super_CBSA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2020-07-17T21:46:59Z</dcterms:created>
  <dcterms:modified xsi:type="dcterms:W3CDTF">2020-07-18T16:20:40Z</dcterms:modified>
</cp:coreProperties>
</file>